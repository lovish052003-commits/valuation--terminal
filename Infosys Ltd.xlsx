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32">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1">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57">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10" fontId="23" fillId="14" borderId="0" applyAlignment="1" pivotButton="0" quotePrefix="0" xfId="0">
      <alignment horizontal="center"/>
    </xf>
    <xf numFmtId="0" fontId="24" fillId="0" borderId="0" pivotButton="0" quotePrefix="0" xfId="0"/>
    <xf numFmtId="177" fontId="24" fillId="0" borderId="0" pivotButton="0" quotePrefix="0" xfId="0"/>
    <xf numFmtId="0" fontId="25" fillId="0" borderId="0" pivotButton="0" quotePrefix="0" xfId="0"/>
    <xf numFmtId="4" fontId="25" fillId="0" borderId="0" pivotButton="0" quotePrefix="0" xfId="0"/>
    <xf numFmtId="0" fontId="25" fillId="0" borderId="14" pivotButton="0" quotePrefix="0" xfId="0"/>
    <xf numFmtId="0" fontId="24" fillId="0" borderId="14" pivotButton="0" quotePrefix="0" xfId="0"/>
    <xf numFmtId="177" fontId="24" fillId="0" borderId="15" pivotButton="0" quotePrefix="0" xfId="0"/>
    <xf numFmtId="177" fontId="25" fillId="0" borderId="14" pivotButton="0" quotePrefix="0" xfId="0"/>
    <xf numFmtId="175" fontId="25" fillId="0" borderId="14" pivotButton="0" quotePrefix="0" xfId="0"/>
    <xf numFmtId="0" fontId="0" fillId="0" borderId="14" pivotButton="0" quotePrefix="0" xfId="0"/>
    <xf numFmtId="0" fontId="31" fillId="20" borderId="0" pivotButton="0" quotePrefix="0" xfId="0"/>
    <xf numFmtId="0" fontId="26" fillId="0" borderId="0" pivotButton="0" quotePrefix="0" xfId="0"/>
    <xf numFmtId="0" fontId="27" fillId="0" borderId="0" pivotButton="0" quotePrefix="0" xfId="0"/>
    <xf numFmtId="0" fontId="28" fillId="16" borderId="0" pivotButton="0" quotePrefix="0" xfId="0"/>
    <xf numFmtId="0" fontId="0" fillId="16" borderId="0" pivotButton="0" quotePrefix="0" xfId="0"/>
    <xf numFmtId="0" fontId="30" fillId="19" borderId="0" applyAlignment="1" pivotButton="0" quotePrefix="0" xfId="0">
      <alignment horizontal="center"/>
    </xf>
    <xf numFmtId="178" fontId="29" fillId="17" borderId="16" applyAlignment="1" pivotButton="0" quotePrefix="0" xfId="0">
      <alignment horizontal="right"/>
    </xf>
    <xf numFmtId="0" fontId="25"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29" fillId="17" borderId="16" applyAlignment="1" pivotButton="0" quotePrefix="0" xfId="0">
      <alignment horizontal="right"/>
    </xf>
    <xf numFmtId="3" fontId="29" fillId="17" borderId="16" applyAlignment="1" pivotButton="0" quotePrefix="0" xfId="0">
      <alignment horizontal="right"/>
    </xf>
    <xf numFmtId="0" fontId="28" fillId="0" borderId="0" pivotButton="0" quotePrefix="0" xfId="0"/>
    <xf numFmtId="2" fontId="24" fillId="0" borderId="0" pivotButton="0" quotePrefix="0" xfId="0"/>
    <xf numFmtId="179" fontId="24" fillId="0" borderId="0" pivotButton="0" quotePrefix="0" xfId="0"/>
    <xf numFmtId="180" fontId="24" fillId="0" borderId="0" pivotButton="0" quotePrefix="0" xfId="0"/>
    <xf numFmtId="1" fontId="29" fillId="17" borderId="16" applyAlignment="1" pivotButton="0" quotePrefix="0" xfId="0">
      <alignment horizontal="right"/>
    </xf>
    <xf numFmtId="175" fontId="29" fillId="17" borderId="16" applyAlignment="1" pivotButton="0" quotePrefix="0" xfId="0">
      <alignment horizontal="right"/>
    </xf>
    <xf numFmtId="1" fontId="24" fillId="18" borderId="16" pivotButton="0" quotePrefix="0" xfId="0"/>
    <xf numFmtId="178" fontId="24" fillId="18" borderId="16" pivotButton="0" quotePrefix="0" xfId="0"/>
    <xf numFmtId="177" fontId="24" fillId="18" borderId="16" pivotButton="0" quotePrefix="0" xfId="0"/>
    <xf numFmtId="0" fontId="31" fillId="20" borderId="17" applyAlignment="1" pivotButton="0" quotePrefix="0" xfId="0">
      <alignment horizontal="center"/>
    </xf>
    <xf numFmtId="0" fontId="30" fillId="19" borderId="0" applyAlignment="1" pivotButton="0" quotePrefix="0" xfId="0">
      <alignment horizontal="left"/>
    </xf>
    <xf numFmtId="0" fontId="24" fillId="0" borderId="16" pivotButton="0" quotePrefix="0" xfId="0"/>
    <xf numFmtId="3" fontId="25" fillId="0" borderId="16" applyAlignment="1" pivotButton="0" quotePrefix="0" xfId="0">
      <alignment horizontal="right"/>
    </xf>
    <xf numFmtId="0" fontId="27" fillId="0" borderId="16" applyAlignment="1" pivotButton="0" quotePrefix="0" xfId="0">
      <alignment horizontal="center"/>
    </xf>
    <xf numFmtId="0" fontId="24" fillId="0" borderId="16" applyAlignment="1" pivotButton="0" quotePrefix="0" xfId="0">
      <alignment horizontal="center"/>
    </xf>
    <xf numFmtId="175" fontId="25" fillId="0" borderId="16" applyAlignment="1" pivotButton="0" quotePrefix="0" xfId="0">
      <alignment horizontal="right"/>
    </xf>
    <xf numFmtId="0" fontId="27" fillId="6" borderId="0" pivotButton="0" quotePrefix="0" xfId="0"/>
    <xf numFmtId="175" fontId="30" fillId="19" borderId="0" applyAlignment="1" pivotButton="0" quotePrefix="0" xfId="0">
      <alignment horizontal="center"/>
    </xf>
    <xf numFmtId="177" fontId="0" fillId="0" borderId="16" applyAlignment="1" pivotButton="0" quotePrefix="0" xfId="0">
      <alignment horizontal="right"/>
    </xf>
    <xf numFmtId="0" fontId="24" fillId="0" borderId="4" pivotButton="0" quotePrefix="0" xfId="0"/>
    <xf numFmtId="177" fontId="0" fillId="0" borderId="0" pivotButton="0" quotePrefix="0" xfId="0"/>
    <xf numFmtId="175" fontId="29" fillId="17" borderId="16" pivotButton="0" quotePrefix="0" xfId="0"/>
    <xf numFmtId="175" fontId="24"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 Type="http://schemas.openxmlformats.org/officeDocument/2006/relationships/chart" Target="/xl/charts/chart9.xml" Id="rId9"/><Relationship Type="http://schemas.openxmlformats.org/officeDocument/2006/relationships/image" Target="/xl/media/image7.png" Id="rId10"/></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 Type="http://schemas.openxmlformats.org/officeDocument/2006/relationships/chart" Target="/xl/charts/chart14.xml" Id="rId5"/><Relationship Type="http://schemas.openxmlformats.org/officeDocument/2006/relationships/chart" Target="/xl/charts/chart15.xml" Id="rId6"/><Relationship Type="http://schemas.openxmlformats.org/officeDocument/2006/relationships/chart" Target="/xl/charts/chart16.xml" Id="rId7"/><Relationship Type="http://schemas.openxmlformats.org/officeDocument/2006/relationships/chart" Target="/xl/charts/chart17.xml" Id="rId8"/><Relationship Type="http://schemas.openxmlformats.org/officeDocument/2006/relationships/chart" Target="/xl/charts/chart18.xml" Id="rId9"/><Relationship Type="http://schemas.openxmlformats.org/officeDocument/2006/relationships/image" Target="/xl/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19.xml.rels><Relationships xmlns="http://schemas.openxmlformats.org/package/2006/relationships"><Relationship Type="http://schemas.openxmlformats.org/officeDocument/2006/relationships/drawing" Target="/xl/drawings/drawing5.xml" Id="rId1"/></Relationships>
</file>

<file path=xl/worksheets/_rels/sheet21.xml.rels><Relationships xmlns="http://schemas.openxmlformats.org/package/2006/relationships"><Relationship Type="http://schemas.openxmlformats.org/officeDocument/2006/relationships/drawing" Target="/xl/drawings/drawing6.xml" Id="rId1"/></Relationships>
</file>

<file path=xl/worksheets/_rels/sheet22.xml.rels><Relationships xmlns="http://schemas.openxmlformats.org/package/2006/relationships"><Relationship Type="http://schemas.openxmlformats.org/officeDocument/2006/relationships/drawing" Target="/xl/drawings/drawing7.xml" Id="rId1"/></Relationships>
</file>

<file path=xl/worksheets/_rels/sheet23.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I5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174">
        <f>'Data Sheet'!B1&amp;" - Institutional Equity Valuation Model"</f>
        <v/>
      </c>
    </row>
    <row r="3">
      <c r="A3" s="210" t="inlineStr">
        <is>
          <t>MODEL AUDIT STATUS:</t>
        </is>
      </c>
      <c r="B3" s="220">
        <f>Checks!C3</f>
        <v/>
      </c>
    </row>
    <row r="4">
      <c r="A4" s="162" t="inlineStr">
        <is>
          <t>Current Price</t>
        </is>
      </c>
      <c r="B4" s="162" t="inlineStr">
        <is>
          <t>Intrinsic Value</t>
        </is>
      </c>
      <c r="C4" s="162" t="inlineStr">
        <is>
          <t>Upside / (Downside)</t>
        </is>
      </c>
      <c r="D4" s="162" t="inlineStr">
        <is>
          <t>Margin of Safety</t>
        </is>
      </c>
      <c r="E4" s="162" t="inlineStr">
        <is>
          <t>Verdict</t>
        </is>
      </c>
      <c r="F4" s="162" t="inlineStr">
        <is>
          <t>WACC</t>
        </is>
      </c>
      <c r="G4" s="162" t="inlineStr">
        <is>
          <t>Altman Z-Score</t>
        </is>
      </c>
      <c r="H4" t="inlineStr">
        <is>
          <t>DuPont ROE</t>
        </is>
      </c>
      <c r="I4" t="inlineStr">
        <is>
          <t>Verdict Confidence</t>
        </is>
      </c>
    </row>
    <row r="5" ht="15.6" customHeight="1" s="176">
      <c r="A5" s="164">
        <f>DCF!D45</f>
        <v/>
      </c>
      <c r="B5" s="164">
        <f>DCF!D43</f>
        <v/>
      </c>
      <c r="C5" s="166">
        <f>IFERROR((B5-A5)/A5,"n/a")</f>
        <v/>
      </c>
      <c r="D5" s="166">
        <f>IFERROR((B5-A5)/B5,"n/a")</f>
        <v/>
      </c>
      <c r="E5" s="169">
        <f>IF(NOT(ISNUMBER(C5)),"n/a - check price link",IF(C5&gt;0.15,"UNDERVALUED / BUY",IF(C5&lt;-0.15,"OVERVALUED / SELL","FAIRLY VALUED / HOLD")))</f>
        <v/>
      </c>
      <c r="F5" s="169">
        <f>DCF!D20</f>
        <v/>
      </c>
      <c r="G5" s="170">
        <f>'Altman''s Z Score'!I89</f>
        <v/>
      </c>
      <c r="H5" s="46">
        <f>'Dupont Analysis'!I78</f>
        <v/>
      </c>
      <c r="I5">
        <f>IF(NOT(ISNUMBER(C5)),"n/a",IF(ABS(C5)&gt;0.5,"REVIEW: DCF &gt;50% from price","OK"))</f>
        <v/>
      </c>
    </row>
    <row r="7" ht="15.6" customHeight="1" s="176">
      <c r="A7" s="167" t="n"/>
      <c r="B7" t="inlineStr">
        <is>
          <t>KEY VALUATION PARAMETERS &amp; LIVE MODEL INPUTS</t>
        </is>
      </c>
    </row>
    <row r="8">
      <c r="A8" s="37" t="n"/>
      <c r="B8" t="inlineStr">
        <is>
          <t>Discount Rate (WACC)</t>
        </is>
      </c>
      <c r="C8" s="46">
        <f>WACC!K46</f>
        <v/>
      </c>
      <c r="D8" t="inlineStr">
        <is>
          <t>%</t>
        </is>
      </c>
    </row>
    <row r="9">
      <c r="A9" s="37" t="n"/>
      <c r="B9" t="inlineStr">
        <is>
          <t>Cost of Equity (Ke)</t>
        </is>
      </c>
      <c r="C9" s="46">
        <f>WACC!K29</f>
        <v/>
      </c>
      <c r="D9" t="inlineStr">
        <is>
          <t>%</t>
        </is>
      </c>
    </row>
    <row r="10">
      <c r="A10" s="37" t="n"/>
      <c r="B10" t="inlineStr">
        <is>
          <t>Risk-Free Rate (Rf)</t>
        </is>
      </c>
      <c r="C10" s="46">
        <f>WACC!K26</f>
        <v/>
      </c>
      <c r="D10" t="inlineStr">
        <is>
          <t>% (Control input; India 10Y G-Sec proxy)</t>
        </is>
      </c>
    </row>
    <row r="11">
      <c r="A11" s="37" t="n"/>
      <c r="B11" t="inlineStr">
        <is>
          <t>Equity Risk Premium (ERP)</t>
        </is>
      </c>
      <c r="C11" s="46">
        <f>WACC!K27</f>
        <v/>
      </c>
      <c r="D11" t="inlineStr">
        <is>
          <t>%</t>
        </is>
      </c>
    </row>
    <row r="12">
      <c r="B12" t="inlineStr">
        <is>
          <t>Levered Beta</t>
        </is>
      </c>
      <c r="C12" s="47">
        <f>WACC!K28</f>
        <v/>
      </c>
      <c r="D12" t="inlineStr">
        <is>
          <t>Peer-median relevered beta</t>
        </is>
      </c>
    </row>
    <row r="13">
      <c r="A13" s="37" t="n"/>
      <c r="B13" t="inlineStr">
        <is>
          <t>Terminal Growth Rate</t>
        </is>
      </c>
      <c r="C13" s="46">
        <f>DCF!D19</f>
        <v/>
      </c>
      <c r="D13" t="inlineStr">
        <is>
          <t>%</t>
        </is>
      </c>
    </row>
    <row r="14">
      <c r="A14" s="171" t="n"/>
      <c r="B14" s="171" t="inlineStr">
        <is>
          <t>Terminal ROIC (Stable)</t>
        </is>
      </c>
      <c r="C14" s="209">
        <f>DCF!D22</f>
        <v/>
      </c>
      <c r="D14" s="171" t="inlineStr">
        <is>
          <t>%</t>
        </is>
      </c>
      <c r="E14" s="171" t="n"/>
      <c r="F14" s="171" t="n"/>
      <c r="G14" s="171" t="n"/>
    </row>
    <row r="15">
      <c r="A15" s="180" t="n"/>
      <c r="B15" s="172" t="inlineStr">
        <is>
          <t>Terminal Reinvestment Rate</t>
        </is>
      </c>
      <c r="C15" s="46">
        <f>DCF!D21</f>
        <v/>
      </c>
      <c r="D15" s="46" t="inlineStr">
        <is>
          <t>%</t>
        </is>
      </c>
      <c r="E15" s="172" t="n"/>
      <c r="F15" s="173" t="n"/>
      <c r="G15" s="172" t="n"/>
    </row>
    <row r="16">
      <c r="A16" s="180" t="n"/>
      <c r="B16" s="172" t="inlineStr">
        <is>
          <t>Post-Tax Cost of Debt (Kd)</t>
        </is>
      </c>
      <c r="C16" s="46">
        <f>WACC!K43</f>
        <v/>
      </c>
      <c r="D16" s="46" t="inlineStr">
        <is>
          <t>%</t>
        </is>
      </c>
      <c r="E16" s="172" t="n"/>
      <c r="F16" s="173" t="n"/>
      <c r="G16" s="172" t="n"/>
    </row>
    <row r="17">
      <c r="A17" s="180" t="n"/>
      <c r="B17" s="172" t="inlineStr">
        <is>
          <t>Cash &amp; Liquid Investments</t>
        </is>
      </c>
      <c r="C17" s="172">
        <f>DCF!D37</f>
        <v/>
      </c>
      <c r="D17" s="46" t="inlineStr">
        <is>
          <t>₹ Cr</t>
        </is>
      </c>
      <c r="E17" s="172" t="n"/>
      <c r="F17" s="173" t="n"/>
      <c r="G17" s="172" t="n"/>
    </row>
    <row r="18">
      <c r="A18" s="180" t="n"/>
      <c r="B18" s="172" t="inlineStr">
        <is>
          <t>Total Debt &amp; Borrowings</t>
        </is>
      </c>
      <c r="C18" s="172">
        <f>DCF!D41</f>
        <v/>
      </c>
      <c r="D18" s="46" t="inlineStr">
        <is>
          <t>₹ Cr</t>
        </is>
      </c>
      <c r="E18" s="172" t="n"/>
      <c r="F18" s="173" t="n"/>
      <c r="G18" s="172" t="n"/>
    </row>
    <row r="19">
      <c r="A19" s="180" t="n"/>
      <c r="B19" s="172" t="inlineStr">
        <is>
          <t>Shares Outstanding</t>
        </is>
      </c>
      <c r="C19" s="172">
        <f>DCF!D40</f>
        <v/>
      </c>
      <c r="D19" s="46" t="inlineStr">
        <is>
          <t>Cr shares</t>
        </is>
      </c>
      <c r="E19" s="172" t="n"/>
      <c r="F19" s="173" t="n"/>
      <c r="G19" s="172" t="n"/>
    </row>
    <row r="20">
      <c r="B20" t="inlineStr">
        <is>
          <t>Sector Median EV/Revenue</t>
        </is>
      </c>
      <c r="C20" s="47">
        <f>Comp_Valuation!O25</f>
        <v/>
      </c>
      <c r="D20" t="inlineStr">
        <is>
          <t>x</t>
        </is>
      </c>
    </row>
    <row r="21">
      <c r="A21" s="37" t="n"/>
      <c r="B21" t="inlineStr">
        <is>
          <t>Sector Median EV/EBITDA</t>
        </is>
      </c>
      <c r="C21" s="47">
        <f>Comp_Valuation!P25</f>
        <v/>
      </c>
      <c r="D21" t="inlineStr">
        <is>
          <t>x</t>
        </is>
      </c>
    </row>
    <row r="22">
      <c r="A22" s="37" t="n"/>
      <c r="B22" s="172" t="inlineStr">
        <is>
          <t>Sector Median P/E</t>
        </is>
      </c>
      <c r="C22" s="47">
        <f>Comp_Valuation!Q25</f>
        <v/>
      </c>
      <c r="D22" t="inlineStr">
        <is>
          <t>x</t>
        </is>
      </c>
    </row>
    <row r="23">
      <c r="A23" s="37" t="n"/>
      <c r="B23" s="172" t="n"/>
    </row>
    <row r="24">
      <c r="A24" s="37" t="inlineStr">
        <is>
          <t>5-Year Discounted Cash Flow (DCF) Schedule (Amounts in ₹ Cr)</t>
        </is>
      </c>
      <c r="B24" s="172" t="n"/>
    </row>
    <row r="25">
      <c r="A25" s="37" t="inlineStr">
        <is>
          <t>Year</t>
        </is>
      </c>
      <c r="B25" s="172" t="inlineStr">
        <is>
          <t>EBIT</t>
        </is>
      </c>
      <c r="C25" t="inlineStr">
        <is>
          <t>NOPAT</t>
        </is>
      </c>
      <c r="D25" t="inlineStr">
        <is>
          <t>Reinvest Rate</t>
        </is>
      </c>
      <c r="E25" t="inlineStr">
        <is>
          <t>FCFF</t>
        </is>
      </c>
      <c r="F25" t="inlineStr">
        <is>
          <t>Discount Factor</t>
        </is>
      </c>
      <c r="G25" t="inlineStr">
        <is>
          <t>PV of FCFF</t>
        </is>
      </c>
    </row>
    <row r="26">
      <c r="A26" s="37" t="inlineStr">
        <is>
          <t>Year 1</t>
        </is>
      </c>
      <c r="B26" s="172">
        <f>DCF!I8</f>
        <v/>
      </c>
      <c r="C26" s="172">
        <f>DCF!I10</f>
        <v/>
      </c>
      <c r="D26" s="46">
        <f>DCF!I11</f>
        <v/>
      </c>
      <c r="E26" s="172">
        <f>DCF!I12</f>
        <v/>
      </c>
      <c r="F26" s="173">
        <f>DCF!I14</f>
        <v/>
      </c>
      <c r="G26" s="172">
        <f>DCF!I16</f>
        <v/>
      </c>
    </row>
    <row r="27">
      <c r="A27" s="37" t="inlineStr">
        <is>
          <t>Year 2</t>
        </is>
      </c>
      <c r="B27" s="172">
        <f>DCF!J8</f>
        <v/>
      </c>
      <c r="C27" s="172">
        <f>DCF!J10</f>
        <v/>
      </c>
      <c r="D27" s="46">
        <f>DCF!J11</f>
        <v/>
      </c>
      <c r="E27" s="172">
        <f>DCF!J12</f>
        <v/>
      </c>
      <c r="F27" s="173">
        <f>DCF!J14</f>
        <v/>
      </c>
      <c r="G27" s="172">
        <f>DCF!J16</f>
        <v/>
      </c>
    </row>
    <row r="28">
      <c r="A28" s="37" t="inlineStr">
        <is>
          <t>Year 3</t>
        </is>
      </c>
      <c r="B28" s="172">
        <f>DCF!K8</f>
        <v/>
      </c>
      <c r="C28" s="172">
        <f>DCF!K10</f>
        <v/>
      </c>
      <c r="D28" s="46">
        <f>DCF!K11</f>
        <v/>
      </c>
      <c r="E28" s="172">
        <f>DCF!K12</f>
        <v/>
      </c>
      <c r="F28" s="173">
        <f>DCF!K14</f>
        <v/>
      </c>
      <c r="G28" s="172">
        <f>DCF!K16</f>
        <v/>
      </c>
    </row>
    <row r="29">
      <c r="A29" s="37" t="inlineStr">
        <is>
          <t>Year 4</t>
        </is>
      </c>
      <c r="B29" s="172">
        <f>DCF!L8</f>
        <v/>
      </c>
      <c r="C29" s="172">
        <f>DCF!L10</f>
        <v/>
      </c>
      <c r="D29" s="46">
        <f>DCF!L11</f>
        <v/>
      </c>
      <c r="E29" s="172">
        <f>DCF!L12</f>
        <v/>
      </c>
      <c r="F29" s="173">
        <f>DCF!L14</f>
        <v/>
      </c>
      <c r="G29" s="172">
        <f>DCF!L16</f>
        <v/>
      </c>
    </row>
    <row r="30">
      <c r="A30" s="37" t="inlineStr">
        <is>
          <t>Year 5</t>
        </is>
      </c>
      <c r="B30" s="172">
        <f>DCF!M8</f>
        <v/>
      </c>
      <c r="C30" s="172">
        <f>DCF!M10</f>
        <v/>
      </c>
      <c r="D30" s="46">
        <f>DCF!M11</f>
        <v/>
      </c>
      <c r="E30" s="172">
        <f>DCF!M12</f>
        <v/>
      </c>
      <c r="F30" s="173">
        <f>DCF!M14</f>
        <v/>
      </c>
      <c r="G30" s="172">
        <f>DCF!M16</f>
        <v/>
      </c>
    </row>
    <row r="31">
      <c r="A31" s="37" t="n"/>
      <c r="B31" s="163" t="n"/>
    </row>
    <row r="32">
      <c r="A32" s="37" t="n"/>
      <c r="B32" s="165" t="inlineStr">
        <is>
          <t>Enterprise to Equity Value Bridge</t>
        </is>
      </c>
    </row>
    <row r="33">
      <c r="B33" t="inlineStr">
        <is>
          <t>PV of 5-Year FCFFs</t>
        </is>
      </c>
      <c r="C33" s="163">
        <f>DCF!D33</f>
        <v/>
      </c>
      <c r="D33" t="inlineStr">
        <is>
          <t>₹ Cr</t>
        </is>
      </c>
    </row>
    <row r="34">
      <c r="B34" t="inlineStr">
        <is>
          <t>Terminal Value</t>
        </is>
      </c>
      <c r="C34" s="163">
        <f>DCF!D29</f>
        <v/>
      </c>
      <c r="D34" t="inlineStr">
        <is>
          <t>₹ Cr</t>
        </is>
      </c>
    </row>
    <row r="35">
      <c r="B35" t="inlineStr">
        <is>
          <t>Equity Value (after minority interest)</t>
        </is>
      </c>
      <c r="C35" s="163">
        <f>DCF!D40</f>
        <v/>
      </c>
      <c r="D35" t="inlineStr">
        <is>
          <t>₹ Cr</t>
        </is>
      </c>
    </row>
    <row r="36">
      <c r="B36" t="inlineStr">
        <is>
          <t>Enterprise Value (Operating Assets)</t>
        </is>
      </c>
      <c r="C36" s="163">
        <f>DCF!D41</f>
        <v/>
      </c>
      <c r="D36" t="inlineStr">
        <is>
          <t>₹ Cr</t>
        </is>
      </c>
    </row>
    <row r="37">
      <c r="B37" t="inlineStr">
        <is>
          <t>Add: Estimated Cash &amp; Liquid Assets</t>
        </is>
      </c>
      <c r="C37" s="163">
        <f>DCF!D43</f>
        <v/>
      </c>
      <c r="D37" t="inlineStr">
        <is>
          <t>₹ Cr</t>
        </is>
      </c>
    </row>
    <row r="38">
      <c r="B38" t="inlineStr">
        <is>
          <t>Less: Total Debt &amp; Borrowings</t>
        </is>
      </c>
      <c r="C38" s="163">
        <f>DCF!D45</f>
        <v/>
      </c>
      <c r="D38" t="inlineStr">
        <is>
          <t>₹ Cr</t>
        </is>
      </c>
    </row>
    <row r="39">
      <c r="B39" t="inlineStr">
        <is>
          <t>Net Equity Value</t>
        </is>
      </c>
      <c r="C39" s="163">
        <f>IFERROR((C37-C38)/C38,"n/a")</f>
        <v/>
      </c>
      <c r="D39" t="inlineStr">
        <is>
          <t>₹ Cr</t>
        </is>
      </c>
    </row>
    <row r="40">
      <c r="B40" t="inlineStr">
        <is>
          <t>Shares Outstanding</t>
        </is>
      </c>
      <c r="C40" s="172">
        <f>IFERROR((C37-C38)/C37,"n/a")</f>
        <v/>
      </c>
      <c r="D40" t="inlineStr">
        <is>
          <t>Cr shares</t>
        </is>
      </c>
    </row>
    <row r="41">
      <c r="B41" t="inlineStr">
        <is>
          <t>Intrinsic Value rolled to Valuation Date (info only)</t>
        </is>
      </c>
      <c r="C41" s="254">
        <f>IFERROR(C37*(1+DCF!D20)^((Control!C6-DCF!H6)/365),"n/a")</f>
        <v/>
      </c>
      <c r="D41" t="inlineStr">
        <is>
          <t>₹</t>
        </is>
      </c>
    </row>
    <row r="42">
      <c r="B42" t="inlineStr">
        <is>
          <t>Alt 10-Year DCF Value (info only; set on Control rows 33-36)</t>
        </is>
      </c>
      <c r="C42" s="254">
        <f>DCF!D81</f>
        <v/>
      </c>
      <c r="D42" t="inlineStr">
        <is>
          <t>₹</t>
        </is>
      </c>
    </row>
    <row r="43">
      <c r="B43" t="inlineStr">
        <is>
          <t>Upside / (Downside)</t>
        </is>
      </c>
      <c r="C43" s="165">
        <f>(C41-C42)/C42</f>
        <v/>
      </c>
      <c r="D43" t="inlineStr">
        <is>
          <t>%</t>
        </is>
      </c>
    </row>
    <row r="44">
      <c r="B44" t="inlineStr">
        <is>
          <t>Margin of Safety (Standard)</t>
        </is>
      </c>
      <c r="C44" s="165">
        <f>IF(ISNUMBER(Comp_Valuation!Q25), Comp_Valuation!Q25*INDEX('Data Sheet'!$B30:$K30,Control!$C$26)/'Data Sheet'!B6, 'Data Sheet'!B8)</f>
        <v/>
      </c>
      <c r="D44" t="inlineStr">
        <is>
          <t>%</t>
        </is>
      </c>
    </row>
    <row r="45">
      <c r="C45">
        <f>IF(ISNUMBER(Comp_Valuation!P25), (Comp_Valuation!P25*INDEX('Data Sheet'!$B32:$K32,Control!$C$26)+DCF!D37-DCF!D38-DCF!D39)/'Data Sheet'!B6, 'Data Sheet'!B8)</f>
        <v/>
      </c>
    </row>
    <row r="46">
      <c r="C46">
        <f>DCF!D43</f>
        <v/>
      </c>
    </row>
    <row r="47">
      <c r="B47" t="inlineStr">
        <is>
          <t>Pillar 4: Relative Multiples Implied Valuation</t>
        </is>
      </c>
      <c r="C47">
        <f>AVERAGE(C44:C46)</f>
        <v/>
      </c>
    </row>
    <row r="48">
      <c r="B48" t="inlineStr">
        <is>
          <t>Peer P/E Implied Price</t>
        </is>
      </c>
      <c r="C48" s="163">
        <f>IF(ISNUMBER(Comp_Valuation!Q25), Comp_Valuation!Q25*'Data Sheet'!K30/'Data Sheet'!B6, 'Data Sheet'!B8)</f>
        <v/>
      </c>
      <c r="D48" t="inlineStr">
        <is>
          <t>₹</t>
        </is>
      </c>
    </row>
    <row r="49">
      <c r="B49" t="inlineStr">
        <is>
          <t>Peer EV/EBITDA Implied Price</t>
        </is>
      </c>
      <c r="C49" s="163">
        <f>IF(ISNUMBER(Comp_Valuation!P25), (Comp_Valuation!P25*'Data Sheet'!K32+DCF!D37-DCF!D38)/'Data Sheet'!B6, 'Data Sheet'!B8)</f>
        <v/>
      </c>
      <c r="D49" t="inlineStr">
        <is>
          <t>₹</t>
        </is>
      </c>
    </row>
    <row r="50">
      <c r="B50" t="inlineStr">
        <is>
          <t>DCF Model Intrinsic Price</t>
        </is>
      </c>
      <c r="C50" s="163">
        <f>DCF!D42</f>
        <v/>
      </c>
      <c r="D50" t="inlineStr">
        <is>
          <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21" t="inlineStr">
        <is>
          <t>INSTITUTIONAL MODEL CONTROL PANEL &amp; ASSUMPTIONS</t>
        </is>
      </c>
    </row>
    <row r="3">
      <c r="B3" s="222" t="inlineStr">
        <is>
          <t>Single Source of Truth for Global Valuation Inputs, Scenarios &amp; Route Configuration</t>
        </is>
      </c>
    </row>
    <row r="5">
      <c r="B5" s="223" t="inlineStr">
        <is>
          <t>1. MODEL METADATA &amp; REPORTING SETTINGS</t>
        </is>
      </c>
      <c r="C5" s="224" t="n"/>
      <c r="E5" s="225" t="inlineStr">
        <is>
          <t>COUNTRY</t>
        </is>
      </c>
      <c r="F5" s="225" t="inlineStr">
        <is>
          <t>RISK-FREE (Rf)</t>
        </is>
      </c>
      <c r="G5" s="225" t="inlineStr">
        <is>
          <t>ERP</t>
        </is>
      </c>
      <c r="H5" s="225" t="inlineStr">
        <is>
          <t>MARGINAL TAX</t>
        </is>
      </c>
      <c r="J5" s="225" t="inlineStr">
        <is>
          <t>SCENARIO</t>
        </is>
      </c>
      <c r="K5" s="225" t="inlineStr">
        <is>
          <t>GROWTH MULT</t>
        </is>
      </c>
      <c r="L5" s="225" t="inlineStr">
        <is>
          <t>MARGIN ADJ (NOT WIRED)</t>
        </is>
      </c>
      <c r="M5" s="225" t="inlineStr">
        <is>
          <t>WACC SPREAD</t>
        </is>
      </c>
    </row>
    <row r="6">
      <c r="B6" s="212" t="inlineStr">
        <is>
          <t>Valuation Date</t>
        </is>
      </c>
      <c r="C6" s="226">
        <f>TODAY()</f>
        <v/>
      </c>
      <c r="E6" s="227" t="inlineStr">
        <is>
          <t>India</t>
        </is>
      </c>
      <c r="F6" s="228" t="n">
        <v>0.068</v>
      </c>
      <c r="G6" s="228" t="n">
        <v>0.065</v>
      </c>
      <c r="H6" s="228" t="n">
        <v>0.2517</v>
      </c>
      <c r="J6" s="227" t="inlineStr">
        <is>
          <t>1 - Bear Case</t>
        </is>
      </c>
      <c r="K6" s="229" t="n">
        <v>0.7</v>
      </c>
      <c r="L6" s="230" t="n">
        <v>-0.02</v>
      </c>
      <c r="M6" s="231" t="n">
        <v>0.01</v>
      </c>
    </row>
    <row r="7">
      <c r="B7" s="212" t="inlineStr">
        <is>
          <t>Reporting Currency</t>
        </is>
      </c>
      <c r="C7" s="232" t="inlineStr">
        <is>
          <t>INR</t>
        </is>
      </c>
      <c r="E7" s="227" t="inlineStr">
        <is>
          <t>United States</t>
        </is>
      </c>
      <c r="F7" s="228" t="n">
        <v>0.042</v>
      </c>
      <c r="G7" s="228" t="n">
        <v>0.05</v>
      </c>
      <c r="H7" s="228" t="n">
        <v>0.21</v>
      </c>
      <c r="J7" s="227" t="inlineStr">
        <is>
          <t>2 - Base Case</t>
        </is>
      </c>
      <c r="K7" s="229" t="n">
        <v>1</v>
      </c>
      <c r="L7" s="230" t="n">
        <v>0</v>
      </c>
      <c r="M7" s="231" t="n">
        <v>0</v>
      </c>
    </row>
    <row r="8">
      <c r="B8" s="212" t="inlineStr">
        <is>
          <t>Financial Reporting Unit</t>
        </is>
      </c>
      <c r="C8" s="232" t="inlineStr">
        <is>
          <t>Crores</t>
        </is>
      </c>
      <c r="E8" s="227" t="inlineStr">
        <is>
          <t>United Kingdom</t>
        </is>
      </c>
      <c r="F8" s="228" t="n">
        <v>0.044</v>
      </c>
      <c r="G8" s="228" t="n">
        <v>0.055</v>
      </c>
      <c r="H8" s="228" t="n">
        <v>0.25</v>
      </c>
      <c r="J8" s="227" t="inlineStr">
        <is>
          <t>3 - Bull Case</t>
        </is>
      </c>
      <c r="K8" s="229" t="n">
        <v>1.3</v>
      </c>
      <c r="L8" s="230" t="n">
        <v>0.02</v>
      </c>
      <c r="M8" s="231" t="n">
        <v>-0.005</v>
      </c>
    </row>
    <row r="9">
      <c r="B9" s="212" t="inlineStr">
        <is>
          <t>Unit Scale Factor</t>
        </is>
      </c>
      <c r="C9" s="233" t="n">
        <v>10000000</v>
      </c>
      <c r="E9" s="227" t="inlineStr">
        <is>
          <t>Germany</t>
        </is>
      </c>
      <c r="F9" s="228" t="n">
        <v>0.025</v>
      </c>
      <c r="G9" s="228" t="n">
        <v>0.05</v>
      </c>
      <c r="H9" s="228" t="n">
        <v>0.3</v>
      </c>
    </row>
    <row r="10">
      <c r="B10" s="212" t="inlineStr">
        <is>
          <t>Target Country</t>
        </is>
      </c>
      <c r="C10" s="232" t="inlineStr">
        <is>
          <t>India</t>
        </is>
      </c>
      <c r="E10" s="227" t="inlineStr">
        <is>
          <t>Japan</t>
        </is>
      </c>
      <c r="F10" s="228" t="n">
        <v>0.011</v>
      </c>
      <c r="G10" s="228" t="n">
        <v>0.055</v>
      </c>
      <c r="H10" s="228" t="n">
        <v>0.3062</v>
      </c>
      <c r="J10" s="234" t="inlineStr">
        <is>
          <t>ACTIVE MULTIPLIERS:</t>
        </is>
      </c>
      <c r="K10" s="235">
        <f>CHOOSE(C14, K6, K7, K8)</f>
        <v/>
      </c>
      <c r="L10" s="236">
        <f>CHOOSE(C14, L6, L7, L8)</f>
        <v/>
      </c>
      <c r="M10" s="237">
        <f>CHOOSE(C14, M6, M7, M8)</f>
        <v/>
      </c>
    </row>
    <row r="11">
      <c r="B11" s="212" t="inlineStr">
        <is>
          <t>Target Sector / Industry</t>
        </is>
      </c>
      <c r="C11" s="232" t="inlineStr">
        <is>
          <t>Corporate / Non-Financial</t>
        </is>
      </c>
      <c r="E11" s="227" t="inlineStr">
        <is>
          <t>Singapore</t>
        </is>
      </c>
      <c r="F11" s="228" t="n">
        <v>0.03</v>
      </c>
      <c r="G11" s="228" t="n">
        <v>0.05</v>
      </c>
      <c r="H11" s="228" t="n">
        <v>0.17</v>
      </c>
    </row>
    <row r="12">
      <c r="B12" s="212" t="inlineStr">
        <is>
          <t>Valuation Framework Switch</t>
        </is>
      </c>
      <c r="C12" s="232" t="inlineStr">
        <is>
          <t>FCFF DCF</t>
        </is>
      </c>
      <c r="E12" s="227" t="inlineStr">
        <is>
          <t>UAE</t>
        </is>
      </c>
      <c r="F12" s="228" t="n">
        <v>0.045</v>
      </c>
      <c r="G12" s="228" t="n">
        <v>0.055</v>
      </c>
      <c r="H12" s="228" t="n">
        <v>0.09</v>
      </c>
    </row>
    <row r="13">
      <c r="B13" s="212" t="inlineStr">
        <is>
          <t>Benchmark Market Index</t>
        </is>
      </c>
      <c r="C13" s="232" t="inlineStr">
        <is>
          <t>NIFTY 50</t>
        </is>
      </c>
    </row>
    <row r="14">
      <c r="B14" s="212" t="inlineStr">
        <is>
          <t>Active Valuation Scenario</t>
        </is>
      </c>
      <c r="C14" s="238" t="n">
        <v>2</v>
      </c>
    </row>
    <row r="16">
      <c r="B16" s="223" t="inlineStr">
        <is>
          <t>2. COST OF CAPITAL &amp; DCF ASSUMPTIONS</t>
        </is>
      </c>
      <c r="C16" s="224" t="n"/>
    </row>
    <row r="17">
      <c r="B17" s="212" t="inlineStr">
        <is>
          <t>Risk-Free Rate (Rf)</t>
        </is>
      </c>
      <c r="C17" s="239">
        <f>VLOOKUP(C10, E6:H12, 2, FALSE())</f>
        <v/>
      </c>
    </row>
    <row r="18">
      <c r="B18" s="212" t="inlineStr">
        <is>
          <t>Equity Risk Premium (ERP)</t>
        </is>
      </c>
      <c r="C18" s="239">
        <f>VLOOKUP(C10, E6:H12, 3, FALSE())</f>
        <v/>
      </c>
    </row>
    <row r="19">
      <c r="B19" s="212" t="inlineStr">
        <is>
          <t>Marginal Corporate Tax Rate</t>
        </is>
      </c>
      <c r="C19" s="239">
        <f>VLOOKUP(C10, E6:H12, 4, FALSE())</f>
        <v/>
      </c>
    </row>
    <row r="20">
      <c r="B20" s="212" t="inlineStr">
        <is>
          <t>Effective Dynamic Tax Rate</t>
        </is>
      </c>
      <c r="C20" s="239">
        <f>MEDIAN(MAX(0.15, MIN(0.35, INDEX('Data Sheet'!$B29:$K29, C26)/MAX(1, INDEX('Data Sheet'!$B28:$K28, C26)))), C19)</f>
        <v/>
      </c>
    </row>
    <row r="21">
      <c r="B21" s="212" t="inlineStr">
        <is>
          <t>Terminal Growth Rate (g)</t>
        </is>
      </c>
      <c r="C21" s="239" t="n">
        <v>0.04</v>
      </c>
    </row>
    <row r="22">
      <c r="B22" s="212" t="inlineStr">
        <is>
          <t>Reinvestment Rate Ceiling</t>
        </is>
      </c>
      <c r="C22" s="239" t="n">
        <v>0.85</v>
      </c>
    </row>
    <row r="23">
      <c r="B23" s="212" t="inlineStr">
        <is>
          <t>Investments Fair-Value Haircut</t>
        </is>
      </c>
      <c r="C23" s="239" t="n">
        <v>0.1</v>
      </c>
    </row>
    <row r="24">
      <c r="B24" s="212" t="inlineStr">
        <is>
          <t>Minority Interest Method</t>
        </is>
      </c>
      <c r="C24" s="232" t="inlineStr">
        <is>
          <t>Book Value</t>
        </is>
      </c>
    </row>
    <row r="25">
      <c r="B25" s="223" t="inlineStr">
        <is>
          <t>3. DYNAMIC STATEMENT PERIOD SELECTOR</t>
        </is>
      </c>
      <c r="C25" s="224" t="n"/>
    </row>
    <row r="26">
      <c r="B26" s="212" t="inlineStr">
        <is>
          <t>Latest Historical Period Column Index</t>
        </is>
      </c>
      <c r="C26" s="240">
        <f>MATCH(MAX('Data Sheet'!$B56:$K56), 'Data Sheet'!$B56:$K56, 0)</f>
        <v/>
      </c>
    </row>
    <row r="27">
      <c r="B27" s="212" t="inlineStr">
        <is>
          <t>Latest Statement Header Date</t>
        </is>
      </c>
      <c r="C27" s="241">
        <f>INDEX('Data Sheet'!$B56:$K56, C26)</f>
        <v/>
      </c>
    </row>
    <row r="28">
      <c r="B28" s="212" t="inlineStr">
        <is>
          <t>Latest Stock Price (Data Sheet)</t>
        </is>
      </c>
      <c r="C28" s="242">
        <f>'Data Sheet'!B8</f>
        <v/>
      </c>
    </row>
    <row r="29">
      <c r="B29" s="212" t="inlineStr">
        <is>
          <t>Default Credit Spread over Rf (used when debt is negligible)</t>
        </is>
      </c>
      <c r="C29" s="239" t="n">
        <v>0.015</v>
      </c>
    </row>
    <row r="30">
      <c r="B30" s="212" t="inlineStr">
        <is>
          <t>Max Credit Spread Cap (calc outside Rf..Rf+cap is rejected)</t>
        </is>
      </c>
      <c r="C30" s="239" t="n">
        <v>0.05</v>
      </c>
    </row>
    <row r="32">
      <c r="B32" s="223" t="inlineStr">
        <is>
          <t>4. OPTIONAL ALTERNATE 10-YEAR DCF (parallel view - base DCF unchanged)</t>
        </is>
      </c>
      <c r="C32" s="224" t="n"/>
    </row>
    <row r="33">
      <c r="B33" s="212" t="inlineStr">
        <is>
          <t>Year-1 EBIT Growth Override (blank = use model)</t>
        </is>
      </c>
      <c r="C33" s="255" t="n"/>
    </row>
    <row r="34">
      <c r="B34" s="212" t="inlineStr">
        <is>
          <t>Exit EV/EBIT Multiple (x)</t>
        </is>
      </c>
      <c r="C34" s="238" t="n">
        <v>18</v>
      </c>
    </row>
    <row r="35">
      <c r="B35" s="212" t="inlineStr">
        <is>
          <t>Terminal Method (Gordon Growth / Exit Multiple)</t>
        </is>
      </c>
      <c r="C35" s="232" t="inlineStr">
        <is>
          <t>Gordon Growth</t>
        </is>
      </c>
    </row>
    <row r="36">
      <c r="B36" s="212" t="inlineStr">
        <is>
          <t>Incremental ROIC Override (blank = model ROIC)</t>
        </is>
      </c>
      <c r="C36" s="25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21" t="inlineStr">
        <is>
          <t>MODEL AUDIT &amp; INTEGRITY CHECK PANEL</t>
        </is>
      </c>
    </row>
    <row r="3">
      <c r="B3" s="210" t="inlineStr">
        <is>
          <t>OVERALL MODEL STATUS:</t>
        </is>
      </c>
      <c r="C3" s="243">
        <f>IF(AND(F6="PASS", F7="PASS", F8="PASS", F9="PASS", F10="PASS", F11="PASS", F12="PASS", F13="PASS", F14="PASS", F15="PASS"), "MODEL STATUS: OK", "MODEL STATUS: CHECK REQUIRED")</f>
        <v/>
      </c>
    </row>
    <row r="5">
      <c r="B5" s="244" t="inlineStr">
        <is>
          <t>CHECK ITEM</t>
        </is>
      </c>
      <c r="C5" s="244" t="inlineStr">
        <is>
          <t>VALIDATION LOGIC &amp; FORMULA</t>
        </is>
      </c>
      <c r="D5" s="225" t="inlineStr">
        <is>
          <t>CURRENT VALUE / VARIANCE</t>
        </is>
      </c>
      <c r="E5" s="225" t="inlineStr">
        <is>
          <t>THRESHOLD</t>
        </is>
      </c>
      <c r="F5" s="225" t="inlineStr">
        <is>
          <t>STATUS</t>
        </is>
      </c>
    </row>
    <row r="6">
      <c r="B6" s="245" t="inlineStr">
        <is>
          <t>1. Balance Sheet Identity</t>
        </is>
      </c>
      <c r="C6" s="227" t="inlineStr">
        <is>
          <t>Total liabilities side ties to its components and to total assets</t>
        </is>
      </c>
      <c r="D6" s="246">
        <f>MAX(ABS(INDEX('Data Sheet'!$B61:$K61,Control!$C$26)-(INDEX('Data Sheet'!$B57:$K57,Control!$C$26)+INDEX('Data Sheet'!$B58:$K58,Control!$C$26)+INDEX('Data Sheet'!$B59:$K59,Control!$C$26)+INDEX('Data Sheet'!$B60:$K60,Control!$C$26))),ABS(INDEX('Data Sheet'!$B61:$K61,Control!$C$26)-INDEX('Data Sheet'!$B66:$K66,Control!$C$26)))</f>
        <v/>
      </c>
      <c r="E6" s="247" t="inlineStr">
        <is>
          <t>&lt; ₹ 5.0 Cr</t>
        </is>
      </c>
      <c r="F6" s="248">
        <f>IF(D6&lt;5, "PASS", "CHECK")</f>
        <v/>
      </c>
    </row>
    <row r="7">
      <c r="B7" s="245" t="inlineStr">
        <is>
          <t>2. PBT Mathematical Tie</t>
        </is>
      </c>
      <c r="C7" s="227" t="inlineStr">
        <is>
          <t>Sales less all expenses plus other income less depreciation and interest ties to PBT</t>
        </is>
      </c>
      <c r="D7" s="249">
        <f>ABS(INDEX('Data Sheet'!$B17:$K17,Control!$C$26)-SUM(INDEX('Data Sheet'!$B$18:$K$24,0,Control!$C$26))+INDEX('Data Sheet'!$B25:$K25,Control!$C$26)-INDEX('Data Sheet'!$B26:$K26,Control!$C$26)-INDEX('Data Sheet'!$B27:$K27,Control!$C$26)-INDEX('Data Sheet'!$B28:$K28,Control!$C$26))/MAX(1,INDEX('Data Sheet'!$B28:$K28,Control!$C$26))</f>
        <v/>
      </c>
      <c r="E7" s="247" t="inlineStr">
        <is>
          <t>&lt; 1.5%</t>
        </is>
      </c>
      <c r="F7" s="248">
        <f>IF(D7&lt;0.015, "PASS", "CHECK")</f>
        <v/>
      </c>
    </row>
    <row r="8">
      <c r="B8" s="245" t="inlineStr">
        <is>
          <t>3. Debt Schedule Concordance</t>
        </is>
      </c>
      <c r="C8" s="227" t="inlineStr">
        <is>
          <t>Data Sheet Borrowings ties to the independently pasted Raw FS borrowings (latest year)</t>
        </is>
      </c>
      <c r="D8" s="246">
        <f>ABS(INDEX('Data Sheet'!$B59:$K59,Control!$C$26)-LOOKUP(2,1/ISNUMBER('Raw FS'!$C7:$N7),'Raw FS'!$C7:$N7))</f>
        <v/>
      </c>
      <c r="E8" s="247" t="inlineStr">
        <is>
          <t>&lt; ₹ 5.0 Cr</t>
        </is>
      </c>
      <c r="F8" s="248">
        <f>IF(D8&lt;5, "PASS", "CHECK")</f>
        <v/>
      </c>
    </row>
    <row r="9">
      <c r="B9" s="245" t="inlineStr">
        <is>
          <t>4. P&amp;L Expenses Agreement</t>
        </is>
      </c>
      <c r="C9" s="227" t="inlineStr">
        <is>
          <t>Data Sheet total expenses (rows 18-24) tie to Raw FS total expenses</t>
        </is>
      </c>
      <c r="D9" s="246">
        <f>ABS(SUM(INDEX('Data Sheet'!$B$18:$K$24,0,Control!$C$26))-'Raw FS'!AD5)</f>
        <v/>
      </c>
      <c r="E9" s="247" t="inlineStr">
        <is>
          <t>&lt; ₹ 10.0 Cr</t>
        </is>
      </c>
      <c r="F9" s="248">
        <f>IF(D9&lt;10, "PASS", "CHECK")</f>
        <v/>
      </c>
    </row>
    <row r="10">
      <c r="B10" s="245" t="inlineStr">
        <is>
          <t>5. Formula Error Counter</t>
        </is>
      </c>
      <c r="C10" s="227" t="inlineStr">
        <is>
          <t>Zero formula errors on Summary, DCF, WACC, Intrinsic Valuation, Comps and Beta tabs</t>
        </is>
      </c>
      <c r="D10" s="246">
        <f>SUMPRODUCT(--ISERROR('AI Valuation Summary'!A4:H47))+SUMPRODUCT(--ISERROR(DCF!A1:M55))+SUMPRODUCT(--ISERROR(WACC!A1:K46))+SUMPRODUCT(--ISERROR('Intrinsic Valuation'!A1:L65))+SUMPRODUCT(--ISERROR(Comp_Valuation!A1:Q39))+SUMPRODUCT(--ISERROR('Beta-Regression'!A1:O302))</f>
        <v/>
      </c>
      <c r="E10" s="247" t="inlineStr">
        <is>
          <t>0 Errors</t>
        </is>
      </c>
      <c r="F10" s="248">
        <f>IF(D10=0, "PASS", "CHECK")</f>
        <v/>
      </c>
    </row>
    <row r="11">
      <c r="B11" s="245" t="inlineStr">
        <is>
          <t>6. Terminal Value EV Share</t>
        </is>
      </c>
      <c r="C11" s="227" t="inlineStr">
        <is>
          <t>Terminal Value percentage of Enterprise Value is sustainable</t>
        </is>
      </c>
      <c r="D11" s="249">
        <f>DCF!D34 / MAX(1, DCF!D35)</f>
        <v/>
      </c>
      <c r="E11" s="247" t="inlineStr">
        <is>
          <t>&lt; 75.0%</t>
        </is>
      </c>
      <c r="F11" s="248">
        <f>IF(D11&lt;0.75, "PASS", "CHECK")</f>
        <v/>
      </c>
    </row>
    <row r="12">
      <c r="B12" s="245" t="inlineStr">
        <is>
          <t>7. Growth vs WACC Boundary</t>
        </is>
      </c>
      <c r="C12" s="227" t="inlineStr">
        <is>
          <t>Terminal growth rate is less than WACC and within Risk-Free rate</t>
        </is>
      </c>
      <c r="D12" s="249">
        <f>DCF!D20 - DCF!D19</f>
        <v/>
      </c>
      <c r="E12" s="247" t="inlineStr">
        <is>
          <t>&gt; 0.5%</t>
        </is>
      </c>
      <c r="F12" s="248">
        <f>IF(AND(D12&gt;0.005, DCF!D19&lt;=Control!$C$17), "PASS", "CHECK")</f>
        <v/>
      </c>
    </row>
    <row r="13">
      <c r="B13" s="245" t="inlineStr">
        <is>
          <t>8. Trading Price Freshness</t>
        </is>
      </c>
      <c r="C13" s="227" t="inlineStr">
        <is>
          <t>Market trading price quote is within acceptable institutional window</t>
        </is>
      </c>
      <c r="D13" s="246">
        <f>TODAY()-SUMPRODUCT(MAX(IFERROR(DATEVALUE('Raw Data'!G6:G252),IF(ISNUMBER('Raw Data'!G6:G252),'Raw Data'!G6:G252,0))))</f>
        <v/>
      </c>
      <c r="E13" s="247" t="inlineStr">
        <is>
          <t>&lt;= 45 Days</t>
        </is>
      </c>
      <c r="F13" s="248">
        <f>IF(D13&lt;=45, "PASS", "CHECK")</f>
        <v/>
      </c>
    </row>
    <row r="14">
      <c r="B14" s="245" t="inlineStr">
        <is>
          <t>9. Peer Group Sample Size</t>
        </is>
      </c>
      <c r="C14" s="227" t="inlineStr">
        <is>
          <t>Comparable peer valuation set contains minimum robust observations</t>
        </is>
      </c>
      <c r="D14" s="246">
        <f>COUNTA(Comp_Valuation!C12:C26)</f>
        <v/>
      </c>
      <c r="E14" s="247" t="inlineStr">
        <is>
          <t>&gt;= 4 Peers</t>
        </is>
      </c>
      <c r="F14" s="248">
        <f>IF(D14&gt;=4, "PASS", "CHECK")</f>
        <v/>
      </c>
    </row>
    <row r="15">
      <c r="B15" s="245" t="inlineStr">
        <is>
          <t>10. DCF Bridge Mathematical Tie</t>
        </is>
      </c>
      <c r="C15" s="227" t="inlineStr">
        <is>
          <t>Equity Value equals EV + Cash + Investments - Debt - Minority Interest</t>
        </is>
      </c>
      <c r="D15" s="246">
        <f>ABS(DCF!D40 - (DCF!D35 + DCF!D37 - DCF!D38 - DCF!D39))</f>
        <v/>
      </c>
      <c r="E15" s="247" t="inlineStr">
        <is>
          <t>&lt; ₹ 0.01</t>
        </is>
      </c>
      <c r="F15" s="248">
        <f>IF(D15&lt;0.01, "PASS", "CHECK")</f>
        <v/>
      </c>
    </row>
    <row r="17">
      <c r="B17" s="223" t="inlineStr">
        <is>
          <t>ADVISORY CHECKS (informational - NOT included in overall status)</t>
        </is>
      </c>
      <c r="C17" s="224" t="n"/>
      <c r="D17" s="224" t="n"/>
      <c r="E17" s="224" t="n"/>
      <c r="F17" s="224" t="n"/>
    </row>
    <row r="18">
      <c r="B18" s="245" t="inlineStr">
        <is>
          <t>A1. DCF vs Market Divergence</t>
        </is>
      </c>
      <c r="C18" s="227" t="inlineStr">
        <is>
          <t>Absolute gap between DCF value per share and market price</t>
        </is>
      </c>
      <c r="D18" s="249">
        <f>ABS(DCF!D46)</f>
        <v/>
      </c>
      <c r="E18" s="247" t="inlineStr">
        <is>
          <t>&lt; 50%</t>
        </is>
      </c>
      <c r="F18" s="248">
        <f>IF(D18&lt;0.5,"PASS","REVIEW")</f>
        <v/>
      </c>
    </row>
    <row r="19">
      <c r="B19" s="245" t="inlineStr">
        <is>
          <t>A2. WACC Sanity Range</t>
        </is>
      </c>
      <c r="C19" s="227" t="inlineStr">
        <is>
          <t>WACC sits inside a plausible band for the target market</t>
        </is>
      </c>
      <c r="D19" s="249">
        <f>DCF!D20</f>
        <v/>
      </c>
      <c r="E19" s="247" t="inlineStr">
        <is>
          <t>8% - 16%</t>
        </is>
      </c>
      <c r="F19" s="248">
        <f>IF(AND(D19&gt;=0.08,D19&lt;=0.16),"PASS","REVIEW")</f>
        <v/>
      </c>
    </row>
    <row r="20">
      <c r="B20" s="245" t="inlineStr">
        <is>
          <t>A3. Market Cap Tie</t>
        </is>
      </c>
      <c r="C20" s="227" t="inlineStr">
        <is>
          <t>Market cap used in WACC weights ties to Price x Shares on Data Sheet</t>
        </is>
      </c>
      <c r="D20" s="249">
        <f>ABS(WACC!C35/'Data Sheet'!B9-1)</f>
        <v/>
      </c>
      <c r="E20" s="247" t="inlineStr">
        <is>
          <t>&lt; 2%</t>
        </is>
      </c>
      <c r="F20" s="248">
        <f>IF(D20&lt;0.02,"PASS","REVIEW")</f>
        <v/>
      </c>
    </row>
    <row r="21">
      <c r="B21" s="245" t="inlineStr">
        <is>
          <t>A4. Reinvestment History Spike</t>
        </is>
      </c>
      <c r="C21" s="227" t="inlineStr">
        <is>
          <t>Largest historical reinvestment rate (blank-year / acquisition spikes distort median)</t>
        </is>
      </c>
      <c r="D21" s="249">
        <f>MAX('Intrinsic Valuation'!H52:L52)</f>
        <v/>
      </c>
      <c r="E21" s="247" t="inlineStr">
        <is>
          <t>&lt;= 100%</t>
        </is>
      </c>
      <c r="F21" s="248">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INFOSYS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5</v>
      </c>
    </row>
    <row r="8">
      <c r="A8" s="193" t="inlineStr">
        <is>
          <t>Current Price</t>
        </is>
      </c>
      <c r="B8" t="n">
        <v>1035</v>
      </c>
    </row>
    <row r="9">
      <c r="A9" s="193" t="inlineStr">
        <is>
          <t>Market Capitalization</t>
        </is>
      </c>
      <c r="B9" t="n">
        <v>418968</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68484</v>
      </c>
      <c r="C17" t="n">
        <v>70522</v>
      </c>
      <c r="D17" t="n">
        <v>82675</v>
      </c>
      <c r="E17" t="n">
        <v>90791</v>
      </c>
      <c r="F17" t="n">
        <v>100472</v>
      </c>
      <c r="G17" t="n">
        <v>121641</v>
      </c>
      <c r="H17" t="n">
        <v>146767</v>
      </c>
      <c r="I17" t="n">
        <v>153670</v>
      </c>
      <c r="J17" t="n">
        <v>162990</v>
      </c>
      <c r="K17" t="n">
        <v>178650</v>
      </c>
    </row>
    <row r="18" customFormat="1" s="188">
      <c r="A18" s="193" t="inlineStr">
        <is>
          <t>Raw Material Cost</t>
        </is>
      </c>
      <c r="B18" t="n">
        <v>0</v>
      </c>
      <c r="C18" t="n">
        <v>0</v>
      </c>
      <c r="D18" t="n">
        <v>0</v>
      </c>
      <c r="E18" t="n">
        <v>0</v>
      </c>
      <c r="F18" t="n">
        <v>0</v>
      </c>
      <c r="G18" t="n">
        <v>0</v>
      </c>
      <c r="H18" t="n">
        <v>0</v>
      </c>
      <c r="I18" t="n">
        <v>0</v>
      </c>
      <c r="J18" t="n">
        <v>0</v>
      </c>
      <c r="K18" t="n">
        <v>0</v>
      </c>
    </row>
    <row r="19" customFormat="1" s="188">
      <c r="A19" s="193" t="inlineStr">
        <is>
          <t>Change in Inventory</t>
        </is>
      </c>
      <c r="B19" t="n">
        <v>0</v>
      </c>
      <c r="C19" t="n">
        <v>0</v>
      </c>
      <c r="D19" t="n">
        <v>0</v>
      </c>
      <c r="E19" t="n">
        <v>0</v>
      </c>
      <c r="F19" t="n">
        <v>0</v>
      </c>
      <c r="G19" t="n">
        <v>0</v>
      </c>
      <c r="H19" t="n">
        <v>0</v>
      </c>
      <c r="I19" t="n">
        <v>0</v>
      </c>
      <c r="J19" t="n">
        <v>0</v>
      </c>
      <c r="K19" t="n">
        <v>0</v>
      </c>
    </row>
    <row r="20" customFormat="1" s="188">
      <c r="A20" s="193" t="inlineStr">
        <is>
          <t>Power and Fuel</t>
        </is>
      </c>
      <c r="B20" t="n">
        <v>1712.1</v>
      </c>
      <c r="C20" t="n">
        <v>1939.36</v>
      </c>
      <c r="D20" t="n">
        <v>2480.25</v>
      </c>
      <c r="E20" t="n">
        <v>2723.73</v>
      </c>
      <c r="F20" t="n">
        <v>3265.34</v>
      </c>
      <c r="G20" t="n">
        <v>5169.74</v>
      </c>
      <c r="H20" t="n">
        <v>6604.51</v>
      </c>
      <c r="I20" t="n">
        <v>6915.15</v>
      </c>
      <c r="J20" t="n">
        <v>7742.02</v>
      </c>
      <c r="K20" t="n">
        <v>8485.879999999999</v>
      </c>
    </row>
    <row r="21" customFormat="1" s="188">
      <c r="A21" s="193" t="inlineStr">
        <is>
          <t>Other Mfr. Exp</t>
        </is>
      </c>
      <c r="B21" t="n">
        <v>5136.3</v>
      </c>
      <c r="C21" t="n">
        <v>5818.06</v>
      </c>
      <c r="D21" t="n">
        <v>7440.75</v>
      </c>
      <c r="E21" t="n">
        <v>8171.19</v>
      </c>
      <c r="F21" t="n">
        <v>9796.02</v>
      </c>
      <c r="G21" t="n">
        <v>15509.23</v>
      </c>
      <c r="H21" t="n">
        <v>19813.55</v>
      </c>
      <c r="I21" t="n">
        <v>20745.45</v>
      </c>
      <c r="J21" t="n">
        <v>23226.08</v>
      </c>
      <c r="K21" t="n">
        <v>25457.62</v>
      </c>
    </row>
    <row r="22" customFormat="1" s="188">
      <c r="A22" s="193" t="inlineStr">
        <is>
          <t>Employee Cost</t>
        </is>
      </c>
      <c r="B22" t="n">
        <v>37666.2</v>
      </c>
      <c r="C22" t="n">
        <v>38787.1</v>
      </c>
      <c r="D22" t="n">
        <v>45471.25</v>
      </c>
      <c r="E22" t="n">
        <v>50842.96</v>
      </c>
      <c r="F22" t="n">
        <v>55259.6</v>
      </c>
      <c r="G22" t="n">
        <v>64469.73</v>
      </c>
      <c r="H22" t="n">
        <v>77786.50999999999</v>
      </c>
      <c r="I22" t="n">
        <v>82981.8</v>
      </c>
      <c r="J22" t="n">
        <v>86384.7</v>
      </c>
      <c r="K22" t="n">
        <v>94684.5</v>
      </c>
    </row>
    <row r="23" customFormat="1" s="188">
      <c r="A23" s="193" t="inlineStr">
        <is>
          <t>Selling and admin</t>
        </is>
      </c>
      <c r="B23" t="n">
        <v>4766.49</v>
      </c>
      <c r="C23" t="n">
        <v>4908.33</v>
      </c>
      <c r="D23" t="n">
        <v>6473.45</v>
      </c>
      <c r="E23" t="n">
        <v>5529.17</v>
      </c>
      <c r="F23" t="n">
        <v>3496.43</v>
      </c>
      <c r="G23" t="n">
        <v>4233.11</v>
      </c>
      <c r="H23" t="n">
        <v>6384.36</v>
      </c>
      <c r="I23" t="n">
        <v>6684.64</v>
      </c>
      <c r="J23" t="n">
        <v>5672.05</v>
      </c>
      <c r="K23" t="n">
        <v>7771.27</v>
      </c>
    </row>
    <row r="24" customFormat="1" s="188">
      <c r="A24" s="193" t="inlineStr">
        <is>
          <t>Other Expenses</t>
        </is>
      </c>
      <c r="B24" t="n">
        <v>712.23</v>
      </c>
      <c r="C24" t="n">
        <v>733.4299999999999</v>
      </c>
      <c r="D24" t="n">
        <v>967.3</v>
      </c>
      <c r="E24" t="n">
        <v>1256.95</v>
      </c>
      <c r="F24" t="n">
        <v>765.61</v>
      </c>
      <c r="G24" t="n">
        <v>768.1900000000001</v>
      </c>
      <c r="H24" t="n">
        <v>1048.07</v>
      </c>
      <c r="I24" t="n">
        <v>998.86</v>
      </c>
      <c r="J24" t="n">
        <v>847.55</v>
      </c>
      <c r="K24" t="n">
        <v>1161.23</v>
      </c>
    </row>
    <row r="25" customFormat="1" s="188">
      <c r="A25" s="188" t="inlineStr">
        <is>
          <t>Other Income</t>
        </is>
      </c>
      <c r="B25" t="n">
        <v>3050</v>
      </c>
      <c r="C25" t="n">
        <v>3311</v>
      </c>
      <c r="D25" t="n">
        <v>2882</v>
      </c>
      <c r="E25" t="n">
        <v>2803</v>
      </c>
      <c r="F25" t="n">
        <v>2201</v>
      </c>
      <c r="G25" t="n">
        <v>2295</v>
      </c>
      <c r="H25" t="n">
        <v>2701</v>
      </c>
      <c r="I25" t="n">
        <v>4711</v>
      </c>
      <c r="J25" t="n">
        <v>3600</v>
      </c>
      <c r="K25" t="n">
        <v>3033</v>
      </c>
    </row>
    <row r="26" customFormat="1" s="188">
      <c r="A26" s="188" t="inlineStr">
        <is>
          <t>Depreciation</t>
        </is>
      </c>
      <c r="B26" t="n">
        <v>1703</v>
      </c>
      <c r="C26" t="n">
        <v>1863</v>
      </c>
      <c r="D26" t="n">
        <v>2011</v>
      </c>
      <c r="E26" t="n">
        <v>2893</v>
      </c>
      <c r="F26" t="n">
        <v>3267</v>
      </c>
      <c r="G26" t="n">
        <v>3476</v>
      </c>
      <c r="H26" t="n">
        <v>4225</v>
      </c>
      <c r="I26" t="n">
        <v>4678</v>
      </c>
      <c r="J26" t="n">
        <v>4812</v>
      </c>
      <c r="K26" t="n">
        <v>4902</v>
      </c>
    </row>
    <row r="27" customFormat="1" s="188">
      <c r="A27" s="188" t="inlineStr">
        <is>
          <t>Interest</t>
        </is>
      </c>
      <c r="B27" t="n">
        <v>0</v>
      </c>
      <c r="C27" t="n">
        <v>0</v>
      </c>
      <c r="D27" t="n">
        <v>0</v>
      </c>
      <c r="E27" t="n">
        <v>170</v>
      </c>
      <c r="F27" t="n">
        <v>195</v>
      </c>
      <c r="G27" t="n">
        <v>200</v>
      </c>
      <c r="H27" t="n">
        <v>284</v>
      </c>
      <c r="I27" t="n">
        <v>470</v>
      </c>
      <c r="J27" t="n">
        <v>416</v>
      </c>
      <c r="K27" t="n">
        <v>416</v>
      </c>
    </row>
    <row r="28" customFormat="1" s="188">
      <c r="A28" s="188" t="inlineStr">
        <is>
          <t>Profit before tax</t>
        </is>
      </c>
      <c r="B28" t="n">
        <v>19951</v>
      </c>
      <c r="C28" t="n">
        <v>20270</v>
      </c>
      <c r="D28" t="n">
        <v>21041</v>
      </c>
      <c r="E28" t="n">
        <v>22007</v>
      </c>
      <c r="F28" t="n">
        <v>26628</v>
      </c>
      <c r="G28" t="n">
        <v>30110</v>
      </c>
      <c r="H28" t="n">
        <v>33322</v>
      </c>
      <c r="I28" t="n">
        <v>35988</v>
      </c>
      <c r="J28" t="n">
        <v>37608</v>
      </c>
      <c r="K28" t="n">
        <v>39995</v>
      </c>
    </row>
    <row r="29" customFormat="1" s="188">
      <c r="A29" s="188" t="inlineStr">
        <is>
          <t>Tax</t>
        </is>
      </c>
      <c r="B29" t="n">
        <v>5598</v>
      </c>
      <c r="C29" t="n">
        <v>4241</v>
      </c>
      <c r="D29" t="n">
        <v>5631</v>
      </c>
      <c r="E29" t="n">
        <v>5368</v>
      </c>
      <c r="F29" t="n">
        <v>7205</v>
      </c>
      <c r="G29" t="n">
        <v>7964</v>
      </c>
      <c r="H29" t="n">
        <v>9214</v>
      </c>
      <c r="I29" t="n">
        <v>9740</v>
      </c>
      <c r="J29" t="n">
        <v>10858</v>
      </c>
      <c r="K29" t="n">
        <v>10521</v>
      </c>
    </row>
    <row r="30" customFormat="1" s="188">
      <c r="A30" s="188" t="inlineStr">
        <is>
          <t>Net profit</t>
        </is>
      </c>
      <c r="B30" t="n">
        <v>14353</v>
      </c>
      <c r="C30" t="n">
        <v>16029</v>
      </c>
      <c r="D30" t="n">
        <v>15410</v>
      </c>
      <c r="E30" t="n">
        <v>16639</v>
      </c>
      <c r="F30" t="n">
        <v>19423</v>
      </c>
      <c r="G30" t="n">
        <v>22146</v>
      </c>
      <c r="H30" t="n">
        <v>24108</v>
      </c>
      <c r="I30" t="n">
        <v>26248</v>
      </c>
      <c r="J30" t="n">
        <v>26750</v>
      </c>
      <c r="K30" t="n">
        <v>29474</v>
      </c>
    </row>
    <row r="31" customFormat="1" s="188">
      <c r="A31" s="188" t="inlineStr">
        <is>
          <t>Dividend Amount</t>
        </is>
      </c>
      <c r="B31" t="n">
        <v>5884.73</v>
      </c>
      <c r="C31" t="n">
        <v>9457.110000000001</v>
      </c>
      <c r="D31" t="n">
        <v>9246</v>
      </c>
      <c r="E31" t="n">
        <v>7487.55</v>
      </c>
      <c r="F31" t="n">
        <v>11459.57</v>
      </c>
      <c r="G31" t="n">
        <v>13066.14</v>
      </c>
      <c r="H31" t="n">
        <v>13982.64</v>
      </c>
      <c r="I31" t="n">
        <v>19161.04</v>
      </c>
      <c r="J31" t="n">
        <v>17922.5</v>
      </c>
      <c r="K31" t="n">
        <v>19452.84</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37923</v>
      </c>
      <c r="C42" t="n">
        <v>39315</v>
      </c>
      <c r="D42" t="n">
        <v>40986</v>
      </c>
      <c r="E42" t="n">
        <v>41764</v>
      </c>
      <c r="F42" t="n">
        <v>40925</v>
      </c>
      <c r="G42" t="n">
        <v>42279</v>
      </c>
      <c r="H42" t="n">
        <v>44490</v>
      </c>
      <c r="I42" t="n">
        <v>45479</v>
      </c>
      <c r="J42" t="n">
        <v>46402</v>
      </c>
      <c r="K42" t="n">
        <v>48211</v>
      </c>
    </row>
    <row r="43" customFormat="1" s="188">
      <c r="A43" s="188" t="inlineStr">
        <is>
          <t>Expenses</t>
        </is>
      </c>
      <c r="B43" t="n">
        <v>29139</v>
      </c>
      <c r="C43" t="n">
        <v>29878</v>
      </c>
      <c r="D43" t="n">
        <v>31177</v>
      </c>
      <c r="E43" t="n">
        <v>31649</v>
      </c>
      <c r="F43" t="n">
        <v>31051</v>
      </c>
      <c r="G43" t="n">
        <v>32336</v>
      </c>
      <c r="H43" t="n">
        <v>33955</v>
      </c>
      <c r="I43" t="n">
        <v>34845</v>
      </c>
      <c r="J43" t="n">
        <v>35235</v>
      </c>
      <c r="K43" t="n">
        <v>36802</v>
      </c>
    </row>
    <row r="44" customFormat="1" s="188">
      <c r="A44" s="188" t="inlineStr">
        <is>
          <t>Other Income</t>
        </is>
      </c>
      <c r="B44" t="n">
        <v>2729</v>
      </c>
      <c r="C44" t="n">
        <v>838</v>
      </c>
      <c r="D44" t="n">
        <v>712</v>
      </c>
      <c r="E44" t="n">
        <v>859</v>
      </c>
      <c r="F44" t="n">
        <v>1190</v>
      </c>
      <c r="G44" t="n">
        <v>1042</v>
      </c>
      <c r="H44" t="n">
        <v>982</v>
      </c>
      <c r="I44" t="n">
        <v>-150</v>
      </c>
      <c r="J44" t="n">
        <v>1159</v>
      </c>
      <c r="K44" t="n">
        <v>984</v>
      </c>
    </row>
    <row r="45" customFormat="1" s="188">
      <c r="A45" s="188" t="inlineStr">
        <is>
          <t>Depreciation</t>
        </is>
      </c>
      <c r="B45" t="n">
        <v>1163</v>
      </c>
      <c r="C45" t="n">
        <v>1149</v>
      </c>
      <c r="D45" t="n">
        <v>1160</v>
      </c>
      <c r="E45" t="n">
        <v>1203</v>
      </c>
      <c r="F45" t="n">
        <v>1299</v>
      </c>
      <c r="G45" t="n">
        <v>1140</v>
      </c>
      <c r="H45" t="n">
        <v>1182</v>
      </c>
      <c r="I45" t="n">
        <v>1155</v>
      </c>
      <c r="J45" t="n">
        <v>1424</v>
      </c>
      <c r="K45" t="n">
        <v>1246</v>
      </c>
    </row>
    <row r="46" customFormat="1" s="188">
      <c r="A46" s="188" t="inlineStr">
        <is>
          <t>Interest</t>
        </is>
      </c>
      <c r="B46" t="n">
        <v>110</v>
      </c>
      <c r="C46" t="n">
        <v>105</v>
      </c>
      <c r="D46" t="n">
        <v>108</v>
      </c>
      <c r="E46" t="n">
        <v>101</v>
      </c>
      <c r="F46" t="n">
        <v>102</v>
      </c>
      <c r="G46" t="n">
        <v>105</v>
      </c>
      <c r="H46" t="n">
        <v>106</v>
      </c>
      <c r="I46" t="n">
        <v>100</v>
      </c>
      <c r="J46" t="n">
        <v>105</v>
      </c>
      <c r="K46" t="n">
        <v>119</v>
      </c>
    </row>
    <row r="47" customFormat="1" s="188">
      <c r="A47" s="188" t="inlineStr">
        <is>
          <t>Profit before tax</t>
        </is>
      </c>
      <c r="B47" t="n">
        <v>10240</v>
      </c>
      <c r="C47" t="n">
        <v>9021</v>
      </c>
      <c r="D47" t="n">
        <v>9253</v>
      </c>
      <c r="E47" t="n">
        <v>9670</v>
      </c>
      <c r="F47" t="n">
        <v>9663</v>
      </c>
      <c r="G47" t="n">
        <v>9740</v>
      </c>
      <c r="H47" t="n">
        <v>10229</v>
      </c>
      <c r="I47" t="n">
        <v>9229</v>
      </c>
      <c r="J47" t="n">
        <v>10797</v>
      </c>
      <c r="K47" t="n">
        <v>11028</v>
      </c>
    </row>
    <row r="48" customFormat="1" s="188">
      <c r="A48" s="188" t="inlineStr">
        <is>
          <t>Tax</t>
        </is>
      </c>
      <c r="B48" t="n">
        <v>2265</v>
      </c>
      <c r="C48" t="n">
        <v>2647</v>
      </c>
      <c r="D48" t="n">
        <v>2737</v>
      </c>
      <c r="E48" t="n">
        <v>2848</v>
      </c>
      <c r="F48" t="n">
        <v>2625</v>
      </c>
      <c r="G48" t="n">
        <v>2816</v>
      </c>
      <c r="H48" t="n">
        <v>2854</v>
      </c>
      <c r="I48" t="n">
        <v>2563</v>
      </c>
      <c r="J48" t="n">
        <v>2288</v>
      </c>
      <c r="K48" t="n">
        <v>3253</v>
      </c>
    </row>
    <row r="49" customFormat="1" s="188">
      <c r="A49" s="188" t="inlineStr">
        <is>
          <t>Net profit</t>
        </is>
      </c>
      <c r="B49" t="n">
        <v>7975</v>
      </c>
      <c r="C49" t="n">
        <v>6374</v>
      </c>
      <c r="D49" t="n">
        <v>6516</v>
      </c>
      <c r="E49" t="n">
        <v>6822</v>
      </c>
      <c r="F49" t="n">
        <v>7038</v>
      </c>
      <c r="G49" t="n">
        <v>6924</v>
      </c>
      <c r="H49" t="n">
        <v>7375</v>
      </c>
      <c r="I49" t="n">
        <v>6666</v>
      </c>
      <c r="J49" t="n">
        <v>8509</v>
      </c>
      <c r="K49" t="n">
        <v>7775</v>
      </c>
    </row>
    <row r="50">
      <c r="A50" s="188" t="inlineStr">
        <is>
          <t>Operating Profit</t>
        </is>
      </c>
      <c r="B50" t="n">
        <v>8784</v>
      </c>
      <c r="C50" t="n">
        <v>9437</v>
      </c>
      <c r="D50" t="n">
        <v>9809</v>
      </c>
      <c r="E50" t="n">
        <v>10115</v>
      </c>
      <c r="F50" t="n">
        <v>9874</v>
      </c>
      <c r="G50" t="n">
        <v>9943</v>
      </c>
      <c r="H50" t="n">
        <v>10535</v>
      </c>
      <c r="I50" t="n">
        <v>10634</v>
      </c>
      <c r="J50" t="n">
        <v>11167</v>
      </c>
      <c r="K50" t="n">
        <v>11409</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1144</v>
      </c>
      <c r="C57" t="n">
        <v>1088</v>
      </c>
      <c r="D57" t="n">
        <v>2170</v>
      </c>
      <c r="E57" t="n">
        <v>2122</v>
      </c>
      <c r="F57" t="n">
        <v>2124</v>
      </c>
      <c r="G57" t="n">
        <v>2098</v>
      </c>
      <c r="H57" t="n">
        <v>2069</v>
      </c>
      <c r="I57" t="n">
        <v>2071</v>
      </c>
      <c r="J57" t="n">
        <v>2073</v>
      </c>
      <c r="K57" t="n">
        <v>2024</v>
      </c>
    </row>
    <row r="58">
      <c r="A58" s="188" t="inlineStr">
        <is>
          <t>Reserves</t>
        </is>
      </c>
      <c r="B58" t="n">
        <v>67838</v>
      </c>
      <c r="C58" t="n">
        <v>63835</v>
      </c>
      <c r="D58" t="n">
        <v>62778</v>
      </c>
      <c r="E58" t="n">
        <v>63328</v>
      </c>
      <c r="F58" t="n">
        <v>74227</v>
      </c>
      <c r="G58" t="n">
        <v>73252</v>
      </c>
      <c r="H58" t="n">
        <v>73338</v>
      </c>
      <c r="I58" t="n">
        <v>86045</v>
      </c>
      <c r="J58" t="n">
        <v>93745</v>
      </c>
      <c r="K58" t="n">
        <v>90828</v>
      </c>
    </row>
    <row r="59">
      <c r="A59" s="188" t="inlineStr">
        <is>
          <t>Borrowings</t>
        </is>
      </c>
      <c r="B59" t="n">
        <v>0</v>
      </c>
      <c r="C59" t="n">
        <v>0</v>
      </c>
      <c r="D59" t="n">
        <v>0</v>
      </c>
      <c r="E59" t="n">
        <v>4633</v>
      </c>
      <c r="F59" t="n">
        <v>5325</v>
      </c>
      <c r="G59" t="n">
        <v>5474</v>
      </c>
      <c r="H59" t="n">
        <v>8299</v>
      </c>
      <c r="I59" t="n">
        <v>8359</v>
      </c>
      <c r="J59" t="n">
        <v>8227</v>
      </c>
      <c r="K59" t="n">
        <v>9176</v>
      </c>
    </row>
    <row r="60">
      <c r="A60" s="188" t="inlineStr">
        <is>
          <t>Other Liabilities</t>
        </is>
      </c>
      <c r="B60" t="n">
        <v>14166</v>
      </c>
      <c r="C60" t="n">
        <v>14426</v>
      </c>
      <c r="D60" t="n">
        <v>19118</v>
      </c>
      <c r="E60" t="n">
        <v>21717</v>
      </c>
      <c r="F60" t="n">
        <v>25835</v>
      </c>
      <c r="G60" t="n">
        <v>35905</v>
      </c>
      <c r="H60" t="n">
        <v>40890</v>
      </c>
      <c r="I60" t="n">
        <v>39545</v>
      </c>
      <c r="J60" t="n">
        <v>43750</v>
      </c>
      <c r="K60" t="n">
        <v>52260</v>
      </c>
    </row>
    <row r="61" customFormat="1" s="187">
      <c r="A61" s="187" t="inlineStr">
        <is>
          <t>Total</t>
        </is>
      </c>
      <c r="B61" t="n">
        <v>83148</v>
      </c>
      <c r="C61" t="n">
        <v>79349</v>
      </c>
      <c r="D61" t="n">
        <v>84066</v>
      </c>
      <c r="E61" t="n">
        <v>91800</v>
      </c>
      <c r="F61" t="n">
        <v>107511</v>
      </c>
      <c r="G61" t="n">
        <v>116729</v>
      </c>
      <c r="H61" t="n">
        <v>124596</v>
      </c>
      <c r="I61" t="n">
        <v>136020</v>
      </c>
      <c r="J61" t="n">
        <v>147795</v>
      </c>
      <c r="K61" t="n">
        <v>154288</v>
      </c>
    </row>
    <row r="62">
      <c r="A62" s="188" t="inlineStr">
        <is>
          <t>Net Block</t>
        </is>
      </c>
      <c r="B62" t="n">
        <v>14179</v>
      </c>
      <c r="C62" t="n">
        <v>12574</v>
      </c>
      <c r="D62" t="n">
        <v>15710</v>
      </c>
      <c r="E62" t="n">
        <v>23789</v>
      </c>
      <c r="F62" t="n">
        <v>25505</v>
      </c>
      <c r="G62" t="n">
        <v>25800</v>
      </c>
      <c r="H62" t="n">
        <v>29225</v>
      </c>
      <c r="I62" t="n">
        <v>27622</v>
      </c>
      <c r="J62" t="n">
        <v>30961</v>
      </c>
      <c r="K62" t="n">
        <v>33770</v>
      </c>
    </row>
    <row r="63">
      <c r="A63" s="188" t="inlineStr">
        <is>
          <t>Capital Work in Progress</t>
        </is>
      </c>
      <c r="B63" t="n">
        <v>1365</v>
      </c>
      <c r="C63" t="n">
        <v>1606</v>
      </c>
      <c r="D63" t="n">
        <v>1388</v>
      </c>
      <c r="E63" t="n">
        <v>954</v>
      </c>
      <c r="F63" t="n">
        <v>922</v>
      </c>
      <c r="G63" t="n">
        <v>416</v>
      </c>
      <c r="H63" t="n">
        <v>288</v>
      </c>
      <c r="I63" t="n">
        <v>293</v>
      </c>
      <c r="J63" t="n">
        <v>814</v>
      </c>
      <c r="K63" t="n">
        <v>526</v>
      </c>
    </row>
    <row r="64">
      <c r="A64" s="188" t="inlineStr">
        <is>
          <t>Investments</t>
        </is>
      </c>
      <c r="B64" t="n">
        <v>16423</v>
      </c>
      <c r="C64" t="n">
        <v>12163</v>
      </c>
      <c r="D64" t="n">
        <v>11261</v>
      </c>
      <c r="E64" t="n">
        <v>8792</v>
      </c>
      <c r="F64" t="n">
        <v>14205</v>
      </c>
      <c r="G64" t="n">
        <v>20324</v>
      </c>
      <c r="H64" t="n">
        <v>19478</v>
      </c>
      <c r="I64" t="n">
        <v>24623</v>
      </c>
      <c r="J64" t="n">
        <v>23541</v>
      </c>
      <c r="K64" t="n">
        <v>21880</v>
      </c>
    </row>
    <row r="65">
      <c r="A65" s="188" t="inlineStr">
        <is>
          <t>Other Assets</t>
        </is>
      </c>
      <c r="B65" t="n">
        <v>51181</v>
      </c>
      <c r="C65" t="n">
        <v>53006</v>
      </c>
      <c r="D65" t="n">
        <v>55707</v>
      </c>
      <c r="E65" t="n">
        <v>58265</v>
      </c>
      <c r="F65" t="n">
        <v>66879</v>
      </c>
      <c r="G65" t="n">
        <v>70189</v>
      </c>
      <c r="H65" t="n">
        <v>75605</v>
      </c>
      <c r="I65" t="n">
        <v>83482</v>
      </c>
      <c r="J65" t="n">
        <v>92479</v>
      </c>
      <c r="K65" t="n">
        <v>98112</v>
      </c>
    </row>
    <row r="66" customFormat="1" s="187">
      <c r="A66" s="187" t="inlineStr">
        <is>
          <t>Total</t>
        </is>
      </c>
      <c r="B66" t="n">
        <v>83148</v>
      </c>
      <c r="C66" t="n">
        <v>79349</v>
      </c>
      <c r="D66" t="n">
        <v>84066</v>
      </c>
      <c r="E66" t="n">
        <v>91800</v>
      </c>
      <c r="F66" t="n">
        <v>107511</v>
      </c>
      <c r="G66" t="n">
        <v>116729</v>
      </c>
      <c r="H66" t="n">
        <v>124596</v>
      </c>
      <c r="I66" t="n">
        <v>136020</v>
      </c>
      <c r="J66" t="n">
        <v>147795</v>
      </c>
      <c r="K66" t="n">
        <v>154288</v>
      </c>
    </row>
    <row r="67" customFormat="1" s="188">
      <c r="A67" s="188" t="inlineStr">
        <is>
          <t>Receivables</t>
        </is>
      </c>
      <c r="B67" t="n">
        <v>12322</v>
      </c>
      <c r="C67" t="n">
        <v>13142</v>
      </c>
      <c r="D67" t="n">
        <v>14827</v>
      </c>
      <c r="E67" t="n">
        <v>18487</v>
      </c>
      <c r="F67" t="n">
        <v>19294</v>
      </c>
      <c r="G67" t="n">
        <v>22698</v>
      </c>
      <c r="H67" t="n">
        <v>25424</v>
      </c>
      <c r="I67" t="n">
        <v>30193</v>
      </c>
      <c r="J67" t="n">
        <v>31158</v>
      </c>
      <c r="K67" t="n">
        <v>35234</v>
      </c>
    </row>
    <row r="68">
      <c r="A68" s="188" t="inlineStr">
        <is>
          <t>Inventory</t>
        </is>
      </c>
      <c r="B68" t="n">
        <v>0</v>
      </c>
      <c r="C68" t="n">
        <v>0</v>
      </c>
      <c r="D68" t="n">
        <v>0</v>
      </c>
      <c r="E68" t="n">
        <v>0</v>
      </c>
      <c r="F68" t="n">
        <v>0</v>
      </c>
      <c r="G68" t="n">
        <v>0</v>
      </c>
      <c r="H68" t="n">
        <v>0</v>
      </c>
      <c r="I68" t="n">
        <v>0</v>
      </c>
      <c r="J68" t="n">
        <v>0</v>
      </c>
      <c r="K68" t="n">
        <v>0</v>
      </c>
    </row>
    <row r="69">
      <c r="A69" s="193" t="inlineStr">
        <is>
          <t>Cash &amp; Bank</t>
        </is>
      </c>
      <c r="B69" t="n">
        <v>22625</v>
      </c>
      <c r="C69" t="n">
        <v>19818</v>
      </c>
      <c r="D69" t="n">
        <v>19568</v>
      </c>
      <c r="E69" t="n">
        <v>18649</v>
      </c>
      <c r="F69" t="n">
        <v>24714</v>
      </c>
      <c r="G69" t="n">
        <v>17472</v>
      </c>
      <c r="H69" t="n">
        <v>12173</v>
      </c>
      <c r="I69" t="n">
        <v>14786</v>
      </c>
      <c r="J69" t="n">
        <v>24455</v>
      </c>
      <c r="K69" t="n">
        <v>44081</v>
      </c>
    </row>
    <row r="70">
      <c r="A70" s="193" t="inlineStr">
        <is>
          <t>No. of Equity Shares</t>
        </is>
      </c>
      <c r="B70" t="n">
        <v>2288000000</v>
      </c>
      <c r="C70" t="n">
        <v>2176000000</v>
      </c>
      <c r="D70" t="n">
        <v>4340000000</v>
      </c>
      <c r="E70" t="n">
        <v>4244000000</v>
      </c>
      <c r="F70" t="n">
        <v>4248000000</v>
      </c>
      <c r="G70" t="n">
        <v>4196000000</v>
      </c>
      <c r="H70" t="n">
        <v>4138000000</v>
      </c>
      <c r="I70" t="n">
        <v>4142000000</v>
      </c>
      <c r="J70" t="n">
        <v>4146000000</v>
      </c>
      <c r="K70" t="n">
        <v>4048000000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5</v>
      </c>
      <c r="C72" t="n">
        <v>5</v>
      </c>
      <c r="D72" t="n">
        <v>5</v>
      </c>
      <c r="E72" t="n">
        <v>5</v>
      </c>
      <c r="F72" t="n">
        <v>5</v>
      </c>
      <c r="G72" t="n">
        <v>5</v>
      </c>
      <c r="H72" t="n">
        <v>5</v>
      </c>
      <c r="I72" t="n">
        <v>5</v>
      </c>
      <c r="J72" t="n">
        <v>5</v>
      </c>
      <c r="K72" t="n">
        <v>5</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11531</v>
      </c>
      <c r="C82" t="n">
        <v>13218</v>
      </c>
      <c r="D82" t="n">
        <v>14841</v>
      </c>
      <c r="E82" t="n">
        <v>17003</v>
      </c>
      <c r="F82" t="n">
        <v>23224</v>
      </c>
      <c r="G82" t="n">
        <v>23885</v>
      </c>
      <c r="H82" t="n">
        <v>22467</v>
      </c>
      <c r="I82" t="n">
        <v>25210</v>
      </c>
      <c r="J82" t="n">
        <v>35694</v>
      </c>
      <c r="K82" t="n">
        <v>33986</v>
      </c>
    </row>
    <row r="83" customFormat="1" s="188">
      <c r="A83" s="188" t="inlineStr">
        <is>
          <t>Cash from Investing Activity</t>
        </is>
      </c>
      <c r="B83" t="n">
        <v>-14664</v>
      </c>
      <c r="C83" t="n">
        <v>4533</v>
      </c>
      <c r="D83" t="n">
        <v>-632</v>
      </c>
      <c r="E83" t="n">
        <v>-331</v>
      </c>
      <c r="F83" t="n">
        <v>-7373</v>
      </c>
      <c r="G83" t="n">
        <v>-6485</v>
      </c>
      <c r="H83" t="n">
        <v>-1071</v>
      </c>
      <c r="I83" t="n">
        <v>-5093</v>
      </c>
      <c r="J83" t="n">
        <v>-1864</v>
      </c>
      <c r="K83" t="n">
        <v>3546</v>
      </c>
    </row>
    <row r="84" customFormat="1" s="188">
      <c r="A84" s="188" t="inlineStr">
        <is>
          <t>Cash from Financing Activity</t>
        </is>
      </c>
      <c r="B84" t="n">
        <v>-6939</v>
      </c>
      <c r="C84" t="n">
        <v>-20505</v>
      </c>
      <c r="D84" t="n">
        <v>-14512</v>
      </c>
      <c r="E84" t="n">
        <v>-17591</v>
      </c>
      <c r="F84" t="n">
        <v>-9786</v>
      </c>
      <c r="G84" t="n">
        <v>-24642</v>
      </c>
      <c r="H84" t="n">
        <v>-26695</v>
      </c>
      <c r="I84" t="n">
        <v>-17504</v>
      </c>
      <c r="J84" t="n">
        <v>-24161</v>
      </c>
      <c r="K84" t="n">
        <v>-39786</v>
      </c>
    </row>
    <row r="85" customFormat="1" s="187">
      <c r="A85" s="188" t="inlineStr">
        <is>
          <t>Net Cash Flow</t>
        </is>
      </c>
      <c r="B85" t="n">
        <v>-10072</v>
      </c>
      <c r="C85" t="n">
        <v>-2754</v>
      </c>
      <c r="D85" t="n">
        <v>-303</v>
      </c>
      <c r="E85" t="n">
        <v>-919</v>
      </c>
      <c r="F85" t="n">
        <v>6065</v>
      </c>
      <c r="G85" t="n">
        <v>-7242</v>
      </c>
      <c r="H85" t="n">
        <v>-5299</v>
      </c>
      <c r="I85" t="n">
        <v>2613</v>
      </c>
      <c r="J85" t="n">
        <v>9669</v>
      </c>
      <c r="K85" t="n">
        <v>-2254</v>
      </c>
    </row>
    <row r="86">
      <c r="A86" s="188" t="n"/>
    </row>
    <row r="87">
      <c r="A87" s="188" t="n"/>
    </row>
    <row r="88">
      <c r="A88" s="188" t="n"/>
    </row>
    <row r="89">
      <c r="A89" s="188" t="n"/>
    </row>
    <row r="90" customFormat="1" s="187">
      <c r="A90" s="187" t="inlineStr">
        <is>
          <t>PRICE:</t>
        </is>
      </c>
      <c r="B90" t="n">
        <v>515.6</v>
      </c>
      <c r="C90" t="n">
        <v>580.38</v>
      </c>
      <c r="D90" t="n">
        <v>741.9</v>
      </c>
      <c r="E90" t="n">
        <v>731.7</v>
      </c>
      <c r="F90" t="n">
        <v>1253.3</v>
      </c>
      <c r="G90" t="n">
        <v>1723.3</v>
      </c>
      <c r="H90" t="n">
        <v>1479.3</v>
      </c>
      <c r="I90" t="n">
        <v>1656.3</v>
      </c>
      <c r="J90" t="n">
        <v>1687.7</v>
      </c>
      <c r="K90" t="n">
        <v>1300.1</v>
      </c>
    </row>
    <row r="92" customFormat="1" s="187">
      <c r="A92" s="187" t="inlineStr">
        <is>
          <t>DERIVED:</t>
        </is>
      </c>
    </row>
    <row r="93">
      <c r="A93" s="193" t="inlineStr">
        <is>
          <t>Adjusted Equity Shares in Cr</t>
        </is>
      </c>
      <c r="B93" s="198" t="n">
        <v>459.41</v>
      </c>
      <c r="C93" s="198" t="n">
        <v>459.41</v>
      </c>
      <c r="D93" s="198" t="n">
        <v>459.41</v>
      </c>
      <c r="E93" s="198" t="n">
        <v>459.41</v>
      </c>
      <c r="F93" s="198" t="n">
        <v>459.41</v>
      </c>
      <c r="G93" s="198" t="n">
        <v>459.41</v>
      </c>
      <c r="H93" s="198" t="n">
        <v>459.41</v>
      </c>
      <c r="I93" s="198" t="n">
        <v>459.41</v>
      </c>
      <c r="J93" s="198" t="n">
        <v>459.41</v>
      </c>
      <c r="K93" s="198" t="n">
        <v>404.8</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INFOSYS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8353</v>
      </c>
      <c r="D6" s="73" t="n">
        <v>10028</v>
      </c>
      <c r="E6" s="73" t="n">
        <v>11531</v>
      </c>
      <c r="F6" s="73" t="n">
        <v>13218</v>
      </c>
      <c r="G6" s="73" t="n">
        <v>14841</v>
      </c>
      <c r="H6" s="73" t="n">
        <v>17003</v>
      </c>
      <c r="I6" s="73" t="n">
        <v>23224</v>
      </c>
      <c r="J6" s="73" t="n">
        <v>23885</v>
      </c>
      <c r="K6" s="73" t="n">
        <v>22467</v>
      </c>
      <c r="L6" s="73" t="n">
        <v>25210</v>
      </c>
      <c r="M6" s="73" t="n">
        <v>35694</v>
      </c>
      <c r="N6" s="73" t="n">
        <v>33986</v>
      </c>
    </row>
    <row r="7">
      <c r="B7" t="inlineStr">
        <is>
          <t>Profit from operations</t>
        </is>
      </c>
      <c r="C7" s="73" t="n">
        <v>15946</v>
      </c>
      <c r="D7" s="73" t="n">
        <v>17839</v>
      </c>
      <c r="E7" s="73" t="n">
        <v>19340</v>
      </c>
      <c r="F7" s="73" t="n">
        <v>19963</v>
      </c>
      <c r="G7" s="73" t="n">
        <v>22126</v>
      </c>
      <c r="H7" s="73" t="n">
        <v>23920</v>
      </c>
      <c r="I7" s="73" t="n">
        <v>28845</v>
      </c>
      <c r="J7" s="73" t="n">
        <v>32921</v>
      </c>
      <c r="K7" s="73" t="n">
        <v>37605</v>
      </c>
      <c r="L7" s="73" t="n">
        <v>39523</v>
      </c>
      <c r="M7" s="73" t="n">
        <v>41591</v>
      </c>
      <c r="N7" s="73" t="n">
        <v>45273</v>
      </c>
    </row>
    <row r="8">
      <c r="B8" t="inlineStr">
        <is>
          <t>Receivables</t>
        </is>
      </c>
      <c r="C8" t="n">
        <v>-1475</v>
      </c>
      <c r="D8" t="n">
        <v>-1654</v>
      </c>
      <c r="E8" t="n">
        <v>-1743</v>
      </c>
      <c r="F8" t="n">
        <v>-1523</v>
      </c>
      <c r="G8" t="n">
        <v>-2881</v>
      </c>
      <c r="H8" s="73" t="n">
        <v>-3861</v>
      </c>
      <c r="I8" t="n">
        <v>-1835</v>
      </c>
      <c r="J8" t="n">
        <v>-7937</v>
      </c>
      <c r="K8" t="n">
        <v>-7076</v>
      </c>
      <c r="L8" t="n">
        <v>-2667</v>
      </c>
      <c r="M8" s="73" t="n">
        <v>-1769</v>
      </c>
      <c r="N8" t="n">
        <v>-5177</v>
      </c>
    </row>
    <row r="9">
      <c r="B9" t="inlineStr">
        <is>
          <t>Inventory</t>
        </is>
      </c>
      <c r="C9" t="n">
        <v>0</v>
      </c>
      <c r="D9" t="n">
        <v>0</v>
      </c>
      <c r="E9" t="n">
        <v>0</v>
      </c>
      <c r="F9" t="n">
        <v>0</v>
      </c>
      <c r="G9" t="n">
        <v>0</v>
      </c>
      <c r="H9" t="n">
        <v>0</v>
      </c>
      <c r="I9" s="73" t="n">
        <v>0</v>
      </c>
      <c r="J9" t="n">
        <v>0</v>
      </c>
      <c r="K9" s="73" t="n">
        <v>0</v>
      </c>
      <c r="L9" s="73" t="n">
        <v>0</v>
      </c>
      <c r="M9" s="73" t="n">
        <v>0</v>
      </c>
      <c r="N9" s="73" t="n">
        <v>0</v>
      </c>
    </row>
    <row r="10">
      <c r="B10" t="inlineStr">
        <is>
          <t>Payables</t>
        </is>
      </c>
      <c r="C10" t="n">
        <v>0</v>
      </c>
      <c r="D10" t="n">
        <v>242</v>
      </c>
      <c r="E10" t="n">
        <v>-19</v>
      </c>
      <c r="F10" s="73" t="n">
        <v>328</v>
      </c>
      <c r="G10" t="n">
        <v>916</v>
      </c>
      <c r="H10" t="n">
        <v>-373</v>
      </c>
      <c r="I10" s="73" t="n">
        <v>-245</v>
      </c>
      <c r="J10" s="73" t="n">
        <v>1489</v>
      </c>
      <c r="K10" s="73" t="n">
        <v>-279</v>
      </c>
      <c r="L10" t="n">
        <v>91</v>
      </c>
      <c r="M10" s="73" t="n">
        <v>176</v>
      </c>
      <c r="N10" t="n">
        <v>-26</v>
      </c>
    </row>
    <row r="11">
      <c r="B11" t="inlineStr">
        <is>
          <t>Working capital changes</t>
        </is>
      </c>
      <c r="C11" t="n">
        <v>-842</v>
      </c>
      <c r="D11" t="n">
        <v>-1946</v>
      </c>
      <c r="E11" t="n">
        <v>-2156</v>
      </c>
      <c r="F11" s="73" t="n">
        <v>84</v>
      </c>
      <c r="G11" t="n">
        <v>-453</v>
      </c>
      <c r="H11" t="n">
        <v>-2367</v>
      </c>
      <c r="I11" t="n">
        <v>768</v>
      </c>
      <c r="J11" t="n">
        <v>-1424</v>
      </c>
      <c r="K11" t="n">
        <v>-6344</v>
      </c>
      <c r="L11" s="73" t="n">
        <v>-5082</v>
      </c>
      <c r="M11" s="73" t="n">
        <v>-295</v>
      </c>
      <c r="N11" s="73" t="n">
        <v>-2639</v>
      </c>
    </row>
    <row r="12">
      <c r="B12" t="inlineStr">
        <is>
          <t>Direct taxes</t>
        </is>
      </c>
      <c r="C12" s="73" t="n">
        <v>-6751</v>
      </c>
      <c r="D12" s="73" t="n">
        <v>-5865</v>
      </c>
      <c r="E12" s="73" t="n">
        <v>-5653</v>
      </c>
      <c r="F12" s="73" t="n">
        <v>-6829</v>
      </c>
      <c r="G12" s="73" t="n">
        <v>-6832</v>
      </c>
      <c r="H12" s="73" t="n">
        <v>-4550</v>
      </c>
      <c r="I12" s="73" t="n">
        <v>-6389</v>
      </c>
      <c r="J12" s="73" t="n">
        <v>-7612</v>
      </c>
      <c r="K12" s="73" t="n">
        <v>-8794</v>
      </c>
      <c r="L12" s="73" t="n">
        <v>-9231</v>
      </c>
      <c r="M12" s="73" t="n">
        <v>-5602</v>
      </c>
      <c r="N12" s="73" t="n">
        <v>-8648</v>
      </c>
    </row>
    <row r="13">
      <c r="B13" t="inlineStr">
        <is>
          <t>Cash from Investing Activity -</t>
        </is>
      </c>
      <c r="C13" s="73" t="n">
        <v>999</v>
      </c>
      <c r="D13" s="73" t="n">
        <v>-885</v>
      </c>
      <c r="E13" s="73" t="n">
        <v>-14664</v>
      </c>
      <c r="F13" s="73" t="n">
        <v>4533</v>
      </c>
      <c r="G13" s="73" t="n">
        <v>-632</v>
      </c>
      <c r="H13" s="73" t="n">
        <v>-331</v>
      </c>
      <c r="I13" s="73" t="n">
        <v>-7373</v>
      </c>
      <c r="J13" s="73" t="n">
        <v>-6485</v>
      </c>
      <c r="K13" s="73" t="n">
        <v>-1071</v>
      </c>
      <c r="L13" s="73" t="n">
        <v>-5093</v>
      </c>
      <c r="M13" t="n">
        <v>-1864</v>
      </c>
      <c r="N13" s="73" t="n">
        <v>3546</v>
      </c>
    </row>
    <row r="14">
      <c r="B14" t="inlineStr">
        <is>
          <t>Fixed assets purchased</t>
        </is>
      </c>
      <c r="C14" s="73" t="n">
        <v>-2247</v>
      </c>
      <c r="D14" s="73" t="n">
        <v>-2723</v>
      </c>
      <c r="E14" s="73" t="n">
        <v>-2760</v>
      </c>
      <c r="F14" s="73" t="n">
        <v>-1998</v>
      </c>
      <c r="G14" s="73" t="n">
        <v>-2445</v>
      </c>
      <c r="H14" s="73" t="n">
        <v>-3307</v>
      </c>
      <c r="I14" s="73" t="n">
        <v>-2107</v>
      </c>
      <c r="J14" s="73" t="n">
        <v>-2161</v>
      </c>
      <c r="K14" s="73" t="n">
        <v>-2579</v>
      </c>
      <c r="L14" s="73" t="n">
        <v>-2201</v>
      </c>
      <c r="M14" s="73" t="n">
        <v>-2237</v>
      </c>
      <c r="N14" s="73" t="n">
        <v>-2727</v>
      </c>
    </row>
    <row r="15">
      <c r="B15" t="inlineStr">
        <is>
          <t>Fixed assets sold</t>
        </is>
      </c>
      <c r="C15" t="n">
        <v>0</v>
      </c>
      <c r="D15" t="n">
        <v>0</v>
      </c>
      <c r="E15" t="n">
        <v>0</v>
      </c>
      <c r="F15" t="n">
        <v>0</v>
      </c>
      <c r="G15" t="n">
        <v>0</v>
      </c>
      <c r="H15" t="n">
        <v>0</v>
      </c>
      <c r="I15" t="n">
        <v>0</v>
      </c>
      <c r="J15" t="n">
        <v>0</v>
      </c>
      <c r="K15" t="n">
        <v>0</v>
      </c>
      <c r="L15" t="n">
        <v>0</v>
      </c>
      <c r="M15" t="n">
        <v>0</v>
      </c>
      <c r="N15" t="n">
        <v>0</v>
      </c>
    </row>
    <row r="16">
      <c r="B16" t="inlineStr">
        <is>
          <t>Investments purchased</t>
        </is>
      </c>
      <c r="C16" s="73" t="n">
        <v>-23923</v>
      </c>
      <c r="D16" s="73" t="n">
        <v>-24577</v>
      </c>
      <c r="E16" s="73" t="n">
        <v>-66410</v>
      </c>
      <c r="F16" s="73" t="n">
        <v>-69159</v>
      </c>
      <c r="G16" s="73" t="n">
        <v>-79410</v>
      </c>
      <c r="H16" s="73" t="n">
        <v>-37482</v>
      </c>
      <c r="I16" s="73" t="n">
        <v>-46738</v>
      </c>
      <c r="J16" s="73" t="n">
        <v>-59951</v>
      </c>
      <c r="K16" s="73" t="n">
        <v>-75800</v>
      </c>
      <c r="L16" s="73" t="n">
        <v>-78092</v>
      </c>
      <c r="M16" s="73" t="n">
        <v>-82742</v>
      </c>
      <c r="N16" s="73" t="n">
        <v>-82617</v>
      </c>
    </row>
    <row r="17">
      <c r="B17" t="inlineStr">
        <is>
          <t>Investments sold</t>
        </is>
      </c>
      <c r="C17" s="73" t="n">
        <v>25253</v>
      </c>
      <c r="D17" s="73" t="n">
        <v>24980</v>
      </c>
      <c r="E17" s="73" t="n">
        <v>52048</v>
      </c>
      <c r="F17" s="73" t="n">
        <v>74003</v>
      </c>
      <c r="G17" s="73" t="n">
        <v>78098</v>
      </c>
      <c r="H17" s="73" t="n">
        <v>38861</v>
      </c>
      <c r="I17" s="73" t="n">
        <v>40381</v>
      </c>
      <c r="J17" s="73" t="n">
        <v>57356</v>
      </c>
      <c r="K17" s="73" t="n">
        <v>76722</v>
      </c>
      <c r="L17" s="73" t="n">
        <v>72930</v>
      </c>
      <c r="M17" s="73" t="n">
        <v>84877</v>
      </c>
      <c r="N17" s="73" t="n">
        <v>89699</v>
      </c>
    </row>
    <row r="18">
      <c r="B18" t="inlineStr">
        <is>
          <t>Interest received</t>
        </is>
      </c>
      <c r="C18" t="n">
        <v>2551</v>
      </c>
      <c r="D18" t="n">
        <v>2383</v>
      </c>
      <c r="E18" t="n">
        <v>0</v>
      </c>
      <c r="F18" t="n">
        <v>0</v>
      </c>
      <c r="G18" s="73" t="n">
        <v>0</v>
      </c>
      <c r="H18" s="73" t="n">
        <v>0</v>
      </c>
      <c r="I18" s="73" t="n">
        <v>0</v>
      </c>
      <c r="J18" s="73" t="n">
        <v>0</v>
      </c>
      <c r="K18" s="73" t="n">
        <v>0</v>
      </c>
      <c r="L18" s="73" t="n">
        <v>0</v>
      </c>
      <c r="M18" s="73" t="n">
        <v>0</v>
      </c>
      <c r="N18" t="n">
        <v>0</v>
      </c>
    </row>
    <row r="19">
      <c r="B19" t="inlineStr">
        <is>
          <t>Dividends received</t>
        </is>
      </c>
      <c r="C19" t="n">
        <v>0</v>
      </c>
      <c r="D19" t="n">
        <v>0</v>
      </c>
      <c r="E19" t="n">
        <v>2753</v>
      </c>
      <c r="F19" t="n">
        <v>1768</v>
      </c>
      <c r="G19" t="n">
        <v>1557</v>
      </c>
      <c r="H19" t="n">
        <v>1929</v>
      </c>
      <c r="I19" t="n">
        <v>1418</v>
      </c>
      <c r="J19" t="n">
        <v>1898</v>
      </c>
      <c r="K19" t="n">
        <v>1525</v>
      </c>
      <c r="L19" t="n">
        <v>1768</v>
      </c>
      <c r="M19" t="n">
        <v>2040</v>
      </c>
      <c r="N19" t="n">
        <v>2713</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741</v>
      </c>
      <c r="D23" s="73" t="n">
        <v>-59</v>
      </c>
      <c r="E23" s="73" t="n">
        <v>-131</v>
      </c>
      <c r="F23" s="73" t="n">
        <v>49</v>
      </c>
      <c r="G23" s="73" t="n">
        <v>1592</v>
      </c>
      <c r="H23" s="73" t="n">
        <v>-224</v>
      </c>
      <c r="I23" s="73" t="n">
        <v>-327</v>
      </c>
      <c r="J23" s="73" t="n">
        <v>-3627</v>
      </c>
      <c r="K23" t="n">
        <v>-939</v>
      </c>
      <c r="L23" s="73" t="n">
        <v>502</v>
      </c>
      <c r="M23" t="n">
        <v>-3802</v>
      </c>
      <c r="N23" s="73" t="n">
        <v>-3522</v>
      </c>
    </row>
    <row r="24">
      <c r="B24" t="inlineStr">
        <is>
          <t>Cash from Financing Activity -</t>
        </is>
      </c>
      <c r="C24" s="73" t="n">
        <v>-4935</v>
      </c>
      <c r="D24" s="73" t="n">
        <v>-6813</v>
      </c>
      <c r="E24" s="73" t="n">
        <v>-6939</v>
      </c>
      <c r="F24" s="73" t="n">
        <v>-20505</v>
      </c>
      <c r="G24" s="73" t="n">
        <v>-14512</v>
      </c>
      <c r="H24" s="73" t="n">
        <v>-17591</v>
      </c>
      <c r="I24" s="73" t="n">
        <v>-9786</v>
      </c>
      <c r="J24" s="73" t="n">
        <v>-24642</v>
      </c>
      <c r="K24" s="73" t="n">
        <v>-26695</v>
      </c>
      <c r="L24" s="73" t="n">
        <v>-17504</v>
      </c>
      <c r="M24" s="73" t="n">
        <v>-24161</v>
      </c>
      <c r="N24" s="73" t="n">
        <v>-39786</v>
      </c>
    </row>
    <row r="25">
      <c r="B25" t="inlineStr">
        <is>
          <t>Proceeds from shares</t>
        </is>
      </c>
      <c r="C25" t="n">
        <v>0</v>
      </c>
      <c r="D25" t="n">
        <v>0</v>
      </c>
      <c r="E25" s="73" t="n">
        <v>0</v>
      </c>
      <c r="F25" t="n">
        <v>5</v>
      </c>
      <c r="G25" t="n">
        <v>6</v>
      </c>
      <c r="H25" t="n">
        <v>6</v>
      </c>
      <c r="I25" t="n">
        <v>15</v>
      </c>
      <c r="J25" t="n">
        <v>21</v>
      </c>
      <c r="K25" s="73" t="n">
        <v>35</v>
      </c>
      <c r="L25" s="73" t="n">
        <v>5</v>
      </c>
      <c r="M25" t="n">
        <v>6</v>
      </c>
      <c r="N25" t="n">
        <v>2</v>
      </c>
    </row>
    <row r="26">
      <c r="B26" t="inlineStr">
        <is>
          <t>Proceeds from borrowings</t>
        </is>
      </c>
      <c r="C26" t="n">
        <v>0</v>
      </c>
      <c r="D26" t="n">
        <v>0</v>
      </c>
      <c r="E26" t="n">
        <v>0</v>
      </c>
      <c r="F26" t="n">
        <v>0</v>
      </c>
      <c r="G26" t="n">
        <v>0</v>
      </c>
      <c r="H26" t="n">
        <v>0</v>
      </c>
      <c r="I26" t="n">
        <v>0</v>
      </c>
      <c r="J26" t="n">
        <v>0</v>
      </c>
      <c r="K26" t="n">
        <v>0</v>
      </c>
      <c r="L26" t="n">
        <v>0</v>
      </c>
      <c r="M26" t="n">
        <v>0</v>
      </c>
      <c r="N26" s="73" t="n">
        <v>0</v>
      </c>
    </row>
    <row r="27">
      <c r="B27" t="inlineStr">
        <is>
          <t>Repayment of borrowings</t>
        </is>
      </c>
      <c r="C27" t="n">
        <v>0</v>
      </c>
      <c r="D27" t="n">
        <v>0</v>
      </c>
      <c r="E27" t="n">
        <v>0</v>
      </c>
      <c r="F27" t="n">
        <v>0</v>
      </c>
      <c r="G27" t="n">
        <v>0</v>
      </c>
      <c r="H27" t="n">
        <v>0</v>
      </c>
      <c r="I27" t="n">
        <v>0</v>
      </c>
      <c r="J27" t="n">
        <v>0</v>
      </c>
      <c r="K27" t="n">
        <v>0</v>
      </c>
      <c r="L27" t="n">
        <v>0</v>
      </c>
      <c r="M27" t="n">
        <v>-985</v>
      </c>
      <c r="N27" t="n">
        <v>0</v>
      </c>
    </row>
    <row r="28">
      <c r="B28" t="inlineStr">
        <is>
          <t>Interest paid fin</t>
        </is>
      </c>
      <c r="C28" t="n">
        <v>0</v>
      </c>
      <c r="D28" t="n">
        <v>0</v>
      </c>
      <c r="E28" t="n">
        <v>0</v>
      </c>
      <c r="F28" t="n">
        <v>0</v>
      </c>
      <c r="G28" t="n">
        <v>0</v>
      </c>
      <c r="H28" t="n">
        <v>0</v>
      </c>
      <c r="I28" t="n">
        <v>0</v>
      </c>
      <c r="J28" t="n">
        <v>0</v>
      </c>
      <c r="K28" t="n">
        <v>0</v>
      </c>
      <c r="L28" t="n">
        <v>0</v>
      </c>
      <c r="M28" t="n">
        <v>0</v>
      </c>
      <c r="N28" t="n">
        <v>0</v>
      </c>
    </row>
    <row r="29">
      <c r="B29" t="inlineStr">
        <is>
          <t>Dividends paid</t>
        </is>
      </c>
      <c r="C29" s="73" t="n">
        <v>-4935</v>
      </c>
      <c r="D29" s="73" t="n">
        <v>-6813</v>
      </c>
      <c r="E29" s="73" t="n">
        <v>-6939</v>
      </c>
      <c r="F29" s="73" t="n">
        <v>-7464</v>
      </c>
      <c r="G29" s="73" t="n">
        <v>-13705</v>
      </c>
      <c r="H29" s="73" t="n">
        <v>-9548</v>
      </c>
      <c r="I29" s="73" t="n">
        <v>-9137</v>
      </c>
      <c r="J29" s="73" t="n">
        <v>-12731</v>
      </c>
      <c r="K29" s="73" t="n">
        <v>-13653</v>
      </c>
      <c r="L29" s="73" t="n">
        <v>-14731</v>
      </c>
      <c r="M29" s="73" t="n">
        <v>-20289</v>
      </c>
      <c r="N29" s="73" t="n">
        <v>-18656</v>
      </c>
    </row>
    <row r="30">
      <c r="B30" t="inlineStr">
        <is>
          <t>Financial liabilities</t>
        </is>
      </c>
      <c r="C30" t="n">
        <v>0</v>
      </c>
      <c r="D30" t="n">
        <v>0</v>
      </c>
      <c r="E30" t="n">
        <v>0</v>
      </c>
      <c r="F30" t="n">
        <v>0</v>
      </c>
      <c r="G30" t="n">
        <v>0</v>
      </c>
      <c r="H30" t="n">
        <v>-571</v>
      </c>
      <c r="I30" t="n">
        <v>-698</v>
      </c>
      <c r="J30" t="n">
        <v>-915</v>
      </c>
      <c r="K30" t="n">
        <v>-1231</v>
      </c>
      <c r="L30" t="n">
        <v>-2024</v>
      </c>
      <c r="M30" t="n">
        <v>-2355</v>
      </c>
      <c r="N30" t="n">
        <v>-2824</v>
      </c>
    </row>
    <row r="31">
      <c r="B31" t="inlineStr">
        <is>
          <t>Other financing items</t>
        </is>
      </c>
      <c r="C31" t="n">
        <v>0</v>
      </c>
      <c r="D31" t="n">
        <v>0</v>
      </c>
      <c r="E31" s="73" t="n">
        <v>0</v>
      </c>
      <c r="F31" s="73" t="n">
        <v>-13046</v>
      </c>
      <c r="G31" s="73" t="n">
        <v>-813</v>
      </c>
      <c r="H31" s="73" t="n">
        <v>-7478</v>
      </c>
      <c r="I31" t="n">
        <v>34</v>
      </c>
      <c r="J31" t="n">
        <v>-11017</v>
      </c>
      <c r="K31" t="n">
        <v>-11846</v>
      </c>
      <c r="L31" t="n">
        <v>-754</v>
      </c>
      <c r="M31" t="n">
        <v>-538</v>
      </c>
      <c r="N31" t="n">
        <v>-18308</v>
      </c>
    </row>
    <row r="32">
      <c r="B32" t="inlineStr">
        <is>
          <t>Net Cash Flow</t>
        </is>
      </c>
      <c r="C32" t="n">
        <v>4417</v>
      </c>
      <c r="D32" t="n">
        <v>2330</v>
      </c>
      <c r="E32" t="n">
        <v>-10072</v>
      </c>
      <c r="F32" t="n">
        <v>-2754</v>
      </c>
      <c r="G32" t="n">
        <v>-303</v>
      </c>
      <c r="H32" t="n">
        <v>-919</v>
      </c>
      <c r="I32" t="n">
        <v>6065</v>
      </c>
      <c r="J32" t="n">
        <v>-7242</v>
      </c>
      <c r="K32" t="n">
        <v>-5299</v>
      </c>
      <c r="L32" t="n">
        <v>2613</v>
      </c>
      <c r="M32" t="n">
        <v>9669</v>
      </c>
      <c r="N32" t="n">
        <v>-2254</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0.86</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0.82</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0.92</v>
      </c>
      <c r="K17" s="47">
        <f>J17/(1+(1-G17)*H17)</f>
        <v/>
      </c>
    </row>
    <row r="18">
      <c r="B18" s="119">
        <f>'Raw Data'!O28</f>
        <v/>
      </c>
      <c r="C18" s="119" t="n"/>
      <c r="D18" s="119">
        <f>'Raw Data'!Q28</f>
        <v/>
      </c>
      <c r="E18" s="124">
        <f>'Raw Data'!R28</f>
        <v/>
      </c>
      <c r="F18" s="124">
        <f>'Raw Data'!S28</f>
        <v/>
      </c>
      <c r="G18" s="120">
        <f>'Raw Data'!T28</f>
        <v/>
      </c>
      <c r="H18" s="36">
        <f>E18/F18</f>
        <v/>
      </c>
      <c r="I18" s="36">
        <f>E18/SUM(E18:F18)</f>
        <v/>
      </c>
      <c r="J18" t="n">
        <v>1.05</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t>
        </is>
      </c>
      <c r="K26" s="121">
        <f>Control!C17</f>
        <v/>
      </c>
    </row>
    <row r="27">
      <c r="B27" t="inlineStr">
        <is>
          <t>Tax Rate</t>
        </is>
      </c>
      <c r="E27" s="46">
        <f>Control!C20</f>
        <v/>
      </c>
      <c r="G27" t="inlineStr">
        <is>
          <t>Equity Risk Premium</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I20</f>
        <v/>
      </c>
      <c r="G34" t="inlineStr">
        <is>
          <t>Target Debt/Equity</t>
        </is>
      </c>
      <c r="K34" s="46">
        <f>E38</f>
        <v/>
      </c>
    </row>
    <row r="35">
      <c r="B35" t="inlineStr">
        <is>
          <t>Market Capitalization</t>
        </is>
      </c>
      <c r="C35" s="107">
        <f>F16</f>
        <v/>
      </c>
      <c r="D35" s="36">
        <f>C35/C$36</f>
        <v/>
      </c>
      <c r="E35" s="46">
        <f>E36-E34</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E34/E35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t>
        </is>
      </c>
      <c r="C40" s="141" t="n"/>
      <c r="D40" s="141" t="n"/>
      <c r="E40" s="141" t="n"/>
      <c r="F40" s="141" t="n"/>
      <c r="G40" s="141" t="n"/>
      <c r="H40" s="144">
        <f>H38/H37</f>
        <v/>
      </c>
      <c r="I40" s="144">
        <f>I38/I37</f>
        <v/>
      </c>
      <c r="J40" s="144">
        <f>J38/J37</f>
        <v/>
      </c>
      <c r="K40" s="144">
        <f>K38/K37</f>
        <v/>
      </c>
      <c r="L40" s="144">
        <f>L38/L37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WACC!E27</f>
        <v/>
      </c>
      <c r="I48" s="81">
        <f>H48</f>
        <v/>
      </c>
      <c r="J48" s="81">
        <f>I48</f>
        <v/>
      </c>
      <c r="K48" s="81">
        <f>J48</f>
        <v/>
      </c>
      <c r="L48" s="81">
        <f>K48</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Reinvestment</t>
        </is>
      </c>
      <c r="H51" s="180" t="inlineStr">
        <is>
          <t>-</t>
        </is>
      </c>
      <c r="I51" s="107">
        <f>SUM(I44:I45)</f>
        <v/>
      </c>
      <c r="J51" s="107">
        <f>SUM(J44:J45)</f>
        <v/>
      </c>
      <c r="K51" s="107">
        <f>SUM(K44:K45)</f>
        <v/>
      </c>
      <c r="L51" s="107">
        <f>SUM(L44:L45)</f>
        <v/>
      </c>
    </row>
    <row r="52" ht="15" customHeight="1" s="176" thickBot="1">
      <c r="B52" s="127" t="inlineStr">
        <is>
          <t>Reinvestment Rate</t>
        </is>
      </c>
      <c r="C52" s="127" t="n"/>
      <c r="D52" s="127" t="n"/>
      <c r="E52" s="127" t="n"/>
      <c r="F52" s="127" t="n"/>
      <c r="G52" s="127" t="n"/>
      <c r="H52" s="147" t="inlineStr">
        <is>
          <t>-</t>
        </is>
      </c>
      <c r="I52" s="143">
        <f>I51/I49</f>
        <v/>
      </c>
      <c r="J52" s="143">
        <f>J51/J49</f>
        <v/>
      </c>
      <c r="K52" s="143">
        <f>K51/K49</f>
        <v/>
      </c>
      <c r="L52" s="143">
        <f>L51/L49</f>
        <v/>
      </c>
    </row>
    <row r="54">
      <c r="J54" s="37" t="inlineStr">
        <is>
          <t>4 Year Average</t>
        </is>
      </c>
      <c r="K54" s="37" t="n"/>
      <c r="L54" s="114">
        <f>AVERAGE(I52:L52)</f>
        <v/>
      </c>
    </row>
    <row r="55">
      <c r="J55" s="210" t="inlineStr">
        <is>
          <t>5 Col Median (H:L)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t="inlineStr">
        <is>
          <t>-</t>
        </is>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t="n"/>
      <c r="I62" s="135">
        <f>I59*I60</f>
        <v/>
      </c>
      <c r="J62" s="135">
        <f>J59*J60</f>
        <v/>
      </c>
      <c r="K62" s="135">
        <f>K59*K60</f>
        <v/>
      </c>
      <c r="L62" s="135">
        <f>L59*L60</f>
        <v/>
      </c>
    </row>
    <row r="64">
      <c r="J64" s="37" t="inlineStr">
        <is>
          <t>4 Year Average</t>
        </is>
      </c>
      <c r="K64" s="37" t="n"/>
      <c r="L64" s="114">
        <f>AVERAGE(I62:L62)</f>
        <v/>
      </c>
    </row>
    <row r="65">
      <c r="J65" s="210" t="inlineStr">
        <is>
          <t>5 Col Median (H:L)</t>
        </is>
      </c>
      <c r="K65" s="37" t="n"/>
      <c r="L65" s="114">
        <f>MEDIAN(I62:L62)</f>
        <v/>
      </c>
    </row>
    <row r="67">
      <c r="B67" t="inlineStr">
        <is>
          <t>ORGANIC REINVESTMENT CROSS-CHECK (info only - not wired to DCF)</t>
        </is>
      </c>
    </row>
    <row r="68">
      <c r="B68" t="inlineStr">
        <is>
          <t>Organic Reinvestment (Net Capex + Change in WC)</t>
        </is>
      </c>
      <c r="I68" s="254">
        <f>I44+I45</f>
        <v/>
      </c>
      <c r="J68" s="254">
        <f>J44+J45</f>
        <v/>
      </c>
      <c r="K68" s="254">
        <f>K44+K45</f>
        <v/>
      </c>
      <c r="L68" s="254">
        <f>L44+L45</f>
        <v/>
      </c>
    </row>
    <row r="69">
      <c r="B69" t="inlineStr">
        <is>
          <t>Organic Reinvestment Rate (on NOPAT)</t>
        </is>
      </c>
      <c r="I69" s="256">
        <f>I68/I49</f>
        <v/>
      </c>
      <c r="J69" s="256">
        <f>J68/J49</f>
        <v/>
      </c>
      <c r="K69" s="256">
        <f>K68/K49</f>
        <v/>
      </c>
      <c r="L69" s="256">
        <f>L68/L49</f>
        <v/>
      </c>
    </row>
    <row r="70">
      <c r="B70" t="inlineStr">
        <is>
          <t>Organic 4-Year Median</t>
        </is>
      </c>
      <c r="L70" s="256">
        <f>MEDIAN(I69:L69)</f>
        <v/>
      </c>
    </row>
    <row r="71">
      <c r="B71" t="inlineStr">
        <is>
          <t>Currently used in DCF (L55 - includes FY22 blank-year and FY25 acquisition values)</t>
        </is>
      </c>
      <c r="L71" s="256">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50">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f>I13+1</f>
        <v/>
      </c>
      <c r="K13" s="72">
        <f>J13+1</f>
        <v/>
      </c>
      <c r="L13" s="72">
        <f>K13+1</f>
        <v/>
      </c>
      <c r="M13" s="72">
        <f>L13+1</f>
        <v/>
      </c>
    </row>
    <row r="14">
      <c r="B14" s="72" t="inlineStr">
        <is>
          <t>Discounting Factor</t>
        </is>
      </c>
      <c r="C14" s="72" t="n"/>
      <c r="D14" s="72" t="n"/>
      <c r="E14" s="72" t="n"/>
      <c r="F14" s="72" t="n"/>
      <c r="G14" s="72" t="n"/>
      <c r="H14" s="72" t="n"/>
      <c r="I14" s="72">
        <f>1/(1+$D$20)^I13</f>
        <v/>
      </c>
      <c r="J14" s="72">
        <f>1/(1+$D$20)^J13</f>
        <v/>
      </c>
      <c r="K14" s="72">
        <f>1/(1+$D$20)^K13</f>
        <v/>
      </c>
      <c r="L14" s="72">
        <f>1/(1+$D$20)^L13</f>
        <v/>
      </c>
      <c r="M14" s="72">
        <f>1/(1+$D$20)^M13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1">
      <c r="B31" s="84" t="inlineStr">
        <is>
          <t>Calculation of Equity Value</t>
        </is>
      </c>
      <c r="C31" s="84" t="n"/>
      <c r="D31" s="84" t="n"/>
    </row>
    <row r="33">
      <c r="B33" t="inlineStr">
        <is>
          <t>PV of FCFF</t>
        </is>
      </c>
      <c r="D33" s="107">
        <f>SUM(I16:M16)</f>
        <v/>
      </c>
    </row>
    <row r="34">
      <c r="B34" t="inlineStr">
        <is>
          <t>Terminal value</t>
        </is>
      </c>
      <c r="D34" s="107">
        <f>D29*M14</f>
        <v/>
      </c>
    </row>
    <row r="35">
      <c r="B35" s="37" t="inlineStr">
        <is>
          <t>Value of Operating Assets</t>
        </is>
      </c>
      <c r="C35" s="37" t="n"/>
      <c r="D35" s="129">
        <f>SUM(D33:D34)</f>
        <v/>
      </c>
    </row>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10" t="inlineStr">
        <is>
          <t>Less: Minority Interest</t>
        </is>
      </c>
      <c r="C39" s="37" t="n"/>
      <c r="D39" s="211">
        <f>IF(Control!$C$24="Market Multiple", INDEX('Data Sheet'!$B73:$K73, Control!$C$26)*1.2, INDEX('Data Sheet'!$B73:$K73, Control!$C$26))</f>
        <v/>
      </c>
    </row>
    <row r="40">
      <c r="B40" s="210" t="inlineStr">
        <is>
          <t>Equity Value</t>
        </is>
      </c>
      <c r="D40" s="211">
        <f>D35+D37-D38-D39</f>
        <v/>
      </c>
    </row>
    <row r="41">
      <c r="B41" s="212" t="inlineStr">
        <is>
          <t>No. of Shares</t>
        </is>
      </c>
      <c r="D41" s="213">
        <f>INDEX('Data Sheet'!$B70:$K70, Control!$C$26)/Control!$C$9</f>
        <v/>
      </c>
    </row>
    <row r="42" ht="15" customHeight="1" s="176" thickBot="1">
      <c r="B42" s="214" t="n"/>
      <c r="C42" s="214" t="n"/>
      <c r="D42" s="214" t="n"/>
    </row>
    <row r="43">
      <c r="B43" s="215" t="inlineStr">
        <is>
          <t>Equity Value per Share</t>
        </is>
      </c>
      <c r="D43" s="216">
        <f>D40/D41</f>
        <v/>
      </c>
    </row>
    <row r="44">
      <c r="B44" s="214" t="n"/>
      <c r="C44" s="214" t="n"/>
      <c r="D44" s="214" t="n"/>
    </row>
    <row r="45">
      <c r="B45" s="214" t="inlineStr">
        <is>
          <t>Share Price</t>
        </is>
      </c>
      <c r="D45" s="217">
        <f>'Data Sheet'!B8</f>
        <v/>
      </c>
    </row>
    <row r="46">
      <c r="B46" s="214" t="inlineStr">
        <is>
          <t>Upside / (Downside)</t>
        </is>
      </c>
      <c r="D46" s="218">
        <f>D43/D45-1</f>
        <v/>
      </c>
    </row>
    <row r="47">
      <c r="B47" s="219" t="n"/>
      <c r="C47" s="219" t="n"/>
      <c r="D47" s="219" t="n"/>
    </row>
    <row r="49">
      <c r="B49" s="234" t="inlineStr">
        <is>
          <t>2D SENSITIVITY ANALYSIS: IMPLIED SHARE PRICE (INR)</t>
        </is>
      </c>
    </row>
    <row r="50">
      <c r="B50" s="222" t="inlineStr">
        <is>
          <t>WACC \ Terminal Growth (g)</t>
        </is>
      </c>
      <c r="E50" s="251">
        <f>D19+(-0.01)</f>
        <v/>
      </c>
      <c r="F50" s="251">
        <f>D19+(-0.005)</f>
        <v/>
      </c>
      <c r="G50" s="251">
        <f>D19+(0)</f>
        <v/>
      </c>
      <c r="H50" s="251">
        <f>D19+(0.005)</f>
        <v/>
      </c>
      <c r="I50" s="251">
        <f>D19+(0.01)</f>
        <v/>
      </c>
    </row>
    <row r="51">
      <c r="B51" s="251">
        <f>D20+(-0.01)</f>
        <v/>
      </c>
      <c r="E51" s="252">
        <f>IF($B51&lt;=E$50,"n/a",MAX(0,(SUMPRODUCT($I$12:$M$12,(1+$B51)^(-$I$13:$M$13))+($M$10*(1+E$50)*(1-MIN(Control!$C$22,E$50/$D$22)))/($B51-E$50)*(1+$B51)^(-$M$13)+$D$37-$D$38-$D$39)/$D$41))</f>
        <v/>
      </c>
      <c r="F51" s="252">
        <f>IF($B51&lt;=F$50,"n/a",MAX(0,(SUMPRODUCT($I$12:$M$12,(1+$B51)^(-$I$13:$M$13))+($M$10*(1+F$50)*(1-MIN(Control!$C$22,F$50/$D$22)))/($B51-F$50)*(1+$B51)^(-$M$13)+$D$37-$D$38-$D$39)/$D$41))</f>
        <v/>
      </c>
      <c r="G51" s="252">
        <f>IF($B51&lt;=G$50,"n/a",MAX(0,(SUMPRODUCT($I$12:$M$12,(1+$B51)^(-$I$13:$M$13))+($M$10*(1+G$50)*(1-MIN(Control!$C$22,G$50/$D$22)))/($B51-G$50)*(1+$B51)^(-$M$13)+$D$37-$D$38-$D$39)/$D$41))</f>
        <v/>
      </c>
      <c r="H51" s="252">
        <f>IF($B51&lt;=H$50,"n/a",MAX(0,(SUMPRODUCT($I$12:$M$12,(1+$B51)^(-$I$13:$M$13))+($M$10*(1+H$50)*(1-MIN(Control!$C$22,H$50/$D$22)))/($B51-H$50)*(1+$B51)^(-$M$13)+$D$37-$D$38-$D$39)/$D$41))</f>
        <v/>
      </c>
      <c r="I51" s="252">
        <f>IF($B51&lt;=I$50,"n/a",MAX(0,(SUMPRODUCT($I$12:$M$12,(1+$B51)^(-$I$13:$M$13))+($M$10*(1+I$50)*(1-MIN(Control!$C$22,I$50/$D$22)))/($B51-I$50)*(1+$B51)^(-$M$13)+$D$37-$D$38-$D$39)/$D$41))</f>
        <v/>
      </c>
    </row>
    <row r="52">
      <c r="B52" s="251">
        <f>D20+(-0.005)</f>
        <v/>
      </c>
      <c r="E52" s="252">
        <f>IF($B52&lt;=E$50,"n/a",MAX(0,(SUMPRODUCT($I$12:$M$12,(1+$B52)^(-$I$13:$M$13))+($M$10*(1+E$50)*(1-MIN(Control!$C$22,E$50/$D$22)))/($B52-E$50)*(1+$B52)^(-$M$13)+$D$37-$D$38-$D$39)/$D$41))</f>
        <v/>
      </c>
      <c r="F52" s="252">
        <f>IF($B52&lt;=F$50,"n/a",MAX(0,(SUMPRODUCT($I$12:$M$12,(1+$B52)^(-$I$13:$M$13))+($M$10*(1+F$50)*(1-MIN(Control!$C$22,F$50/$D$22)))/($B52-F$50)*(1+$B52)^(-$M$13)+$D$37-$D$38-$D$39)/$D$41))</f>
        <v/>
      </c>
      <c r="G52" s="252">
        <f>IF($B52&lt;=G$50,"n/a",MAX(0,(SUMPRODUCT($I$12:$M$12,(1+$B52)^(-$I$13:$M$13))+($M$10*(1+G$50)*(1-MIN(Control!$C$22,G$50/$D$22)))/($B52-G$50)*(1+$B52)^(-$M$13)+$D$37-$D$38-$D$39)/$D$41))</f>
        <v/>
      </c>
      <c r="H52" s="252">
        <f>IF($B52&lt;=H$50,"n/a",MAX(0,(SUMPRODUCT($I$12:$M$12,(1+$B52)^(-$I$13:$M$13))+($M$10*(1+H$50)*(1-MIN(Control!$C$22,H$50/$D$22)))/($B52-H$50)*(1+$B52)^(-$M$13)+$D$37-$D$38-$D$39)/$D$41))</f>
        <v/>
      </c>
      <c r="I52" s="252">
        <f>IF($B52&lt;=I$50,"n/a",MAX(0,(SUMPRODUCT($I$12:$M$12,(1+$B52)^(-$I$13:$M$13))+($M$10*(1+I$50)*(1-MIN(Control!$C$22,I$50/$D$22)))/($B52-I$50)*(1+$B52)^(-$M$13)+$D$37-$D$38-$D$39)/$D$41))</f>
        <v/>
      </c>
    </row>
    <row r="53">
      <c r="B53" s="251">
        <f>D20+(0)</f>
        <v/>
      </c>
      <c r="E53" s="252">
        <f>IF($B53&lt;=E$50,"n/a",MAX(0,(SUMPRODUCT($I$12:$M$12,(1+$B53)^(-$I$13:$M$13))+($M$10*(1+E$50)*(1-MIN(Control!$C$22,E$50/$D$22)))/($B53-E$50)*(1+$B53)^(-$M$13)+$D$37-$D$38-$D$39)/$D$41))</f>
        <v/>
      </c>
      <c r="F53" s="252">
        <f>IF($B53&lt;=F$50,"n/a",MAX(0,(SUMPRODUCT($I$12:$M$12,(1+$B53)^(-$I$13:$M$13))+($M$10*(1+F$50)*(1-MIN(Control!$C$22,F$50/$D$22)))/($B53-F$50)*(1+$B53)^(-$M$13)+$D$37-$D$38-$D$39)/$D$41))</f>
        <v/>
      </c>
      <c r="G53" s="252">
        <f>IF($B53&lt;=G$50,"n/a",MAX(0,(SUMPRODUCT($I$12:$M$12,(1+$B53)^(-$I$13:$M$13))+($M$10*(1+G$50)*(1-MIN(Control!$C$22,G$50/$D$22)))/($B53-G$50)*(1+$B53)^(-$M$13)+$D$37-$D$38-$D$39)/$D$41))</f>
        <v/>
      </c>
      <c r="H53" s="252">
        <f>IF($B53&lt;=H$50,"n/a",MAX(0,(SUMPRODUCT($I$12:$M$12,(1+$B53)^(-$I$13:$M$13))+($M$10*(1+H$50)*(1-MIN(Control!$C$22,H$50/$D$22)))/($B53-H$50)*(1+$B53)^(-$M$13)+$D$37-$D$38-$D$39)/$D$41))</f>
        <v/>
      </c>
      <c r="I53" s="252">
        <f>IF($B53&lt;=I$50,"n/a",MAX(0,(SUMPRODUCT($I$12:$M$12,(1+$B53)^(-$I$13:$M$13))+($M$10*(1+I$50)*(1-MIN(Control!$C$22,I$50/$D$22)))/($B53-I$50)*(1+$B53)^(-$M$13)+$D$37-$D$38-$D$39)/$D$41))</f>
        <v/>
      </c>
    </row>
    <row r="54">
      <c r="B54" s="251">
        <f>D20+(0.005)</f>
        <v/>
      </c>
      <c r="E54" s="252">
        <f>IF($B54&lt;=E$50,"n/a",MAX(0,(SUMPRODUCT($I$12:$M$12,(1+$B54)^(-$I$13:$M$13))+($M$10*(1+E$50)*(1-MIN(Control!$C$22,E$50/$D$22)))/($B54-E$50)*(1+$B54)^(-$M$13)+$D$37-$D$38-$D$39)/$D$41))</f>
        <v/>
      </c>
      <c r="F54" s="252">
        <f>IF($B54&lt;=F$50,"n/a",MAX(0,(SUMPRODUCT($I$12:$M$12,(1+$B54)^(-$I$13:$M$13))+($M$10*(1+F$50)*(1-MIN(Control!$C$22,F$50/$D$22)))/($B54-F$50)*(1+$B54)^(-$M$13)+$D$37-$D$38-$D$39)/$D$41))</f>
        <v/>
      </c>
      <c r="G54" s="252">
        <f>IF($B54&lt;=G$50,"n/a",MAX(0,(SUMPRODUCT($I$12:$M$12,(1+$B54)^(-$I$13:$M$13))+($M$10*(1+G$50)*(1-MIN(Control!$C$22,G$50/$D$22)))/($B54-G$50)*(1+$B54)^(-$M$13)+$D$37-$D$38-$D$39)/$D$41))</f>
        <v/>
      </c>
      <c r="H54" s="252">
        <f>IF($B54&lt;=H$50,"n/a",MAX(0,(SUMPRODUCT($I$12:$M$12,(1+$B54)^(-$I$13:$M$13))+($M$10*(1+H$50)*(1-MIN(Control!$C$22,H$50/$D$22)))/($B54-H$50)*(1+$B54)^(-$M$13)+$D$37-$D$38-$D$39)/$D$41))</f>
        <v/>
      </c>
      <c r="I54" s="252">
        <f>IF($B54&lt;=I$50,"n/a",MAX(0,(SUMPRODUCT($I$12:$M$12,(1+$B54)^(-$I$13:$M$13))+($M$10*(1+I$50)*(1-MIN(Control!$C$22,I$50/$D$22)))/($B54-I$50)*(1+$B54)^(-$M$13)+$D$37-$D$38-$D$39)/$D$41))</f>
        <v/>
      </c>
    </row>
    <row r="55">
      <c r="B55" s="251">
        <f>D20+(0.01)</f>
        <v/>
      </c>
      <c r="E55" s="252">
        <f>IF($B55&lt;=E$50,"n/a",MAX(0,(SUMPRODUCT($I$12:$M$12,(1+$B55)^(-$I$13:$M$13))+($M$10*(1+E$50)*(1-MIN(Control!$C$22,E$50/$D$22)))/($B55-E$50)*(1+$B55)^(-$M$13)+$D$37-$D$38-$D$39)/$D$41))</f>
        <v/>
      </c>
      <c r="F55" s="252">
        <f>IF($B55&lt;=F$50,"n/a",MAX(0,(SUMPRODUCT($I$12:$M$12,(1+$B55)^(-$I$13:$M$13))+($M$10*(1+F$50)*(1-MIN(Control!$C$22,F$50/$D$22)))/($B55-F$50)*(1+$B55)^(-$M$13)+$D$37-$D$38-$D$39)/$D$41))</f>
        <v/>
      </c>
      <c r="G55" s="252">
        <f>IF($B55&lt;=G$50,"n/a",MAX(0,(SUMPRODUCT($I$12:$M$12,(1+$B55)^(-$I$13:$M$13))+($M$10*(1+G$50)*(1-MIN(Control!$C$22,G$50/$D$22)))/($B55-G$50)*(1+$B55)^(-$M$13)+$D$37-$D$38-$D$39)/$D$41))</f>
        <v/>
      </c>
      <c r="H55" s="252">
        <f>IF($B55&lt;=H$50,"n/a",MAX(0,(SUMPRODUCT($I$12:$M$12,(1+$B55)^(-$I$13:$M$13))+($M$10*(1+H$50)*(1-MIN(Control!$C$22,H$50/$D$22)))/($B55-H$50)*(1+$B55)^(-$M$13)+$D$37-$D$38-$D$39)/$D$41))</f>
        <v/>
      </c>
      <c r="I55" s="252">
        <f>IF($B55&lt;=I$50,"n/a",MAX(0,(SUMPRODUCT($I$12:$M$12,(1+$B55)^(-$I$13:$M$13))+($M$10*(1+I$50)*(1-MIN(Control!$C$22,I$50/$D$22)))/($B55-I$50)*(1+$B55)^(-$M$13)+$D$37-$D$38-$D$39)/$D$41))</f>
        <v/>
      </c>
    </row>
    <row r="58">
      <c r="B58" s="234"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54">
        <f>$H$8*(1+D65)</f>
        <v/>
      </c>
      <c r="E68" s="254">
        <f>D68*(1+E65)</f>
        <v/>
      </c>
      <c r="F68" s="254">
        <f>E68*(1+F65)</f>
        <v/>
      </c>
      <c r="G68" s="254">
        <f>F68*(1+G65)</f>
        <v/>
      </c>
      <c r="H68" s="254">
        <f>G68*(1+H65)</f>
        <v/>
      </c>
      <c r="I68" s="254">
        <f>H68*(1+I65)</f>
        <v/>
      </c>
      <c r="J68" s="254">
        <f>I68*(1+J65)</f>
        <v/>
      </c>
      <c r="K68" s="254">
        <f>J68*(1+K65)</f>
        <v/>
      </c>
      <c r="L68" s="254">
        <f>K68*(1+L65)</f>
        <v/>
      </c>
      <c r="M68" s="254">
        <f>L68*(1+M65)</f>
        <v/>
      </c>
    </row>
    <row r="69">
      <c r="B69" t="inlineStr">
        <is>
          <t>NOPAT</t>
        </is>
      </c>
      <c r="D69" s="254">
        <f>D68*(1-$H$9)</f>
        <v/>
      </c>
      <c r="E69" s="254">
        <f>E68*(1-$H$9)</f>
        <v/>
      </c>
      <c r="F69" s="254">
        <f>F68*(1-$H$9)</f>
        <v/>
      </c>
      <c r="G69" s="254">
        <f>G68*(1-$H$9)</f>
        <v/>
      </c>
      <c r="H69" s="254">
        <f>H68*(1-$H$9)</f>
        <v/>
      </c>
      <c r="I69" s="254">
        <f>I68*(1-$H$9)</f>
        <v/>
      </c>
      <c r="J69" s="254">
        <f>J68*(1-$H$9)</f>
        <v/>
      </c>
      <c r="K69" s="254">
        <f>K68*(1-$H$9)</f>
        <v/>
      </c>
      <c r="L69" s="254">
        <f>L68*(1-$H$9)</f>
        <v/>
      </c>
      <c r="M69" s="254">
        <f>M68*(1-$H$9)</f>
        <v/>
      </c>
    </row>
    <row r="70">
      <c r="B70" t="inlineStr">
        <is>
          <t>FCFF</t>
        </is>
      </c>
      <c r="D70" s="254">
        <f>D69*(1-D67)</f>
        <v/>
      </c>
      <c r="E70" s="254">
        <f>E69*(1-E67)</f>
        <v/>
      </c>
      <c r="F70" s="254">
        <f>F69*(1-F67)</f>
        <v/>
      </c>
      <c r="G70" s="254">
        <f>G69*(1-G67)</f>
        <v/>
      </c>
      <c r="H70" s="254">
        <f>H69*(1-H67)</f>
        <v/>
      </c>
      <c r="I70" s="254">
        <f>I69*(1-I67)</f>
        <v/>
      </c>
      <c r="J70" s="254">
        <f>J69*(1-J67)</f>
        <v/>
      </c>
      <c r="K70" s="254">
        <f>K69*(1-K67)</f>
        <v/>
      </c>
      <c r="L70" s="254">
        <f>L69*(1-L67)</f>
        <v/>
      </c>
      <c r="M70" s="254">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54">
        <f>D70*D71</f>
        <v/>
      </c>
      <c r="E72" s="254">
        <f>E70*E71</f>
        <v/>
      </c>
      <c r="F72" s="254">
        <f>F70*F71</f>
        <v/>
      </c>
      <c r="G72" s="254">
        <f>G70*G71</f>
        <v/>
      </c>
      <c r="H72" s="254">
        <f>H70*H71</f>
        <v/>
      </c>
      <c r="I72" s="254">
        <f>I70*I71</f>
        <v/>
      </c>
      <c r="J72" s="254">
        <f>J70*J71</f>
        <v/>
      </c>
      <c r="K72" s="254">
        <f>K70*K71</f>
        <v/>
      </c>
      <c r="L72" s="254">
        <f>L70*L71</f>
        <v/>
      </c>
      <c r="M72" s="254">
        <f>M70*M71</f>
        <v/>
      </c>
    </row>
    <row r="74">
      <c r="B74" t="inlineStr">
        <is>
          <t>Terminal value - Gordon Growth</t>
        </is>
      </c>
      <c r="D74" s="254">
        <f>M69*(1+$D$19)*(1-MIN(Control!$C$22,$D$19/$D$22))/($D$20-$D$19)</f>
        <v/>
      </c>
    </row>
    <row r="75">
      <c r="B75" t="inlineStr">
        <is>
          <t>Terminal value - Exit Multiple (x Year-10 EBIT)</t>
        </is>
      </c>
      <c r="D75" s="254">
        <f>Control!$C$34*M68</f>
        <v/>
      </c>
    </row>
    <row r="76">
      <c r="B76" t="inlineStr">
        <is>
          <t>Terminal method used</t>
        </is>
      </c>
      <c r="D76">
        <f>Control!$C$35</f>
        <v/>
      </c>
    </row>
    <row r="77">
      <c r="B77" t="inlineStr">
        <is>
          <t>PV of terminal value</t>
        </is>
      </c>
      <c r="D77" s="254">
        <f>IF(D76="Exit Multiple",D75*(1+$D$20)^(-10),D74*M71)</f>
        <v/>
      </c>
    </row>
    <row r="78">
      <c r="B78" t="inlineStr">
        <is>
          <t>PV of 10-year FCFF</t>
        </is>
      </c>
      <c r="D78" s="254">
        <f>SUM(D72:M72)</f>
        <v/>
      </c>
    </row>
    <row r="79">
      <c r="B79" t="inlineStr">
        <is>
          <t>Enterprise value</t>
        </is>
      </c>
      <c r="D79" s="254">
        <f>D77+D78</f>
        <v/>
      </c>
    </row>
    <row r="80">
      <c r="B80" t="inlineStr">
        <is>
          <t>Equity value</t>
        </is>
      </c>
      <c r="D80" s="254">
        <f>D79+$D$37-$D$38-$D$39</f>
        <v/>
      </c>
    </row>
    <row r="81">
      <c r="B81" s="210" t="inlineStr">
        <is>
          <t>Alt DCF value per share</t>
        </is>
      </c>
      <c r="D81" s="211">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2026-10-01</t>
        </is>
      </c>
      <c r="H6" t="n">
        <v>1035</v>
      </c>
      <c r="J6" t="n">
        <v>22421.95</v>
      </c>
    </row>
    <row r="7">
      <c r="B7" t="n">
        <v>2024</v>
      </c>
      <c r="C7" s="46" t="n">
        <v>0.08749999999999999</v>
      </c>
      <c r="G7" s="34" t="inlineStr">
        <is>
          <t>2026-09-30</t>
        </is>
      </c>
      <c r="H7" t="n">
        <v>994.1</v>
      </c>
      <c r="J7" t="n">
        <v>22620.45</v>
      </c>
    </row>
    <row r="8">
      <c r="B8" t="n">
        <v>2023</v>
      </c>
      <c r="C8" s="46" t="n">
        <v>0.1942</v>
      </c>
      <c r="G8" s="34" t="inlineStr">
        <is>
          <t>2026-09-29</t>
        </is>
      </c>
      <c r="H8" t="n">
        <v>1015.4</v>
      </c>
      <c r="J8" t="n">
        <v>22716.2</v>
      </c>
    </row>
    <row r="9">
      <c r="B9" t="n">
        <v>2022</v>
      </c>
      <c r="C9" s="46" t="n">
        <v>0.0432</v>
      </c>
      <c r="G9" s="34" t="inlineStr">
        <is>
          <t>2026-09-28</t>
        </is>
      </c>
      <c r="H9" t="n">
        <v>1003.2</v>
      </c>
      <c r="J9" t="n">
        <v>22780.25</v>
      </c>
    </row>
    <row r="10">
      <c r="B10" t="n">
        <v>2021</v>
      </c>
      <c r="C10" s="46" t="n">
        <v>0.2412</v>
      </c>
      <c r="G10" s="34" t="inlineStr">
        <is>
          <t>2026-09-25</t>
        </is>
      </c>
      <c r="H10" t="n">
        <v>1000.2</v>
      </c>
      <c r="J10" t="n">
        <v>23140.5</v>
      </c>
    </row>
    <row r="11">
      <c r="B11" t="n">
        <v>2020</v>
      </c>
      <c r="C11" s="46" t="n">
        <v>0.149</v>
      </c>
      <c r="G11" s="34" t="inlineStr">
        <is>
          <t>2026-09-24</t>
        </is>
      </c>
      <c r="H11" t="n">
        <v>1014.5</v>
      </c>
      <c r="J11" t="n">
        <v>23063.1</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2026-09-23</t>
        </is>
      </c>
      <c r="H12" t="n">
        <v>1020.5</v>
      </c>
      <c r="J12" t="n">
        <v>23446.8</v>
      </c>
      <c r="N12" t="n">
        <v>1</v>
      </c>
      <c r="O12" t="inlineStr">
        <is>
          <t>HCL Technologies</t>
        </is>
      </c>
      <c r="P12" t="n">
        <v>1246</v>
      </c>
      <c r="Q12">
        <f>IF(P12&gt;0, R12/P12, 0)</f>
        <v/>
      </c>
      <c r="R12" t="n">
        <v>338122.8</v>
      </c>
      <c r="S12" t="n">
        <v>4200</v>
      </c>
      <c r="T12" t="n">
        <v>15000</v>
      </c>
      <c r="U12">
        <f>R12+S12-T12</f>
        <v/>
      </c>
      <c r="V12" t="n">
        <v>66052</v>
      </c>
      <c r="W12">
        <f>IF(X12&gt;0, U12/X12, "N/A")</f>
        <v/>
      </c>
      <c r="X12" t="n">
        <v>14971</v>
      </c>
    </row>
    <row r="13">
      <c r="B13" t="n">
        <v>2018</v>
      </c>
      <c r="C13" s="46" t="n">
        <v>0.0315</v>
      </c>
      <c r="G13" s="34" t="inlineStr">
        <is>
          <t>2026-09-22</t>
        </is>
      </c>
      <c r="H13" t="n">
        <v>1029.4</v>
      </c>
      <c r="J13" t="n">
        <v>23329</v>
      </c>
      <c r="N13" t="n">
        <v>2</v>
      </c>
      <c r="O13" t="inlineStr">
        <is>
          <t>TCS</t>
        </is>
      </c>
      <c r="P13" t="n">
        <v>2079.3</v>
      </c>
      <c r="Q13">
        <f>IF(P13&gt;0, R13/P13, 0)</f>
        <v/>
      </c>
      <c r="R13" t="n">
        <v>752308.9</v>
      </c>
      <c r="S13" t="n">
        <v>0</v>
      </c>
      <c r="T13" t="n">
        <v>38000</v>
      </c>
      <c r="U13">
        <f>R13+S13-T13</f>
        <v/>
      </c>
      <c r="V13" t="n">
        <v>76487.98</v>
      </c>
      <c r="W13">
        <f>IF(X13&gt;0, U13/X13, "N/A")</f>
        <v/>
      </c>
      <c r="X13" t="n">
        <v>20183.53</v>
      </c>
    </row>
    <row r="14">
      <c r="B14" t="n">
        <v>2017</v>
      </c>
      <c r="C14" s="46" t="n">
        <v>0.2865</v>
      </c>
      <c r="G14" s="34" t="inlineStr">
        <is>
          <t>2026-09-21</t>
        </is>
      </c>
      <c r="H14" t="n">
        <v>1038.5</v>
      </c>
      <c r="J14" t="n">
        <v>23414.3</v>
      </c>
      <c r="N14" t="n">
        <v>3</v>
      </c>
      <c r="O14">
        <f>'Data Sheet'!B1</f>
        <v/>
      </c>
      <c r="P14" t="n">
        <v>1035</v>
      </c>
      <c r="Q14">
        <f>IF(P14&gt;0, R14/P14, 0)</f>
        <v/>
      </c>
      <c r="R14" t="n">
        <v>420032</v>
      </c>
      <c r="S14" t="n">
        <v>9176</v>
      </c>
      <c r="T14" t="n">
        <v>0</v>
      </c>
      <c r="U14">
        <f>R14+S14-T14</f>
        <v/>
      </c>
      <c r="V14" t="n">
        <v>4400.19</v>
      </c>
      <c r="W14">
        <f>IF(X14&gt;0, U14/X14, "N/A")</f>
        <v/>
      </c>
      <c r="X14" t="n">
        <v>158.3</v>
      </c>
    </row>
    <row r="15">
      <c r="B15" t="n">
        <v>2016</v>
      </c>
      <c r="C15" s="46" t="n">
        <v>0.0301</v>
      </c>
      <c r="G15" s="34" t="inlineStr">
        <is>
          <t>2026-09-18</t>
        </is>
      </c>
      <c r="H15" t="n">
        <v>1051.4</v>
      </c>
      <c r="J15" t="n">
        <v>23346.4</v>
      </c>
      <c r="N15" t="n">
        <v>4</v>
      </c>
      <c r="O15" t="inlineStr">
        <is>
          <t>Wipro</t>
        </is>
      </c>
      <c r="P15" t="n">
        <v>159.5</v>
      </c>
      <c r="Q15">
        <f>IF(P15&gt;0, R15/P15, 0)</f>
        <v/>
      </c>
      <c r="R15" t="n">
        <v>157988.7</v>
      </c>
      <c r="S15" t="n">
        <v>15000</v>
      </c>
      <c r="T15" t="n">
        <v>22000</v>
      </c>
      <c r="U15">
        <f>R15+S15-T15</f>
        <v/>
      </c>
      <c r="V15" t="n">
        <v>2012.58</v>
      </c>
      <c r="W15">
        <f>IF(X15&gt;0, U15/X15, "N/A")</f>
        <v/>
      </c>
      <c r="X15" t="n">
        <v>0.22</v>
      </c>
    </row>
    <row r="16">
      <c r="B16" t="n">
        <v>2015</v>
      </c>
      <c r="C16" s="46" t="n">
        <v>-0.0406</v>
      </c>
      <c r="G16" s="34" t="inlineStr">
        <is>
          <t>2026-09-17</t>
        </is>
      </c>
      <c r="H16" t="n">
        <v>1058.6</v>
      </c>
      <c r="J16" t="n">
        <v>23270.6</v>
      </c>
      <c r="N16" t="n">
        <v>5</v>
      </c>
      <c r="O16" t="inlineStr">
        <is>
          <t>Tech Mahindra</t>
        </is>
      </c>
      <c r="P16" t="n">
        <v>1539</v>
      </c>
      <c r="Q16">
        <f>IF(P16&gt;0, R16/P16, 0)</f>
        <v/>
      </c>
      <c r="R16" t="n">
        <v>150846.5</v>
      </c>
      <c r="S16" t="n">
        <v>2186</v>
      </c>
      <c r="T16" t="n">
        <v>3426</v>
      </c>
      <c r="U16">
        <f>R16+S16-T16</f>
        <v/>
      </c>
      <c r="V16" t="n">
        <v>238.77</v>
      </c>
      <c r="W16">
        <f>IF(X16&gt;0, U16/X16, "N/A")</f>
        <v/>
      </c>
      <c r="X16" t="n">
        <v>8.51</v>
      </c>
    </row>
    <row r="17">
      <c r="B17" t="n">
        <v>2014</v>
      </c>
      <c r="C17" s="46" t="n">
        <v>0.3139</v>
      </c>
      <c r="G17" s="34" t="inlineStr">
        <is>
          <t>2026-09-16</t>
        </is>
      </c>
      <c r="H17" t="n">
        <v>1060</v>
      </c>
      <c r="J17" t="n">
        <v>23217.6</v>
      </c>
      <c r="N17" t="n">
        <v>6</v>
      </c>
      <c r="O17" t="inlineStr">
        <is>
          <t>Coforge</t>
        </is>
      </c>
      <c r="P17" t="n">
        <v>1825.2</v>
      </c>
      <c r="Q17" t="n">
        <v>44.3039</v>
      </c>
      <c r="R17" t="n">
        <v>80863.39999999999</v>
      </c>
      <c r="S17" t="n">
        <v>728</v>
      </c>
      <c r="T17" t="n">
        <v>0</v>
      </c>
      <c r="U17" t="n">
        <v>81591.39999999999</v>
      </c>
      <c r="W17">
        <f>IF(X17&gt;0, U17/X17, "N/A")</f>
        <v/>
      </c>
    </row>
    <row r="18">
      <c r="B18" t="n">
        <v>2013</v>
      </c>
      <c r="C18" s="46" t="n">
        <v>0.06759999999999999</v>
      </c>
      <c r="G18" s="34" t="inlineStr">
        <is>
          <t>2026-09-15</t>
        </is>
      </c>
      <c r="H18" t="n">
        <v>1077</v>
      </c>
      <c r="J18" t="n">
        <v>23118.6</v>
      </c>
      <c r="N18" t="n">
        <v>7</v>
      </c>
      <c r="O18" t="inlineStr">
        <is>
          <t>Mphasis</t>
        </is>
      </c>
      <c r="P18" t="n">
        <v>2254.95</v>
      </c>
      <c r="Q18" t="n">
        <v>19.0949</v>
      </c>
      <c r="R18" t="n">
        <v>43058.1</v>
      </c>
      <c r="S18" t="n">
        <v>2620</v>
      </c>
      <c r="T18" t="n">
        <v>1769</v>
      </c>
      <c r="U18" t="n">
        <v>43909.1</v>
      </c>
      <c r="W18">
        <f>IF(X18&gt;0, U18/X18, "N/A")</f>
        <v/>
      </c>
    </row>
    <row r="19">
      <c r="B19" t="n">
        <v>2012</v>
      </c>
      <c r="C19" s="46" t="n">
        <v>0.277</v>
      </c>
      <c r="G19" s="34" t="inlineStr">
        <is>
          <t>2026-09-11</t>
        </is>
      </c>
      <c r="H19" t="n">
        <v>1037.7</v>
      </c>
      <c r="J19" t="n">
        <v>23398.1</v>
      </c>
      <c r="N19" t="n">
        <v>8</v>
      </c>
      <c r="O19" t="inlineStr">
        <is>
          <t>LTM</t>
        </is>
      </c>
      <c r="P19" t="n">
        <v>4017</v>
      </c>
      <c r="Q19" t="n">
        <v>29.6621</v>
      </c>
      <c r="R19" t="n">
        <v>119152.8</v>
      </c>
      <c r="S19" t="n">
        <v>2310</v>
      </c>
      <c r="T19" t="n">
        <v>12568</v>
      </c>
      <c r="U19" t="n">
        <v>108894.8</v>
      </c>
      <c r="W19">
        <f>IF(X19&gt;0, U19/X19, "N/A")</f>
        <v/>
      </c>
    </row>
    <row r="20">
      <c r="B20" t="n">
        <v>2011</v>
      </c>
      <c r="C20" s="46" t="n">
        <v>-0.2462</v>
      </c>
      <c r="G20" s="34" t="inlineStr">
        <is>
          <t>2026-09-10</t>
        </is>
      </c>
      <c r="H20" t="n">
        <v>1036.5</v>
      </c>
      <c r="J20" t="n">
        <v>23477.8</v>
      </c>
      <c r="N20" t="n">
        <v>9</v>
      </c>
      <c r="O20" t="inlineStr">
        <is>
          <t>Tata Motors PVeh</t>
        </is>
      </c>
      <c r="P20" t="n">
        <v>303.8</v>
      </c>
      <c r="Q20">
        <f>IF(P20&gt;0, R20/P20, 0)</f>
        <v/>
      </c>
      <c r="R20" t="n">
        <v>111886.25</v>
      </c>
      <c r="S20" t="n">
        <v>27971.56</v>
      </c>
      <c r="T20" t="n">
        <v>5594.31</v>
      </c>
      <c r="U20" t="n">
        <v>134263.5</v>
      </c>
      <c r="W20">
        <f>IF(X20&gt;0, U20/X20, "N/A")</f>
        <v/>
      </c>
    </row>
    <row r="21">
      <c r="B21" t="n">
        <v>2010</v>
      </c>
      <c r="C21" s="46" t="n">
        <v>0.1795</v>
      </c>
      <c r="G21" s="34" t="inlineStr">
        <is>
          <t>2026-09-09</t>
        </is>
      </c>
      <c r="H21" t="n">
        <v>1035</v>
      </c>
      <c r="J21" t="n">
        <v>23431.5</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2026-09-08</t>
        </is>
      </c>
      <c r="H22" t="n">
        <v>1082</v>
      </c>
      <c r="J22" t="n">
        <v>23635.1</v>
      </c>
      <c r="W22">
        <f>IF(X22&gt;0, U22/X22, "N/A")</f>
        <v/>
      </c>
    </row>
    <row r="23">
      <c r="B23" t="n">
        <v>2008</v>
      </c>
      <c r="C23" s="46" t="n">
        <v>-0.5179</v>
      </c>
      <c r="G23" s="34" t="inlineStr">
        <is>
          <t>2026-09-07</t>
        </is>
      </c>
      <c r="H23" t="n">
        <v>1087.5</v>
      </c>
      <c r="J23" t="n">
        <v>23779.15</v>
      </c>
      <c r="W23">
        <f>IF(X23&gt;0, U23/X23, "N/A")</f>
        <v/>
      </c>
    </row>
    <row r="24">
      <c r="B24" t="n">
        <v>2007</v>
      </c>
      <c r="C24" s="46" t="n">
        <v>0.5477</v>
      </c>
      <c r="G24" s="34" t="inlineStr">
        <is>
          <t>2026-09-04</t>
        </is>
      </c>
      <c r="H24" t="n">
        <v>1130</v>
      </c>
      <c r="J24" t="n">
        <v>23897.7</v>
      </c>
      <c r="O24" t="inlineStr">
        <is>
          <t>HCL Technologies</t>
        </is>
      </c>
      <c r="Q24" t="inlineStr">
        <is>
          <t>India</t>
        </is>
      </c>
      <c r="R24" t="n">
        <v>4200</v>
      </c>
      <c r="S24" t="n">
        <v>338122.8</v>
      </c>
      <c r="T24" s="46">
        <f>Control!C19</f>
        <v/>
      </c>
      <c r="W24">
        <f>IF(X24&gt;0, U24/X24, "N/A")</f>
        <v/>
      </c>
    </row>
    <row r="25">
      <c r="B25" t="n">
        <v>2006</v>
      </c>
      <c r="C25" s="46" t="n">
        <v>0.3983</v>
      </c>
      <c r="G25" s="34" t="inlineStr">
        <is>
          <t>2026-09-03</t>
        </is>
      </c>
      <c r="H25" t="n">
        <v>1130.3</v>
      </c>
      <c r="J25" t="n">
        <v>23873.45</v>
      </c>
      <c r="O25" t="inlineStr">
        <is>
          <t>TCS</t>
        </is>
      </c>
      <c r="Q25">
        <f>Q24</f>
        <v/>
      </c>
      <c r="R25" t="n">
        <v>0</v>
      </c>
      <c r="S25" t="n">
        <v>752308.9</v>
      </c>
      <c r="T25" s="46">
        <f>T24</f>
        <v/>
      </c>
      <c r="W25">
        <f>IF(X25&gt;0, U25/X25, "N/A")</f>
        <v/>
      </c>
    </row>
    <row r="26">
      <c r="B26" t="n">
        <v>2005</v>
      </c>
      <c r="C26" s="46" t="n">
        <v>0.3634</v>
      </c>
      <c r="G26" s="34" t="inlineStr">
        <is>
          <t>2026-09-02</t>
        </is>
      </c>
      <c r="H26" t="n">
        <v>1140</v>
      </c>
      <c r="J26" t="n">
        <v>23914.45</v>
      </c>
      <c r="O26">
        <f>'Data Sheet'!B1</f>
        <v/>
      </c>
      <c r="Q26">
        <f>Q25</f>
        <v/>
      </c>
      <c r="R26" t="n">
        <v>9176</v>
      </c>
      <c r="S26" t="n">
        <v>420032</v>
      </c>
      <c r="T26" s="46">
        <f>T25</f>
        <v/>
      </c>
      <c r="W26">
        <f>IF(X26&gt;0, U26/X26, "N/A")</f>
        <v/>
      </c>
    </row>
    <row r="27">
      <c r="B27" t="n">
        <v>2004</v>
      </c>
      <c r="C27" s="46" t="n">
        <v>0.1068</v>
      </c>
      <c r="G27" s="34" t="inlineStr">
        <is>
          <t>2026-09-01</t>
        </is>
      </c>
      <c r="H27" t="n">
        <v>1156</v>
      </c>
      <c r="J27" t="n">
        <v>24055.8</v>
      </c>
      <c r="O27" t="inlineStr">
        <is>
          <t>Wipro</t>
        </is>
      </c>
      <c r="Q27">
        <f>Q26</f>
        <v/>
      </c>
      <c r="R27" t="n">
        <v>15000</v>
      </c>
      <c r="S27" t="n">
        <v>157988.7</v>
      </c>
      <c r="T27" s="46">
        <f>T26</f>
        <v/>
      </c>
    </row>
    <row r="28">
      <c r="B28" t="n">
        <v>2003</v>
      </c>
      <c r="C28" s="46" t="n">
        <v>0.719</v>
      </c>
      <c r="G28" s="34" t="inlineStr">
        <is>
          <t>2026-08-31</t>
        </is>
      </c>
      <c r="H28" t="n">
        <v>1133.8</v>
      </c>
      <c r="J28" t="n">
        <v>24080.4</v>
      </c>
      <c r="O28" t="inlineStr">
        <is>
          <t>Tech Mahindra</t>
        </is>
      </c>
      <c r="Q28">
        <f>Q27</f>
        <v/>
      </c>
      <c r="R28" t="n">
        <v>2186</v>
      </c>
      <c r="S28" t="n">
        <v>150846.5</v>
      </c>
      <c r="T28" s="46">
        <f>T27</f>
        <v/>
      </c>
    </row>
    <row r="29">
      <c r="B29" t="n">
        <v>2002</v>
      </c>
      <c r="C29" s="46" t="n">
        <v>0.0325</v>
      </c>
      <c r="G29" s="34" t="inlineStr">
        <is>
          <t>2026-08-28</t>
        </is>
      </c>
      <c r="H29" t="n">
        <v>1144</v>
      </c>
      <c r="J29" t="n">
        <v>24175.65</v>
      </c>
    </row>
    <row r="30">
      <c r="G30" s="34" t="inlineStr">
        <is>
          <t>2026-08-27</t>
        </is>
      </c>
      <c r="H30" t="n">
        <v>1110.8</v>
      </c>
      <c r="J30" t="n">
        <v>24090.85</v>
      </c>
    </row>
    <row r="31">
      <c r="G31" s="34" t="inlineStr">
        <is>
          <t>2026-08-26</t>
        </is>
      </c>
      <c r="H31" t="n">
        <v>1120</v>
      </c>
      <c r="J31" t="n">
        <v>24207.75</v>
      </c>
    </row>
    <row r="32">
      <c r="G32" s="34" t="inlineStr">
        <is>
          <t>2026-08-25</t>
        </is>
      </c>
      <c r="H32" t="n">
        <v>1144</v>
      </c>
      <c r="J32" t="n">
        <v>24334.55</v>
      </c>
    </row>
    <row r="33">
      <c r="G33" s="34" t="inlineStr">
        <is>
          <t>2026-08-24</t>
        </is>
      </c>
      <c r="H33" t="n">
        <v>1130</v>
      </c>
      <c r="J33" t="n">
        <v>24219.05</v>
      </c>
    </row>
    <row r="34">
      <c r="G34" s="34" t="inlineStr">
        <is>
          <t>2026-08-21</t>
        </is>
      </c>
      <c r="H34" t="n">
        <v>1121</v>
      </c>
      <c r="J34" t="n">
        <v>24252</v>
      </c>
    </row>
    <row r="35">
      <c r="G35" s="34" t="inlineStr">
        <is>
          <t>2026-08-20</t>
        </is>
      </c>
      <c r="H35" t="n">
        <v>1130</v>
      </c>
      <c r="J35" t="n">
        <v>24231.85</v>
      </c>
    </row>
    <row r="36">
      <c r="G36" s="34" t="inlineStr">
        <is>
          <t>2026-08-19</t>
        </is>
      </c>
      <c r="H36" t="n">
        <v>1119.8</v>
      </c>
      <c r="J36" t="n">
        <v>24078.3</v>
      </c>
    </row>
    <row r="37">
      <c r="G37" s="34" t="inlineStr">
        <is>
          <t>2026-08-18</t>
        </is>
      </c>
      <c r="H37" t="n">
        <v>1115</v>
      </c>
      <c r="J37" t="n">
        <v>24154.9</v>
      </c>
    </row>
    <row r="38">
      <c r="G38" s="34" t="inlineStr">
        <is>
          <t>2026-08-17</t>
        </is>
      </c>
      <c r="H38" t="n">
        <v>1139.9</v>
      </c>
      <c r="J38" t="n">
        <v>24287.65</v>
      </c>
    </row>
    <row r="39">
      <c r="G39" s="34" t="inlineStr">
        <is>
          <t>2026-08-14</t>
        </is>
      </c>
      <c r="H39" t="n">
        <v>1169.2</v>
      </c>
      <c r="J39" t="n">
        <v>24366</v>
      </c>
    </row>
    <row r="40">
      <c r="G40" s="34" t="inlineStr">
        <is>
          <t>2026-08-13</t>
        </is>
      </c>
      <c r="H40" t="n">
        <v>1175</v>
      </c>
      <c r="J40" t="n">
        <v>24395.85</v>
      </c>
    </row>
    <row r="41">
      <c r="G41" s="34" t="inlineStr">
        <is>
          <t>2026-08-12</t>
        </is>
      </c>
      <c r="H41" t="n">
        <v>1176.1</v>
      </c>
      <c r="J41" t="n">
        <v>24435.95</v>
      </c>
    </row>
    <row r="42">
      <c r="G42" s="34" t="inlineStr">
        <is>
          <t>2026-08-11</t>
        </is>
      </c>
      <c r="H42" t="n">
        <v>1190.7</v>
      </c>
      <c r="J42" t="n">
        <v>24471.7</v>
      </c>
    </row>
    <row r="43">
      <c r="G43" s="34" t="inlineStr">
        <is>
          <t>2026-08-10</t>
        </is>
      </c>
      <c r="H43" t="n">
        <v>1183</v>
      </c>
      <c r="J43" t="n">
        <v>24583.8</v>
      </c>
    </row>
    <row r="44">
      <c r="G44" s="34" t="inlineStr">
        <is>
          <t>2026-08-07</t>
        </is>
      </c>
      <c r="H44" t="n">
        <v>1175.1</v>
      </c>
      <c r="J44" t="n">
        <v>24570.65</v>
      </c>
    </row>
    <row r="45">
      <c r="G45" s="34" t="inlineStr">
        <is>
          <t>2026-08-06</t>
        </is>
      </c>
      <c r="H45" t="n">
        <v>1165</v>
      </c>
      <c r="J45" t="n">
        <v>24636</v>
      </c>
    </row>
    <row r="46">
      <c r="G46" s="34" t="inlineStr">
        <is>
          <t>2026-08-05</t>
        </is>
      </c>
      <c r="H46" t="n">
        <v>1174</v>
      </c>
      <c r="J46" t="n">
        <v>24624.65</v>
      </c>
    </row>
    <row r="47">
      <c r="G47" s="34" t="inlineStr">
        <is>
          <t>2026-08-04</t>
        </is>
      </c>
      <c r="H47" t="n">
        <v>1167.5</v>
      </c>
      <c r="J47" t="n">
        <v>24614.9</v>
      </c>
    </row>
    <row r="48">
      <c r="G48" s="34" t="inlineStr">
        <is>
          <t>2026-08-03</t>
        </is>
      </c>
      <c r="H48" t="n">
        <v>1180</v>
      </c>
      <c r="J48" t="n">
        <v>24774.3</v>
      </c>
    </row>
    <row r="49">
      <c r="G49" s="34" t="inlineStr">
        <is>
          <t>2026-07-31</t>
        </is>
      </c>
      <c r="H49" t="n">
        <v>1130.1</v>
      </c>
      <c r="J49" t="n">
        <v>24383.6</v>
      </c>
    </row>
    <row r="50">
      <c r="G50" s="34" t="inlineStr">
        <is>
          <t>2026-07-30</t>
        </is>
      </c>
      <c r="H50" t="n">
        <v>1155.1</v>
      </c>
      <c r="J50" t="n">
        <v>24317.15</v>
      </c>
    </row>
    <row r="51">
      <c r="G51" s="34" t="inlineStr">
        <is>
          <t>2026-07-29</t>
        </is>
      </c>
      <c r="H51" t="n">
        <v>1155.6</v>
      </c>
      <c r="J51" t="n">
        <v>24250.2</v>
      </c>
    </row>
    <row r="52">
      <c r="G52" s="34" t="inlineStr">
        <is>
          <t>2026-07-28</t>
        </is>
      </c>
      <c r="H52" t="n">
        <v>1105.7</v>
      </c>
      <c r="J52" t="n">
        <v>23985.35</v>
      </c>
    </row>
    <row r="53">
      <c r="G53" s="34" t="inlineStr">
        <is>
          <t>2026-07-27</t>
        </is>
      </c>
      <c r="H53" t="n">
        <v>1079.2</v>
      </c>
      <c r="J53" t="n">
        <v>23995.95</v>
      </c>
    </row>
    <row r="54">
      <c r="G54" s="34" t="inlineStr">
        <is>
          <t>2026-07-24</t>
        </is>
      </c>
      <c r="H54" t="n">
        <v>1040.9</v>
      </c>
      <c r="J54" t="n">
        <v>23767.45</v>
      </c>
    </row>
    <row r="55">
      <c r="G55" s="34" t="inlineStr">
        <is>
          <t>2026-07-23</t>
        </is>
      </c>
      <c r="H55" t="n">
        <v>1047.4</v>
      </c>
      <c r="J55" t="n">
        <v>23869.6</v>
      </c>
    </row>
    <row r="56">
      <c r="G56" s="34" t="inlineStr">
        <is>
          <t>2026-07-22</t>
        </is>
      </c>
      <c r="H56" t="n">
        <v>1052.1</v>
      </c>
      <c r="J56" t="n">
        <v>23996.25</v>
      </c>
    </row>
    <row r="57">
      <c r="G57" s="34" t="inlineStr">
        <is>
          <t>2026-07-21</t>
        </is>
      </c>
      <c r="H57" t="n">
        <v>1073.5</v>
      </c>
      <c r="J57" t="n">
        <v>24187.7</v>
      </c>
    </row>
    <row r="58">
      <c r="G58" s="34" t="inlineStr">
        <is>
          <t>2026-07-20</t>
        </is>
      </c>
      <c r="H58" t="n">
        <v>1087.1</v>
      </c>
      <c r="J58" t="n">
        <v>24238.5</v>
      </c>
    </row>
    <row r="59">
      <c r="G59" s="34" t="inlineStr">
        <is>
          <t>2026-07-17</t>
        </is>
      </c>
      <c r="H59" t="n">
        <v>1096.5</v>
      </c>
      <c r="J59" t="n">
        <v>24334.3</v>
      </c>
    </row>
    <row r="60">
      <c r="G60" s="34" t="inlineStr">
        <is>
          <t>2026-07-16</t>
        </is>
      </c>
      <c r="H60" t="n">
        <v>1082.4</v>
      </c>
      <c r="J60" t="n">
        <v>24072.75</v>
      </c>
    </row>
    <row r="61">
      <c r="G61" s="34" t="inlineStr">
        <is>
          <t>2026-07-15</t>
        </is>
      </c>
      <c r="H61" t="n">
        <v>1076.3</v>
      </c>
      <c r="J61" t="n">
        <v>24078.5</v>
      </c>
    </row>
    <row r="62">
      <c r="G62" s="34" t="inlineStr">
        <is>
          <t>2026-07-14</t>
        </is>
      </c>
      <c r="H62" t="n">
        <v>1092.9</v>
      </c>
      <c r="J62" t="n">
        <v>24052.05</v>
      </c>
    </row>
    <row r="63">
      <c r="G63" s="34" t="inlineStr">
        <is>
          <t>2026-07-13</t>
        </is>
      </c>
      <c r="H63" t="n">
        <v>1102.6</v>
      </c>
      <c r="J63" t="n">
        <v>24211</v>
      </c>
    </row>
    <row r="64">
      <c r="G64" s="34" t="inlineStr">
        <is>
          <t>2026-07-10</t>
        </is>
      </c>
      <c r="H64" t="n">
        <v>1068</v>
      </c>
      <c r="J64" t="n">
        <v>24206.9</v>
      </c>
    </row>
    <row r="65">
      <c r="G65" s="34" t="inlineStr">
        <is>
          <t>2026-07-09</t>
        </is>
      </c>
      <c r="H65" t="n">
        <v>1050.8</v>
      </c>
      <c r="J65" t="n">
        <v>23962.8</v>
      </c>
    </row>
    <row r="66">
      <c r="G66" s="34" t="inlineStr">
        <is>
          <t>2026-07-08</t>
        </is>
      </c>
      <c r="H66" t="n">
        <v>1069.3</v>
      </c>
      <c r="J66" t="n">
        <v>23882.05</v>
      </c>
    </row>
    <row r="67">
      <c r="G67" s="34" t="inlineStr">
        <is>
          <t>2026-07-07</t>
        </is>
      </c>
      <c r="H67" t="n">
        <v>1071.8</v>
      </c>
      <c r="J67" t="n">
        <v>24398.7</v>
      </c>
    </row>
    <row r="68">
      <c r="G68" s="34" t="inlineStr">
        <is>
          <t>2026-07-06</t>
        </is>
      </c>
      <c r="H68" t="n">
        <v>1042.2</v>
      </c>
      <c r="J68" t="n">
        <v>24430.35</v>
      </c>
    </row>
    <row r="69">
      <c r="G69" s="34" t="inlineStr">
        <is>
          <t>2026-07-03</t>
        </is>
      </c>
      <c r="H69" t="n">
        <v>1047.2</v>
      </c>
      <c r="J69" t="n">
        <v>24270.85</v>
      </c>
    </row>
    <row r="70">
      <c r="G70" s="34" t="inlineStr">
        <is>
          <t>2026-07-02</t>
        </is>
      </c>
      <c r="H70" t="n">
        <v>1040.9</v>
      </c>
      <c r="J70" t="n">
        <v>24175.7</v>
      </c>
    </row>
    <row r="71">
      <c r="G71" s="34" t="inlineStr">
        <is>
          <t>2026-07-01</t>
        </is>
      </c>
      <c r="H71" t="n">
        <v>985.3</v>
      </c>
      <c r="J71" t="n">
        <v>24005.85</v>
      </c>
    </row>
    <row r="72">
      <c r="G72" s="34" t="inlineStr">
        <is>
          <t>2026-06-30</t>
        </is>
      </c>
      <c r="H72" t="n">
        <v>1000.4</v>
      </c>
      <c r="J72" t="n">
        <v>23865.75</v>
      </c>
    </row>
    <row r="73">
      <c r="G73" s="34" t="inlineStr">
        <is>
          <t>2026-06-29</t>
        </is>
      </c>
      <c r="H73" t="n">
        <v>1036.7</v>
      </c>
      <c r="J73" t="n">
        <v>23946.25</v>
      </c>
    </row>
    <row r="74">
      <c r="G74" s="34" t="inlineStr">
        <is>
          <t>2026-06-25</t>
        </is>
      </c>
      <c r="H74" t="n">
        <v>1041.2</v>
      </c>
      <c r="J74" t="n">
        <v>24056</v>
      </c>
    </row>
    <row r="75">
      <c r="G75" s="34" t="inlineStr">
        <is>
          <t>2026-06-24</t>
        </is>
      </c>
      <c r="H75" t="n">
        <v>1056.6</v>
      </c>
      <c r="J75" t="n">
        <v>24021.65</v>
      </c>
    </row>
    <row r="76">
      <c r="G76" s="34" t="inlineStr">
        <is>
          <t>2026-06-23</t>
        </is>
      </c>
      <c r="H76" t="n">
        <v>1029.3</v>
      </c>
      <c r="J76" t="n">
        <v>23824.1</v>
      </c>
    </row>
    <row r="77">
      <c r="G77" s="34" t="inlineStr">
        <is>
          <t>2026-06-22</t>
        </is>
      </c>
      <c r="H77" t="n">
        <v>1065.4</v>
      </c>
      <c r="J77" t="n">
        <v>24102.9</v>
      </c>
    </row>
    <row r="78">
      <c r="G78" s="34" t="inlineStr">
        <is>
          <t>2026-06-19</t>
        </is>
      </c>
      <c r="H78" t="n">
        <v>1051.4</v>
      </c>
      <c r="J78" t="n">
        <v>24013.1</v>
      </c>
    </row>
    <row r="79">
      <c r="G79" s="34" t="inlineStr">
        <is>
          <t>2026-06-18</t>
        </is>
      </c>
      <c r="H79" t="n">
        <v>1127.5</v>
      </c>
      <c r="J79" t="n">
        <v>24168</v>
      </c>
    </row>
    <row r="80">
      <c r="G80" s="34" t="inlineStr">
        <is>
          <t>2026-06-17</t>
        </is>
      </c>
      <c r="H80" t="n">
        <v>1157.7</v>
      </c>
      <c r="J80" t="n">
        <v>24085.7</v>
      </c>
    </row>
    <row r="81">
      <c r="G81" s="34" t="inlineStr">
        <is>
          <t>2026-06-16</t>
        </is>
      </c>
      <c r="H81" t="n">
        <v>1143.6</v>
      </c>
      <c r="J81" t="n">
        <v>23989.15</v>
      </c>
    </row>
    <row r="82">
      <c r="G82" s="34" t="inlineStr">
        <is>
          <t>2026-06-15</t>
        </is>
      </c>
      <c r="H82" t="n">
        <v>1134.9</v>
      </c>
      <c r="J82" t="n">
        <v>23853.9</v>
      </c>
    </row>
    <row r="83">
      <c r="G83" s="34" t="inlineStr">
        <is>
          <t>2026-06-12</t>
        </is>
      </c>
      <c r="H83" t="n">
        <v>1116.4</v>
      </c>
      <c r="J83" t="n">
        <v>23622.9</v>
      </c>
    </row>
    <row r="84">
      <c r="G84" s="34" t="inlineStr">
        <is>
          <t>2026-06-11</t>
        </is>
      </c>
      <c r="H84" t="n">
        <v>1114.6</v>
      </c>
      <c r="J84" t="n">
        <v>23161.6</v>
      </c>
    </row>
    <row r="85">
      <c r="G85" s="34" t="inlineStr">
        <is>
          <t>2026-06-10</t>
        </is>
      </c>
      <c r="H85" t="n">
        <v>1145.3</v>
      </c>
      <c r="J85" t="n">
        <v>23214.95</v>
      </c>
    </row>
    <row r="86">
      <c r="G86" s="34" t="inlineStr">
        <is>
          <t>2026-06-09</t>
        </is>
      </c>
      <c r="H86" t="n">
        <v>1180.3</v>
      </c>
      <c r="J86" t="n">
        <v>23242.1</v>
      </c>
    </row>
    <row r="87">
      <c r="G87" s="34" t="inlineStr">
        <is>
          <t>2026-06-08</t>
        </is>
      </c>
      <c r="H87" t="n">
        <v>1187.6</v>
      </c>
      <c r="J87" t="n">
        <v>23123</v>
      </c>
    </row>
    <row r="88">
      <c r="G88" s="34" t="inlineStr">
        <is>
          <t>2026-06-05</t>
        </is>
      </c>
      <c r="H88" t="n">
        <v>1197.5</v>
      </c>
      <c r="J88" t="n">
        <v>23366.7</v>
      </c>
    </row>
    <row r="89">
      <c r="G89" s="34" t="inlineStr">
        <is>
          <t>2026-06-04</t>
        </is>
      </c>
      <c r="H89" t="n">
        <v>1201.3</v>
      </c>
      <c r="J89" t="n">
        <v>23416.55</v>
      </c>
    </row>
    <row r="90">
      <c r="G90" s="34" t="inlineStr">
        <is>
          <t>2026-06-03</t>
        </is>
      </c>
      <c r="H90" t="n">
        <v>1222.6</v>
      </c>
      <c r="J90" t="n">
        <v>23405.6</v>
      </c>
    </row>
    <row r="91">
      <c r="G91" s="34" t="inlineStr">
        <is>
          <t>2026-06-02</t>
        </is>
      </c>
      <c r="H91" t="n">
        <v>1270.8</v>
      </c>
      <c r="J91" t="n">
        <v>23483.55</v>
      </c>
    </row>
    <row r="92">
      <c r="G92" s="34" t="inlineStr">
        <is>
          <t>2026-06-01</t>
        </is>
      </c>
      <c r="H92" t="n">
        <v>1202.5</v>
      </c>
      <c r="J92" t="n">
        <v>23382.6</v>
      </c>
    </row>
    <row r="93">
      <c r="G93" s="34" t="inlineStr">
        <is>
          <t>2026-05-29</t>
        </is>
      </c>
      <c r="H93" t="n">
        <v>1160.9</v>
      </c>
      <c r="J93" t="n">
        <v>23547.75</v>
      </c>
    </row>
    <row r="94">
      <c r="G94" s="34" t="inlineStr">
        <is>
          <t>2026-05-27</t>
        </is>
      </c>
      <c r="H94" t="n">
        <v>1159.9</v>
      </c>
      <c r="J94" t="n">
        <v>23907.15</v>
      </c>
    </row>
    <row r="95">
      <c r="G95" s="34" t="inlineStr">
        <is>
          <t>2026-05-26</t>
        </is>
      </c>
      <c r="H95" t="n">
        <v>1167.7</v>
      </c>
      <c r="J95" t="n">
        <v>23913.7</v>
      </c>
    </row>
    <row r="96">
      <c r="G96" s="34" t="inlineStr">
        <is>
          <t>2026-05-25</t>
        </is>
      </c>
      <c r="H96" t="n">
        <v>1168.5</v>
      </c>
      <c r="J96" t="n">
        <v>24031.7</v>
      </c>
    </row>
    <row r="97">
      <c r="G97" s="34" t="inlineStr">
        <is>
          <t>2026-05-22</t>
        </is>
      </c>
      <c r="H97" t="n">
        <v>1174.5</v>
      </c>
      <c r="J97" t="n">
        <v>23719.3</v>
      </c>
    </row>
    <row r="98">
      <c r="G98" s="34" t="inlineStr">
        <is>
          <t>2026-05-21</t>
        </is>
      </c>
      <c r="H98" t="n">
        <v>1181.2</v>
      </c>
      <c r="J98" t="n">
        <v>23654.7</v>
      </c>
    </row>
    <row r="99">
      <c r="G99" s="34" t="inlineStr">
        <is>
          <t>2026-05-20</t>
        </is>
      </c>
      <c r="H99" t="n">
        <v>1193.7</v>
      </c>
      <c r="J99" t="n">
        <v>23659</v>
      </c>
    </row>
    <row r="100">
      <c r="G100" s="34" t="inlineStr">
        <is>
          <t>2026-05-19</t>
        </is>
      </c>
      <c r="H100" t="n">
        <v>1196.9</v>
      </c>
      <c r="J100" t="n">
        <v>23618</v>
      </c>
    </row>
    <row r="101">
      <c r="G101" s="34" t="inlineStr">
        <is>
          <t>2026-05-18</t>
        </is>
      </c>
      <c r="H101" t="n">
        <v>1142.5</v>
      </c>
      <c r="J101" t="n">
        <v>23649.95</v>
      </c>
    </row>
    <row r="102">
      <c r="G102" s="34" t="inlineStr">
        <is>
          <t>2026-05-15</t>
        </is>
      </c>
      <c r="H102" t="n">
        <v>1119</v>
      </c>
      <c r="J102" t="n">
        <v>23643.5</v>
      </c>
    </row>
    <row r="103">
      <c r="G103" s="34" t="inlineStr">
        <is>
          <t>2026-05-14</t>
        </is>
      </c>
      <c r="H103" t="n">
        <v>1095</v>
      </c>
      <c r="J103" t="n">
        <v>23689.6</v>
      </c>
    </row>
    <row r="104">
      <c r="G104" s="34" t="inlineStr">
        <is>
          <t>2026-05-13</t>
        </is>
      </c>
      <c r="H104" t="n">
        <v>1123.1</v>
      </c>
      <c r="J104" t="n">
        <v>23412.6</v>
      </c>
    </row>
    <row r="105">
      <c r="G105" s="34" t="inlineStr">
        <is>
          <t>2026-05-12</t>
        </is>
      </c>
      <c r="H105" t="n">
        <v>1140.3</v>
      </c>
      <c r="J105" t="n">
        <v>23379.55</v>
      </c>
    </row>
    <row r="106">
      <c r="G106" s="34" t="inlineStr">
        <is>
          <t>2026-05-11</t>
        </is>
      </c>
      <c r="H106" t="n">
        <v>1177</v>
      </c>
      <c r="J106" t="n">
        <v>23815.85</v>
      </c>
    </row>
    <row r="107">
      <c r="G107" s="34" t="inlineStr">
        <is>
          <t>2026-05-08</t>
        </is>
      </c>
      <c r="H107" t="n">
        <v>1179.2</v>
      </c>
      <c r="J107" t="n">
        <v>24176.15</v>
      </c>
    </row>
    <row r="108">
      <c r="G108" s="34" t="inlineStr">
        <is>
          <t>2026-05-07</t>
        </is>
      </c>
      <c r="H108" t="n">
        <v>1162.7</v>
      </c>
      <c r="J108" t="n">
        <v>24326.65</v>
      </c>
    </row>
    <row r="109">
      <c r="G109" s="34" t="inlineStr">
        <is>
          <t>2026-05-06</t>
        </is>
      </c>
      <c r="H109" t="n">
        <v>1167.2</v>
      </c>
      <c r="J109" t="n">
        <v>24330.95</v>
      </c>
    </row>
    <row r="110">
      <c r="G110" s="34" t="inlineStr">
        <is>
          <t>2026-05-05</t>
        </is>
      </c>
      <c r="H110" t="n">
        <v>1178.1</v>
      </c>
      <c r="J110" t="n">
        <v>24032.8</v>
      </c>
    </row>
    <row r="111">
      <c r="G111" s="34" t="inlineStr">
        <is>
          <t>2026-05-04</t>
        </is>
      </c>
      <c r="H111" t="n">
        <v>1168.4</v>
      </c>
      <c r="J111" t="n">
        <v>24119.3</v>
      </c>
    </row>
    <row r="112">
      <c r="G112" s="34" t="inlineStr">
        <is>
          <t>2026-04-30</t>
        </is>
      </c>
      <c r="H112" t="n">
        <v>1181.8</v>
      </c>
      <c r="J112" t="n">
        <v>23997.55</v>
      </c>
    </row>
    <row r="113">
      <c r="G113" s="34" t="inlineStr">
        <is>
          <t>2026-04-29</t>
        </is>
      </c>
      <c r="H113" t="n">
        <v>1167.5</v>
      </c>
      <c r="J113" t="n">
        <v>24177.65</v>
      </c>
    </row>
    <row r="114">
      <c r="G114" s="34" t="inlineStr">
        <is>
          <t>2026-04-28</t>
        </is>
      </c>
      <c r="H114" t="n">
        <v>1152.1</v>
      </c>
      <c r="J114" t="n">
        <v>23995.7</v>
      </c>
    </row>
    <row r="115">
      <c r="G115" s="34" t="inlineStr">
        <is>
          <t>2026-04-27</t>
        </is>
      </c>
      <c r="H115" t="n">
        <v>1170.3</v>
      </c>
      <c r="J115" t="n">
        <v>24092.7</v>
      </c>
    </row>
    <row r="116">
      <c r="G116" s="34" t="inlineStr">
        <is>
          <t>2026-04-24</t>
        </is>
      </c>
      <c r="H116" t="n">
        <v>1154.6</v>
      </c>
      <c r="J116" t="n">
        <v>23897.95</v>
      </c>
    </row>
    <row r="117">
      <c r="G117" s="34" t="inlineStr">
        <is>
          <t>2026-04-23</t>
        </is>
      </c>
      <c r="H117" t="n">
        <v>1240.6</v>
      </c>
      <c r="J117" t="n">
        <v>24173.05</v>
      </c>
    </row>
    <row r="118">
      <c r="G118" s="34" t="inlineStr">
        <is>
          <t>2026-04-22</t>
        </is>
      </c>
      <c r="H118" t="n">
        <v>1268.6</v>
      </c>
      <c r="J118" t="n">
        <v>24378.1</v>
      </c>
    </row>
    <row r="119">
      <c r="G119" s="34" t="inlineStr">
        <is>
          <t>2026-04-21</t>
        </is>
      </c>
      <c r="H119" t="n">
        <v>1313.2</v>
      </c>
      <c r="J119" t="n">
        <v>24576.6</v>
      </c>
    </row>
    <row r="120">
      <c r="G120" s="34" t="inlineStr">
        <is>
          <t>2026-04-20</t>
        </is>
      </c>
      <c r="H120" t="n">
        <v>1312.6</v>
      </c>
      <c r="J120" t="n">
        <v>24364.85</v>
      </c>
    </row>
    <row r="121">
      <c r="G121" s="34" t="inlineStr">
        <is>
          <t>2026-04-17</t>
        </is>
      </c>
      <c r="H121" t="n">
        <v>1318.7</v>
      </c>
      <c r="J121" t="n">
        <v>24353.55</v>
      </c>
    </row>
    <row r="122">
      <c r="G122" s="34" t="inlineStr">
        <is>
          <t>2026-04-16</t>
        </is>
      </c>
      <c r="H122" t="n">
        <v>1319.2</v>
      </c>
      <c r="J122" t="n">
        <v>24196.75</v>
      </c>
    </row>
    <row r="123">
      <c r="G123" s="34" t="inlineStr">
        <is>
          <t>2026-04-15</t>
        </is>
      </c>
      <c r="H123" t="n">
        <v>1305.3</v>
      </c>
      <c r="J123" t="n">
        <v>24231.3</v>
      </c>
    </row>
    <row r="124">
      <c r="G124" s="34" t="inlineStr">
        <is>
          <t>2026-04-13</t>
        </is>
      </c>
      <c r="H124" t="n">
        <v>1276.8</v>
      </c>
      <c r="J124" t="n">
        <v>23842.65</v>
      </c>
    </row>
    <row r="125">
      <c r="G125" s="34" t="inlineStr">
        <is>
          <t>2026-04-10</t>
        </is>
      </c>
      <c r="H125" t="n">
        <v>1292.5</v>
      </c>
      <c r="J125" t="n">
        <v>24050.6</v>
      </c>
    </row>
    <row r="126">
      <c r="G126" s="34" t="inlineStr">
        <is>
          <t>2026-04-09</t>
        </is>
      </c>
      <c r="H126" t="n">
        <v>1331.6</v>
      </c>
      <c r="J126" t="n">
        <v>23775.1</v>
      </c>
    </row>
    <row r="127">
      <c r="G127" s="34" t="inlineStr">
        <is>
          <t>2026-04-08</t>
        </is>
      </c>
      <c r="H127" t="n">
        <v>1346.2</v>
      </c>
      <c r="J127" t="n">
        <v>23997.35</v>
      </c>
    </row>
    <row r="128">
      <c r="G128" s="34" t="inlineStr">
        <is>
          <t>2026-04-07</t>
        </is>
      </c>
      <c r="H128" t="n">
        <v>1339.4</v>
      </c>
      <c r="J128" t="n">
        <v>23123.65</v>
      </c>
    </row>
    <row r="129">
      <c r="G129" s="34" t="inlineStr">
        <is>
          <t>2026-04-06</t>
        </is>
      </c>
      <c r="H129" t="n">
        <v>1306.2</v>
      </c>
      <c r="J129" t="n">
        <v>22968.25</v>
      </c>
    </row>
    <row r="130">
      <c r="G130" s="34" t="inlineStr">
        <is>
          <t>2026-04-02</t>
        </is>
      </c>
      <c r="H130" t="n">
        <v>1300.8</v>
      </c>
      <c r="J130" t="n">
        <v>22713.1</v>
      </c>
    </row>
    <row r="131">
      <c r="G131" s="34" t="inlineStr">
        <is>
          <t>2026-04-01</t>
        </is>
      </c>
      <c r="H131" t="n">
        <v>1275.7</v>
      </c>
      <c r="J131" t="n">
        <v>22679.4</v>
      </c>
    </row>
    <row r="132">
      <c r="G132" s="34" t="inlineStr">
        <is>
          <t>2026-03-30</t>
        </is>
      </c>
      <c r="H132" t="n">
        <v>1250.6</v>
      </c>
      <c r="J132" t="n">
        <v>22331.4</v>
      </c>
    </row>
    <row r="133">
      <c r="G133" s="34" t="inlineStr">
        <is>
          <t>2026-03-27</t>
        </is>
      </c>
      <c r="H133" t="n">
        <v>1269.7</v>
      </c>
      <c r="J133" t="n">
        <v>22819.6</v>
      </c>
    </row>
    <row r="134">
      <c r="G134" s="34" t="inlineStr">
        <is>
          <t>2026-03-25</t>
        </is>
      </c>
      <c r="H134" t="n">
        <v>1279.1</v>
      </c>
      <c r="J134" t="n">
        <v>23306.45</v>
      </c>
    </row>
    <row r="135">
      <c r="G135" s="34" t="inlineStr">
        <is>
          <t>2026-03-24</t>
        </is>
      </c>
      <c r="H135" t="n">
        <v>1278.3</v>
      </c>
      <c r="J135" t="n">
        <v>22912.4</v>
      </c>
    </row>
    <row r="136">
      <c r="G136" s="34" t="inlineStr">
        <is>
          <t>2026-03-23</t>
        </is>
      </c>
      <c r="H136" t="n">
        <v>1256.8</v>
      </c>
      <c r="J136" t="n">
        <v>22512.65</v>
      </c>
    </row>
    <row r="137">
      <c r="G137" s="34" t="inlineStr">
        <is>
          <t>2026-03-20</t>
        </is>
      </c>
      <c r="H137" t="n">
        <v>1255.9</v>
      </c>
      <c r="J137" t="n">
        <v>23114.5</v>
      </c>
    </row>
    <row r="138">
      <c r="G138" s="34" t="inlineStr">
        <is>
          <t>2026-03-19</t>
        </is>
      </c>
      <c r="H138" t="n">
        <v>1220.8</v>
      </c>
      <c r="J138" t="n">
        <v>23002.15</v>
      </c>
    </row>
    <row r="139">
      <c r="G139" s="34" t="inlineStr">
        <is>
          <t>2026-03-18</t>
        </is>
      </c>
      <c r="H139" t="n">
        <v>1267.1</v>
      </c>
      <c r="J139" t="n">
        <v>23777.8</v>
      </c>
    </row>
    <row r="140">
      <c r="G140" s="34" t="inlineStr">
        <is>
          <t>2026-03-17</t>
        </is>
      </c>
      <c r="H140" t="n">
        <v>1232.9</v>
      </c>
      <c r="J140" t="n">
        <v>23581.15</v>
      </c>
    </row>
    <row r="141">
      <c r="G141" s="34" t="inlineStr">
        <is>
          <t>2026-03-16</t>
        </is>
      </c>
      <c r="H141" t="n">
        <v>1249.8</v>
      </c>
      <c r="J141" t="n">
        <v>23408.8</v>
      </c>
    </row>
    <row r="142">
      <c r="G142" s="34" t="inlineStr">
        <is>
          <t>2026-03-13</t>
        </is>
      </c>
      <c r="H142" t="n">
        <v>1248.3</v>
      </c>
      <c r="J142" t="n">
        <v>23151.1</v>
      </c>
    </row>
    <row r="143">
      <c r="G143" s="34" t="inlineStr">
        <is>
          <t>2026-03-12</t>
        </is>
      </c>
      <c r="H143" t="n">
        <v>1265.8</v>
      </c>
      <c r="J143" t="n">
        <v>23639.15</v>
      </c>
    </row>
    <row r="144">
      <c r="G144" s="34" t="inlineStr">
        <is>
          <t>2026-03-11</t>
        </is>
      </c>
      <c r="H144" t="n">
        <v>1276.3</v>
      </c>
      <c r="J144" t="n">
        <v>23866.85</v>
      </c>
    </row>
    <row r="145">
      <c r="G145" s="34" t="inlineStr">
        <is>
          <t>2026-03-10</t>
        </is>
      </c>
      <c r="H145" t="n">
        <v>1295.6</v>
      </c>
      <c r="J145" t="n">
        <v>24261.6</v>
      </c>
    </row>
    <row r="146">
      <c r="G146" s="34" t="inlineStr">
        <is>
          <t>2026-03-09</t>
        </is>
      </c>
      <c r="H146" t="n">
        <v>1315</v>
      </c>
      <c r="J146" t="n">
        <v>24028.05</v>
      </c>
    </row>
    <row r="147">
      <c r="G147" s="34" t="inlineStr">
        <is>
          <t>2026-03-06</t>
        </is>
      </c>
      <c r="H147" t="n">
        <v>1308.4</v>
      </c>
      <c r="J147" t="n">
        <v>24450.45</v>
      </c>
    </row>
    <row r="148">
      <c r="G148" s="34" t="inlineStr">
        <is>
          <t>2026-03-05</t>
        </is>
      </c>
      <c r="H148" t="n">
        <v>1305.8</v>
      </c>
      <c r="J148" t="n">
        <v>24765.9</v>
      </c>
    </row>
    <row r="149">
      <c r="G149" s="34" t="inlineStr">
        <is>
          <t>2026-03-04</t>
        </is>
      </c>
      <c r="H149" t="n">
        <v>1307.4</v>
      </c>
      <c r="J149" t="n">
        <v>24480.5</v>
      </c>
    </row>
    <row r="150">
      <c r="G150" s="34" t="inlineStr">
        <is>
          <t>2026-03-02</t>
        </is>
      </c>
      <c r="H150" t="n">
        <v>1288.9</v>
      </c>
      <c r="J150" t="n">
        <v>24865.7</v>
      </c>
    </row>
    <row r="151">
      <c r="G151" s="34" t="inlineStr">
        <is>
          <t>2026-02-27</t>
        </is>
      </c>
      <c r="H151" t="n">
        <v>1300.1</v>
      </c>
      <c r="J151" t="n">
        <v>25178.65</v>
      </c>
    </row>
    <row r="152">
      <c r="G152" s="34" t="inlineStr">
        <is>
          <t>2026-02-26</t>
        </is>
      </c>
      <c r="H152" t="n">
        <v>1289.1</v>
      </c>
      <c r="J152" t="n">
        <v>25496.55</v>
      </c>
    </row>
    <row r="153">
      <c r="G153" s="34" t="inlineStr">
        <is>
          <t>2026-02-25</t>
        </is>
      </c>
      <c r="H153" t="n">
        <v>1290.1</v>
      </c>
      <c r="J153" t="n">
        <v>25482.5</v>
      </c>
    </row>
    <row r="154">
      <c r="G154" s="34" t="inlineStr">
        <is>
          <t>2026-02-24</t>
        </is>
      </c>
      <c r="H154" t="n">
        <v>1275.5</v>
      </c>
      <c r="J154" t="n">
        <v>25424.65</v>
      </c>
    </row>
    <row r="155">
      <c r="G155" s="34" t="inlineStr">
        <is>
          <t>2026-02-23</t>
        </is>
      </c>
      <c r="H155" t="n">
        <v>1327.5</v>
      </c>
      <c r="J155" t="n">
        <v>25713</v>
      </c>
    </row>
    <row r="156">
      <c r="G156" s="34" t="inlineStr">
        <is>
          <t>2026-02-20</t>
        </is>
      </c>
      <c r="H156" t="n">
        <v>1353.2</v>
      </c>
      <c r="J156" t="n">
        <v>25571.25</v>
      </c>
    </row>
    <row r="157">
      <c r="G157" s="34" t="inlineStr">
        <is>
          <t>2026-02-19</t>
        </is>
      </c>
      <c r="H157" t="n">
        <v>1370.5</v>
      </c>
      <c r="J157" t="n">
        <v>25454.35</v>
      </c>
    </row>
    <row r="158">
      <c r="G158" s="34" t="inlineStr">
        <is>
          <t>2026-02-18</t>
        </is>
      </c>
      <c r="H158" t="n">
        <v>1373.7</v>
      </c>
      <c r="J158" t="n">
        <v>25819.35</v>
      </c>
    </row>
    <row r="159">
      <c r="G159" s="34" t="inlineStr">
        <is>
          <t>2026-02-17</t>
        </is>
      </c>
      <c r="H159" t="n">
        <v>1391.2</v>
      </c>
      <c r="J159" t="n">
        <v>25725.4</v>
      </c>
    </row>
    <row r="160">
      <c r="G160" s="34" t="inlineStr">
        <is>
          <t>2026-02-16</t>
        </is>
      </c>
      <c r="H160" t="n">
        <v>1365.6</v>
      </c>
      <c r="J160" t="n">
        <v>25682.75</v>
      </c>
    </row>
    <row r="161">
      <c r="G161" s="34" t="inlineStr">
        <is>
          <t>2026-02-13</t>
        </is>
      </c>
      <c r="H161" t="n">
        <v>1369.1</v>
      </c>
      <c r="J161" t="n">
        <v>25471.1</v>
      </c>
    </row>
    <row r="162">
      <c r="G162" s="34" t="inlineStr">
        <is>
          <t>2026-02-12</t>
        </is>
      </c>
      <c r="H162" t="n">
        <v>1386</v>
      </c>
      <c r="J162" t="n">
        <v>25807.2</v>
      </c>
    </row>
    <row r="163">
      <c r="G163" s="34" t="inlineStr">
        <is>
          <t>2026-02-11</t>
        </is>
      </c>
      <c r="H163" t="n">
        <v>1471.9</v>
      </c>
      <c r="J163" t="n">
        <v>25953.85</v>
      </c>
    </row>
    <row r="164">
      <c r="G164" s="34" t="inlineStr">
        <is>
          <t>2026-02-10</t>
        </is>
      </c>
      <c r="H164" t="n">
        <v>1497.8</v>
      </c>
      <c r="J164" t="n">
        <v>25935.15</v>
      </c>
    </row>
    <row r="165">
      <c r="G165" s="34" t="inlineStr">
        <is>
          <t>2026-02-09</t>
        </is>
      </c>
      <c r="H165" t="n">
        <v>1497.2</v>
      </c>
      <c r="J165" t="n">
        <v>25867.3</v>
      </c>
    </row>
    <row r="166">
      <c r="G166" s="34" t="inlineStr">
        <is>
          <t>2026-02-06</t>
        </is>
      </c>
      <c r="H166" t="n">
        <v>1507.1</v>
      </c>
      <c r="J166" t="n">
        <v>25693.7</v>
      </c>
    </row>
    <row r="167">
      <c r="G167" s="34" t="inlineStr">
        <is>
          <t>2026-02-05</t>
        </is>
      </c>
      <c r="H167" t="n">
        <v>1520.2</v>
      </c>
      <c r="J167" t="n">
        <v>25642.8</v>
      </c>
    </row>
    <row r="168">
      <c r="G168" s="34" t="inlineStr">
        <is>
          <t>2026-02-04</t>
        </is>
      </c>
      <c r="H168" t="n">
        <v>1535.8</v>
      </c>
      <c r="J168" t="n">
        <v>25776</v>
      </c>
    </row>
    <row r="169">
      <c r="G169" s="34" t="inlineStr">
        <is>
          <t>2026-02-03</t>
        </is>
      </c>
      <c r="H169" t="n">
        <v>1656</v>
      </c>
      <c r="J169" t="n">
        <v>25727.55</v>
      </c>
    </row>
    <row r="170">
      <c r="G170" s="34" t="inlineStr">
        <is>
          <t>2026-02-02</t>
        </is>
      </c>
      <c r="H170" t="n">
        <v>1629.4</v>
      </c>
      <c r="J170" t="n">
        <v>25088.4</v>
      </c>
    </row>
    <row r="171">
      <c r="G171" s="34" t="inlineStr">
        <is>
          <t>2026-02-01</t>
        </is>
      </c>
      <c r="H171" t="n">
        <v>1654.5</v>
      </c>
      <c r="J171" t="n">
        <v>25320.65</v>
      </c>
    </row>
    <row r="172">
      <c r="G172" s="34" t="inlineStr">
        <is>
          <t>2026-01-30</t>
        </is>
      </c>
      <c r="H172" t="n">
        <v>1641</v>
      </c>
      <c r="J172" t="n">
        <v>25320.65</v>
      </c>
    </row>
    <row r="173">
      <c r="G173" s="34" t="inlineStr">
        <is>
          <t>2026-01-29</t>
        </is>
      </c>
      <c r="H173" t="n">
        <v>1659.5</v>
      </c>
      <c r="J173" t="n">
        <v>25418.9</v>
      </c>
    </row>
    <row r="174">
      <c r="G174" s="34" t="inlineStr">
        <is>
          <t>2026-01-28</t>
        </is>
      </c>
      <c r="H174" t="n">
        <v>1666.5</v>
      </c>
      <c r="J174" t="n">
        <v>25342.75</v>
      </c>
    </row>
    <row r="175">
      <c r="G175" s="34" t="inlineStr">
        <is>
          <t>2026-01-27</t>
        </is>
      </c>
      <c r="H175" t="n">
        <v>1682.7</v>
      </c>
      <c r="J175" t="n">
        <v>25175.4</v>
      </c>
    </row>
    <row r="176">
      <c r="G176" s="34" t="inlineStr">
        <is>
          <t>2026-01-23</t>
        </is>
      </c>
      <c r="H176" t="n">
        <v>1670.8</v>
      </c>
      <c r="J176" t="n">
        <v>25048.65</v>
      </c>
    </row>
    <row r="177">
      <c r="G177" s="34" t="inlineStr">
        <is>
          <t>2026-01-22</t>
        </is>
      </c>
      <c r="H177" t="n">
        <v>1663.5</v>
      </c>
      <c r="J177" t="n">
        <v>25289.9</v>
      </c>
    </row>
    <row r="178">
      <c r="G178" s="34" t="inlineStr">
        <is>
          <t>2026-01-21</t>
        </is>
      </c>
      <c r="H178" t="n">
        <v>1654.4</v>
      </c>
      <c r="J178" t="n">
        <v>25157.5</v>
      </c>
    </row>
    <row r="179">
      <c r="G179" s="34" t="inlineStr">
        <is>
          <t>2026-01-20</t>
        </is>
      </c>
      <c r="H179" t="n">
        <v>1658.9</v>
      </c>
      <c r="J179" t="n">
        <v>25232.5</v>
      </c>
    </row>
    <row r="180">
      <c r="G180" s="34" t="inlineStr">
        <is>
          <t>2026-01-19</t>
        </is>
      </c>
      <c r="H180" t="n">
        <v>1681.2</v>
      </c>
      <c r="J180" t="n">
        <v>25585.5</v>
      </c>
    </row>
    <row r="181">
      <c r="G181" s="34" t="inlineStr">
        <is>
          <t>2026-01-16</t>
        </is>
      </c>
      <c r="H181" t="n">
        <v>1689.8</v>
      </c>
      <c r="J181" t="n">
        <v>25694.35</v>
      </c>
    </row>
    <row r="182">
      <c r="G182" s="34" t="inlineStr">
        <is>
          <t>2026-01-14</t>
        </is>
      </c>
      <c r="H182" t="n">
        <v>1599.8</v>
      </c>
      <c r="J182" t="n">
        <v>25665.6</v>
      </c>
    </row>
    <row r="183">
      <c r="G183" s="34" t="inlineStr">
        <is>
          <t>2026-01-13</t>
        </is>
      </c>
      <c r="H183" t="n">
        <v>1599</v>
      </c>
      <c r="J183" t="n">
        <v>25732.3</v>
      </c>
    </row>
    <row r="184">
      <c r="G184" s="34" t="inlineStr">
        <is>
          <t>2026-01-12</t>
        </is>
      </c>
      <c r="H184" t="n">
        <v>1595.9</v>
      </c>
      <c r="J184" t="n">
        <v>25790.25</v>
      </c>
    </row>
    <row r="185">
      <c r="G185" s="34" t="inlineStr">
        <is>
          <t>2026-01-09</t>
        </is>
      </c>
      <c r="H185" t="n">
        <v>1614.1</v>
      </c>
      <c r="J185" t="n">
        <v>25683.3</v>
      </c>
    </row>
    <row r="186">
      <c r="G186" s="34" t="inlineStr">
        <is>
          <t>2026-01-08</t>
        </is>
      </c>
      <c r="H186" t="n">
        <v>1613.3</v>
      </c>
      <c r="J186" t="n">
        <v>25876.85</v>
      </c>
    </row>
    <row r="187">
      <c r="G187" s="34" t="inlineStr">
        <is>
          <t>2026-01-07</t>
        </is>
      </c>
      <c r="H187" t="n">
        <v>1639</v>
      </c>
      <c r="J187" t="n">
        <v>26140.75</v>
      </c>
    </row>
    <row r="188">
      <c r="G188" s="34" t="inlineStr">
        <is>
          <t>2026-01-06</t>
        </is>
      </c>
      <c r="H188" t="n">
        <v>1612.2</v>
      </c>
      <c r="J188" t="n">
        <v>26178.7</v>
      </c>
    </row>
    <row r="189">
      <c r="G189" s="34" t="inlineStr">
        <is>
          <t>2026-01-05</t>
        </is>
      </c>
      <c r="H189" t="n">
        <v>1606.4</v>
      </c>
      <c r="J189" t="n">
        <v>26250.3</v>
      </c>
    </row>
    <row r="190">
      <c r="G190" s="34" t="inlineStr">
        <is>
          <t>2026-01-02</t>
        </is>
      </c>
      <c r="H190" t="n">
        <v>1640.4</v>
      </c>
      <c r="J190" t="n">
        <v>26328.55</v>
      </c>
    </row>
    <row r="191">
      <c r="G191" s="34" t="inlineStr">
        <is>
          <t>2026-01-01</t>
        </is>
      </c>
      <c r="H191" t="n">
        <v>1629.8</v>
      </c>
      <c r="J191" t="n">
        <v>26146.55</v>
      </c>
    </row>
    <row r="192">
      <c r="G192" s="34" t="inlineStr">
        <is>
          <t>2025-12-31</t>
        </is>
      </c>
      <c r="H192" t="n">
        <v>1615.4</v>
      </c>
      <c r="J192" t="n">
        <v>26129.6</v>
      </c>
    </row>
    <row r="193">
      <c r="G193" s="34" t="inlineStr">
        <is>
          <t>2025-12-30</t>
        </is>
      </c>
      <c r="H193" t="n">
        <v>1621.6</v>
      </c>
      <c r="J193" t="n">
        <v>25938.85</v>
      </c>
    </row>
    <row r="194">
      <c r="G194" s="34" t="inlineStr">
        <is>
          <t>2025-12-29</t>
        </is>
      </c>
      <c r="H194" t="n">
        <v>1644.7</v>
      </c>
      <c r="J194" t="n">
        <v>25942.1</v>
      </c>
    </row>
    <row r="195">
      <c r="G195" s="34" t="inlineStr">
        <is>
          <t>2025-12-26</t>
        </is>
      </c>
      <c r="H195" t="n">
        <v>1656.1</v>
      </c>
      <c r="J195" t="n">
        <v>26042.3</v>
      </c>
    </row>
    <row r="196">
      <c r="G196" s="34" t="inlineStr">
        <is>
          <t>2025-12-24</t>
        </is>
      </c>
      <c r="H196" t="n">
        <v>1663.4</v>
      </c>
      <c r="J196" t="n">
        <v>26142.1</v>
      </c>
    </row>
    <row r="197">
      <c r="G197" s="34" t="inlineStr">
        <is>
          <t>2025-12-23</t>
        </is>
      </c>
      <c r="H197" t="n">
        <v>1668.3</v>
      </c>
      <c r="J197" t="n">
        <v>26177.15</v>
      </c>
    </row>
    <row r="198">
      <c r="G198" s="34" t="inlineStr">
        <is>
          <t>2025-12-22</t>
        </is>
      </c>
      <c r="H198" t="n">
        <v>1689.6</v>
      </c>
      <c r="J198" t="n">
        <v>26172.4</v>
      </c>
    </row>
    <row r="199">
      <c r="G199" s="34" t="inlineStr">
        <is>
          <t>2025-12-19</t>
        </is>
      </c>
      <c r="H199" t="n">
        <v>1638.7</v>
      </c>
      <c r="J199" t="n">
        <v>25966.4</v>
      </c>
    </row>
    <row r="200">
      <c r="G200" s="34" t="inlineStr">
        <is>
          <t>2025-12-18</t>
        </is>
      </c>
      <c r="H200" t="n">
        <v>1626.8</v>
      </c>
      <c r="J200" t="n">
        <v>25815.55</v>
      </c>
    </row>
    <row r="201">
      <c r="G201" s="34" t="inlineStr">
        <is>
          <t>2025-12-17</t>
        </is>
      </c>
      <c r="H201" t="n">
        <v>1602</v>
      </c>
      <c r="J201" t="n">
        <v>25818.55</v>
      </c>
    </row>
    <row r="202">
      <c r="G202" s="34" t="inlineStr">
        <is>
          <t>2025-12-16</t>
        </is>
      </c>
      <c r="H202" t="n">
        <v>1592.9</v>
      </c>
      <c r="J202" t="n">
        <v>25860.1</v>
      </c>
    </row>
    <row r="203">
      <c r="G203" s="34" t="inlineStr">
        <is>
          <t>2025-12-15</t>
        </is>
      </c>
      <c r="H203" t="n">
        <v>1606.8</v>
      </c>
      <c r="J203" t="n">
        <v>26027.3</v>
      </c>
    </row>
    <row r="204">
      <c r="G204" s="34" t="inlineStr">
        <is>
          <t>2025-12-12</t>
        </is>
      </c>
      <c r="H204" t="n">
        <v>1598.2</v>
      </c>
      <c r="J204" t="n">
        <v>26046.95</v>
      </c>
    </row>
    <row r="205">
      <c r="G205" s="34" t="inlineStr">
        <is>
          <t>2025-12-11</t>
        </is>
      </c>
      <c r="H205" t="n">
        <v>1598</v>
      </c>
      <c r="J205" t="n">
        <v>25898.55</v>
      </c>
    </row>
    <row r="206">
      <c r="G206" s="34" t="inlineStr">
        <is>
          <t>2025-12-10</t>
        </is>
      </c>
      <c r="H206" t="n">
        <v>1584.8</v>
      </c>
      <c r="J206" t="n">
        <v>25758</v>
      </c>
    </row>
    <row r="207">
      <c r="G207" s="34" t="inlineStr">
        <is>
          <t>2025-12-09</t>
        </is>
      </c>
      <c r="H207" t="n">
        <v>1599</v>
      </c>
      <c r="J207" t="n">
        <v>25839.65</v>
      </c>
    </row>
    <row r="208">
      <c r="G208" s="34" t="inlineStr">
        <is>
          <t>2025-12-08</t>
        </is>
      </c>
      <c r="H208" t="n">
        <v>1610.8</v>
      </c>
      <c r="J208" t="n">
        <v>25960.55</v>
      </c>
    </row>
    <row r="209">
      <c r="G209" s="34" t="inlineStr">
        <is>
          <t>2025-12-05</t>
        </is>
      </c>
      <c r="H209" t="n">
        <v>1616.2</v>
      </c>
      <c r="J209" t="n">
        <v>26186.45</v>
      </c>
    </row>
    <row r="210">
      <c r="G210" s="34" t="inlineStr">
        <is>
          <t>2025-12-04</t>
        </is>
      </c>
      <c r="H210" t="n">
        <v>1597.6</v>
      </c>
      <c r="J210" t="n">
        <v>26033.75</v>
      </c>
    </row>
    <row r="211">
      <c r="G211" s="34" t="inlineStr">
        <is>
          <t>2025-12-03</t>
        </is>
      </c>
      <c r="H211" t="n">
        <v>1578.7</v>
      </c>
      <c r="J211" t="n">
        <v>25986</v>
      </c>
    </row>
    <row r="212">
      <c r="G212" s="34" t="inlineStr">
        <is>
          <t>2025-12-02</t>
        </is>
      </c>
      <c r="H212" t="n">
        <v>1561</v>
      </c>
      <c r="J212" t="n">
        <v>26032.2</v>
      </c>
    </row>
    <row r="213">
      <c r="G213" s="34" t="inlineStr">
        <is>
          <t>2025-12-01</t>
        </is>
      </c>
      <c r="H213" t="n">
        <v>1564</v>
      </c>
      <c r="J213" t="n">
        <v>26175.75</v>
      </c>
    </row>
    <row r="214">
      <c r="G214" s="34" t="inlineStr">
        <is>
          <t>2025-11-28</t>
        </is>
      </c>
      <c r="H214" t="n">
        <v>1560.1</v>
      </c>
      <c r="J214" t="n">
        <v>26202.95</v>
      </c>
    </row>
    <row r="215">
      <c r="G215" s="34" t="inlineStr">
        <is>
          <t>2025-11-27</t>
        </is>
      </c>
      <c r="H215" t="n">
        <v>1566.4</v>
      </c>
      <c r="J215" t="n">
        <v>26215.55</v>
      </c>
    </row>
    <row r="216">
      <c r="G216" s="34" t="inlineStr">
        <is>
          <t>2025-11-26</t>
        </is>
      </c>
      <c r="H216" t="n">
        <v>1557.9</v>
      </c>
      <c r="J216" t="n">
        <v>26205.3</v>
      </c>
    </row>
    <row r="217">
      <c r="G217" s="34" t="inlineStr">
        <is>
          <t>2025-11-25</t>
        </is>
      </c>
      <c r="H217" t="n">
        <v>1530.6</v>
      </c>
      <c r="J217" t="n">
        <v>25884.8</v>
      </c>
    </row>
    <row r="218">
      <c r="G218" s="34" t="inlineStr">
        <is>
          <t>2025-11-24</t>
        </is>
      </c>
      <c r="H218" t="n">
        <v>1548</v>
      </c>
      <c r="J218" t="n">
        <v>25959.5</v>
      </c>
    </row>
    <row r="219">
      <c r="G219" s="34" t="inlineStr">
        <is>
          <t>2025-11-21</t>
        </is>
      </c>
      <c r="H219" t="n">
        <v>1545</v>
      </c>
      <c r="J219" t="n">
        <v>26068.15</v>
      </c>
    </row>
    <row r="220">
      <c r="G220" s="34" t="inlineStr">
        <is>
          <t>2025-11-20</t>
        </is>
      </c>
      <c r="H220" t="n">
        <v>1536.5</v>
      </c>
      <c r="J220" t="n">
        <v>26192.15</v>
      </c>
    </row>
    <row r="221">
      <c r="G221" s="34" t="inlineStr">
        <is>
          <t>2025-11-19</t>
        </is>
      </c>
      <c r="H221" t="n">
        <v>1541.1</v>
      </c>
      <c r="J221" t="n">
        <v>26052.65</v>
      </c>
    </row>
    <row r="222">
      <c r="G222" s="34" t="inlineStr">
        <is>
          <t>2025-11-18</t>
        </is>
      </c>
      <c r="H222" t="n">
        <v>1486.4</v>
      </c>
      <c r="J222" t="n">
        <v>25910.05</v>
      </c>
    </row>
    <row r="223">
      <c r="G223" s="34" t="inlineStr">
        <is>
          <t>2025-11-17</t>
        </is>
      </c>
      <c r="H223" t="n">
        <v>1507.6</v>
      </c>
      <c r="J223" t="n">
        <v>26013.45</v>
      </c>
    </row>
    <row r="224">
      <c r="G224" s="34" t="inlineStr">
        <is>
          <t>2025-11-14</t>
        </is>
      </c>
      <c r="H224" t="n">
        <v>1502.8</v>
      </c>
      <c r="J224" t="n">
        <v>25910.05</v>
      </c>
    </row>
    <row r="225">
      <c r="G225" s="34" t="inlineStr">
        <is>
          <t>2025-11-13</t>
        </is>
      </c>
      <c r="H225" t="n">
        <v>1541.8</v>
      </c>
      <c r="J225" t="n">
        <v>25879.15</v>
      </c>
    </row>
    <row r="226">
      <c r="G226" s="34" t="inlineStr">
        <is>
          <t>2025-11-12</t>
        </is>
      </c>
      <c r="H226" t="n">
        <v>1551.7</v>
      </c>
      <c r="J226" t="n">
        <v>25875.8</v>
      </c>
    </row>
    <row r="227">
      <c r="G227" s="34" t="inlineStr">
        <is>
          <t>2025-11-11</t>
        </is>
      </c>
      <c r="H227" t="n">
        <v>1530.3</v>
      </c>
      <c r="J227" t="n">
        <v>25694.95</v>
      </c>
    </row>
    <row r="228">
      <c r="G228" s="34" t="inlineStr">
        <is>
          <t>2025-11-10</t>
        </is>
      </c>
      <c r="H228" t="n">
        <v>1513.5</v>
      </c>
      <c r="J228" t="n">
        <v>25574.35</v>
      </c>
    </row>
    <row r="229">
      <c r="G229" s="34" t="inlineStr">
        <is>
          <t>2025-11-07</t>
        </is>
      </c>
      <c r="H229" t="n">
        <v>1476.8</v>
      </c>
      <c r="J229" t="n">
        <v>25492.3</v>
      </c>
    </row>
    <row r="230">
      <c r="G230" s="34" t="inlineStr">
        <is>
          <t>2025-11-06</t>
        </is>
      </c>
      <c r="H230" t="n">
        <v>1466.7</v>
      </c>
      <c r="J230" t="n">
        <v>25509.7</v>
      </c>
    </row>
    <row r="231">
      <c r="G231" s="34" t="inlineStr">
        <is>
          <t>2025-11-04</t>
        </is>
      </c>
      <c r="H231" t="n">
        <v>1467.9</v>
      </c>
      <c r="J231" t="n">
        <v>25597.65</v>
      </c>
    </row>
    <row r="232">
      <c r="G232" s="34" t="inlineStr">
        <is>
          <t>2025-11-03</t>
        </is>
      </c>
      <c r="H232" t="n">
        <v>1485.5</v>
      </c>
      <c r="J232" t="n">
        <v>25763.35</v>
      </c>
    </row>
    <row r="233">
      <c r="G233" s="34" t="inlineStr">
        <is>
          <t>2025-10-31</t>
        </is>
      </c>
      <c r="H233" t="n">
        <v>1482.3</v>
      </c>
      <c r="J233" t="n">
        <v>25722.1</v>
      </c>
    </row>
    <row r="234">
      <c r="G234" s="34" t="inlineStr">
        <is>
          <t>2025-10-30</t>
        </is>
      </c>
      <c r="H234" t="n">
        <v>1493.8</v>
      </c>
      <c r="J234" t="n">
        <v>25877.85</v>
      </c>
    </row>
    <row r="235">
      <c r="G235" s="34" t="inlineStr">
        <is>
          <t>2025-10-29</t>
        </is>
      </c>
      <c r="H235" t="n">
        <v>1510.4</v>
      </c>
      <c r="J235" t="n">
        <v>26053.9</v>
      </c>
    </row>
    <row r="236">
      <c r="G236" s="34" t="inlineStr">
        <is>
          <t>2025-10-28</t>
        </is>
      </c>
      <c r="H236" t="n">
        <v>1500.2</v>
      </c>
      <c r="J236" t="n">
        <v>25936.2</v>
      </c>
    </row>
    <row r="237">
      <c r="G237" s="34" t="inlineStr">
        <is>
          <t>2025-10-27</t>
        </is>
      </c>
      <c r="H237" t="n">
        <v>1504.5</v>
      </c>
      <c r="J237" t="n">
        <v>25966.05</v>
      </c>
    </row>
    <row r="238">
      <c r="G238" s="34" t="inlineStr">
        <is>
          <t>2025-10-24</t>
        </is>
      </c>
      <c r="H238" t="n">
        <v>1525.4</v>
      </c>
      <c r="J238" t="n">
        <v>25795.15</v>
      </c>
    </row>
    <row r="239">
      <c r="G239" s="34" t="inlineStr">
        <is>
          <t>2025-10-23</t>
        </is>
      </c>
      <c r="H239" t="n">
        <v>1528.5</v>
      </c>
      <c r="J239" t="n">
        <v>25891.4</v>
      </c>
    </row>
    <row r="240">
      <c r="G240" s="34" t="inlineStr">
        <is>
          <t>2025-10-21</t>
        </is>
      </c>
      <c r="H240" t="n">
        <v>1472.4</v>
      </c>
      <c r="J240" t="n">
        <v>25868.6</v>
      </c>
    </row>
    <row r="241">
      <c r="G241" s="34" t="inlineStr">
        <is>
          <t>2025-10-20</t>
        </is>
      </c>
      <c r="H241" t="n">
        <v>1460.9</v>
      </c>
      <c r="J241" t="n">
        <v>25843.15</v>
      </c>
    </row>
    <row r="242">
      <c r="G242" s="34" t="inlineStr">
        <is>
          <t>2025-10-17</t>
        </is>
      </c>
      <c r="H242" t="n">
        <v>1441.1</v>
      </c>
      <c r="J242" t="n">
        <v>25709.85</v>
      </c>
    </row>
    <row r="243">
      <c r="G243" s="34" t="inlineStr">
        <is>
          <t>2025-10-16</t>
        </is>
      </c>
      <c r="H243" t="n">
        <v>1471.5</v>
      </c>
      <c r="J243" t="n">
        <v>25585.3</v>
      </c>
    </row>
    <row r="244">
      <c r="G244" s="34" t="inlineStr">
        <is>
          <t>2025-10-15</t>
        </is>
      </c>
      <c r="H244" t="n">
        <v>1474.4</v>
      </c>
      <c r="J244" t="n">
        <v>25323.55</v>
      </c>
    </row>
    <row r="245">
      <c r="G245" s="34" t="inlineStr">
        <is>
          <t>2025-10-14</t>
        </is>
      </c>
      <c r="H245" t="n">
        <v>1489.9</v>
      </c>
      <c r="J245" t="n">
        <v>25145.5</v>
      </c>
    </row>
    <row r="246">
      <c r="G246" s="34" t="inlineStr">
        <is>
          <t>2025-10-13</t>
        </is>
      </c>
      <c r="H246" t="n">
        <v>1493.2</v>
      </c>
      <c r="J246" t="n">
        <v>25227.35</v>
      </c>
    </row>
    <row r="247">
      <c r="G247" s="34" t="inlineStr">
        <is>
          <t>2025-10-10</t>
        </is>
      </c>
      <c r="H247" t="n">
        <v>1514.9</v>
      </c>
      <c r="J247" t="n">
        <v>25285.35</v>
      </c>
    </row>
    <row r="248">
      <c r="G248" s="34" t="inlineStr">
        <is>
          <t>2025-10-09</t>
        </is>
      </c>
      <c r="H248" t="n">
        <v>1509.3</v>
      </c>
      <c r="J248" t="n">
        <v>25181.8</v>
      </c>
    </row>
    <row r="249">
      <c r="G249" s="161" t="inlineStr">
        <is>
          <t>2025-10-08</t>
        </is>
      </c>
      <c r="H249" t="n">
        <v>1495</v>
      </c>
      <c r="J249" t="n">
        <v>25046.15</v>
      </c>
    </row>
    <row r="250">
      <c r="G250" s="161" t="inlineStr">
        <is>
          <t>2025-10-07</t>
        </is>
      </c>
      <c r="H250" t="n">
        <v>1458.5</v>
      </c>
      <c r="J250" t="n">
        <v>25108.3</v>
      </c>
    </row>
    <row r="251">
      <c r="G251" s="161" t="inlineStr">
        <is>
          <t>2025-10-06</t>
        </is>
      </c>
      <c r="H251" t="n">
        <v>1476</v>
      </c>
      <c r="J251" t="n">
        <v>25077.65</v>
      </c>
    </row>
    <row r="252">
      <c r="G252" s="161" t="inlineStr">
        <is>
          <t>2025-10-03</t>
        </is>
      </c>
      <c r="H252" t="n">
        <v>1446.6</v>
      </c>
      <c r="J252" t="n">
        <v>24894.25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22">
        <f>IF(COUNTA(C12:C26)&gt;=4, "Peers &gt;= 4 (Valid Sample)", "WARNING: Insufficient Peers (&lt; 4)")</f>
        <v/>
      </c>
    </row>
    <row r="12">
      <c r="B12" s="201">
        <f>'Raw FS'!L57</f>
        <v/>
      </c>
      <c r="C12" s="201" t="inlineStr">
        <is>
          <t>HCLTECH</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TCS</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WIPRO</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TECHM</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PERSISTENT</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COFORGE</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MPHASIS</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LTM</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53">
        <f>"52 Week High "&amp;TEXT(MAX('Raw Data'!H6:H252),"#,##0.00")&amp;" / Low "&amp;TEXT(MIN('Raw Data'!H6:H252),"#,##0.00")</f>
        <v/>
      </c>
      <c r="C5" s="58" t="n"/>
      <c r="D5" s="58" t="n"/>
      <c r="E5" s="58" t="n"/>
      <c r="F5" s="58" t="n"/>
      <c r="G5" s="58" t="n"/>
      <c r="H5" s="58" t="n"/>
      <c r="I5" s="58" t="n"/>
    </row>
    <row r="6">
      <c r="B6" s="234">
        <f>"About the Company: "&amp;'Data Sheet'!B1&amp;" (Manual, Refresh Per Run)"</f>
        <v/>
      </c>
    </row>
    <row r="7" ht="4.2" customHeight="1" s="176">
      <c r="B7" s="37" t="n"/>
    </row>
    <row r="8">
      <c r="B8" s="185" t="inlineStr">
        <is>
          <t>Infosys Limited is an Indian multinational technology company that offers information technology, business consulting, and outsourcing services. Founded in 1981 by seven engineers, the company is headquartered in Bengaluru and considered one of the Big Six Indian IT companies.</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Stocks in news: Infosys, HDFC Bank, Jio Financial, IRFC, NCC and Blue Dart</t>
        </is>
      </c>
    </row>
    <row r="38"/>
    <row r="39">
      <c r="A39" t="inlineStr">
        <is>
          <t>•</t>
        </is>
      </c>
      <c r="B39" s="184" t="inlineStr">
        <is>
          <t>Market wrap: Infosys, Dr Reddy's Labs, Tata Motors PV, Power Grid top gainers and losers on Nifty and Sens</t>
        </is>
      </c>
    </row>
    <row r="40"/>
    <row r="41">
      <c r="A41" t="inlineStr">
        <is>
          <t>•</t>
        </is>
      </c>
      <c r="B41" s="184" t="inlineStr">
        <is>
          <t>Infosys - Jefferies is bearish TCS, Wipro, 6 other IT stocks ahead of Q2 results. How many do you own?</t>
        </is>
      </c>
    </row>
    <row r="42"/>
    <row r="43">
      <c r="A43" t="inlineStr">
        <is>
          <t>•</t>
        </is>
      </c>
      <c r="B43" s="184" t="inlineStr">
        <is>
          <t>Stocks to buy: JM Financial expects soft Q2 season for IT majors; check target prices for Infosys, TCS, others</t>
        </is>
      </c>
    </row>
    <row r="44"/>
    <row r="45">
      <c r="A45" t="inlineStr">
        <is>
          <t>•</t>
        </is>
      </c>
      <c r="B45" s="184" t="inlineStr">
        <is>
          <t>Rs 19 lakh crore shocker! TCS, Infosys &amp; 2 IT giants crash 50% from peak: Is the absolute worst yet to com</t>
        </is>
      </c>
    </row>
    <row r="46"/>
    <row r="47">
      <c r="A47" t="inlineStr">
        <is>
          <t>•</t>
        </is>
      </c>
      <c r="B47" s="184" t="inlineStr">
        <is>
          <t>INFOSYS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53">
        <f>"52 Week High "&amp;TEXT(MAX('Raw Data'!H6:H252),"#,##0.00")&amp;" / Low "&amp;TEXT(MIN('Raw Data'!H6:H252),"#,##0.00")</f>
        <v/>
      </c>
      <c r="C5" s="58" t="n"/>
      <c r="D5" s="58" t="n"/>
      <c r="E5" s="58" t="n"/>
      <c r="F5" s="58" t="n"/>
      <c r="G5" s="58" t="n"/>
      <c r="H5" s="58" t="n"/>
      <c r="I5" s="58" t="n"/>
    </row>
    <row r="6">
      <c r="B6" s="234">
        <f>"About the Company: "&amp;'Data Sheet'!B1&amp;" (Manual, Refresh Per Run)"</f>
        <v/>
      </c>
    </row>
    <row r="7" ht="6.6" customHeight="1" s="176"/>
    <row r="8">
      <c r="B8" s="185" t="inlineStr">
        <is>
          <t>Infosys Limited is an Indian multinational technology company that offers information technology, business consulting, and outsourcing services. Founded in 1981 by seven engineers, the company is headquartered in Bengaluru and considered one of the Big Six Indian IT companies.</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Stocks in news: Infosys, HDFC Bank, Jio Financial, IRFC, NCC and Blue Dart</t>
        </is>
      </c>
    </row>
    <row r="37"/>
    <row r="38" ht="14.4" customHeight="1" s="176">
      <c r="A38" t="inlineStr">
        <is>
          <t>•</t>
        </is>
      </c>
      <c r="B38" s="184" t="inlineStr">
        <is>
          <t>Market wrap: Infosys, Dr Reddy's Labs, Tata Motors PV, Power Grid top gainers and losers on Nifty and Sens</t>
        </is>
      </c>
    </row>
    <row r="39"/>
    <row r="40" ht="20.4" customHeight="1" s="176">
      <c r="A40" t="inlineStr">
        <is>
          <t>•</t>
        </is>
      </c>
      <c r="B40" s="184" t="inlineStr">
        <is>
          <t>Infosys - Jefferies is bearish TCS, Wipro, 6 other IT stocks ahead of Q2 results. How many do you own?</t>
        </is>
      </c>
    </row>
    <row r="41"/>
    <row r="42">
      <c r="A42" t="inlineStr">
        <is>
          <t>•</t>
        </is>
      </c>
      <c r="B42" s="184" t="inlineStr">
        <is>
          <t>Stocks to buy: JM Financial expects soft Q2 season for IT majors; check target prices for Infosys, TCS, others</t>
        </is>
      </c>
    </row>
    <row r="43"/>
    <row r="44">
      <c r="A44" t="inlineStr">
        <is>
          <t>•</t>
        </is>
      </c>
      <c r="B44" s="184" t="inlineStr">
        <is>
          <t>Rs 19 lakh crore shocker! TCS, Infosys &amp; 2 IT giants crash 50% from peak: Is the absolute worst yet to com</t>
        </is>
      </c>
    </row>
    <row r="45"/>
    <row r="46">
      <c r="A46" t="inlineStr">
        <is>
          <t>•</t>
        </is>
      </c>
      <c r="B46" s="184" t="inlineStr">
        <is>
          <t>INFOSYS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53319</v>
      </c>
      <c r="T4" s="73" t="n">
        <v>62441</v>
      </c>
      <c r="U4" s="73" t="n">
        <v>68484</v>
      </c>
      <c r="V4" s="73" t="n">
        <v>70522</v>
      </c>
      <c r="W4" s="73" t="n">
        <v>82675</v>
      </c>
      <c r="X4" s="73" t="n">
        <v>90791</v>
      </c>
      <c r="Y4" s="73" t="n">
        <v>100472</v>
      </c>
      <c r="Z4" s="73" t="n">
        <v>121641</v>
      </c>
      <c r="AA4" s="73" t="n">
        <v>146767</v>
      </c>
      <c r="AB4" s="73" t="n">
        <v>153670</v>
      </c>
      <c r="AC4" s="73" t="n">
        <v>162990</v>
      </c>
      <c r="AD4" s="73" t="n">
        <v>178650</v>
      </c>
      <c r="AE4" s="73" t="n">
        <v>184582</v>
      </c>
    </row>
    <row r="5">
      <c r="B5" s="35" t="inlineStr">
        <is>
          <t>Equity Capital</t>
        </is>
      </c>
      <c r="C5" t="n">
        <v>572</v>
      </c>
      <c r="D5" s="47" t="n">
        <v>1144</v>
      </c>
      <c r="E5" s="47" t="n">
        <v>1144</v>
      </c>
      <c r="F5" s="47" t="n">
        <v>1088</v>
      </c>
      <c r="G5" s="47" t="n">
        <v>2170</v>
      </c>
      <c r="H5" s="47" t="n">
        <v>2122</v>
      </c>
      <c r="I5" s="47" t="n">
        <v>2124</v>
      </c>
      <c r="J5" s="47" t="n">
        <v>2098</v>
      </c>
      <c r="K5" s="47" t="n">
        <v>2069</v>
      </c>
      <c r="L5" s="47" t="n">
        <v>2071</v>
      </c>
      <c r="M5" s="47" t="n">
        <v>2073</v>
      </c>
      <c r="N5" s="47" t="n">
        <v>2024</v>
      </c>
      <c r="R5" t="inlineStr">
        <is>
          <t>Expenses +</t>
        </is>
      </c>
      <c r="S5" s="73" t="n">
        <v>38436</v>
      </c>
      <c r="T5" s="73" t="n">
        <v>45362</v>
      </c>
      <c r="U5" s="73" t="n">
        <v>49880</v>
      </c>
      <c r="V5" s="73" t="n">
        <v>51700</v>
      </c>
      <c r="W5" s="73" t="n">
        <v>62505</v>
      </c>
      <c r="X5" s="73" t="n">
        <v>68524</v>
      </c>
      <c r="Y5" s="73" t="n">
        <v>72583</v>
      </c>
      <c r="Z5" s="73" t="n">
        <v>90150</v>
      </c>
      <c r="AA5" s="73" t="n">
        <v>111637</v>
      </c>
      <c r="AB5" s="73" t="n">
        <v>117245</v>
      </c>
      <c r="AC5" s="73" t="n">
        <v>123754</v>
      </c>
      <c r="AD5" s="73" t="n">
        <v>136370</v>
      </c>
      <c r="AE5" s="73" t="n">
        <v>140837</v>
      </c>
    </row>
    <row r="6">
      <c r="B6" t="inlineStr">
        <is>
          <t>Reserves</t>
        </is>
      </c>
      <c r="C6" s="73" t="n">
        <v>50164</v>
      </c>
      <c r="D6" s="73" t="n">
        <v>60600</v>
      </c>
      <c r="E6" s="73" t="n">
        <v>67838</v>
      </c>
      <c r="F6" s="73" t="n">
        <v>63835</v>
      </c>
      <c r="G6" s="73" t="n">
        <v>62778</v>
      </c>
      <c r="H6" s="73" t="n">
        <v>63328</v>
      </c>
      <c r="I6" s="73" t="n">
        <v>74227</v>
      </c>
      <c r="J6" s="73" t="n">
        <v>73252</v>
      </c>
      <c r="K6" s="73" t="n">
        <v>73338</v>
      </c>
      <c r="L6" s="73" t="n">
        <v>86045</v>
      </c>
      <c r="M6" s="73" t="n">
        <v>93745</v>
      </c>
      <c r="N6" s="73" t="n">
        <v>90828</v>
      </c>
      <c r="O6" s="73" t="n"/>
      <c r="R6" t="inlineStr">
        <is>
          <t>Operating Profit</t>
        </is>
      </c>
      <c r="S6" s="73" t="n">
        <v>14883</v>
      </c>
      <c r="T6" s="73" t="n">
        <v>17079</v>
      </c>
      <c r="U6" s="73" t="n">
        <v>18604</v>
      </c>
      <c r="V6" s="73" t="n">
        <v>18822</v>
      </c>
      <c r="W6" s="73" t="n">
        <v>20170</v>
      </c>
      <c r="X6" s="73" t="n">
        <v>22267</v>
      </c>
      <c r="Y6" s="73" t="n">
        <v>27889</v>
      </c>
      <c r="Z6" s="73" t="n">
        <v>31491</v>
      </c>
      <c r="AA6" s="73" t="n">
        <v>35130</v>
      </c>
      <c r="AB6" s="73" t="n">
        <v>36425</v>
      </c>
      <c r="AC6" s="73" t="n">
        <v>39236</v>
      </c>
      <c r="AD6" s="73" t="n">
        <v>42280</v>
      </c>
      <c r="AE6" s="73" t="n">
        <v>43745</v>
      </c>
    </row>
    <row r="7">
      <c r="B7" s="73" t="inlineStr">
        <is>
          <t>Borrowings -</t>
        </is>
      </c>
      <c r="C7" s="73" t="n">
        <v>0</v>
      </c>
      <c r="D7" s="73" t="n">
        <v>0</v>
      </c>
      <c r="E7" s="73" t="n">
        <v>0</v>
      </c>
      <c r="F7" s="73" t="n">
        <v>0</v>
      </c>
      <c r="G7" s="73" t="n">
        <v>0</v>
      </c>
      <c r="H7" s="73" t="n">
        <v>4633</v>
      </c>
      <c r="I7" s="73" t="n">
        <v>5325</v>
      </c>
      <c r="J7" s="73" t="n">
        <v>5474</v>
      </c>
      <c r="K7" s="73" t="n">
        <v>8299</v>
      </c>
      <c r="L7" s="73" t="n">
        <v>8359</v>
      </c>
      <c r="M7" s="73" t="n">
        <v>8227</v>
      </c>
      <c r="N7" s="73" t="n">
        <v>9176</v>
      </c>
      <c r="O7" s="73" t="n"/>
      <c r="R7" t="inlineStr">
        <is>
          <t>OPM %</t>
        </is>
      </c>
      <c r="S7" s="75" t="n">
        <v>28</v>
      </c>
      <c r="T7" s="75" t="n">
        <v>27</v>
      </c>
      <c r="U7" s="75" t="n">
        <v>27</v>
      </c>
      <c r="V7" s="75" t="n">
        <v>27</v>
      </c>
      <c r="W7" s="75" t="n">
        <v>24</v>
      </c>
      <c r="X7" s="75" t="n">
        <v>25</v>
      </c>
      <c r="Y7" s="75" t="n">
        <v>28</v>
      </c>
      <c r="Z7" s="75" t="n">
        <v>26</v>
      </c>
      <c r="AA7" s="75" t="n">
        <v>24</v>
      </c>
      <c r="AB7" s="75" t="n">
        <v>24</v>
      </c>
      <c r="AC7" s="75" t="n">
        <v>24</v>
      </c>
      <c r="AD7" s="75" t="n">
        <v>24</v>
      </c>
      <c r="AE7" s="75" t="n">
        <v>24</v>
      </c>
    </row>
    <row r="8">
      <c r="B8" s="73" t="inlineStr">
        <is>
          <t>Long term Borrowings</t>
        </is>
      </c>
      <c r="C8" s="73" t="n">
        <v>0</v>
      </c>
      <c r="D8" s="73" t="n">
        <v>0</v>
      </c>
      <c r="E8" s="73" t="n">
        <v>0</v>
      </c>
      <c r="F8" s="73" t="n">
        <v>0</v>
      </c>
      <c r="G8" s="73" t="n">
        <v>0</v>
      </c>
      <c r="H8" s="73" t="n">
        <v>0</v>
      </c>
      <c r="I8" s="73" t="n">
        <v>0</v>
      </c>
      <c r="J8" s="73" t="n">
        <v>0</v>
      </c>
      <c r="K8" s="73" t="n">
        <v>0</v>
      </c>
      <c r="L8" s="73" t="n">
        <v>0</v>
      </c>
      <c r="M8" s="73" t="n">
        <v>0</v>
      </c>
      <c r="N8" s="73" t="n">
        <v>0</v>
      </c>
      <c r="R8" t="inlineStr">
        <is>
          <t>Other Income +</t>
        </is>
      </c>
      <c r="S8" s="73" t="n">
        <v>3430</v>
      </c>
      <c r="T8" s="73" t="n">
        <v>3120</v>
      </c>
      <c r="U8" s="73" t="n">
        <v>3050</v>
      </c>
      <c r="V8" s="73" t="n">
        <v>3311</v>
      </c>
      <c r="W8" s="73" t="n">
        <v>2882</v>
      </c>
      <c r="X8" s="73" t="n">
        <v>2803</v>
      </c>
      <c r="Y8" s="73" t="n">
        <v>2201</v>
      </c>
      <c r="Z8" s="73" t="n">
        <v>2295</v>
      </c>
      <c r="AA8" s="73" t="n">
        <v>2701</v>
      </c>
      <c r="AB8" s="73" t="n">
        <v>4711</v>
      </c>
      <c r="AC8" s="73" t="n">
        <v>3600</v>
      </c>
      <c r="AD8" s="73" t="n">
        <v>3033</v>
      </c>
      <c r="AE8" s="73" t="n">
        <v>2975</v>
      </c>
    </row>
    <row r="9">
      <c r="B9" t="inlineStr">
        <is>
          <t>Short term Borrowings</t>
        </is>
      </c>
      <c r="C9" t="n">
        <v>0</v>
      </c>
      <c r="D9" t="n">
        <v>0</v>
      </c>
      <c r="E9" t="n">
        <v>0</v>
      </c>
      <c r="F9" t="n">
        <v>0</v>
      </c>
      <c r="G9" t="n">
        <v>0</v>
      </c>
      <c r="H9" t="n">
        <v>0</v>
      </c>
      <c r="I9" t="n">
        <v>0</v>
      </c>
      <c r="J9" t="n">
        <v>0</v>
      </c>
      <c r="K9" t="n">
        <v>0</v>
      </c>
      <c r="L9" t="n">
        <v>0</v>
      </c>
      <c r="M9" t="n">
        <v>0</v>
      </c>
      <c r="N9" s="73" t="n">
        <v>0</v>
      </c>
      <c r="R9" t="inlineStr">
        <is>
          <t>Interest</t>
        </is>
      </c>
      <c r="S9" t="n">
        <v>12</v>
      </c>
      <c r="T9" t="n">
        <v>0</v>
      </c>
      <c r="U9" t="n">
        <v>0</v>
      </c>
      <c r="V9" t="n">
        <v>0</v>
      </c>
      <c r="W9" t="n">
        <v>0</v>
      </c>
      <c r="X9" t="n">
        <v>170</v>
      </c>
      <c r="Y9" t="n">
        <v>195</v>
      </c>
      <c r="Z9" t="n">
        <v>200</v>
      </c>
      <c r="AA9" t="n">
        <v>284</v>
      </c>
      <c r="AB9" t="n">
        <v>470</v>
      </c>
      <c r="AC9" t="n">
        <v>416</v>
      </c>
      <c r="AD9" t="n">
        <v>416</v>
      </c>
      <c r="AE9" t="n">
        <v>430</v>
      </c>
    </row>
    <row r="10">
      <c r="B10" t="inlineStr">
        <is>
          <t>Lease Liabilities</t>
        </is>
      </c>
      <c r="C10" t="n">
        <v>0</v>
      </c>
      <c r="D10" t="n">
        <v>0</v>
      </c>
      <c r="E10" t="n">
        <v>0</v>
      </c>
      <c r="F10" t="n">
        <v>0</v>
      </c>
      <c r="G10" t="n">
        <v>0</v>
      </c>
      <c r="H10" t="n">
        <v>3165</v>
      </c>
      <c r="I10" t="n">
        <v>3854</v>
      </c>
      <c r="J10" t="n">
        <v>3786</v>
      </c>
      <c r="K10" t="n">
        <v>4266</v>
      </c>
      <c r="L10" t="n">
        <v>3766</v>
      </c>
      <c r="M10" t="n">
        <v>3459</v>
      </c>
      <c r="N10" t="n">
        <v>3749</v>
      </c>
      <c r="O10" s="73" t="n"/>
      <c r="R10" t="inlineStr">
        <is>
          <t>Depreciation</t>
        </is>
      </c>
      <c r="S10" s="73" t="n">
        <v>1017</v>
      </c>
      <c r="T10" s="73" t="n">
        <v>1459</v>
      </c>
      <c r="U10" s="73" t="n">
        <v>1703</v>
      </c>
      <c r="V10" s="73" t="n">
        <v>1863</v>
      </c>
      <c r="W10" s="73" t="n">
        <v>2011</v>
      </c>
      <c r="X10" s="73" t="n">
        <v>2893</v>
      </c>
      <c r="Y10" s="73" t="n">
        <v>3267</v>
      </c>
      <c r="Z10" s="73" t="n">
        <v>3476</v>
      </c>
      <c r="AA10" s="73" t="n">
        <v>4225</v>
      </c>
      <c r="AB10" s="73" t="n">
        <v>4678</v>
      </c>
      <c r="AC10" s="73" t="n">
        <v>4812</v>
      </c>
      <c r="AD10" s="73" t="n">
        <v>4902</v>
      </c>
      <c r="AE10" s="73" t="n">
        <v>5007</v>
      </c>
    </row>
    <row r="11">
      <c r="B11" s="73" t="inlineStr">
        <is>
          <t>Other Borrowings</t>
        </is>
      </c>
      <c r="C11" s="73" t="n">
        <v>0</v>
      </c>
      <c r="D11" s="73" t="n">
        <v>0</v>
      </c>
      <c r="E11" s="73" t="n">
        <v>0</v>
      </c>
      <c r="F11" s="73" t="n">
        <v>0</v>
      </c>
      <c r="G11" s="73" t="n">
        <v>0</v>
      </c>
      <c r="H11" s="73" t="n">
        <v>0</v>
      </c>
      <c r="I11" s="73" t="n">
        <v>0</v>
      </c>
      <c r="J11" s="73" t="n">
        <v>0</v>
      </c>
      <c r="K11" s="73" t="n">
        <v>0</v>
      </c>
      <c r="L11" s="73" t="n">
        <v>0</v>
      </c>
      <c r="M11" s="73" t="n">
        <v>0</v>
      </c>
      <c r="N11" s="73" t="n">
        <v>0</v>
      </c>
      <c r="O11" s="73" t="n"/>
      <c r="R11" t="inlineStr">
        <is>
          <t>Profit before tax</t>
        </is>
      </c>
      <c r="S11" s="73" t="n">
        <v>17284</v>
      </c>
      <c r="T11" s="73" t="n">
        <v>18740</v>
      </c>
      <c r="U11" s="73" t="n">
        <v>19951</v>
      </c>
      <c r="V11" s="73" t="n">
        <v>20270</v>
      </c>
      <c r="W11" s="73" t="n">
        <v>21041</v>
      </c>
      <c r="X11" s="73" t="n">
        <v>22007</v>
      </c>
      <c r="Y11" s="73" t="n">
        <v>26628</v>
      </c>
      <c r="Z11" s="73" t="n">
        <v>30110</v>
      </c>
      <c r="AA11" s="73" t="n">
        <v>33322</v>
      </c>
      <c r="AB11" s="73" t="n">
        <v>35988</v>
      </c>
      <c r="AC11" s="73" t="n">
        <v>37608</v>
      </c>
      <c r="AD11" s="73" t="n">
        <v>39995</v>
      </c>
      <c r="AE11" s="73" t="n">
        <v>41283</v>
      </c>
    </row>
    <row r="12">
      <c r="B12" s="73" t="inlineStr">
        <is>
          <t>Other Liabilities -</t>
        </is>
      </c>
      <c r="C12" s="73" t="n">
        <v>15553</v>
      </c>
      <c r="D12" s="73" t="n">
        <v>13354</v>
      </c>
      <c r="E12" s="73" t="n">
        <v>14166</v>
      </c>
      <c r="F12" s="73" t="n">
        <v>14426</v>
      </c>
      <c r="G12" s="73" t="n">
        <v>19118</v>
      </c>
      <c r="H12" s="73" t="n">
        <v>21717</v>
      </c>
      <c r="I12" s="73" t="n">
        <v>25835</v>
      </c>
      <c r="J12" s="73" t="n">
        <v>35905</v>
      </c>
      <c r="K12" s="73" t="n">
        <v>40890</v>
      </c>
      <c r="L12" s="73" t="n">
        <v>39545</v>
      </c>
      <c r="M12" s="73" t="n">
        <v>43750</v>
      </c>
      <c r="N12" s="73" t="n">
        <v>52260</v>
      </c>
      <c r="R12" t="inlineStr">
        <is>
          <t>Tax %</t>
        </is>
      </c>
      <c r="S12" s="75" t="n">
        <v>28</v>
      </c>
      <c r="T12" s="75" t="n">
        <v>28</v>
      </c>
      <c r="U12" s="75" t="n">
        <v>28</v>
      </c>
      <c r="V12" s="75" t="n">
        <v>21</v>
      </c>
      <c r="W12" s="75" t="n">
        <v>27</v>
      </c>
      <c r="X12" s="75" t="n">
        <v>24</v>
      </c>
      <c r="Y12" s="75" t="n">
        <v>27</v>
      </c>
      <c r="Z12" s="75" t="n">
        <v>26</v>
      </c>
      <c r="AA12" s="75" t="n">
        <v>28</v>
      </c>
      <c r="AB12" s="75" t="n">
        <v>27</v>
      </c>
      <c r="AC12" s="75" t="n">
        <v>29</v>
      </c>
      <c r="AD12" s="75" t="n">
        <v>26</v>
      </c>
      <c r="AE12" t="n">
        <v>0</v>
      </c>
    </row>
    <row r="13">
      <c r="B13" t="inlineStr">
        <is>
          <t>Non controlling int</t>
        </is>
      </c>
      <c r="C13" t="n">
        <v>0</v>
      </c>
      <c r="D13" t="n">
        <v>0</v>
      </c>
      <c r="E13" t="n">
        <v>0</v>
      </c>
      <c r="F13" t="n">
        <v>1</v>
      </c>
      <c r="G13" t="n">
        <v>58</v>
      </c>
      <c r="H13" t="n">
        <v>394</v>
      </c>
      <c r="I13" t="n">
        <v>431</v>
      </c>
      <c r="J13" t="n">
        <v>386</v>
      </c>
      <c r="K13" t="n">
        <v>388</v>
      </c>
      <c r="L13" t="n">
        <v>345</v>
      </c>
      <c r="M13" t="n">
        <v>385</v>
      </c>
      <c r="N13" t="n">
        <v>445</v>
      </c>
      <c r="O13" s="73" t="n"/>
      <c r="R13" t="inlineStr">
        <is>
          <t>Net Profit +</t>
        </is>
      </c>
      <c r="S13" s="73" t="n">
        <v>12372</v>
      </c>
      <c r="T13" s="73" t="n">
        <v>13489</v>
      </c>
      <c r="U13" s="73" t="n">
        <v>14353</v>
      </c>
      <c r="V13" s="73" t="n">
        <v>16029</v>
      </c>
      <c r="W13" s="73" t="n">
        <v>15410</v>
      </c>
      <c r="X13" s="73" t="n">
        <v>16639</v>
      </c>
      <c r="Y13" s="73" t="n">
        <v>19423</v>
      </c>
      <c r="Z13" s="73" t="n">
        <v>22146</v>
      </c>
      <c r="AA13" s="73" t="n">
        <v>24108</v>
      </c>
      <c r="AB13" s="73" t="n">
        <v>26248</v>
      </c>
      <c r="AC13" s="73" t="n">
        <v>26750</v>
      </c>
      <c r="AD13" s="73" t="n">
        <v>29474</v>
      </c>
      <c r="AE13" s="73" t="n">
        <v>30325</v>
      </c>
    </row>
    <row r="14">
      <c r="B14" s="73" t="inlineStr">
        <is>
          <t>Trade Payables</t>
        </is>
      </c>
      <c r="C14" s="73" t="n">
        <v>140</v>
      </c>
      <c r="D14" s="73" t="n">
        <v>386</v>
      </c>
      <c r="E14" s="73" t="n">
        <v>367</v>
      </c>
      <c r="F14" s="73" t="n">
        <v>694</v>
      </c>
      <c r="G14" s="73" t="n">
        <v>1655</v>
      </c>
      <c r="H14" s="73" t="n">
        <v>2852</v>
      </c>
      <c r="I14" s="73" t="n">
        <v>2645</v>
      </c>
      <c r="J14" s="73" t="n">
        <v>4134</v>
      </c>
      <c r="K14" s="73" t="n">
        <v>3865</v>
      </c>
      <c r="L14" s="73" t="n">
        <v>3956</v>
      </c>
      <c r="M14" s="73" t="n">
        <v>4164</v>
      </c>
      <c r="N14" s="73" t="n">
        <v>4744</v>
      </c>
      <c r="S14" t="n">
        <v>26.93</v>
      </c>
      <c r="T14" t="n">
        <v>29.36</v>
      </c>
      <c r="U14" t="n">
        <v>31.24</v>
      </c>
      <c r="V14" t="n">
        <v>36.69</v>
      </c>
      <c r="W14" t="n">
        <v>35.26</v>
      </c>
      <c r="X14" t="n">
        <v>38.96</v>
      </c>
      <c r="Y14" t="n">
        <v>45.42</v>
      </c>
      <c r="Z14" t="n">
        <v>52.56</v>
      </c>
      <c r="AA14" t="n">
        <v>58.08</v>
      </c>
      <c r="AB14" t="n">
        <v>63.2</v>
      </c>
      <c r="AC14" t="n">
        <v>64.31999999999999</v>
      </c>
      <c r="AD14" t="n">
        <v>72.59</v>
      </c>
      <c r="AE14" t="n">
        <v>74.25</v>
      </c>
    </row>
    <row r="15">
      <c r="B15" t="inlineStr">
        <is>
          <t>Advance from Customers</t>
        </is>
      </c>
      <c r="C15" t="n">
        <v>27</v>
      </c>
      <c r="D15" t="n">
        <v>28</v>
      </c>
      <c r="E15" t="n">
        <v>0</v>
      </c>
      <c r="F15" t="n">
        <v>0</v>
      </c>
      <c r="G15" t="n">
        <v>0</v>
      </c>
      <c r="H15" t="n">
        <v>0</v>
      </c>
      <c r="I15" t="n">
        <v>0</v>
      </c>
      <c r="J15" s="73" t="n">
        <v>0</v>
      </c>
      <c r="K15" s="73" t="n">
        <v>0</v>
      </c>
      <c r="L15" t="n">
        <v>0</v>
      </c>
      <c r="M15" s="73" t="n">
        <v>0</v>
      </c>
      <c r="N15" s="73" t="n">
        <v>0</v>
      </c>
      <c r="O15" s="73" t="n"/>
      <c r="S15" t="n">
        <v>55</v>
      </c>
      <c r="T15" t="n">
        <v>41</v>
      </c>
      <c r="U15" t="n">
        <v>41</v>
      </c>
      <c r="V15" t="n">
        <v>59</v>
      </c>
      <c r="W15" t="n">
        <v>60</v>
      </c>
      <c r="X15" t="n">
        <v>45</v>
      </c>
      <c r="Y15" t="n">
        <v>59</v>
      </c>
      <c r="Z15" t="n">
        <v>59</v>
      </c>
      <c r="AA15" t="n">
        <v>58</v>
      </c>
      <c r="AB15" t="n">
        <v>73</v>
      </c>
      <c r="AC15" t="n">
        <v>67</v>
      </c>
      <c r="AD15" t="n">
        <v>66</v>
      </c>
      <c r="AE15" t="n">
        <v>0</v>
      </c>
    </row>
    <row r="16">
      <c r="B16" s="73" t="inlineStr">
        <is>
          <t>Other liability items</t>
        </is>
      </c>
      <c r="C16" s="73" t="n">
        <v>15386</v>
      </c>
      <c r="D16" s="73" t="n">
        <v>12940</v>
      </c>
      <c r="E16" s="73" t="n">
        <v>13799</v>
      </c>
      <c r="F16" s="73" t="n">
        <v>13731</v>
      </c>
      <c r="G16" s="73" t="n">
        <v>17405</v>
      </c>
      <c r="H16" s="73" t="n">
        <v>18471</v>
      </c>
      <c r="I16" s="73" t="n">
        <v>22759</v>
      </c>
      <c r="J16" s="73" t="n">
        <v>31385</v>
      </c>
      <c r="K16" s="73" t="n">
        <v>36637</v>
      </c>
      <c r="L16" s="73" t="n">
        <v>35244</v>
      </c>
      <c r="M16" s="73" t="n">
        <v>39201</v>
      </c>
      <c r="N16" s="73" t="n">
        <v>47071</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66289</v>
      </c>
      <c r="D18" s="71" t="n">
        <v>75098</v>
      </c>
      <c r="E18" s="71" t="n">
        <v>83148</v>
      </c>
      <c r="F18" s="71" t="n">
        <v>79349</v>
      </c>
      <c r="G18" s="71" t="n">
        <v>84066</v>
      </c>
      <c r="H18" s="71" t="n">
        <v>91800</v>
      </c>
      <c r="I18" s="71" t="n">
        <v>107511</v>
      </c>
      <c r="J18" s="71" t="n">
        <v>116729</v>
      </c>
      <c r="K18" s="71" t="n">
        <v>124596</v>
      </c>
      <c r="L18" s="71" t="n">
        <v>136020</v>
      </c>
      <c r="M18" s="71" t="n">
        <v>147795</v>
      </c>
      <c r="N18" s="71" t="n">
        <v>154288</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8353</v>
      </c>
      <c r="T19" s="73" t="n">
        <v>10028</v>
      </c>
      <c r="U19" s="73" t="n">
        <v>11531</v>
      </c>
      <c r="V19" s="73" t="n">
        <v>13218</v>
      </c>
      <c r="W19" s="73" t="n">
        <v>14841</v>
      </c>
      <c r="X19" s="73" t="n">
        <v>17003</v>
      </c>
      <c r="Y19" s="73" t="n">
        <v>23224</v>
      </c>
      <c r="Z19" s="73" t="n">
        <v>23885</v>
      </c>
      <c r="AA19" s="73" t="n">
        <v>22467</v>
      </c>
      <c r="AB19" s="73" t="n">
        <v>25210</v>
      </c>
      <c r="AC19" s="73" t="n">
        <v>35694</v>
      </c>
      <c r="AD19" s="73" t="n">
        <v>33986</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15946</v>
      </c>
      <c r="T20" s="73" t="n">
        <v>17839</v>
      </c>
      <c r="U20" s="73" t="n">
        <v>19340</v>
      </c>
      <c r="V20" s="73" t="n">
        <v>19963</v>
      </c>
      <c r="W20" s="73" t="n">
        <v>22126</v>
      </c>
      <c r="X20" s="73" t="n">
        <v>23920</v>
      </c>
      <c r="Y20" s="73" t="n">
        <v>28845</v>
      </c>
      <c r="Z20" s="73" t="n">
        <v>32921</v>
      </c>
      <c r="AA20" s="73" t="n">
        <v>37605</v>
      </c>
      <c r="AB20" s="73" t="n">
        <v>39523</v>
      </c>
      <c r="AC20" s="73" t="n">
        <v>41591</v>
      </c>
      <c r="AD20" s="73" t="n">
        <v>45273</v>
      </c>
      <c r="AE20" t="n">
        <v>0</v>
      </c>
    </row>
    <row r="21">
      <c r="B21" s="73" t="inlineStr">
        <is>
          <t>Fixed Assets -</t>
        </is>
      </c>
      <c r="C21" s="73" t="n">
        <v>11346</v>
      </c>
      <c r="D21" s="73" t="n">
        <v>13386</v>
      </c>
      <c r="E21" s="73" t="n">
        <v>14179</v>
      </c>
      <c r="F21" s="73" t="n">
        <v>12574</v>
      </c>
      <c r="G21" s="73" t="n">
        <v>15710</v>
      </c>
      <c r="H21" s="73" t="n">
        <v>23789</v>
      </c>
      <c r="I21" s="73" t="n">
        <v>25505</v>
      </c>
      <c r="J21" s="73" t="n">
        <v>25800</v>
      </c>
      <c r="K21" s="73" t="n">
        <v>29225</v>
      </c>
      <c r="L21" s="73" t="n">
        <v>27622</v>
      </c>
      <c r="M21" s="73" t="n">
        <v>30961</v>
      </c>
      <c r="N21" s="73" t="n">
        <v>33770</v>
      </c>
      <c r="R21" t="inlineStr">
        <is>
          <t>Receivables</t>
        </is>
      </c>
      <c r="S21" t="n">
        <v>-1475</v>
      </c>
      <c r="T21" t="n">
        <v>-1654</v>
      </c>
      <c r="U21" t="n">
        <v>-1743</v>
      </c>
      <c r="V21" t="n">
        <v>-1523</v>
      </c>
      <c r="W21" t="n">
        <v>-2881</v>
      </c>
      <c r="X21" s="73" t="n">
        <v>-3861</v>
      </c>
      <c r="Y21" t="n">
        <v>-1835</v>
      </c>
      <c r="Z21" t="n">
        <v>-7937</v>
      </c>
      <c r="AA21" t="n">
        <v>-7076</v>
      </c>
      <c r="AB21" t="n">
        <v>-2667</v>
      </c>
      <c r="AC21" s="73" t="n">
        <v>-1769</v>
      </c>
      <c r="AD21" t="n">
        <v>-5177</v>
      </c>
      <c r="AE21" t="n">
        <v>0</v>
      </c>
    </row>
    <row r="22">
      <c r="B22" s="73" t="inlineStr">
        <is>
          <t>Land</t>
        </is>
      </c>
      <c r="C22" s="73" t="n">
        <v>1564</v>
      </c>
      <c r="D22" s="73" t="n">
        <v>1622</v>
      </c>
      <c r="E22" s="73" t="n">
        <v>1095</v>
      </c>
      <c r="F22" s="73" t="n">
        <v>1229</v>
      </c>
      <c r="G22" s="73" t="n">
        <v>1307</v>
      </c>
      <c r="H22" s="73" t="n">
        <v>1950</v>
      </c>
      <c r="I22" s="73" t="n">
        <v>2035</v>
      </c>
      <c r="J22" s="73" t="n">
        <v>2066</v>
      </c>
      <c r="K22" s="73" t="n">
        <v>2054</v>
      </c>
      <c r="L22" s="73" t="n">
        <v>2037</v>
      </c>
      <c r="M22" s="73" t="n">
        <v>2079</v>
      </c>
      <c r="N22" s="73" t="n">
        <v>1990</v>
      </c>
      <c r="O22" s="73" t="n"/>
      <c r="R22" t="inlineStr">
        <is>
          <t>Inventory</t>
        </is>
      </c>
      <c r="S22" t="n">
        <v>0</v>
      </c>
      <c r="T22" t="n">
        <v>0</v>
      </c>
      <c r="U22" t="n">
        <v>0</v>
      </c>
      <c r="V22" t="n">
        <v>0</v>
      </c>
      <c r="W22" t="n">
        <v>0</v>
      </c>
      <c r="X22" t="n">
        <v>0</v>
      </c>
      <c r="Y22" s="73" t="n">
        <v>0</v>
      </c>
      <c r="Z22" t="n">
        <v>0</v>
      </c>
      <c r="AA22" s="73" t="n">
        <v>0</v>
      </c>
      <c r="AB22" s="73" t="n">
        <v>0</v>
      </c>
      <c r="AC22" s="73" t="n">
        <v>0</v>
      </c>
      <c r="AD22" s="73" t="n">
        <v>0</v>
      </c>
      <c r="AE22" t="n">
        <v>0</v>
      </c>
    </row>
    <row r="23">
      <c r="B23" s="73" t="inlineStr">
        <is>
          <t>Building</t>
        </is>
      </c>
      <c r="C23" s="73" t="n">
        <v>6102</v>
      </c>
      <c r="D23" s="73" t="n">
        <v>6325</v>
      </c>
      <c r="E23" s="73" t="n">
        <v>8419</v>
      </c>
      <c r="F23" s="73" t="n">
        <v>9334</v>
      </c>
      <c r="G23" s="73" t="n">
        <v>10270</v>
      </c>
      <c r="H23" s="73" t="n">
        <v>15104</v>
      </c>
      <c r="I23" s="73" t="n">
        <v>16394</v>
      </c>
      <c r="J23" s="73" t="n">
        <v>16760</v>
      </c>
      <c r="K23" s="73" t="n">
        <v>16903</v>
      </c>
      <c r="L23" s="73" t="n">
        <v>16515</v>
      </c>
      <c r="M23" s="73" t="n">
        <v>16376</v>
      </c>
      <c r="N23" s="73" t="n">
        <v>17193</v>
      </c>
      <c r="O23" s="73" t="n"/>
      <c r="R23" t="inlineStr">
        <is>
          <t>Payables</t>
        </is>
      </c>
      <c r="S23" t="n">
        <v>0</v>
      </c>
      <c r="T23" t="n">
        <v>242</v>
      </c>
      <c r="U23" t="n">
        <v>-19</v>
      </c>
      <c r="V23" s="73" t="n">
        <v>328</v>
      </c>
      <c r="W23" t="n">
        <v>916</v>
      </c>
      <c r="X23" t="n">
        <v>-373</v>
      </c>
      <c r="Y23" s="73" t="n">
        <v>-245</v>
      </c>
      <c r="Z23" s="73" t="n">
        <v>1489</v>
      </c>
      <c r="AA23" s="73" t="n">
        <v>-279</v>
      </c>
      <c r="AB23" t="n">
        <v>91</v>
      </c>
      <c r="AC23" s="73" t="n">
        <v>176</v>
      </c>
      <c r="AD23" t="n">
        <v>-26</v>
      </c>
      <c r="AE23" t="n">
        <v>0</v>
      </c>
    </row>
    <row r="24">
      <c r="B24" s="73" t="inlineStr">
        <is>
          <t>Plant Machinery</t>
        </is>
      </c>
      <c r="C24" s="73" t="n">
        <v>1427</v>
      </c>
      <c r="D24" s="73" t="n">
        <v>1759</v>
      </c>
      <c r="E24" s="73" t="n">
        <v>2048</v>
      </c>
      <c r="F24" s="73" t="n">
        <v>2306</v>
      </c>
      <c r="G24" s="73" t="n">
        <v>2709</v>
      </c>
      <c r="H24" s="73" t="n">
        <v>3185</v>
      </c>
      <c r="I24" s="73" t="n">
        <v>3296</v>
      </c>
      <c r="J24" s="73" t="n">
        <v>3210</v>
      </c>
      <c r="K24" s="73" t="n">
        <v>3302</v>
      </c>
      <c r="L24" s="73" t="n">
        <v>3428</v>
      </c>
      <c r="M24" s="73" t="n">
        <v>3461</v>
      </c>
      <c r="N24" s="73" t="n">
        <v>3714</v>
      </c>
      <c r="R24" t="inlineStr">
        <is>
          <t>Working capital changes</t>
        </is>
      </c>
      <c r="S24" t="n">
        <v>-842</v>
      </c>
      <c r="T24" t="n">
        <v>-1946</v>
      </c>
      <c r="U24" t="n">
        <v>-2156</v>
      </c>
      <c r="V24" s="73" t="n">
        <v>84</v>
      </c>
      <c r="W24" t="n">
        <v>-453</v>
      </c>
      <c r="X24" t="n">
        <v>-2367</v>
      </c>
      <c r="Y24" t="n">
        <v>768</v>
      </c>
      <c r="Z24" t="n">
        <v>-1424</v>
      </c>
      <c r="AA24" t="n">
        <v>-6344</v>
      </c>
      <c r="AB24" s="73" t="n">
        <v>-5082</v>
      </c>
      <c r="AC24" s="73" t="n">
        <v>-295</v>
      </c>
      <c r="AD24" s="73" t="n">
        <v>-2639</v>
      </c>
      <c r="AE24" t="n">
        <v>0</v>
      </c>
    </row>
    <row r="25">
      <c r="B25" t="inlineStr">
        <is>
          <t>Equipments</t>
        </is>
      </c>
      <c r="C25" t="n">
        <v>676</v>
      </c>
      <c r="D25" t="n">
        <v>839</v>
      </c>
      <c r="E25" t="n">
        <v>922</v>
      </c>
      <c r="F25" t="n">
        <v>1002</v>
      </c>
      <c r="G25" t="n">
        <v>1101</v>
      </c>
      <c r="H25" t="n">
        <v>1265</v>
      </c>
      <c r="I25" t="n">
        <v>1371</v>
      </c>
      <c r="J25" t="n">
        <v>1427</v>
      </c>
      <c r="K25" t="n">
        <v>1482</v>
      </c>
      <c r="L25" t="n">
        <v>1528</v>
      </c>
      <c r="M25" t="n">
        <v>1628</v>
      </c>
      <c r="N25" t="n">
        <v>1732</v>
      </c>
      <c r="R25" t="inlineStr">
        <is>
          <t>Direct taxes</t>
        </is>
      </c>
      <c r="S25" s="73" t="n">
        <v>-6751</v>
      </c>
      <c r="T25" s="73" t="n">
        <v>-5865</v>
      </c>
      <c r="U25" s="73" t="n">
        <v>-5653</v>
      </c>
      <c r="V25" s="73" t="n">
        <v>-6829</v>
      </c>
      <c r="W25" s="73" t="n">
        <v>-6832</v>
      </c>
      <c r="X25" s="73" t="n">
        <v>-4550</v>
      </c>
      <c r="Y25" s="73" t="n">
        <v>-6389</v>
      </c>
      <c r="Z25" s="73" t="n">
        <v>-7612</v>
      </c>
      <c r="AA25" s="73" t="n">
        <v>-8794</v>
      </c>
      <c r="AB25" s="73" t="n">
        <v>-9231</v>
      </c>
      <c r="AC25" s="73" t="n">
        <v>-5602</v>
      </c>
      <c r="AD25" s="73" t="n">
        <v>-8648</v>
      </c>
      <c r="AE25" t="n">
        <v>0</v>
      </c>
    </row>
    <row r="26">
      <c r="B26" s="73" t="inlineStr">
        <is>
          <t>Furniture n fittings</t>
        </is>
      </c>
      <c r="C26" s="73" t="n">
        <v>958</v>
      </c>
      <c r="D26" s="73" t="n">
        <v>1444</v>
      </c>
      <c r="E26" s="73" t="n">
        <v>1277</v>
      </c>
      <c r="F26" s="73" t="n">
        <v>1393</v>
      </c>
      <c r="G26" s="73" t="n">
        <v>1620</v>
      </c>
      <c r="H26" s="73" t="n">
        <v>2073</v>
      </c>
      <c r="I26" s="73" t="n">
        <v>2149</v>
      </c>
      <c r="J26" s="73" t="n">
        <v>2278</v>
      </c>
      <c r="K26" s="73" t="n">
        <v>2303</v>
      </c>
      <c r="L26" s="73" t="n">
        <v>2326</v>
      </c>
      <c r="M26" s="73" t="n">
        <v>2340</v>
      </c>
      <c r="N26" s="73" t="n">
        <v>2438</v>
      </c>
      <c r="R26" t="inlineStr">
        <is>
          <t>Cash from Investing Activity -</t>
        </is>
      </c>
      <c r="S26" s="73" t="n">
        <v>999</v>
      </c>
      <c r="T26" s="73" t="n">
        <v>-885</v>
      </c>
      <c r="U26" s="73" t="n">
        <v>-14664</v>
      </c>
      <c r="V26" s="73" t="n">
        <v>4533</v>
      </c>
      <c r="W26" s="73" t="n">
        <v>-632</v>
      </c>
      <c r="X26" s="73" t="n">
        <v>-331</v>
      </c>
      <c r="Y26" s="73" t="n">
        <v>-7373</v>
      </c>
      <c r="Z26" s="73" t="n">
        <v>-6485</v>
      </c>
      <c r="AA26" s="73" t="n">
        <v>-1071</v>
      </c>
      <c r="AB26" s="73" t="n">
        <v>-5093</v>
      </c>
      <c r="AC26" t="n">
        <v>-1864</v>
      </c>
      <c r="AD26" s="73" t="n">
        <v>3546</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-2247</v>
      </c>
      <c r="T27" s="73" t="n">
        <v>-2723</v>
      </c>
      <c r="U27" s="73" t="n">
        <v>-2760</v>
      </c>
      <c r="V27" s="73" t="n">
        <v>-1998</v>
      </c>
      <c r="W27" s="73" t="n">
        <v>-2445</v>
      </c>
      <c r="X27" s="73" t="n">
        <v>-3307</v>
      </c>
      <c r="Y27" s="73" t="n">
        <v>-2107</v>
      </c>
      <c r="Z27" s="73" t="n">
        <v>-2161</v>
      </c>
      <c r="AA27" s="73" t="n">
        <v>-2579</v>
      </c>
      <c r="AB27" s="73" t="n">
        <v>-2201</v>
      </c>
      <c r="AC27" s="73" t="n">
        <v>-2237</v>
      </c>
      <c r="AD27" s="73" t="n">
        <v>-2727</v>
      </c>
      <c r="AE27" t="n">
        <v>0</v>
      </c>
    </row>
    <row r="28">
      <c r="B28" t="inlineStr">
        <is>
          <t>Vehicles</t>
        </is>
      </c>
      <c r="C28" t="n">
        <v>34</v>
      </c>
      <c r="D28" t="n">
        <v>29</v>
      </c>
      <c r="E28" t="n">
        <v>31</v>
      </c>
      <c r="F28" t="n">
        <v>31</v>
      </c>
      <c r="G28" t="n">
        <v>38</v>
      </c>
      <c r="H28" t="n">
        <v>69</v>
      </c>
      <c r="I28" t="n">
        <v>73</v>
      </c>
      <c r="J28" t="n">
        <v>71</v>
      </c>
      <c r="K28" t="n">
        <v>60</v>
      </c>
      <c r="L28" t="n">
        <v>62</v>
      </c>
      <c r="M28" t="n">
        <v>72</v>
      </c>
      <c r="N28" t="n">
        <v>70</v>
      </c>
      <c r="O28" s="73" t="n"/>
      <c r="R28" t="inlineStr">
        <is>
          <t>Fixed assets sold</t>
        </is>
      </c>
      <c r="S28" s="73" t="n">
        <v>0</v>
      </c>
      <c r="T28" s="73" t="n">
        <v>0</v>
      </c>
      <c r="U28" s="73" t="n">
        <v>0</v>
      </c>
      <c r="V28" s="73" t="n">
        <v>0</v>
      </c>
      <c r="W28" s="73" t="n">
        <v>0</v>
      </c>
      <c r="X28" s="73" t="n">
        <v>0</v>
      </c>
      <c r="Y28" s="73" t="n">
        <v>0</v>
      </c>
      <c r="Z28" s="73" t="n">
        <v>0</v>
      </c>
      <c r="AA28" s="73" t="n">
        <v>0</v>
      </c>
      <c r="AB28" t="n">
        <v>0</v>
      </c>
      <c r="AC28" s="73" t="n">
        <v>0</v>
      </c>
      <c r="AD28" s="73" t="n">
        <v>0</v>
      </c>
      <c r="AE28" t="n">
        <v>0</v>
      </c>
    </row>
    <row r="29">
      <c r="B29" t="inlineStr">
        <is>
          <t>Intangible Assets</t>
        </is>
      </c>
      <c r="C29" t="n">
        <v>3637</v>
      </c>
      <c r="D29" t="n">
        <v>3858</v>
      </c>
      <c r="E29" t="n">
        <v>3743</v>
      </c>
      <c r="F29" t="n">
        <v>2237</v>
      </c>
      <c r="G29" t="n">
        <v>3640</v>
      </c>
      <c r="H29" t="n">
        <v>5528</v>
      </c>
      <c r="I29" s="73" t="n">
        <v>6373</v>
      </c>
      <c r="J29" s="73" t="n">
        <v>6495</v>
      </c>
      <c r="K29" s="73" t="n">
        <v>7594</v>
      </c>
      <c r="L29" s="73" t="n">
        <v>7652</v>
      </c>
      <c r="M29" s="73" t="n">
        <v>10626</v>
      </c>
      <c r="N29" s="73" t="n">
        <v>12729</v>
      </c>
      <c r="R29" t="inlineStr">
        <is>
          <t>Investments purchased</t>
        </is>
      </c>
      <c r="S29" s="73" t="n">
        <v>-23923</v>
      </c>
      <c r="T29" s="73" t="n">
        <v>-24577</v>
      </c>
      <c r="U29" s="73" t="n">
        <v>-66410</v>
      </c>
      <c r="V29" s="73" t="n">
        <v>-69159</v>
      </c>
      <c r="W29" s="73" t="n">
        <v>-79410</v>
      </c>
      <c r="X29" s="73" t="n">
        <v>-37482</v>
      </c>
      <c r="Y29" s="73" t="n">
        <v>-46738</v>
      </c>
      <c r="Z29" s="73" t="n">
        <v>-59951</v>
      </c>
      <c r="AA29" s="73" t="n">
        <v>-75800</v>
      </c>
      <c r="AB29" s="73" t="n">
        <v>-78092</v>
      </c>
      <c r="AC29" s="73" t="n">
        <v>-82742</v>
      </c>
      <c r="AD29" s="73" t="n">
        <v>-82617</v>
      </c>
      <c r="AE29" t="n">
        <v>0</v>
      </c>
    </row>
    <row r="30">
      <c r="B30" t="inlineStr">
        <is>
          <t>Other fixed assets</t>
        </is>
      </c>
      <c r="C30" t="n">
        <v>71</v>
      </c>
      <c r="D30" t="n">
        <v>931</v>
      </c>
      <c r="E30" t="n">
        <v>899</v>
      </c>
      <c r="F30" t="n">
        <v>545</v>
      </c>
      <c r="G30" t="n">
        <v>1093</v>
      </c>
      <c r="H30" t="n">
        <v>2289</v>
      </c>
      <c r="I30" t="n">
        <v>2730</v>
      </c>
      <c r="J30" t="n">
        <v>2766</v>
      </c>
      <c r="K30" t="n">
        <v>3281</v>
      </c>
      <c r="L30" t="n">
        <v>3294</v>
      </c>
      <c r="M30" t="n">
        <v>5184</v>
      </c>
      <c r="N30" s="73" t="n">
        <v>6296</v>
      </c>
      <c r="O30" s="73" t="n"/>
      <c r="R30" t="inlineStr">
        <is>
          <t>Investments sold</t>
        </is>
      </c>
      <c r="S30" s="73" t="n">
        <v>25253</v>
      </c>
      <c r="T30" s="73" t="n">
        <v>24980</v>
      </c>
      <c r="U30" s="73" t="n">
        <v>52048</v>
      </c>
      <c r="V30" s="73" t="n">
        <v>74003</v>
      </c>
      <c r="W30" s="73" t="n">
        <v>78098</v>
      </c>
      <c r="X30" s="73" t="n">
        <v>38861</v>
      </c>
      <c r="Y30" s="73" t="n">
        <v>40381</v>
      </c>
      <c r="Z30" s="73" t="n">
        <v>57356</v>
      </c>
      <c r="AA30" s="73" t="n">
        <v>76722</v>
      </c>
      <c r="AB30" s="73" t="n">
        <v>72930</v>
      </c>
      <c r="AC30" s="73" t="n">
        <v>84877</v>
      </c>
      <c r="AD30" s="73" t="n">
        <v>89699</v>
      </c>
      <c r="AE30" t="n">
        <v>0</v>
      </c>
    </row>
    <row r="31">
      <c r="B31" t="inlineStr">
        <is>
          <t>Gross Block</t>
        </is>
      </c>
      <c r="C31" s="73" t="n">
        <v>17816</v>
      </c>
      <c r="D31" s="73" t="n">
        <v>21293</v>
      </c>
      <c r="E31" s="73" t="n">
        <v>23379</v>
      </c>
      <c r="F31" s="73" t="n">
        <v>22980</v>
      </c>
      <c r="G31" s="73" t="n">
        <v>28065</v>
      </c>
      <c r="H31" s="73" t="n">
        <v>38886</v>
      </c>
      <c r="I31" s="73" t="n">
        <v>43153</v>
      </c>
      <c r="J31" s="73" t="n">
        <v>45009</v>
      </c>
      <c r="K31" s="73" t="n">
        <v>48877</v>
      </c>
      <c r="L31" s="73" t="n">
        <v>49195</v>
      </c>
      <c r="M31" s="73" t="n">
        <v>54691</v>
      </c>
      <c r="N31" s="73" t="n">
        <v>59762</v>
      </c>
      <c r="O31" s="73" t="n"/>
      <c r="R31" t="inlineStr">
        <is>
          <t>Interest received</t>
        </is>
      </c>
      <c r="S31" t="n">
        <v>2551</v>
      </c>
      <c r="T31" t="n">
        <v>2383</v>
      </c>
      <c r="U31" s="73" t="n">
        <v>0</v>
      </c>
      <c r="V31" s="73" t="n">
        <v>0</v>
      </c>
      <c r="W31" s="73" t="n">
        <v>0</v>
      </c>
      <c r="X31" s="73" t="n">
        <v>0</v>
      </c>
      <c r="Y31" s="73" t="n">
        <v>0</v>
      </c>
      <c r="Z31" s="73" t="n">
        <v>0</v>
      </c>
      <c r="AA31" s="73" t="n">
        <v>0</v>
      </c>
      <c r="AB31" s="73" t="n">
        <v>0</v>
      </c>
      <c r="AC31" s="73" t="n">
        <v>0</v>
      </c>
      <c r="AD31" s="73" t="n">
        <v>0</v>
      </c>
      <c r="AE31" t="n">
        <v>0</v>
      </c>
    </row>
    <row r="32">
      <c r="B32" s="73" t="inlineStr">
        <is>
          <t>Accumulated Depreciation</t>
        </is>
      </c>
      <c r="C32" s="73" t="n">
        <v>6470</v>
      </c>
      <c r="D32" s="73" t="n">
        <v>7907</v>
      </c>
      <c r="E32" s="73" t="n">
        <v>9200</v>
      </c>
      <c r="F32" s="73" t="n">
        <v>10406</v>
      </c>
      <c r="G32" s="73" t="n">
        <v>12355</v>
      </c>
      <c r="H32" s="73" t="n">
        <v>15097</v>
      </c>
      <c r="I32" s="73" t="n">
        <v>17648</v>
      </c>
      <c r="J32" s="73" t="n">
        <v>19209</v>
      </c>
      <c r="K32" s="73" t="n">
        <v>19652</v>
      </c>
      <c r="L32" s="73" t="n">
        <v>21573</v>
      </c>
      <c r="M32" s="73" t="n">
        <v>23730</v>
      </c>
      <c r="N32" s="73" t="n">
        <v>25992</v>
      </c>
      <c r="O32" s="73" t="n"/>
      <c r="R32" t="inlineStr">
        <is>
          <t>Dividends received</t>
        </is>
      </c>
      <c r="S32" t="n">
        <v>0</v>
      </c>
      <c r="T32" t="n">
        <v>0</v>
      </c>
      <c r="U32" s="73" t="n">
        <v>2753</v>
      </c>
      <c r="V32" t="n">
        <v>1768</v>
      </c>
      <c r="W32" t="n">
        <v>1557</v>
      </c>
      <c r="X32" t="n">
        <v>1929</v>
      </c>
      <c r="Y32" s="73" t="n">
        <v>1418</v>
      </c>
      <c r="Z32" s="73" t="n">
        <v>1898</v>
      </c>
      <c r="AA32" s="73" t="n">
        <v>1525</v>
      </c>
      <c r="AB32" s="73" t="n">
        <v>1768</v>
      </c>
      <c r="AC32" s="73" t="n">
        <v>2040</v>
      </c>
      <c r="AD32" s="73" t="n">
        <v>2713</v>
      </c>
      <c r="AE32" t="n">
        <v>0</v>
      </c>
    </row>
    <row r="33">
      <c r="B33" t="inlineStr">
        <is>
          <t>Net Block</t>
        </is>
      </c>
      <c r="C33" s="73" t="n">
        <v>11346</v>
      </c>
      <c r="D33" s="73" t="n">
        <v>13386</v>
      </c>
      <c r="E33" s="73" t="n">
        <v>14179</v>
      </c>
      <c r="F33" s="73" t="n">
        <v>12574</v>
      </c>
      <c r="G33" s="73" t="n">
        <v>15710</v>
      </c>
      <c r="H33" s="73" t="n">
        <v>23789</v>
      </c>
      <c r="I33" s="73" t="n">
        <v>25505</v>
      </c>
      <c r="J33" s="73" t="n">
        <v>25800</v>
      </c>
      <c r="K33" s="73" t="n">
        <v>29225</v>
      </c>
      <c r="L33" s="73" t="n">
        <v>27622</v>
      </c>
      <c r="M33" s="73" t="n">
        <v>30961</v>
      </c>
      <c r="N33" s="73" t="n">
        <v>33770</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776</v>
      </c>
      <c r="D35" s="73" t="n">
        <v>960</v>
      </c>
      <c r="E35" s="73" t="n">
        <v>1365</v>
      </c>
      <c r="F35" s="73" t="n">
        <v>1606</v>
      </c>
      <c r="G35" s="73" t="n">
        <v>1388</v>
      </c>
      <c r="H35" s="73" t="n">
        <v>954</v>
      </c>
      <c r="I35" s="73" t="n">
        <v>922</v>
      </c>
      <c r="J35" s="73" t="n">
        <v>416</v>
      </c>
      <c r="K35" s="73" t="n">
        <v>288</v>
      </c>
      <c r="L35" s="73" t="n">
        <v>293</v>
      </c>
      <c r="M35" s="73" t="n">
        <v>814</v>
      </c>
      <c r="N35" s="73" t="n">
        <v>526</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2270</v>
      </c>
      <c r="D36" s="73" t="n">
        <v>1892</v>
      </c>
      <c r="E36" s="73" t="n">
        <v>16423</v>
      </c>
      <c r="F36" s="73" t="n">
        <v>12163</v>
      </c>
      <c r="G36" s="73" t="n">
        <v>11261</v>
      </c>
      <c r="H36" s="73" t="n">
        <v>8792</v>
      </c>
      <c r="I36" s="73" t="n">
        <v>14205</v>
      </c>
      <c r="J36" s="73" t="n">
        <v>20324</v>
      </c>
      <c r="K36" s="73" t="n">
        <v>19478</v>
      </c>
      <c r="L36" s="73" t="n">
        <v>24623</v>
      </c>
      <c r="M36" s="73" t="n">
        <v>23541</v>
      </c>
      <c r="N36" s="73" t="n">
        <v>21880</v>
      </c>
      <c r="O36" s="73" t="n"/>
      <c r="R36" t="inlineStr">
        <is>
          <t>Other investing items</t>
        </is>
      </c>
      <c r="S36" s="73" t="n">
        <v>741</v>
      </c>
      <c r="T36" s="73" t="n">
        <v>-59</v>
      </c>
      <c r="U36" s="73" t="n">
        <v>-131</v>
      </c>
      <c r="V36" s="73" t="n">
        <v>49</v>
      </c>
      <c r="W36" s="73" t="n">
        <v>1592</v>
      </c>
      <c r="X36" s="73" t="n">
        <v>-224</v>
      </c>
      <c r="Y36" s="73" t="n">
        <v>-327</v>
      </c>
      <c r="Z36" s="73" t="n">
        <v>-3627</v>
      </c>
      <c r="AA36" t="n">
        <v>-939</v>
      </c>
      <c r="AB36" s="73" t="n">
        <v>502</v>
      </c>
      <c r="AC36" t="n">
        <v>-3802</v>
      </c>
      <c r="AD36" s="73" t="n">
        <v>-3522</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-4935</v>
      </c>
      <c r="T37" s="73" t="n">
        <v>-6813</v>
      </c>
      <c r="U37" s="73" t="n">
        <v>-6939</v>
      </c>
      <c r="V37" s="73" t="n">
        <v>-20505</v>
      </c>
      <c r="W37" s="73" t="n">
        <v>-14512</v>
      </c>
      <c r="X37" s="73" t="n">
        <v>-17591</v>
      </c>
      <c r="Y37" s="73" t="n">
        <v>-9786</v>
      </c>
      <c r="Z37" s="73" t="n">
        <v>-24642</v>
      </c>
      <c r="AA37" s="73" t="n">
        <v>-26695</v>
      </c>
      <c r="AB37" s="73" t="n">
        <v>-17504</v>
      </c>
      <c r="AC37" s="73" t="n">
        <v>-24161</v>
      </c>
      <c r="AD37" s="73" t="n">
        <v>-39786</v>
      </c>
      <c r="AE37" t="n">
        <v>0</v>
      </c>
    </row>
    <row r="38">
      <c r="B38" t="inlineStr">
        <is>
          <t>Other Assets -</t>
        </is>
      </c>
      <c r="C38" s="73" t="n">
        <v>51897</v>
      </c>
      <c r="D38" s="73" t="n">
        <v>58860</v>
      </c>
      <c r="E38" s="73" t="n">
        <v>51181</v>
      </c>
      <c r="F38" s="73" t="n">
        <v>53006</v>
      </c>
      <c r="G38" s="73" t="n">
        <v>55707</v>
      </c>
      <c r="H38" s="73" t="n">
        <v>58265</v>
      </c>
      <c r="I38" s="73" t="n">
        <v>66879</v>
      </c>
      <c r="J38" s="73" t="n">
        <v>70189</v>
      </c>
      <c r="K38" s="73" t="n">
        <v>75605</v>
      </c>
      <c r="L38" s="73" t="n">
        <v>83482</v>
      </c>
      <c r="M38" s="73" t="n">
        <v>92479</v>
      </c>
      <c r="N38" s="73" t="n">
        <v>98112</v>
      </c>
      <c r="O38" s="73" t="n"/>
      <c r="R38" t="inlineStr">
        <is>
          <t>Proceeds from shares</t>
        </is>
      </c>
      <c r="S38" t="n">
        <v>0</v>
      </c>
      <c r="T38" t="n">
        <v>0</v>
      </c>
      <c r="U38" s="73" t="n">
        <v>0</v>
      </c>
      <c r="V38" t="n">
        <v>5</v>
      </c>
      <c r="W38" t="n">
        <v>6</v>
      </c>
      <c r="X38" t="n">
        <v>6</v>
      </c>
      <c r="Y38" t="n">
        <v>15</v>
      </c>
      <c r="Z38" t="n">
        <v>21</v>
      </c>
      <c r="AA38" s="73" t="n">
        <v>35</v>
      </c>
      <c r="AB38" s="73" t="n">
        <v>5</v>
      </c>
      <c r="AC38" t="n">
        <v>6</v>
      </c>
      <c r="AD38" t="n">
        <v>2</v>
      </c>
      <c r="AE38" t="n">
        <v>0</v>
      </c>
    </row>
    <row r="39">
      <c r="B39" t="inlineStr">
        <is>
          <t>Inventories</t>
        </is>
      </c>
      <c r="C39" s="73" t="n">
        <v>15569.1</v>
      </c>
      <c r="D39" s="73" t="n">
        <v>17658</v>
      </c>
      <c r="E39" s="73" t="n">
        <v>15354.3</v>
      </c>
      <c r="F39" s="73" t="n">
        <v>15901.8</v>
      </c>
      <c r="G39" s="73" t="n">
        <v>16712.1</v>
      </c>
      <c r="H39" s="73" t="n">
        <v>17479.5</v>
      </c>
      <c r="I39" s="73" t="n">
        <v>20063.7</v>
      </c>
      <c r="J39" s="73" t="n">
        <v>21056.7</v>
      </c>
      <c r="K39" s="73" t="n">
        <v>22681.5</v>
      </c>
      <c r="L39" s="73" t="n">
        <v>25044.6</v>
      </c>
      <c r="M39" s="73" t="n">
        <v>27743.7</v>
      </c>
      <c r="N39" s="73" t="n">
        <v>29433.6</v>
      </c>
      <c r="O39" s="73" t="n"/>
      <c r="R39" t="inlineStr">
        <is>
          <t>Proceeds from borrowings</t>
        </is>
      </c>
      <c r="S39" t="n">
        <v>0</v>
      </c>
      <c r="T39" t="n">
        <v>0</v>
      </c>
      <c r="U39" t="n">
        <v>0</v>
      </c>
      <c r="V39" t="n">
        <v>0</v>
      </c>
      <c r="W39" t="n">
        <v>0</v>
      </c>
      <c r="X39" t="n">
        <v>0</v>
      </c>
      <c r="Y39" t="n">
        <v>0</v>
      </c>
      <c r="Z39" t="n">
        <v>0</v>
      </c>
      <c r="AA39" t="n">
        <v>0</v>
      </c>
      <c r="AB39" t="n">
        <v>0</v>
      </c>
      <c r="AC39" t="n">
        <v>0</v>
      </c>
      <c r="AD39" s="73" t="n">
        <v>0</v>
      </c>
      <c r="AE39" t="n">
        <v>0</v>
      </c>
    </row>
    <row r="40">
      <c r="B40" t="inlineStr">
        <is>
          <t>Trade receivables +</t>
        </is>
      </c>
      <c r="C40" s="73" t="n">
        <v>9713</v>
      </c>
      <c r="D40" s="73" t="n">
        <v>11330</v>
      </c>
      <c r="E40" s="73" t="n">
        <v>12322</v>
      </c>
      <c r="F40" s="73" t="n">
        <v>13142</v>
      </c>
      <c r="G40" s="73" t="n">
        <v>14827</v>
      </c>
      <c r="H40" s="73" t="n">
        <v>18487</v>
      </c>
      <c r="I40" s="73" t="n">
        <v>19294</v>
      </c>
      <c r="J40" s="73" t="n">
        <v>22698</v>
      </c>
      <c r="K40" s="73" t="n">
        <v>25424</v>
      </c>
      <c r="L40" s="73" t="n">
        <v>30193</v>
      </c>
      <c r="M40" s="73" t="n">
        <v>31158</v>
      </c>
      <c r="N40" s="73" t="n">
        <v>35234</v>
      </c>
      <c r="O40" s="73" t="n"/>
      <c r="R40" t="inlineStr">
        <is>
          <t>Repayment of borrowings</t>
        </is>
      </c>
      <c r="S40" t="n">
        <v>0</v>
      </c>
      <c r="T40" t="n">
        <v>0</v>
      </c>
      <c r="U40" t="n">
        <v>0</v>
      </c>
      <c r="V40" s="73" t="n">
        <v>0</v>
      </c>
      <c r="W40" t="n">
        <v>0</v>
      </c>
      <c r="X40" t="n">
        <v>0</v>
      </c>
      <c r="Y40" s="73" t="n">
        <v>0</v>
      </c>
      <c r="Z40" t="n">
        <v>0</v>
      </c>
      <c r="AA40" s="73" t="n">
        <v>0</v>
      </c>
      <c r="AB40" s="73" t="n">
        <v>0</v>
      </c>
      <c r="AC40" s="73" t="n">
        <v>-985</v>
      </c>
      <c r="AD40" s="73" t="n">
        <v>0</v>
      </c>
      <c r="AE40" t="n">
        <v>0</v>
      </c>
    </row>
    <row r="41">
      <c r="B41" t="inlineStr">
        <is>
          <t>Cash Equivalents</t>
        </is>
      </c>
      <c r="C41" s="73" t="n">
        <v>30367</v>
      </c>
      <c r="D41" s="73" t="n">
        <v>32697</v>
      </c>
      <c r="E41" s="73" t="n">
        <v>22625</v>
      </c>
      <c r="F41" s="73" t="n">
        <v>19818</v>
      </c>
      <c r="G41" s="73" t="n">
        <v>19568</v>
      </c>
      <c r="H41" s="73" t="n">
        <v>18649</v>
      </c>
      <c r="I41" s="73" t="n">
        <v>24714</v>
      </c>
      <c r="J41" s="73" t="n">
        <v>17472</v>
      </c>
      <c r="K41" s="73" t="n">
        <v>12173</v>
      </c>
      <c r="L41" s="73" t="n">
        <v>14786</v>
      </c>
      <c r="M41" s="73" t="n">
        <v>24455</v>
      </c>
      <c r="N41" s="73" t="n">
        <v>22201</v>
      </c>
      <c r="O41" s="73" t="n"/>
      <c r="R41" t="inlineStr">
        <is>
          <t>Interest paid fin</t>
        </is>
      </c>
      <c r="S41" s="73" t="n">
        <v>0</v>
      </c>
      <c r="T41" s="73" t="n">
        <v>0</v>
      </c>
      <c r="U41" s="73" t="n">
        <v>0</v>
      </c>
      <c r="V41" s="73" t="n">
        <v>0</v>
      </c>
      <c r="W41" s="73" t="n">
        <v>0</v>
      </c>
      <c r="X41" s="73" t="n">
        <v>0</v>
      </c>
      <c r="Y41" s="73" t="n">
        <v>0</v>
      </c>
      <c r="Z41" s="73" t="n">
        <v>0</v>
      </c>
      <c r="AA41" s="73" t="n">
        <v>0</v>
      </c>
      <c r="AB41" s="73" t="n">
        <v>0</v>
      </c>
      <c r="AC41" s="73" t="n">
        <v>0</v>
      </c>
      <c r="AD41" s="73" t="n">
        <v>0</v>
      </c>
      <c r="AE41" t="n">
        <v>0</v>
      </c>
    </row>
    <row r="42">
      <c r="B42" t="inlineStr">
        <is>
          <t>Loans n Advances</t>
        </is>
      </c>
      <c r="C42" s="73" t="n">
        <v>399</v>
      </c>
      <c r="D42" s="73" t="n">
        <v>614</v>
      </c>
      <c r="E42" s="73" t="n">
        <v>844</v>
      </c>
      <c r="F42" s="73" t="n">
        <v>830</v>
      </c>
      <c r="G42" s="73" t="n">
        <v>1524</v>
      </c>
      <c r="H42" s="73" t="n">
        <v>1359</v>
      </c>
      <c r="I42" s="73" t="n">
        <v>1460</v>
      </c>
      <c r="J42" s="73" t="n">
        <v>2491</v>
      </c>
      <c r="K42" s="73" t="n">
        <v>3242</v>
      </c>
      <c r="L42" s="73" t="n">
        <v>10330</v>
      </c>
      <c r="M42" s="73" t="n">
        <v>6717</v>
      </c>
      <c r="N42" s="73" t="n">
        <v>6808</v>
      </c>
      <c r="O42" s="73" t="n"/>
      <c r="R42" t="inlineStr">
        <is>
          <t>Dividends paid</t>
        </is>
      </c>
      <c r="S42" s="73" t="n">
        <v>-4935</v>
      </c>
      <c r="T42" s="73" t="n">
        <v>-6813</v>
      </c>
      <c r="U42" s="73" t="n">
        <v>-6939</v>
      </c>
      <c r="V42" s="73" t="n">
        <v>-7464</v>
      </c>
      <c r="W42" s="73" t="n">
        <v>-13705</v>
      </c>
      <c r="X42" s="73" t="n">
        <v>-9548</v>
      </c>
      <c r="Y42" s="73" t="n">
        <v>-9137</v>
      </c>
      <c r="Z42" s="73" t="n">
        <v>-12731</v>
      </c>
      <c r="AA42" s="73" t="n">
        <v>-13653</v>
      </c>
      <c r="AB42" s="73" t="n">
        <v>-14731</v>
      </c>
      <c r="AC42" s="73" t="n">
        <v>-20289</v>
      </c>
      <c r="AD42" s="73" t="n">
        <v>-18656</v>
      </c>
      <c r="AE42" t="n">
        <v>0</v>
      </c>
    </row>
    <row r="43">
      <c r="B43" t="inlineStr">
        <is>
          <t>Other asset items</t>
        </is>
      </c>
      <c r="C43" s="73" t="n">
        <v>11418</v>
      </c>
      <c r="D43" s="73" t="n">
        <v>14219</v>
      </c>
      <c r="E43" s="73" t="n">
        <v>15390</v>
      </c>
      <c r="F43" s="73" t="n">
        <v>19216</v>
      </c>
      <c r="G43" s="73" t="n">
        <v>19788</v>
      </c>
      <c r="H43" s="73" t="n">
        <v>19770</v>
      </c>
      <c r="I43" s="73" t="n">
        <v>21411</v>
      </c>
      <c r="J43" s="73" t="n">
        <v>27528</v>
      </c>
      <c r="K43" s="73" t="n">
        <v>34766</v>
      </c>
      <c r="L43" s="73" t="n">
        <v>28173</v>
      </c>
      <c r="M43" s="73" t="n">
        <v>30149</v>
      </c>
      <c r="N43" s="73" t="n">
        <v>33869</v>
      </c>
      <c r="O43" s="73" t="n"/>
      <c r="R43" t="inlineStr">
        <is>
          <t>Financial liabilities</t>
        </is>
      </c>
      <c r="S43" t="n">
        <v>0</v>
      </c>
      <c r="T43" t="n">
        <v>0</v>
      </c>
      <c r="U43" t="n">
        <v>0</v>
      </c>
      <c r="V43" t="n">
        <v>0</v>
      </c>
      <c r="W43" t="n">
        <v>0</v>
      </c>
      <c r="X43" t="n">
        <v>-571</v>
      </c>
      <c r="Y43" t="n">
        <v>-698</v>
      </c>
      <c r="Z43" t="n">
        <v>-915</v>
      </c>
      <c r="AA43" t="n">
        <v>-1231</v>
      </c>
      <c r="AB43" t="n">
        <v>-2024</v>
      </c>
      <c r="AC43" t="n">
        <v>-2355</v>
      </c>
      <c r="AD43" t="n">
        <v>-2824</v>
      </c>
      <c r="AE43" t="n">
        <v>0</v>
      </c>
    </row>
    <row r="44">
      <c r="B44" s="57" t="inlineStr">
        <is>
          <t>Total Assets</t>
        </is>
      </c>
      <c r="C44" s="73" t="n">
        <v>66289</v>
      </c>
      <c r="D44" s="73" t="n">
        <v>75098</v>
      </c>
      <c r="E44" s="73" t="n">
        <v>83148</v>
      </c>
      <c r="F44" s="73" t="n">
        <v>79349</v>
      </c>
      <c r="G44" s="73" t="n">
        <v>84066</v>
      </c>
      <c r="H44" s="73" t="n">
        <v>91800</v>
      </c>
      <c r="I44" s="73" t="n">
        <v>107511</v>
      </c>
      <c r="J44" s="73" t="n">
        <v>116729</v>
      </c>
      <c r="K44" s="73" t="n">
        <v>124596</v>
      </c>
      <c r="L44" s="73" t="n">
        <v>136020</v>
      </c>
      <c r="M44" s="73" t="n">
        <v>147795</v>
      </c>
      <c r="N44" s="73" t="n">
        <v>154288</v>
      </c>
      <c r="R44" t="inlineStr">
        <is>
          <t>Other financing items</t>
        </is>
      </c>
      <c r="S44" t="n">
        <v>0</v>
      </c>
      <c r="T44" t="n">
        <v>0</v>
      </c>
      <c r="U44" s="73" t="n">
        <v>0</v>
      </c>
      <c r="V44" s="73" t="n">
        <v>-13046</v>
      </c>
      <c r="W44" s="73" t="n">
        <v>-813</v>
      </c>
      <c r="X44" s="73" t="n">
        <v>-7478</v>
      </c>
      <c r="Y44" t="n">
        <v>34</v>
      </c>
      <c r="Z44" t="n">
        <v>-11017</v>
      </c>
      <c r="AA44" t="n">
        <v>-11846</v>
      </c>
      <c r="AB44" t="n">
        <v>-754</v>
      </c>
      <c r="AC44" t="n">
        <v>-538</v>
      </c>
      <c r="AD44" t="n">
        <v>-18308</v>
      </c>
      <c r="AE44" t="n">
        <v>0</v>
      </c>
    </row>
    <row r="45">
      <c r="R45" t="inlineStr">
        <is>
          <t>Net Cash Flow</t>
        </is>
      </c>
      <c r="S45" t="n">
        <v>4417</v>
      </c>
      <c r="T45" t="n">
        <v>2330</v>
      </c>
      <c r="U45" t="n">
        <v>-10072</v>
      </c>
      <c r="V45" t="n">
        <v>-2754</v>
      </c>
      <c r="W45" t="n">
        <v>-303</v>
      </c>
      <c r="X45" t="n">
        <v>-919</v>
      </c>
      <c r="Y45" t="n">
        <v>6065</v>
      </c>
      <c r="Z45" t="n">
        <v>-7242</v>
      </c>
      <c r="AA45" t="n">
        <v>-5299</v>
      </c>
      <c r="AB45" t="n">
        <v>2613</v>
      </c>
      <c r="AC45" t="n">
        <v>9669</v>
      </c>
      <c r="AD45" t="n">
        <v>-2254</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HCL Technologies</t>
        </is>
      </c>
      <c r="M57" t="n">
        <v>1246</v>
      </c>
      <c r="N57" t="n">
        <v>271.3666</v>
      </c>
      <c r="AR57" t="n">
        <v>338122.8</v>
      </c>
      <c r="AS57">
        <f>AZ57-BA57</f>
        <v/>
      </c>
      <c r="AT57">
        <f>AR57+AS57</f>
        <v/>
      </c>
      <c r="AU57" t="n">
        <v>138316</v>
      </c>
      <c r="AV57" t="n">
        <v>27756</v>
      </c>
      <c r="AW57" t="n">
        <v>18178.64</v>
      </c>
      <c r="AX57" t="n">
        <v>15</v>
      </c>
      <c r="AZ57" t="n">
        <v>4200</v>
      </c>
      <c r="BA57" t="n">
        <v>15000</v>
      </c>
    </row>
    <row r="58">
      <c r="K58" t="n">
        <v>2</v>
      </c>
      <c r="L58" t="inlineStr">
        <is>
          <t>TCS</t>
        </is>
      </c>
      <c r="M58" t="n">
        <v>2079.3</v>
      </c>
      <c r="N58" t="n">
        <v>361.8087</v>
      </c>
      <c r="AR58" t="n">
        <v>752308.9</v>
      </c>
      <c r="AS58">
        <f>AZ58-BA58</f>
        <v/>
      </c>
      <c r="AT58">
        <f>AR58+AS58</f>
        <v/>
      </c>
      <c r="AU58" t="n">
        <v>289100</v>
      </c>
      <c r="AV58" t="n">
        <v>80520</v>
      </c>
      <c r="AW58" t="n">
        <v>53355.24</v>
      </c>
      <c r="AX58" t="n">
        <v>15</v>
      </c>
      <c r="AZ58" t="n">
        <v>0</v>
      </c>
      <c r="BA58" t="n">
        <v>38000</v>
      </c>
    </row>
    <row r="59">
      <c r="K59" t="n">
        <v>3</v>
      </c>
      <c r="L59" t="inlineStr">
        <is>
          <t>Wipro</t>
        </is>
      </c>
      <c r="M59" t="n">
        <v>159.5</v>
      </c>
      <c r="N59" t="n">
        <v>990.5248</v>
      </c>
      <c r="AR59" t="n">
        <v>157988.7</v>
      </c>
      <c r="AS59">
        <f>AZ59-BA59</f>
        <v/>
      </c>
      <c r="AT59">
        <f>AR59+AS59</f>
        <v/>
      </c>
      <c r="AU59" t="n">
        <v>97914.39999999999</v>
      </c>
      <c r="AV59" t="n">
        <v>20137.8</v>
      </c>
      <c r="AW59" t="n">
        <v>13187.71</v>
      </c>
      <c r="AX59" t="n">
        <v>15</v>
      </c>
      <c r="AZ59" t="n">
        <v>15000</v>
      </c>
      <c r="BA59" t="n">
        <v>22000</v>
      </c>
    </row>
    <row r="60">
      <c r="K60" t="n">
        <v>4</v>
      </c>
      <c r="L60" t="inlineStr">
        <is>
          <t>Tech Mahindra</t>
        </is>
      </c>
      <c r="M60" t="n">
        <v>1539</v>
      </c>
      <c r="N60" t="n">
        <v>98.0159</v>
      </c>
      <c r="AR60" t="n">
        <v>150846.5</v>
      </c>
      <c r="AS60">
        <f>AZ60-BA60</f>
        <v/>
      </c>
      <c r="AT60">
        <f>AR60+AS60</f>
        <v/>
      </c>
      <c r="AU60" t="n">
        <v>62847.6</v>
      </c>
      <c r="AV60" t="n">
        <v>8917.799999999999</v>
      </c>
      <c r="AW60" t="n">
        <v>5317.11</v>
      </c>
      <c r="AX60" t="n">
        <v>15</v>
      </c>
      <c r="AZ60" t="n">
        <v>2186</v>
      </c>
      <c r="BA60" t="n">
        <v>3426</v>
      </c>
    </row>
    <row r="61">
      <c r="K61" t="n">
        <v>5</v>
      </c>
      <c r="L61" t="inlineStr">
        <is>
          <t>Persistent Systems</t>
        </is>
      </c>
      <c r="M61" t="n">
        <v>5356</v>
      </c>
      <c r="N61" t="n">
        <v>15.775</v>
      </c>
      <c r="AR61" t="n">
        <v>84490.89999999999</v>
      </c>
      <c r="AS61">
        <f>AZ61-BA61</f>
        <v/>
      </c>
      <c r="AT61">
        <f>AR61+AS61</f>
        <v/>
      </c>
      <c r="AU61" t="n">
        <v>17212.9</v>
      </c>
      <c r="AV61" t="n">
        <v>2898.2</v>
      </c>
      <c r="AW61" t="n">
        <v>1992.24</v>
      </c>
      <c r="AX61" t="n">
        <v>15</v>
      </c>
      <c r="AZ61" t="n">
        <v>477</v>
      </c>
      <c r="BA61" t="n">
        <v>1615</v>
      </c>
    </row>
    <row r="62">
      <c r="K62" t="n">
        <v>6</v>
      </c>
      <c r="L62" t="inlineStr">
        <is>
          <t>Coforge</t>
        </is>
      </c>
      <c r="M62" t="n">
        <v>1825.2</v>
      </c>
      <c r="N62" t="n">
        <v>44.3039</v>
      </c>
      <c r="AR62" t="n">
        <v>80863.39999999999</v>
      </c>
      <c r="AS62">
        <f>AZ62-BA62</f>
        <v/>
      </c>
      <c r="AT62">
        <f>AR62+AS62</f>
        <v/>
      </c>
      <c r="AU62" t="n">
        <v>22110.8</v>
      </c>
      <c r="AV62" t="n">
        <v>3190.2</v>
      </c>
      <c r="AW62" t="n">
        <v>1918.01</v>
      </c>
      <c r="AX62" t="n">
        <v>15</v>
      </c>
      <c r="AZ62" t="n">
        <v>728</v>
      </c>
      <c r="BA62" t="n">
        <v>0</v>
      </c>
    </row>
    <row r="63">
      <c r="K63" t="n">
        <v>7</v>
      </c>
      <c r="L63" t="inlineStr">
        <is>
          <t>Mphasis</t>
        </is>
      </c>
      <c r="M63" t="n">
        <v>2254.95</v>
      </c>
      <c r="N63" t="n">
        <v>19.0949</v>
      </c>
      <c r="AR63" t="n">
        <v>43058.1</v>
      </c>
      <c r="AS63">
        <f>AZ63-BA63</f>
        <v/>
      </c>
      <c r="AT63">
        <f>AR63+AS63</f>
        <v/>
      </c>
      <c r="AU63" t="n">
        <v>17536.2</v>
      </c>
      <c r="AV63" t="n">
        <v>2937.1</v>
      </c>
      <c r="AW63" t="n">
        <v>1940.43</v>
      </c>
      <c r="AX63" t="n">
        <v>15</v>
      </c>
      <c r="AZ63" t="n">
        <v>2620</v>
      </c>
      <c r="BA63" t="n">
        <v>1769</v>
      </c>
    </row>
    <row r="64">
      <c r="K64" t="n">
        <v>8</v>
      </c>
      <c r="L64" t="inlineStr">
        <is>
          <t>LTM</t>
        </is>
      </c>
      <c r="M64" t="n">
        <v>4017</v>
      </c>
      <c r="N64" t="n">
        <v>29.6621</v>
      </c>
      <c r="AR64" t="n">
        <v>119152.8</v>
      </c>
      <c r="AS64">
        <f>AZ64-BA64</f>
        <v/>
      </c>
      <c r="AT64">
        <f>AR64+AS64</f>
        <v/>
      </c>
      <c r="AU64" t="n">
        <v>46432</v>
      </c>
      <c r="AV64" t="n">
        <v>8811.6</v>
      </c>
      <c r="AW64" t="n">
        <v>5596.65</v>
      </c>
      <c r="AX64" t="n">
        <v>15</v>
      </c>
      <c r="AZ64" t="n">
        <v>2310</v>
      </c>
      <c r="BA64" t="n">
        <v>12568</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2026-10-07T23:52:58Z</dcterms:modified>
  <cp:lastModifiedBy>Loveish</cp:lastModifiedBy>
  <cp:lastPrinted>2012-12-06T18:14:13Z</cp:lastPrinted>
</cp:coreProperties>
</file>