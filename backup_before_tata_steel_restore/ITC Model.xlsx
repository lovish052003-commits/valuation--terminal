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definedNames>
    <definedName name="UPDATE">'Data Sheet'!$E$1</definedName>
    <definedName name="UPDATE" localSheetId="22">#REF!</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4">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0.0%;-0.0%;0.0%"/>
  </numFmts>
  <fonts count="24">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s>
  <fills count="16">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03">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177" fontId="0"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2"/>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174" t="inlineStr">
        <is>
          <t>Maruti Suzuki India Ltd (MARUTI) - Institutional Valuation</t>
        </is>
      </c>
    </row>
    <row r="2"/>
    <row r="4">
      <c r="A4" s="162" t="inlineStr">
        <is>
          <t>Current Price</t>
        </is>
      </c>
      <c r="B4" s="162" t="inlineStr">
        <is>
          <t>Intrinsic Value</t>
        </is>
      </c>
      <c r="C4" s="162" t="inlineStr">
        <is>
          <t>Margin of Safety</t>
        </is>
      </c>
      <c r="D4" s="162" t="inlineStr">
        <is>
          <t>Verdict</t>
        </is>
      </c>
      <c r="E4" s="162" t="inlineStr">
        <is>
          <t>WACC</t>
        </is>
      </c>
      <c r="F4" s="162" t="inlineStr">
        <is>
          <t>Altman Z-Score</t>
        </is>
      </c>
      <c r="G4" s="162" t="inlineStr">
        <is>
          <t>DuPont ROE</t>
        </is>
      </c>
    </row>
    <row r="5" ht="15.6" customHeight="1" s="176">
      <c r="A5" s="164">
        <f>DCF!D44</f>
        <v/>
      </c>
      <c r="B5" s="164">
        <f>DCF!D42</f>
        <v/>
      </c>
      <c r="C5" s="166">
        <f>(B5-A5)/A5</f>
        <v/>
      </c>
      <c r="D5" s="168">
        <f>IF(C5&gt;=0, TEXT(C5,"0.0%") &amp; " Discount", TEXT(ABS(C5),"0.0%") &amp; " Premium")</f>
        <v/>
      </c>
      <c r="E5" s="169">
        <f>DCF!D20</f>
        <v/>
      </c>
      <c r="F5" s="170">
        <f>'Altman''s Z Score'!I89</f>
        <v/>
      </c>
      <c r="G5" s="169">
        <f>'Dupont Analysis'!I78</f>
        <v/>
      </c>
    </row>
    <row r="7" ht="15.6" customHeight="1" s="176">
      <c r="A7" s="167" t="inlineStr">
        <is>
          <t>THE 4 CORE VALUATION PILLARS</t>
        </is>
      </c>
    </row>
    <row r="8">
      <c r="A8" s="37" t="inlineStr">
        <is>
          <t>Pillar 1: FCF Engine</t>
        </is>
      </c>
      <c r="B8" t="inlineStr">
        <is>
          <t>CFO ₹19100.0 Cr vs PAT ₹14680.0 Cr | EBIT Mgn 10.56% | CCC -19.0 days</t>
        </is>
      </c>
    </row>
    <row r="9">
      <c r="A9" s="37" t="inlineStr">
        <is>
          <t>Pillar 2: Growth Trajectory</t>
        </is>
      </c>
      <c r="B9" t="inlineStr">
        <is>
          <t>3Y Sales CAGR 11.6% | 5Y CAGR 17.42% | Forecast g 5.2% | Terminal g 4.0%</t>
        </is>
      </c>
    </row>
    <row r="10">
      <c r="A10" s="37" t="inlineStr">
        <is>
          <t>Pillar 3: Cost of Capital (WACC)</t>
        </is>
      </c>
      <c r="B10" t="inlineStr">
        <is>
          <t>WACC 12.05% | Ke 12.73% | Beta 0.88 | ERP 6.5% | Rf 7.0%</t>
        </is>
      </c>
    </row>
    <row r="11">
      <c r="A11" s="37" t="inlineStr">
        <is>
          <t>Pillar 4: Relative Multiples</t>
        </is>
      </c>
      <c r="B11" t="inlineStr">
        <is>
          <t>P/E 26.6x | P/B 3.55x | EV/EBITDA 5.6x | EV/Sales 0.66x</t>
        </is>
      </c>
    </row>
    <row r="13">
      <c r="A13" s="37" t="inlineStr">
        <is>
          <t>5-Year Discounted Cash Flow (DCF) Schedule (Amounts in ₹ Cr)</t>
        </is>
      </c>
    </row>
    <row r="14">
      <c r="A14" s="171" t="inlineStr">
        <is>
          <t>Year</t>
        </is>
      </c>
      <c r="B14" s="171" t="inlineStr">
        <is>
          <t>EBIT</t>
        </is>
      </c>
      <c r="C14" s="171" t="inlineStr">
        <is>
          <t>NOPAT</t>
        </is>
      </c>
      <c r="D14" s="171" t="inlineStr">
        <is>
          <t>Reinvest Rate</t>
        </is>
      </c>
      <c r="E14" s="171" t="inlineStr">
        <is>
          <t>FCFF</t>
        </is>
      </c>
      <c r="F14" s="171" t="inlineStr">
        <is>
          <t>Discount Factor</t>
        </is>
      </c>
      <c r="G14" s="171" t="inlineStr">
        <is>
          <t>PV of FCFF</t>
        </is>
      </c>
    </row>
    <row r="15">
      <c r="A15" s="180" t="inlineStr">
        <is>
          <t>Year 1</t>
        </is>
      </c>
      <c r="B15" s="172">
        <f>DCF!I8</f>
        <v/>
      </c>
      <c r="C15" s="172">
        <f>DCF!I10</f>
        <v/>
      </c>
      <c r="D15" s="46">
        <f>DCF!I11</f>
        <v/>
      </c>
      <c r="E15" s="172">
        <f>DCF!I12</f>
        <v/>
      </c>
      <c r="F15" s="173">
        <f>DCF!I14</f>
        <v/>
      </c>
      <c r="G15" s="172">
        <f>DCF!I16</f>
        <v/>
      </c>
    </row>
    <row r="16">
      <c r="A16" s="180" t="inlineStr">
        <is>
          <t>Year 2</t>
        </is>
      </c>
      <c r="B16" s="172">
        <f>DCF!J8</f>
        <v/>
      </c>
      <c r="C16" s="172">
        <f>DCF!J10</f>
        <v/>
      </c>
      <c r="D16" s="46">
        <f>DCF!J11</f>
        <v/>
      </c>
      <c r="E16" s="172">
        <f>DCF!J12</f>
        <v/>
      </c>
      <c r="F16" s="173">
        <f>DCF!J14</f>
        <v/>
      </c>
      <c r="G16" s="172">
        <f>DCF!J16</f>
        <v/>
      </c>
    </row>
    <row r="17">
      <c r="A17" s="180" t="inlineStr">
        <is>
          <t>Year 3</t>
        </is>
      </c>
      <c r="B17" s="172">
        <f>DCF!K8</f>
        <v/>
      </c>
      <c r="C17" s="172">
        <f>DCF!K10</f>
        <v/>
      </c>
      <c r="D17" s="46">
        <f>DCF!K11</f>
        <v/>
      </c>
      <c r="E17" s="172">
        <f>DCF!K12</f>
        <v/>
      </c>
      <c r="F17" s="173">
        <f>DCF!K14</f>
        <v/>
      </c>
      <c r="G17" s="172">
        <f>DCF!K16</f>
        <v/>
      </c>
    </row>
    <row r="18">
      <c r="A18" s="180" t="inlineStr">
        <is>
          <t>Year 4</t>
        </is>
      </c>
      <c r="B18" s="172">
        <f>DCF!L8</f>
        <v/>
      </c>
      <c r="C18" s="172">
        <f>DCF!L10</f>
        <v/>
      </c>
      <c r="D18" s="46">
        <f>DCF!L11</f>
        <v/>
      </c>
      <c r="E18" s="172">
        <f>DCF!L12</f>
        <v/>
      </c>
      <c r="F18" s="173">
        <f>DCF!L14</f>
        <v/>
      </c>
      <c r="G18" s="172">
        <f>DCF!L16</f>
        <v/>
      </c>
    </row>
    <row r="19">
      <c r="A19" s="180" t="inlineStr">
        <is>
          <t>Year 5</t>
        </is>
      </c>
      <c r="B19" s="172">
        <f>DCF!M8</f>
        <v/>
      </c>
      <c r="C19" s="172">
        <f>DCF!M10</f>
        <v/>
      </c>
      <c r="D19" s="46">
        <f>DCF!M11</f>
        <v/>
      </c>
      <c r="E19" s="172">
        <f>DCF!M12</f>
        <v/>
      </c>
      <c r="F19" s="173">
        <f>DCF!M14</f>
        <v/>
      </c>
      <c r="G19" s="172">
        <f>DCF!M16</f>
        <v/>
      </c>
    </row>
    <row r="21">
      <c r="A21" s="37" t="inlineStr">
        <is>
          <t>Enterprise to Equity Value Bridge</t>
        </is>
      </c>
    </row>
    <row r="22">
      <c r="A22" s="37" t="inlineStr">
        <is>
          <t>PV of 5-Year FCFFs</t>
        </is>
      </c>
      <c r="B22" s="172">
        <f>DCF!D33</f>
        <v/>
      </c>
    </row>
    <row r="23">
      <c r="A23" s="37" t="inlineStr">
        <is>
          <t>Terminal Value</t>
        </is>
      </c>
      <c r="B23" s="172">
        <f>DCF!D29</f>
        <v/>
      </c>
    </row>
    <row r="24">
      <c r="A24" s="37" t="inlineStr">
        <is>
          <t>PV of Terminal Value</t>
        </is>
      </c>
      <c r="B24" s="172">
        <f>DCF!D34</f>
        <v/>
      </c>
    </row>
    <row r="25">
      <c r="A25" s="37" t="inlineStr">
        <is>
          <t>Enterprise Value (Operating Assets)</t>
        </is>
      </c>
      <c r="B25" s="172">
        <f>DCF!D35</f>
        <v/>
      </c>
    </row>
    <row r="26">
      <c r="A26" s="37" t="inlineStr">
        <is>
          <t>Add: Estimated Cash &amp; Liquid Assets</t>
        </is>
      </c>
      <c r="B26" s="172">
        <f>DCF!D37</f>
        <v/>
      </c>
    </row>
    <row r="27">
      <c r="A27" s="37" t="inlineStr">
        <is>
          <t>Less: Total Debt &amp; Borrowings</t>
        </is>
      </c>
      <c r="B27" s="172">
        <f>DCF!D38</f>
        <v/>
      </c>
    </row>
    <row r="28">
      <c r="A28" s="37" t="inlineStr">
        <is>
          <t>Net Equity Value</t>
        </is>
      </c>
      <c r="B28" s="172">
        <f>DCF!D39</f>
        <v/>
      </c>
    </row>
    <row r="29">
      <c r="A29" s="37" t="inlineStr">
        <is>
          <t>Shares Outstanding</t>
        </is>
      </c>
      <c r="B29" s="172">
        <f>DCF!D40</f>
        <v/>
      </c>
    </row>
    <row r="30">
      <c r="A30" s="37" t="inlineStr">
        <is>
          <t>Intrinsic Value per Share</t>
        </is>
      </c>
      <c r="B30" s="163">
        <f>DCF!D42</f>
        <v/>
      </c>
    </row>
    <row r="31">
      <c r="A31" s="37" t="inlineStr">
        <is>
          <t>Current Market Price</t>
        </is>
      </c>
      <c r="B31" s="163">
        <f>DCF!D44</f>
        <v/>
      </c>
    </row>
    <row r="32">
      <c r="A32" s="37" t="inlineStr">
        <is>
          <t>Margin of Safety / Discount</t>
        </is>
      </c>
      <c r="B32" s="165">
        <f>(B5-A5)/A5</f>
        <v/>
      </c>
    </row>
  </sheetData>
  <mergeCells count="5">
    <mergeCell ref="B10:G10"/>
    <mergeCell ref="A1:G2"/>
    <mergeCell ref="B9:G9"/>
    <mergeCell ref="B8:G8"/>
    <mergeCell ref="B11:G11"/>
  </mergeCells>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Maruti Suzuki India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5</v>
      </c>
    </row>
    <row r="8">
      <c r="A8" s="193" t="inlineStr">
        <is>
          <t>Current Price</t>
        </is>
      </c>
      <c r="B8" t="n">
        <v>12103</v>
      </c>
    </row>
    <row r="9">
      <c r="A9" s="193" t="inlineStr">
        <is>
          <t>Market Capitalization</t>
        </is>
      </c>
      <c r="B9" t="n">
        <v>380521</v>
      </c>
    </row>
    <row r="15">
      <c r="A15" s="187" t="inlineStr">
        <is>
          <t>PROFIT &amp; LOSS</t>
        </is>
      </c>
    </row>
    <row r="16" customFormat="1" s="24">
      <c r="A16" s="23" t="inlineStr">
        <is>
          <t>Report Date</t>
        </is>
      </c>
      <c r="B16" s="16" t="n">
        <v>43160</v>
      </c>
      <c r="C16" s="16" t="n">
        <v>43525</v>
      </c>
      <c r="D16" s="16" t="n">
        <v>43891</v>
      </c>
      <c r="E16" s="16" t="n">
        <v>44256</v>
      </c>
      <c r="F16" s="16" t="n">
        <v>44621</v>
      </c>
      <c r="G16" s="16" t="n">
        <v>44986</v>
      </c>
      <c r="H16" s="16" t="n">
        <v>45352</v>
      </c>
      <c r="I16" s="16" t="n">
        <v>45717</v>
      </c>
      <c r="J16" s="16" t="n">
        <v>46082</v>
      </c>
      <c r="K16" s="16" t="inlineStr">
        <is>
          <t>TTM</t>
        </is>
      </c>
    </row>
    <row r="17" customFormat="1" s="188">
      <c r="A17" s="188" t="inlineStr">
        <is>
          <t>Sales</t>
        </is>
      </c>
      <c r="B17" t="n">
        <v>79809</v>
      </c>
      <c r="C17" t="n">
        <v>86068</v>
      </c>
      <c r="D17" t="n">
        <v>75660</v>
      </c>
      <c r="E17" t="n">
        <v>70372</v>
      </c>
      <c r="F17" t="n">
        <v>88330</v>
      </c>
      <c r="G17" t="n">
        <v>118410</v>
      </c>
      <c r="H17" t="n">
        <v>141858</v>
      </c>
      <c r="I17" t="n">
        <v>152913</v>
      </c>
      <c r="J17" t="n">
        <v>183316</v>
      </c>
      <c r="K17" t="n">
        <v>197181</v>
      </c>
    </row>
    <row r="18" customFormat="1" s="188">
      <c r="A18" s="193" t="inlineStr">
        <is>
          <t>Raw Material Cost</t>
        </is>
      </c>
      <c r="B18" t="n">
        <v>55068.21</v>
      </c>
      <c r="C18" t="n">
        <v>59386.92</v>
      </c>
      <c r="D18" t="n">
        <v>52962</v>
      </c>
      <c r="E18" t="n">
        <v>50667.84</v>
      </c>
      <c r="F18" t="n">
        <v>66247.5</v>
      </c>
      <c r="G18" t="n">
        <v>85255.2</v>
      </c>
      <c r="H18" t="n">
        <v>99300.60000000001</v>
      </c>
      <c r="I18" t="n">
        <v>107039.1</v>
      </c>
      <c r="J18" t="n">
        <v>131987.52</v>
      </c>
      <c r="K18" t="n">
        <v>0</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0</v>
      </c>
      <c r="C20" t="n">
        <v>0</v>
      </c>
      <c r="D20" t="n">
        <v>0</v>
      </c>
      <c r="E20" t="n">
        <v>0</v>
      </c>
      <c r="F20" t="n">
        <v>0</v>
      </c>
      <c r="G20" t="n">
        <v>0</v>
      </c>
      <c r="H20" t="n">
        <v>0</v>
      </c>
      <c r="I20" t="n">
        <v>0</v>
      </c>
      <c r="J20" t="n">
        <v>0</v>
      </c>
      <c r="K20" t="n">
        <v>0</v>
      </c>
    </row>
    <row r="21" customFormat="1" s="188">
      <c r="A21" s="193" t="inlineStr">
        <is>
          <t>Other Mfr. Exp</t>
        </is>
      </c>
      <c r="B21" t="n">
        <v>798.09</v>
      </c>
      <c r="C21" t="n">
        <v>1721.36</v>
      </c>
      <c r="D21" t="n">
        <v>756.6</v>
      </c>
      <c r="E21" t="n">
        <v>1407.44</v>
      </c>
      <c r="F21" t="n">
        <v>1766.6</v>
      </c>
      <c r="G21" t="n">
        <v>2368.2</v>
      </c>
      <c r="H21" t="n">
        <v>2837.16</v>
      </c>
      <c r="I21" t="n">
        <v>3058.26</v>
      </c>
      <c r="J21" t="n">
        <v>3666.32</v>
      </c>
      <c r="K21" t="n">
        <v>0</v>
      </c>
    </row>
    <row r="22" customFormat="1" s="188">
      <c r="A22" s="193" t="inlineStr">
        <is>
          <t>Employee Cost</t>
        </is>
      </c>
      <c r="B22" t="n">
        <v>3192.36</v>
      </c>
      <c r="C22" t="n">
        <v>3442.72</v>
      </c>
      <c r="D22" t="n">
        <v>3783</v>
      </c>
      <c r="E22" t="n">
        <v>3518.6</v>
      </c>
      <c r="F22" t="n">
        <v>4416.5</v>
      </c>
      <c r="G22" t="n">
        <v>4736.4</v>
      </c>
      <c r="H22" t="n">
        <v>5674.32</v>
      </c>
      <c r="I22" t="n">
        <v>7645.65</v>
      </c>
      <c r="J22" t="n">
        <v>9165.799999999999</v>
      </c>
      <c r="K22" t="n">
        <v>0</v>
      </c>
    </row>
    <row r="23" customFormat="1" s="188">
      <c r="A23" s="193" t="inlineStr">
        <is>
          <t>Selling and admin</t>
        </is>
      </c>
      <c r="B23" t="n">
        <v>0</v>
      </c>
      <c r="C23" t="n">
        <v>0</v>
      </c>
      <c r="D23" t="n">
        <v>0</v>
      </c>
      <c r="E23" t="n">
        <v>0</v>
      </c>
      <c r="F23" t="n">
        <v>0</v>
      </c>
      <c r="G23" t="n">
        <v>0</v>
      </c>
      <c r="H23" t="n">
        <v>0</v>
      </c>
      <c r="I23" t="n">
        <v>0</v>
      </c>
      <c r="J23" t="n">
        <v>0</v>
      </c>
      <c r="K23" t="n">
        <v>0</v>
      </c>
    </row>
    <row r="24" customFormat="1" s="188">
      <c r="A24" s="193" t="inlineStr">
        <is>
          <t>Other Expenses</t>
        </is>
      </c>
      <c r="B24" t="n">
        <v>8778.99</v>
      </c>
      <c r="C24" t="n">
        <v>11188.84</v>
      </c>
      <c r="D24" t="n">
        <v>10592.4</v>
      </c>
      <c r="E24" t="n">
        <v>9852.08</v>
      </c>
      <c r="F24" t="n">
        <v>10599.6</v>
      </c>
      <c r="G24" t="n">
        <v>13025.1</v>
      </c>
      <c r="H24" t="n">
        <v>14185.8</v>
      </c>
      <c r="I24" t="n">
        <v>15291.3</v>
      </c>
      <c r="J24" t="n">
        <v>16498.44</v>
      </c>
      <c r="K24" t="n">
        <v>0</v>
      </c>
    </row>
    <row r="25" customFormat="1" s="188">
      <c r="A25" s="188" t="inlineStr">
        <is>
          <t>Other Income</t>
        </is>
      </c>
      <c r="B25" t="n">
        <v>2155</v>
      </c>
      <c r="C25" t="n">
        <v>2664</v>
      </c>
      <c r="D25" t="n">
        <v>3410</v>
      </c>
      <c r="E25" t="n">
        <v>3046</v>
      </c>
      <c r="F25" t="n">
        <v>1861</v>
      </c>
      <c r="G25" t="n">
        <v>2415</v>
      </c>
      <c r="H25" t="n">
        <v>4248</v>
      </c>
      <c r="I25" t="n">
        <v>5199</v>
      </c>
      <c r="J25" t="n">
        <v>4569</v>
      </c>
      <c r="K25" t="n">
        <v>4707</v>
      </c>
    </row>
    <row r="26" customFormat="1" s="188">
      <c r="A26" s="188" t="inlineStr">
        <is>
          <t>Depreciation</t>
        </is>
      </c>
      <c r="B26" t="n">
        <v>2760</v>
      </c>
      <c r="C26" t="n">
        <v>3021</v>
      </c>
      <c r="D26" t="n">
        <v>3528</v>
      </c>
      <c r="E26" t="n">
        <v>3034</v>
      </c>
      <c r="F26" t="n">
        <v>2789</v>
      </c>
      <c r="G26" t="n">
        <v>4846</v>
      </c>
      <c r="H26" t="n">
        <v>5256</v>
      </c>
      <c r="I26" t="n">
        <v>5608</v>
      </c>
      <c r="J26" t="n">
        <v>6742</v>
      </c>
      <c r="K26" t="n">
        <v>6966</v>
      </c>
    </row>
    <row r="27" customFormat="1" s="188">
      <c r="A27" s="188" t="inlineStr">
        <is>
          <t>Interest</t>
        </is>
      </c>
      <c r="B27" t="n">
        <v>346</v>
      </c>
      <c r="C27" t="n">
        <v>76</v>
      </c>
      <c r="D27" t="n">
        <v>134</v>
      </c>
      <c r="E27" t="n">
        <v>102</v>
      </c>
      <c r="F27" t="n">
        <v>127</v>
      </c>
      <c r="G27" t="n">
        <v>252</v>
      </c>
      <c r="H27" t="n">
        <v>194</v>
      </c>
      <c r="I27" t="n">
        <v>194</v>
      </c>
      <c r="J27" t="n">
        <v>239</v>
      </c>
      <c r="K27" t="n">
        <v>255</v>
      </c>
    </row>
    <row r="28" customFormat="1" s="188">
      <c r="A28" s="188" t="inlineStr">
        <is>
          <t>Profit before tax</t>
        </is>
      </c>
      <c r="B28" t="n">
        <v>11167</v>
      </c>
      <c r="C28" t="n">
        <v>10624</v>
      </c>
      <c r="D28" t="n">
        <v>7103</v>
      </c>
      <c r="E28" t="n">
        <v>5321</v>
      </c>
      <c r="F28" t="n">
        <v>4697</v>
      </c>
      <c r="G28" t="n">
        <v>10438</v>
      </c>
      <c r="H28" t="n">
        <v>17424</v>
      </c>
      <c r="I28" t="n">
        <v>19620</v>
      </c>
      <c r="J28" t="n">
        <v>19118</v>
      </c>
      <c r="K28" t="n">
        <v>18616</v>
      </c>
    </row>
    <row r="29" customFormat="1" s="188">
      <c r="A29" s="188" t="inlineStr">
        <is>
          <t>Tax</t>
        </is>
      </c>
      <c r="B29" t="n">
        <v>11167</v>
      </c>
      <c r="C29" t="n">
        <v>10624</v>
      </c>
      <c r="D29" t="n">
        <v>7103</v>
      </c>
      <c r="E29" t="n">
        <v>5321</v>
      </c>
      <c r="F29" t="n">
        <v>4697</v>
      </c>
      <c r="G29" t="n">
        <v>10438</v>
      </c>
      <c r="H29" t="n">
        <v>17424</v>
      </c>
      <c r="I29" t="n">
        <v>19620</v>
      </c>
      <c r="J29" t="n">
        <v>19118</v>
      </c>
      <c r="K29" t="n">
        <v>18616</v>
      </c>
    </row>
    <row r="30" customFormat="1" s="188">
      <c r="A30" s="188" t="inlineStr">
        <is>
          <t>Net profit</t>
        </is>
      </c>
      <c r="B30" t="n">
        <v>7881</v>
      </c>
      <c r="C30" t="n">
        <v>7651</v>
      </c>
      <c r="D30" t="n">
        <v>5678</v>
      </c>
      <c r="E30" t="n">
        <v>4389</v>
      </c>
      <c r="F30" t="n">
        <v>3880</v>
      </c>
      <c r="G30" t="n">
        <v>8264</v>
      </c>
      <c r="H30" t="n">
        <v>13488</v>
      </c>
      <c r="I30" t="n">
        <v>14500</v>
      </c>
      <c r="J30" t="n">
        <v>14680</v>
      </c>
      <c r="K30" t="n">
        <v>14334</v>
      </c>
    </row>
    <row r="31" customFormat="1" s="188">
      <c r="A31" s="188" t="inlineStr">
        <is>
          <t>Dividend Amount</t>
        </is>
      </c>
      <c r="B31" t="n">
        <v>2443.11</v>
      </c>
      <c r="C31" t="n">
        <v>2448.32</v>
      </c>
      <c r="D31" t="n">
        <v>1816.96</v>
      </c>
      <c r="E31" t="n">
        <v>1360.59</v>
      </c>
      <c r="F31" t="n">
        <v>1823.6</v>
      </c>
      <c r="G31" t="n">
        <v>2809.76</v>
      </c>
      <c r="H31" t="n">
        <v>3911.52</v>
      </c>
      <c r="I31" t="n">
        <v>4205</v>
      </c>
      <c r="J31" t="n">
        <v>4404</v>
      </c>
      <c r="K31" t="n">
        <v>0</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f>B30+B29+B27+B26</f>
        <v/>
      </c>
      <c r="C33" s="193">
        <f>C30+C29+C27+C26</f>
        <v/>
      </c>
      <c r="D33" s="193">
        <f>D30+D29+D27+D26</f>
        <v/>
      </c>
      <c r="E33" s="193">
        <f>E30+E29+E27+E26</f>
        <v/>
      </c>
      <c r="F33" s="193">
        <f>F30+F29+F27+F26</f>
        <v/>
      </c>
      <c r="G33" s="193">
        <f>G30+G29+G27+G26</f>
        <v/>
      </c>
      <c r="H33" s="193">
        <f>H30+H29+H27+H26</f>
        <v/>
      </c>
      <c r="I33" s="193">
        <f>I30+I29+I27+I26</f>
        <v/>
      </c>
      <c r="J33" s="193">
        <f>J30+J29+J27+J26</f>
        <v/>
      </c>
      <c r="K33" s="193">
        <f>K30+K29+K27+K26</f>
        <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8">
      <c r="A42" s="188" t="inlineStr">
        <is>
          <t>Sales</t>
        </is>
      </c>
      <c r="B42" t="n">
        <v>38471</v>
      </c>
      <c r="C42" t="n">
        <v>35779</v>
      </c>
      <c r="D42" t="n">
        <v>37449</v>
      </c>
      <c r="E42" t="n">
        <v>38764</v>
      </c>
      <c r="F42" t="n">
        <v>40920</v>
      </c>
      <c r="G42" t="n">
        <v>38605</v>
      </c>
      <c r="H42" t="n">
        <v>42344</v>
      </c>
      <c r="I42" t="n">
        <v>49904</v>
      </c>
      <c r="J42" t="n">
        <v>52462</v>
      </c>
      <c r="K42" t="n">
        <v>52470</v>
      </c>
    </row>
    <row r="43" customFormat="1" s="188">
      <c r="A43" s="188" t="inlineStr">
        <is>
          <t>Expenses</t>
        </is>
      </c>
      <c r="B43" t="n">
        <v>33250</v>
      </c>
      <c r="C43" t="n">
        <v>30673</v>
      </c>
      <c r="D43" t="n">
        <v>32450</v>
      </c>
      <c r="E43" t="n">
        <v>33688</v>
      </c>
      <c r="F43" t="n">
        <v>36076</v>
      </c>
      <c r="G43" t="n">
        <v>33983</v>
      </c>
      <c r="H43" t="n">
        <v>37258</v>
      </c>
      <c r="I43" t="n">
        <v>44331</v>
      </c>
      <c r="J43" t="n">
        <v>46304</v>
      </c>
      <c r="K43" t="n">
        <v>48156</v>
      </c>
    </row>
    <row r="44" customFormat="1" s="188">
      <c r="A44" s="188" t="inlineStr">
        <is>
          <t>Other Income</t>
        </is>
      </c>
      <c r="B44" t="n">
        <v>1261</v>
      </c>
      <c r="C44" t="n">
        <v>1118</v>
      </c>
      <c r="D44" t="n">
        <v>1570</v>
      </c>
      <c r="E44" t="n">
        <v>1125</v>
      </c>
      <c r="F44" t="n">
        <v>1583</v>
      </c>
      <c r="G44" t="n">
        <v>1924</v>
      </c>
      <c r="H44" t="n">
        <v>1014</v>
      </c>
      <c r="I44" t="n">
        <v>1140</v>
      </c>
      <c r="J44" t="n">
        <v>581</v>
      </c>
      <c r="K44" t="n">
        <v>1972</v>
      </c>
    </row>
    <row r="45" customFormat="1" s="188">
      <c r="A45" s="188" t="inlineStr">
        <is>
          <t>Depreciation</t>
        </is>
      </c>
      <c r="B45" t="n">
        <v>1298</v>
      </c>
      <c r="C45" t="n">
        <v>1332</v>
      </c>
      <c r="D45" t="n">
        <v>1386</v>
      </c>
      <c r="E45" t="n">
        <v>1429</v>
      </c>
      <c r="F45" t="n">
        <v>1462</v>
      </c>
      <c r="G45" t="n">
        <v>1556</v>
      </c>
      <c r="H45" t="n">
        <v>1703</v>
      </c>
      <c r="I45" t="n">
        <v>1735</v>
      </c>
      <c r="J45" t="n">
        <v>1748</v>
      </c>
      <c r="K45" t="n">
        <v>1780</v>
      </c>
    </row>
    <row r="46" customFormat="1" s="188">
      <c r="A46" s="188" t="inlineStr">
        <is>
          <t>Interest</t>
        </is>
      </c>
      <c r="B46" t="n">
        <v>76</v>
      </c>
      <c r="C46" t="n">
        <v>57</v>
      </c>
      <c r="D46" t="n">
        <v>43</v>
      </c>
      <c r="E46" t="n">
        <v>46</v>
      </c>
      <c r="F46" t="n">
        <v>48</v>
      </c>
      <c r="G46" t="n">
        <v>47</v>
      </c>
      <c r="H46" t="n">
        <v>57</v>
      </c>
      <c r="I46" t="n">
        <v>62</v>
      </c>
      <c r="J46" t="n">
        <v>73</v>
      </c>
      <c r="K46" t="n">
        <v>64</v>
      </c>
    </row>
    <row r="47" customFormat="1" s="188">
      <c r="A47" s="188" t="inlineStr">
        <is>
          <t>Profit before tax</t>
        </is>
      </c>
      <c r="B47" t="n">
        <v>5108</v>
      </c>
      <c r="C47" t="n">
        <v>4836</v>
      </c>
      <c r="D47" t="n">
        <v>5141</v>
      </c>
      <c r="E47" t="n">
        <v>4726</v>
      </c>
      <c r="F47" t="n">
        <v>4918</v>
      </c>
      <c r="G47" t="n">
        <v>4944</v>
      </c>
      <c r="H47" t="n">
        <v>4339</v>
      </c>
      <c r="I47" t="n">
        <v>4917</v>
      </c>
      <c r="J47" t="n">
        <v>4918</v>
      </c>
      <c r="K47" t="n">
        <v>4441</v>
      </c>
    </row>
    <row r="48" customFormat="1" s="188">
      <c r="A48" s="188" t="inlineStr">
        <is>
          <t>Tax</t>
        </is>
      </c>
      <c r="B48" t="n">
        <v>5108</v>
      </c>
      <c r="C48" t="n">
        <v>4836</v>
      </c>
      <c r="D48" t="n">
        <v>5141</v>
      </c>
      <c r="E48" t="n">
        <v>4726</v>
      </c>
      <c r="F48" t="n">
        <v>4918</v>
      </c>
      <c r="G48" t="n">
        <v>4944</v>
      </c>
      <c r="H48" t="n">
        <v>4339</v>
      </c>
      <c r="I48" t="n">
        <v>4917</v>
      </c>
      <c r="J48" t="n">
        <v>4918</v>
      </c>
      <c r="K48" t="n">
        <v>4441</v>
      </c>
    </row>
    <row r="49" customFormat="1" s="188">
      <c r="A49" s="188" t="inlineStr">
        <is>
          <t>Net profit</t>
        </is>
      </c>
      <c r="B49" t="n">
        <v>3952</v>
      </c>
      <c r="C49" t="n">
        <v>3760</v>
      </c>
      <c r="D49" t="n">
        <v>3102</v>
      </c>
      <c r="E49" t="n">
        <v>3727</v>
      </c>
      <c r="F49" t="n">
        <v>3911</v>
      </c>
      <c r="G49" t="n">
        <v>3792</v>
      </c>
      <c r="H49" t="n">
        <v>3349</v>
      </c>
      <c r="I49" t="n">
        <v>3879</v>
      </c>
      <c r="J49" t="n">
        <v>3659</v>
      </c>
      <c r="K49" t="n">
        <v>3447</v>
      </c>
    </row>
    <row r="50">
      <c r="A50" s="188" t="inlineStr">
        <is>
          <t>Operating Profit</t>
        </is>
      </c>
      <c r="B50" t="n">
        <v>5221</v>
      </c>
      <c r="C50" t="n">
        <v>5107</v>
      </c>
      <c r="D50" t="n">
        <v>4999</v>
      </c>
      <c r="E50" t="n">
        <v>5076</v>
      </c>
      <c r="F50" t="n">
        <v>4844</v>
      </c>
      <c r="G50" t="n">
        <v>4623</v>
      </c>
      <c r="H50" t="n">
        <v>5086</v>
      </c>
      <c r="I50" t="n">
        <v>5573</v>
      </c>
      <c r="J50" t="n">
        <v>6158</v>
      </c>
      <c r="K50" t="n">
        <v>4313</v>
      </c>
    </row>
    <row r="51">
      <c r="A51" s="188" t="n"/>
    </row>
    <row r="52">
      <c r="A52" s="188" t="n"/>
    </row>
    <row r="53">
      <c r="A53" s="188" t="n"/>
    </row>
    <row r="54">
      <c r="A54" s="188" t="n"/>
    </row>
    <row r="55">
      <c r="A55" s="187" t="inlineStr">
        <is>
          <t>BALANCE SHEET</t>
        </is>
      </c>
    </row>
    <row r="56" customFormat="1" s="24">
      <c r="A56" s="23" t="inlineStr">
        <is>
          <t>Report Date</t>
        </is>
      </c>
      <c r="B56" s="16" t="n">
        <v>42795</v>
      </c>
      <c r="C56" s="16" t="n">
        <v>43160</v>
      </c>
      <c r="D56" s="16" t="n">
        <v>43525</v>
      </c>
      <c r="E56" s="16" t="n">
        <v>43891</v>
      </c>
      <c r="F56" s="16" t="n">
        <v>44256</v>
      </c>
      <c r="G56" s="16" t="n">
        <v>44621</v>
      </c>
      <c r="H56" s="16" t="n">
        <v>44986</v>
      </c>
      <c r="I56" s="16" t="n">
        <v>45352</v>
      </c>
      <c r="J56" s="16" t="n">
        <v>45717</v>
      </c>
      <c r="K56" s="16" t="n">
        <v>46082</v>
      </c>
    </row>
    <row r="57">
      <c r="A57" s="188" t="inlineStr">
        <is>
          <t>Equity Share Capital</t>
        </is>
      </c>
      <c r="B57" t="n">
        <v>151</v>
      </c>
      <c r="C57" t="n">
        <v>151</v>
      </c>
      <c r="D57" t="n">
        <v>151</v>
      </c>
      <c r="E57" t="n">
        <v>151</v>
      </c>
      <c r="F57" t="n">
        <v>151</v>
      </c>
      <c r="G57" t="n">
        <v>151</v>
      </c>
      <c r="H57" t="n">
        <v>157</v>
      </c>
      <c r="I57" t="n">
        <v>157</v>
      </c>
      <c r="J57" t="n">
        <v>157</v>
      </c>
      <c r="K57" t="n">
        <v>157</v>
      </c>
    </row>
    <row r="58">
      <c r="A58" s="188" t="inlineStr">
        <is>
          <t>Reserves</t>
        </is>
      </c>
      <c r="B58" t="n">
        <v>36924</v>
      </c>
      <c r="C58" t="n">
        <v>42408</v>
      </c>
      <c r="D58" t="n">
        <v>46941</v>
      </c>
      <c r="E58" t="n">
        <v>49262</v>
      </c>
      <c r="F58" t="n">
        <v>52350</v>
      </c>
      <c r="G58" t="n">
        <v>55182</v>
      </c>
      <c r="H58" t="n">
        <v>74443</v>
      </c>
      <c r="I58" t="n">
        <v>85479</v>
      </c>
      <c r="J58" t="n">
        <v>96083</v>
      </c>
      <c r="K58" t="n">
        <v>106999</v>
      </c>
    </row>
    <row r="59">
      <c r="A59" s="188" t="inlineStr">
        <is>
          <t>Borrowings</t>
        </is>
      </c>
      <c r="B59" t="n">
        <v>484</v>
      </c>
      <c r="C59" t="n">
        <v>121</v>
      </c>
      <c r="D59" t="n">
        <v>160</v>
      </c>
      <c r="E59" t="n">
        <v>184</v>
      </c>
      <c r="F59" t="n">
        <v>541</v>
      </c>
      <c r="G59" t="n">
        <v>426</v>
      </c>
      <c r="H59" t="n">
        <v>1248</v>
      </c>
      <c r="I59" t="n">
        <v>119</v>
      </c>
      <c r="J59" t="n">
        <v>87</v>
      </c>
      <c r="K59" t="n">
        <v>102</v>
      </c>
    </row>
    <row r="60">
      <c r="A60" s="188" t="inlineStr">
        <is>
          <t>Other Liabilities</t>
        </is>
      </c>
      <c r="B60" t="n">
        <v>14402</v>
      </c>
      <c r="C60" t="n">
        <v>17568</v>
      </c>
      <c r="D60" t="n">
        <v>16717</v>
      </c>
      <c r="E60" t="n">
        <v>14031</v>
      </c>
      <c r="F60" t="n">
        <v>18335</v>
      </c>
      <c r="G60" t="n">
        <v>18896</v>
      </c>
      <c r="H60" t="n">
        <v>24258</v>
      </c>
      <c r="I60" t="n">
        <v>29550</v>
      </c>
      <c r="J60" t="n">
        <v>34689</v>
      </c>
      <c r="K60" t="n">
        <v>41622</v>
      </c>
    </row>
    <row r="61" customFormat="1" s="187">
      <c r="A61" s="187" t="inlineStr">
        <is>
          <t>Total</t>
        </is>
      </c>
      <c r="B61" t="n">
        <v>51960</v>
      </c>
      <c r="C61" t="n">
        <v>60248</v>
      </c>
      <c r="D61" t="n">
        <v>63969</v>
      </c>
      <c r="E61" t="n">
        <v>63628</v>
      </c>
      <c r="F61" t="n">
        <v>71376</v>
      </c>
      <c r="G61" t="n">
        <v>74656</v>
      </c>
      <c r="H61" t="n">
        <v>100106</v>
      </c>
      <c r="I61" t="n">
        <v>115304</v>
      </c>
      <c r="J61" t="n">
        <v>131016</v>
      </c>
      <c r="K61" t="n">
        <v>148880</v>
      </c>
    </row>
    <row r="62">
      <c r="A62" s="188" t="inlineStr">
        <is>
          <t>Net Block</t>
        </is>
      </c>
      <c r="B62" t="n">
        <v>13311</v>
      </c>
      <c r="C62" t="n">
        <v>13389</v>
      </c>
      <c r="D62" t="n">
        <v>15437</v>
      </c>
      <c r="E62" t="n">
        <v>15744</v>
      </c>
      <c r="F62" t="n">
        <v>14989</v>
      </c>
      <c r="G62" t="n">
        <v>13747</v>
      </c>
      <c r="H62" t="n">
        <v>27941</v>
      </c>
      <c r="I62" t="n">
        <v>27865</v>
      </c>
      <c r="J62" t="n">
        <v>32983</v>
      </c>
      <c r="K62" t="n">
        <v>34523</v>
      </c>
    </row>
    <row r="63">
      <c r="A63" s="188" t="inlineStr">
        <is>
          <t>Capital Work in Progress</t>
        </is>
      </c>
      <c r="B63" t="n">
        <v>1252</v>
      </c>
      <c r="C63" t="n">
        <v>2132</v>
      </c>
      <c r="D63" t="n">
        <v>1607</v>
      </c>
      <c r="E63" t="n">
        <v>1415</v>
      </c>
      <c r="F63" t="n">
        <v>1497</v>
      </c>
      <c r="G63" t="n">
        <v>2936</v>
      </c>
      <c r="H63" t="n">
        <v>4143</v>
      </c>
      <c r="I63" t="n">
        <v>7735</v>
      </c>
      <c r="J63" t="n">
        <v>7929</v>
      </c>
      <c r="K63" t="n">
        <v>9838</v>
      </c>
    </row>
    <row r="64">
      <c r="A64" s="188" t="inlineStr">
        <is>
          <t>Investments</t>
        </is>
      </c>
      <c r="B64" t="n">
        <v>29151</v>
      </c>
      <c r="C64" t="n">
        <v>36123</v>
      </c>
      <c r="D64" t="n">
        <v>37504</v>
      </c>
      <c r="E64" t="n">
        <v>37488</v>
      </c>
      <c r="F64" t="n">
        <v>42945</v>
      </c>
      <c r="G64" t="n">
        <v>42035</v>
      </c>
      <c r="H64" t="n">
        <v>49184</v>
      </c>
      <c r="I64" t="n">
        <v>57296</v>
      </c>
      <c r="J64" t="n">
        <v>66265</v>
      </c>
      <c r="K64" t="n">
        <v>76838</v>
      </c>
    </row>
    <row r="65">
      <c r="A65" s="188" t="inlineStr">
        <is>
          <t>Other Assets</t>
        </is>
      </c>
      <c r="B65" t="n">
        <v>8247</v>
      </c>
      <c r="C65" t="n">
        <v>8604</v>
      </c>
      <c r="D65" t="n">
        <v>9421</v>
      </c>
      <c r="E65" t="n">
        <v>8980</v>
      </c>
      <c r="F65" t="n">
        <v>11946</v>
      </c>
      <c r="G65" t="n">
        <v>15937</v>
      </c>
      <c r="H65" t="n">
        <v>18837</v>
      </c>
      <c r="I65" t="n">
        <v>22408</v>
      </c>
      <c r="J65" t="n">
        <v>23839</v>
      </c>
      <c r="K65" t="n">
        <v>27680</v>
      </c>
    </row>
    <row r="66" customFormat="1" s="187">
      <c r="A66" s="187" t="inlineStr">
        <is>
          <t>Total</t>
        </is>
      </c>
      <c r="B66" t="n">
        <v>51960</v>
      </c>
      <c r="C66" t="n">
        <v>60248</v>
      </c>
      <c r="D66" t="n">
        <v>63969</v>
      </c>
      <c r="E66" t="n">
        <v>63628</v>
      </c>
      <c r="F66" t="n">
        <v>71376</v>
      </c>
      <c r="G66" t="n">
        <v>74656</v>
      </c>
      <c r="H66" t="n">
        <v>100106</v>
      </c>
      <c r="I66" t="n">
        <v>115304</v>
      </c>
      <c r="J66" t="n">
        <v>131016</v>
      </c>
      <c r="K66" t="n">
        <v>148880</v>
      </c>
    </row>
    <row r="67" customFormat="1" s="188">
      <c r="A67" s="188" t="inlineStr">
        <is>
          <t>Receivables</t>
        </is>
      </c>
      <c r="B67" t="n">
        <v>1203</v>
      </c>
      <c r="C67" t="n">
        <v>1465</v>
      </c>
      <c r="D67" t="n">
        <v>2313</v>
      </c>
      <c r="E67" t="n">
        <v>1978</v>
      </c>
      <c r="F67" t="n">
        <v>1280</v>
      </c>
      <c r="G67" t="n">
        <v>2034</v>
      </c>
      <c r="H67" t="n">
        <v>3285</v>
      </c>
      <c r="I67" t="n">
        <v>4597</v>
      </c>
      <c r="J67" t="n">
        <v>6540</v>
      </c>
      <c r="K67" t="n">
        <v>5342</v>
      </c>
    </row>
    <row r="68">
      <c r="A68" s="188" t="inlineStr">
        <is>
          <t>Inventory</t>
        </is>
      </c>
      <c r="B68" t="n">
        <v>3264</v>
      </c>
      <c r="C68" t="n">
        <v>3160</v>
      </c>
      <c r="D68" t="n">
        <v>3323</v>
      </c>
      <c r="E68" t="n">
        <v>3214</v>
      </c>
      <c r="F68" t="n">
        <v>3049</v>
      </c>
      <c r="G68" t="n">
        <v>3532</v>
      </c>
      <c r="H68" t="n">
        <v>5444</v>
      </c>
      <c r="I68" t="n">
        <v>5318</v>
      </c>
      <c r="J68" t="n">
        <v>6913</v>
      </c>
      <c r="K68" t="n">
        <v>11321</v>
      </c>
    </row>
    <row r="69">
      <c r="A69" s="193" t="inlineStr">
        <is>
          <t>Cash &amp; Bank</t>
        </is>
      </c>
      <c r="B69" t="n">
        <v>24</v>
      </c>
      <c r="C69" t="n">
        <v>74</v>
      </c>
      <c r="D69" t="n">
        <v>188</v>
      </c>
      <c r="E69" t="n">
        <v>29</v>
      </c>
      <c r="F69" t="n">
        <v>3047</v>
      </c>
      <c r="G69" t="n">
        <v>3042</v>
      </c>
      <c r="H69" t="n">
        <v>2748</v>
      </c>
      <c r="I69" t="n">
        <v>2827</v>
      </c>
      <c r="J69" t="n">
        <v>553</v>
      </c>
      <c r="K69" t="n">
        <v>1580</v>
      </c>
    </row>
    <row r="70">
      <c r="A70" s="193" t="inlineStr">
        <is>
          <t>No. of Equity Shares</t>
        </is>
      </c>
      <c r="B70" t="n">
        <v>302000000</v>
      </c>
      <c r="C70" t="n">
        <v>302000000</v>
      </c>
      <c r="D70" t="n">
        <v>302000000</v>
      </c>
      <c r="E70" t="n">
        <v>302000000</v>
      </c>
      <c r="F70" t="n">
        <v>302000000</v>
      </c>
      <c r="G70" t="n">
        <v>302000000</v>
      </c>
      <c r="H70" t="n">
        <v>314000000</v>
      </c>
      <c r="I70" t="n">
        <v>314000000</v>
      </c>
      <c r="J70" t="n">
        <v>314000000</v>
      </c>
      <c r="K70" t="n">
        <v>314000000</v>
      </c>
    </row>
    <row r="71">
      <c r="A71" s="193" t="inlineStr">
        <is>
          <t>New Bonus Shares</t>
        </is>
      </c>
    </row>
    <row r="72">
      <c r="A72" s="193" t="inlineStr">
        <is>
          <t>Face value</t>
        </is>
      </c>
      <c r="B72" t="n">
        <v>5</v>
      </c>
      <c r="C72" t="n">
        <v>5</v>
      </c>
      <c r="D72" t="n">
        <v>5</v>
      </c>
      <c r="E72" t="n">
        <v>5</v>
      </c>
      <c r="F72" t="n">
        <v>5</v>
      </c>
      <c r="G72" t="n">
        <v>5</v>
      </c>
      <c r="H72" t="n">
        <v>5</v>
      </c>
      <c r="I72" t="n">
        <v>5</v>
      </c>
      <c r="J72" t="n">
        <v>5</v>
      </c>
      <c r="K72" t="n">
        <v>5</v>
      </c>
    </row>
    <row r="74">
      <c r="A74" s="188" t="n"/>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inlineStr">
        <is>
          <t>Other Assets</t>
        </is>
      </c>
      <c r="B75" s="193">
        <f>B65-SUM(B67:B69)</f>
        <v/>
      </c>
      <c r="C75" s="193">
        <f>C65-SUM(C67:C69)</f>
        <v/>
      </c>
      <c r="D75" s="193">
        <f>D65-SUM(D67:D69)</f>
        <v/>
      </c>
      <c r="E75" s="193">
        <f>E65-SUM(E67:E69)</f>
        <v/>
      </c>
      <c r="F75" s="193">
        <f>F65-SUM(F67:F69)</f>
        <v/>
      </c>
      <c r="G75" s="193">
        <f>G65-SUM(G67:G69)</f>
        <v/>
      </c>
      <c r="H75" s="193">
        <f>H65-SUM(H67:H69)</f>
        <v/>
      </c>
      <c r="I75" s="193">
        <f>I65-SUM(I67:I69)</f>
        <v/>
      </c>
      <c r="J75" s="193">
        <f>J65-SUM(J67:J69)</f>
        <v/>
      </c>
      <c r="K75" s="193">
        <f>K65-SUM(K67:K69)</f>
        <v/>
      </c>
    </row>
    <row r="76">
      <c r="A76" s="188" t="n"/>
    </row>
    <row r="77">
      <c r="A77" s="188" t="n"/>
    </row>
    <row r="78">
      <c r="A78" s="188" t="n"/>
    </row>
    <row r="79">
      <c r="A79" s="188" t="n"/>
    </row>
    <row r="80">
      <c r="A80" s="187" t="inlineStr">
        <is>
          <t>CASH FLOW:</t>
        </is>
      </c>
    </row>
    <row r="81" customFormat="1" s="24">
      <c r="A81" s="23" t="inlineStr">
        <is>
          <t>Report Date</t>
        </is>
      </c>
      <c r="B81" s="16" t="n">
        <v>42795</v>
      </c>
      <c r="C81" s="16" t="n">
        <v>43160</v>
      </c>
      <c r="D81" s="16" t="n">
        <v>43525</v>
      </c>
      <c r="E81" s="16" t="n">
        <v>43891</v>
      </c>
      <c r="F81" s="16" t="n">
        <v>44256</v>
      </c>
      <c r="G81" s="16" t="n">
        <v>44621</v>
      </c>
      <c r="H81" s="16" t="n">
        <v>44986</v>
      </c>
      <c r="I81" s="16" t="n">
        <v>45352</v>
      </c>
      <c r="J81" s="16" t="n">
        <v>45717</v>
      </c>
      <c r="K81" s="16" t="n">
        <v>46082</v>
      </c>
    </row>
    <row r="82" customFormat="1" s="187">
      <c r="A82" s="188" t="inlineStr">
        <is>
          <t>Cash from Operating Activity</t>
        </is>
      </c>
      <c r="B82" t="n">
        <v>10282</v>
      </c>
      <c r="C82" t="n">
        <v>11788</v>
      </c>
      <c r="D82" t="n">
        <v>6601</v>
      </c>
      <c r="E82" t="n">
        <v>3496</v>
      </c>
      <c r="F82" t="n">
        <v>8856</v>
      </c>
      <c r="G82" t="n">
        <v>1840</v>
      </c>
      <c r="H82" t="n">
        <v>10815</v>
      </c>
      <c r="I82" t="n">
        <v>16801</v>
      </c>
      <c r="J82" t="n">
        <v>16180</v>
      </c>
      <c r="K82" t="n">
        <v>19100</v>
      </c>
    </row>
    <row r="83" customFormat="1" s="188">
      <c r="A83" s="188" t="inlineStr">
        <is>
          <t>Cash from Investing Activity</t>
        </is>
      </c>
      <c r="B83" t="n">
        <v>-9173</v>
      </c>
      <c r="C83" t="n">
        <v>-8302</v>
      </c>
      <c r="D83" t="n">
        <v>-3540</v>
      </c>
      <c r="E83" t="n">
        <v>-557</v>
      </c>
      <c r="F83" t="n">
        <v>-7291</v>
      </c>
      <c r="G83" t="n">
        <v>-239</v>
      </c>
      <c r="H83" t="n">
        <v>-8820</v>
      </c>
      <c r="I83" t="n">
        <v>-11865</v>
      </c>
      <c r="J83" t="n">
        <v>-14500</v>
      </c>
      <c r="K83" t="n">
        <v>-14734</v>
      </c>
    </row>
    <row r="84" customFormat="1" s="188">
      <c r="A84" s="188" t="inlineStr">
        <is>
          <t>Cash from Financing Activity</t>
        </is>
      </c>
      <c r="B84" t="n">
        <v>-1129</v>
      </c>
      <c r="C84" t="n">
        <v>-3436</v>
      </c>
      <c r="D84" t="n">
        <v>-2948</v>
      </c>
      <c r="E84" t="n">
        <v>-3104</v>
      </c>
      <c r="F84" t="n">
        <v>-1545</v>
      </c>
      <c r="G84" t="n">
        <v>-1607</v>
      </c>
      <c r="H84" t="n">
        <v>-1214</v>
      </c>
      <c r="I84" t="n">
        <v>-4062</v>
      </c>
      <c r="J84" t="n">
        <v>-4155</v>
      </c>
      <c r="K84" t="n">
        <v>-4484</v>
      </c>
    </row>
    <row r="85" customFormat="1" s="187">
      <c r="A85" s="188" t="inlineStr">
        <is>
          <t>Net Cash Flow</t>
        </is>
      </c>
      <c r="B85" t="n">
        <v>-20</v>
      </c>
      <c r="C85" t="n">
        <v>50</v>
      </c>
      <c r="D85" t="n">
        <v>113</v>
      </c>
      <c r="E85" t="n">
        <v>-165</v>
      </c>
      <c r="F85" t="n">
        <v>20</v>
      </c>
      <c r="G85" t="n">
        <v>-6</v>
      </c>
      <c r="H85" t="n">
        <v>780</v>
      </c>
      <c r="I85" t="n">
        <v>874</v>
      </c>
      <c r="J85" t="n">
        <v>-2475</v>
      </c>
      <c r="K85" t="n">
        <v>-118</v>
      </c>
    </row>
    <row r="86">
      <c r="A86" s="188" t="n"/>
    </row>
    <row r="87">
      <c r="A87" s="188" t="n"/>
    </row>
    <row r="88">
      <c r="A88" s="188" t="n"/>
    </row>
    <row r="89">
      <c r="A89" s="188" t="n"/>
    </row>
    <row r="90" customFormat="1" s="187">
      <c r="A90" s="187" t="inlineStr">
        <is>
          <t>PRICE:</t>
        </is>
      </c>
      <c r="B90" t="n">
        <v>5887.75</v>
      </c>
      <c r="C90" t="n">
        <v>8873.450000000001</v>
      </c>
      <c r="D90" t="n">
        <v>6935.15</v>
      </c>
      <c r="E90" t="n">
        <v>6283.1</v>
      </c>
      <c r="F90" t="n">
        <v>6866.15</v>
      </c>
      <c r="G90" t="n">
        <v>7247.3</v>
      </c>
      <c r="H90" t="n">
        <v>8601.25</v>
      </c>
      <c r="I90" t="n">
        <v>11567.2</v>
      </c>
      <c r="J90" t="n">
        <v>11945.85</v>
      </c>
      <c r="K90" t="n">
        <v>14857</v>
      </c>
    </row>
    <row r="92" customFormat="1" s="187">
      <c r="A92" s="187" t="inlineStr">
        <is>
          <t>DERIVED:</t>
        </is>
      </c>
    </row>
    <row r="93">
      <c r="A93" s="193" t="inlineStr">
        <is>
          <t>Adjusted Equity Shares in Cr</t>
        </is>
      </c>
      <c r="B93" s="198" t="n">
        <v>30.22</v>
      </c>
      <c r="C93" s="198" t="n">
        <v>30.22</v>
      </c>
      <c r="D93" s="198" t="n">
        <v>30.22</v>
      </c>
      <c r="E93" s="198" t="n">
        <v>30.22</v>
      </c>
      <c r="F93" s="198" t="n">
        <v>30.22</v>
      </c>
      <c r="G93" s="198" t="n">
        <v>30.22</v>
      </c>
      <c r="H93" s="198" t="n">
        <v>30.22</v>
      </c>
      <c r="I93" s="198" t="n">
        <v>30.22</v>
      </c>
      <c r="J93" s="198" t="n">
        <v>30.22</v>
      </c>
      <c r="K93" s="198" t="n">
        <v>30.22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Maruti Suzuki India Ltd</t>
        </is>
      </c>
    </row>
    <row r="4">
      <c r="B4" s="49" t="inlineStr">
        <is>
          <t>Particulars</t>
        </is>
      </c>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6449</v>
      </c>
      <c r="D6" s="73" t="n">
        <v>8482</v>
      </c>
      <c r="E6" s="73" t="n">
        <v>10282</v>
      </c>
      <c r="F6" s="73" t="n">
        <v>11788</v>
      </c>
      <c r="G6" s="73" t="n">
        <v>6601</v>
      </c>
      <c r="H6" s="73" t="n">
        <v>3496</v>
      </c>
      <c r="I6" s="73" t="n">
        <v>8856</v>
      </c>
      <c r="J6" s="73" t="n">
        <v>1840</v>
      </c>
      <c r="K6" s="73" t="n">
        <v>10815</v>
      </c>
      <c r="L6" s="73" t="n">
        <v>16801</v>
      </c>
      <c r="M6" s="73" t="n">
        <v>16180</v>
      </c>
      <c r="N6" s="73" t="n">
        <v>19100</v>
      </c>
    </row>
    <row r="7">
      <c r="B7" t="inlineStr">
        <is>
          <t>Profit from operations</t>
        </is>
      </c>
      <c r="C7" s="73" t="n">
        <v>6779</v>
      </c>
      <c r="D7" s="73" t="n">
        <v>8935</v>
      </c>
      <c r="E7" s="73" t="n">
        <v>10413</v>
      </c>
      <c r="F7" s="73" t="n">
        <v>12036</v>
      </c>
      <c r="G7" s="73" t="n">
        <v>11060</v>
      </c>
      <c r="H7" s="73" t="n">
        <v>7503</v>
      </c>
      <c r="I7" s="73" t="n">
        <v>5531</v>
      </c>
      <c r="J7" s="73" t="n">
        <v>5832</v>
      </c>
      <c r="K7" s="73" t="n">
        <v>13176</v>
      </c>
      <c r="L7" s="73" t="n">
        <v>18676</v>
      </c>
      <c r="M7" s="73" t="n">
        <v>20322</v>
      </c>
      <c r="N7" s="73" t="n">
        <v>21802</v>
      </c>
    </row>
    <row r="8">
      <c r="B8" t="inlineStr">
        <is>
          <t>Receivables</t>
        </is>
      </c>
      <c r="C8" t="n">
        <v>345</v>
      </c>
      <c r="D8" t="n">
        <v>-204</v>
      </c>
      <c r="E8" t="n">
        <v>122</v>
      </c>
      <c r="F8" t="n">
        <v>-262</v>
      </c>
      <c r="G8" t="n">
        <v>-851</v>
      </c>
      <c r="H8" s="73" t="n">
        <v>340</v>
      </c>
      <c r="I8" t="n">
        <v>696</v>
      </c>
      <c r="J8" t="n">
        <v>-764</v>
      </c>
      <c r="K8" t="n">
        <v>-1270</v>
      </c>
      <c r="L8" t="n">
        <v>-1316</v>
      </c>
      <c r="M8" s="73" t="n">
        <v>-1969</v>
      </c>
      <c r="N8" t="n">
        <v>1236</v>
      </c>
    </row>
    <row r="9">
      <c r="B9" t="inlineStr">
        <is>
          <t>Inventory</t>
        </is>
      </c>
      <c r="C9" t="n">
        <v>-982</v>
      </c>
      <c r="D9" t="n">
        <v>-450</v>
      </c>
      <c r="E9" t="n">
        <v>-131</v>
      </c>
      <c r="F9" t="n">
        <v>104</v>
      </c>
      <c r="G9" t="n">
        <v>-162</v>
      </c>
      <c r="H9" t="n">
        <v>109</v>
      </c>
      <c r="I9" s="73" t="n">
        <v>165</v>
      </c>
      <c r="J9" t="n">
        <v>-483</v>
      </c>
      <c r="K9" s="73" t="n">
        <v>-1050</v>
      </c>
      <c r="L9" s="73" t="n">
        <v>125</v>
      </c>
      <c r="M9" s="73" t="n">
        <v>-1595</v>
      </c>
      <c r="N9" s="73" t="n">
        <v>-4407</v>
      </c>
    </row>
    <row r="10">
      <c r="B10" t="inlineStr">
        <is>
          <t>Payables</t>
        </is>
      </c>
      <c r="C10" t="n">
        <v>712</v>
      </c>
      <c r="D10" t="n">
        <v>1789</v>
      </c>
      <c r="E10" t="n">
        <v>979</v>
      </c>
      <c r="F10" s="73" t="n">
        <v>2128</v>
      </c>
      <c r="G10" t="n">
        <v>-858</v>
      </c>
      <c r="H10" t="n">
        <v>-2155</v>
      </c>
      <c r="I10" s="73" t="n">
        <v>2680</v>
      </c>
      <c r="J10" s="73" t="n">
        <v>-396</v>
      </c>
      <c r="K10" s="73" t="n">
        <v>2491</v>
      </c>
      <c r="L10" t="n">
        <v>3321</v>
      </c>
      <c r="M10" s="73" t="n">
        <v>2606</v>
      </c>
      <c r="N10" t="n">
        <v>5194</v>
      </c>
    </row>
    <row r="11">
      <c r="B11" t="inlineStr">
        <is>
          <t>Working capital changes</t>
        </is>
      </c>
      <c r="C11" t="n">
        <v>745</v>
      </c>
      <c r="D11" t="n">
        <v>1460</v>
      </c>
      <c r="E11" t="n">
        <v>2192</v>
      </c>
      <c r="F11" s="73" t="n">
        <v>2808</v>
      </c>
      <c r="G11" t="n">
        <v>-1315</v>
      </c>
      <c r="H11" t="n">
        <v>-2570</v>
      </c>
      <c r="I11" t="n">
        <v>4336</v>
      </c>
      <c r="J11" t="n">
        <v>-2813</v>
      </c>
      <c r="K11" t="n">
        <v>-97</v>
      </c>
      <c r="L11" s="73" t="n">
        <v>1722</v>
      </c>
      <c r="M11" s="73" t="n">
        <v>-335</v>
      </c>
      <c r="N11" s="73" t="n">
        <v>1635</v>
      </c>
    </row>
    <row r="12">
      <c r="B12" t="inlineStr">
        <is>
          <t>Direct taxes</t>
        </is>
      </c>
      <c r="C12" s="73" t="n">
        <v>-1075</v>
      </c>
      <c r="D12" s="73" t="n">
        <v>-1912</v>
      </c>
      <c r="E12" s="73" t="n">
        <v>-2323</v>
      </c>
      <c r="F12" s="73" t="n">
        <v>-3056</v>
      </c>
      <c r="G12" s="73" t="n">
        <v>-3144</v>
      </c>
      <c r="H12" s="73" t="n">
        <v>-1438</v>
      </c>
      <c r="I12" s="73" t="n">
        <v>-1011</v>
      </c>
      <c r="J12" s="73" t="n">
        <v>-1178</v>
      </c>
      <c r="K12" s="73" t="n">
        <v>-2265</v>
      </c>
      <c r="L12" s="73" t="n">
        <v>-3597</v>
      </c>
      <c r="M12" s="73" t="n">
        <v>-3807</v>
      </c>
      <c r="N12" s="73" t="n">
        <v>-4337</v>
      </c>
    </row>
    <row r="13">
      <c r="B13" t="inlineStr">
        <is>
          <t>Cash from Investing Activity -</t>
        </is>
      </c>
      <c r="C13" s="73" t="n">
        <v>-4491</v>
      </c>
      <c r="D13" s="73" t="n">
        <v>-7230</v>
      </c>
      <c r="E13" s="73" t="n">
        <v>-9173</v>
      </c>
      <c r="F13" s="73" t="n">
        <v>-8302</v>
      </c>
      <c r="G13" s="73" t="n">
        <v>-3540</v>
      </c>
      <c r="H13" s="73" t="n">
        <v>-557</v>
      </c>
      <c r="I13" s="73" t="n">
        <v>-7291</v>
      </c>
      <c r="J13" s="73" t="n">
        <v>-239</v>
      </c>
      <c r="K13" s="73" t="n">
        <v>-8820</v>
      </c>
      <c r="L13" s="73" t="n">
        <v>-11865</v>
      </c>
      <c r="M13" t="n">
        <v>-14500</v>
      </c>
      <c r="N13" s="73" t="n">
        <v>-14734</v>
      </c>
    </row>
    <row r="14">
      <c r="B14" t="inlineStr">
        <is>
          <t>Fixed assets purchased</t>
        </is>
      </c>
      <c r="C14" s="73" t="n">
        <v>-3058</v>
      </c>
      <c r="D14" s="73" t="n">
        <v>-2469</v>
      </c>
      <c r="E14" s="73" t="n">
        <v>-3391</v>
      </c>
      <c r="F14" s="73" t="n">
        <v>-3912</v>
      </c>
      <c r="G14" s="73" t="n">
        <v>-4872</v>
      </c>
      <c r="H14" s="73" t="n">
        <v>-3437</v>
      </c>
      <c r="I14" s="73" t="n">
        <v>-2370</v>
      </c>
      <c r="J14" s="73" t="n">
        <v>-3459</v>
      </c>
      <c r="K14" s="73" t="n">
        <v>-8065</v>
      </c>
      <c r="L14" s="73" t="n">
        <v>-9200</v>
      </c>
      <c r="M14" s="73" t="n">
        <v>-10621</v>
      </c>
      <c r="N14" s="73" t="n">
        <v>-10398</v>
      </c>
    </row>
    <row r="15">
      <c r="B15" t="inlineStr">
        <is>
          <t>Fixed assets sold</t>
        </is>
      </c>
      <c r="C15" t="n">
        <v>16</v>
      </c>
      <c r="D15" t="n">
        <v>12</v>
      </c>
      <c r="E15" t="n">
        <v>16</v>
      </c>
      <c r="F15" t="n">
        <v>26</v>
      </c>
      <c r="G15" t="n">
        <v>170</v>
      </c>
      <c r="H15" t="n">
        <v>37</v>
      </c>
      <c r="I15" t="n">
        <v>42</v>
      </c>
      <c r="J15" t="n">
        <v>136</v>
      </c>
      <c r="K15" t="n">
        <v>109</v>
      </c>
      <c r="L15" t="n">
        <v>45</v>
      </c>
      <c r="M15" t="n">
        <v>42</v>
      </c>
      <c r="N15" t="n">
        <v>52</v>
      </c>
    </row>
    <row r="16">
      <c r="B16" t="inlineStr">
        <is>
          <t>Investments purchased</t>
        </is>
      </c>
      <c r="C16" s="73" t="n">
        <v>-17354</v>
      </c>
      <c r="D16" s="73" t="n">
        <v>-12044</v>
      </c>
      <c r="E16" s="73" t="n">
        <v>-17716</v>
      </c>
      <c r="F16" s="73" t="n">
        <v>-47069</v>
      </c>
      <c r="G16" s="73" t="n">
        <v>-52957</v>
      </c>
      <c r="H16" s="73" t="n">
        <v>-44205</v>
      </c>
      <c r="I16" s="73" t="n">
        <v>-44869</v>
      </c>
      <c r="J16" s="73" t="n">
        <v>-60525</v>
      </c>
      <c r="K16" s="73" t="n">
        <v>-66597</v>
      </c>
      <c r="L16" s="73" t="n">
        <v>-65736</v>
      </c>
      <c r="M16" s="73" t="n">
        <v>-73882</v>
      </c>
      <c r="N16" s="73" t="n">
        <v>-108034</v>
      </c>
    </row>
    <row r="17">
      <c r="B17" t="inlineStr">
        <is>
          <t>Investments sold</t>
        </is>
      </c>
      <c r="C17" s="73" t="n">
        <v>15270</v>
      </c>
      <c r="D17" s="73" t="n">
        <v>7378</v>
      </c>
      <c r="E17" s="73" t="n">
        <v>11839</v>
      </c>
      <c r="F17" s="73" t="n">
        <v>42564</v>
      </c>
      <c r="G17" s="73" t="n">
        <v>53986</v>
      </c>
      <c r="H17" s="73" t="n">
        <v>46969</v>
      </c>
      <c r="I17" s="73" t="n">
        <v>42920</v>
      </c>
      <c r="J17" s="73" t="n">
        <v>63579</v>
      </c>
      <c r="K17" s="73" t="n">
        <v>61605</v>
      </c>
      <c r="L17" s="73" t="n">
        <v>61933</v>
      </c>
      <c r="M17" s="73" t="n">
        <v>69795</v>
      </c>
      <c r="N17" s="73" t="n">
        <v>101969</v>
      </c>
    </row>
    <row r="18">
      <c r="B18" t="inlineStr">
        <is>
          <t>Interest received</t>
        </is>
      </c>
      <c r="C18" t="n">
        <v>152</v>
      </c>
      <c r="D18" t="n">
        <v>67</v>
      </c>
      <c r="E18" t="n">
        <v>36</v>
      </c>
      <c r="F18" t="n">
        <v>68</v>
      </c>
      <c r="G18" s="73" t="n">
        <v>124</v>
      </c>
      <c r="H18" s="73" t="n">
        <v>96</v>
      </c>
      <c r="I18" s="73" t="n">
        <v>67</v>
      </c>
      <c r="J18" s="73" t="n">
        <v>174</v>
      </c>
      <c r="K18" s="73" t="n">
        <v>313</v>
      </c>
      <c r="L18" s="73" t="n">
        <v>372</v>
      </c>
      <c r="M18" s="73" t="n">
        <v>444</v>
      </c>
      <c r="N18" t="n">
        <v>354</v>
      </c>
    </row>
    <row r="19">
      <c r="B19" t="inlineStr">
        <is>
          <t>Dividends received</t>
        </is>
      </c>
      <c r="C19" t="n">
        <v>54</v>
      </c>
      <c r="D19" t="n">
        <v>11</v>
      </c>
      <c r="E19" t="n">
        <v>13</v>
      </c>
      <c r="F19" t="n">
        <v>20</v>
      </c>
      <c r="G19" t="n">
        <v>9</v>
      </c>
      <c r="H19" t="n">
        <v>4</v>
      </c>
      <c r="I19" t="n">
        <v>3</v>
      </c>
      <c r="J19" t="n">
        <v>3</v>
      </c>
      <c r="K19" t="n">
        <v>6</v>
      </c>
      <c r="L19" t="n">
        <v>6</v>
      </c>
      <c r="M19" t="n">
        <v>9</v>
      </c>
      <c r="N19" t="n">
        <v>11</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22</v>
      </c>
      <c r="F22" t="n">
        <v>0</v>
      </c>
      <c r="G22" t="n">
        <v>0</v>
      </c>
      <c r="H22" t="n">
        <v>0</v>
      </c>
      <c r="I22" t="n">
        <v>0</v>
      </c>
      <c r="J22" t="n">
        <v>0</v>
      </c>
      <c r="K22" t="n">
        <v>0</v>
      </c>
      <c r="L22" t="n">
        <v>0</v>
      </c>
      <c r="M22" t="n">
        <v>0</v>
      </c>
      <c r="N22" t="n">
        <v>0</v>
      </c>
    </row>
    <row r="23">
      <c r="B23" t="inlineStr">
        <is>
          <t>Other investing items</t>
        </is>
      </c>
      <c r="C23" s="73" t="n">
        <v>428</v>
      </c>
      <c r="D23" s="73" t="n">
        <v>-186</v>
      </c>
      <c r="E23" s="73" t="n">
        <v>7</v>
      </c>
      <c r="F23" s="73" t="n">
        <v>0</v>
      </c>
      <c r="G23" s="73" t="n">
        <v>0</v>
      </c>
      <c r="H23" s="73" t="n">
        <v>-5</v>
      </c>
      <c r="I23" s="73" t="n">
        <v>-3019</v>
      </c>
      <c r="J23" s="73" t="n">
        <v>-1</v>
      </c>
      <c r="K23" t="n">
        <v>3808</v>
      </c>
      <c r="L23" s="73" t="n">
        <v>795</v>
      </c>
      <c r="M23" t="n">
        <v>-269</v>
      </c>
      <c r="N23" s="73" t="n">
        <v>1311</v>
      </c>
    </row>
    <row r="24">
      <c r="B24" t="inlineStr">
        <is>
          <t>Cash from Financing Activity -</t>
        </is>
      </c>
      <c r="C24" s="73" t="n">
        <v>-2004</v>
      </c>
      <c r="D24" s="73" t="n">
        <v>-1237</v>
      </c>
      <c r="E24" s="73" t="n">
        <v>-1129</v>
      </c>
      <c r="F24" s="73" t="n">
        <v>-3436</v>
      </c>
      <c r="G24" s="73" t="n">
        <v>-2948</v>
      </c>
      <c r="H24" s="73" t="n">
        <v>-3104</v>
      </c>
      <c r="I24" s="73" t="n">
        <v>-1545</v>
      </c>
      <c r="J24" s="73" t="n">
        <v>-1607</v>
      </c>
      <c r="K24" s="73" t="n">
        <v>-1214</v>
      </c>
      <c r="L24" s="73" t="n">
        <v>-4062</v>
      </c>
      <c r="M24" s="73" t="n">
        <v>-4155</v>
      </c>
      <c r="N24" s="73" t="n">
        <v>-4484</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92</v>
      </c>
      <c r="D26" t="n">
        <v>77</v>
      </c>
      <c r="E26" t="n">
        <v>484</v>
      </c>
      <c r="F26" t="n">
        <v>10</v>
      </c>
      <c r="G26" t="n">
        <v>39</v>
      </c>
      <c r="H26" t="n">
        <v>0</v>
      </c>
      <c r="I26" t="n">
        <v>380</v>
      </c>
      <c r="J26" t="n">
        <v>0</v>
      </c>
      <c r="K26" t="n">
        <v>831</v>
      </c>
      <c r="L26" t="n">
        <v>0</v>
      </c>
      <c r="M26" t="n">
        <v>0</v>
      </c>
      <c r="N26" s="73" t="n">
        <v>0</v>
      </c>
    </row>
    <row r="27">
      <c r="B27" t="inlineStr">
        <is>
          <t>Repayment of borrowings</t>
        </is>
      </c>
      <c r="C27" t="n">
        <v>-1449</v>
      </c>
      <c r="D27" t="n">
        <v>-313</v>
      </c>
      <c r="E27" t="n">
        <v>-231</v>
      </c>
      <c r="F27" t="n">
        <v>-373</v>
      </c>
      <c r="G27" t="n">
        <v>0</v>
      </c>
      <c r="H27" t="n">
        <v>-46</v>
      </c>
      <c r="I27" t="n">
        <v>0</v>
      </c>
      <c r="J27" t="n">
        <v>-110</v>
      </c>
      <c r="K27" t="n">
        <v>0</v>
      </c>
      <c r="L27" t="n">
        <v>-1183</v>
      </c>
      <c r="M27" t="n">
        <v>-33</v>
      </c>
      <c r="N27" t="n">
        <v>0</v>
      </c>
    </row>
    <row r="28">
      <c r="B28" t="inlineStr">
        <is>
          <t>Interest paid fin</t>
        </is>
      </c>
      <c r="C28" t="n">
        <v>-222</v>
      </c>
      <c r="D28" t="n">
        <v>-92</v>
      </c>
      <c r="E28" t="n">
        <v>-110</v>
      </c>
      <c r="F28" t="n">
        <v>-346</v>
      </c>
      <c r="G28" t="n">
        <v>-73</v>
      </c>
      <c r="H28" t="n">
        <v>-136</v>
      </c>
      <c r="I28" t="n">
        <v>-102</v>
      </c>
      <c r="J28" t="n">
        <v>-130</v>
      </c>
      <c r="K28" t="n">
        <v>-186</v>
      </c>
      <c r="L28" t="n">
        <v>-147</v>
      </c>
      <c r="M28" t="n">
        <v>-167</v>
      </c>
      <c r="N28" t="n">
        <v>-204</v>
      </c>
    </row>
    <row r="29">
      <c r="B29" t="inlineStr">
        <is>
          <t>Dividends paid</t>
        </is>
      </c>
      <c r="C29" s="73" t="n">
        <v>-362</v>
      </c>
      <c r="D29" s="73" t="n">
        <v>-755</v>
      </c>
      <c r="E29" s="73" t="n">
        <v>-1057</v>
      </c>
      <c r="F29" s="73" t="n">
        <v>-2266</v>
      </c>
      <c r="G29" s="73" t="n">
        <v>-2417</v>
      </c>
      <c r="H29" s="73" t="n">
        <v>-2417</v>
      </c>
      <c r="I29" s="73" t="n">
        <v>-1812</v>
      </c>
      <c r="J29" s="73" t="n">
        <v>-1359</v>
      </c>
      <c r="K29" s="73" t="n">
        <v>-1812</v>
      </c>
      <c r="L29" s="73" t="n">
        <v>-2719</v>
      </c>
      <c r="M29" s="73" t="n">
        <v>-3930</v>
      </c>
      <c r="N29" s="73" t="n">
        <v>-4244</v>
      </c>
    </row>
    <row r="30">
      <c r="B30" t="inlineStr">
        <is>
          <t>Financial liabilities</t>
        </is>
      </c>
      <c r="C30" t="n">
        <v>0</v>
      </c>
      <c r="D30" t="n">
        <v>0</v>
      </c>
      <c r="E30" t="n">
        <v>0</v>
      </c>
      <c r="F30" t="n">
        <v>0</v>
      </c>
      <c r="G30" t="n">
        <v>0</v>
      </c>
      <c r="H30" t="n">
        <v>-10</v>
      </c>
      <c r="I30" t="n">
        <v>-11</v>
      </c>
      <c r="J30" t="n">
        <v>-8</v>
      </c>
      <c r="K30" t="n">
        <v>-47</v>
      </c>
      <c r="L30" t="n">
        <v>-13</v>
      </c>
      <c r="M30" t="n">
        <v>-25</v>
      </c>
      <c r="N30" t="n">
        <v>-36</v>
      </c>
    </row>
    <row r="31">
      <c r="B31" t="inlineStr">
        <is>
          <t>Other financing items</t>
        </is>
      </c>
      <c r="C31" t="n">
        <v>-62</v>
      </c>
      <c r="D31" t="n">
        <v>-154</v>
      </c>
      <c r="E31" s="73" t="n">
        <v>-215</v>
      </c>
      <c r="F31" s="73" t="n">
        <v>-461</v>
      </c>
      <c r="G31" s="73" t="n">
        <v>-497</v>
      </c>
      <c r="H31" s="73" t="n">
        <v>-497</v>
      </c>
      <c r="I31" t="n">
        <v>0</v>
      </c>
      <c r="J31" t="n">
        <v>0</v>
      </c>
      <c r="K31" t="n">
        <v>0</v>
      </c>
      <c r="L31" t="n">
        <v>0</v>
      </c>
      <c r="M31" t="n">
        <v>0</v>
      </c>
      <c r="N31" t="n">
        <v>0</v>
      </c>
    </row>
    <row r="32">
      <c r="B32" t="inlineStr">
        <is>
          <t>Net Cash Flow</t>
        </is>
      </c>
      <c r="C32" t="n">
        <v>-45</v>
      </c>
      <c r="D32" t="n">
        <v>16</v>
      </c>
      <c r="E32" t="n">
        <v>-20</v>
      </c>
      <c r="F32" t="n">
        <v>50</v>
      </c>
      <c r="G32" t="n">
        <v>113</v>
      </c>
      <c r="H32" t="n">
        <v>-165</v>
      </c>
      <c r="I32" t="n">
        <v>20</v>
      </c>
      <c r="J32" t="n">
        <v>-6</v>
      </c>
      <c r="K32" t="n">
        <v>780</v>
      </c>
      <c r="L32" t="n">
        <v>874</v>
      </c>
      <c r="M32" t="n">
        <v>-2475</v>
      </c>
      <c r="N32" t="n">
        <v>-118</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5">
        <f>'Data Sheet'!L75</f>
        <v/>
      </c>
      <c r="N60" s="195">
        <f>'Data Sheet'!M75</f>
        <v/>
      </c>
      <c r="O60" s="195">
        <f>'Data Sheet'!N75</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t="inlineStr">
        <is>
          <t>Nifty 50 Daily Returns</t>
        </is>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SLOPE(D10:D256, H10:H256)</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_xlfn.COVARIANCE.S(D10:D256, H10:H256)/_xlfn.VAR.S(H10:H256)</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t="n">
        <v>0.3</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'Data Sheet'!K59</f>
        <v/>
      </c>
      <c r="D34" s="36">
        <f>C34/C$36</f>
        <v/>
      </c>
      <c r="E34" s="46">
        <f>I20</f>
        <v/>
      </c>
      <c r="G34" t="inlineStr">
        <is>
          <t>Target Debt/Equity</t>
        </is>
      </c>
      <c r="K34" s="46">
        <f>E38</f>
        <v/>
      </c>
    </row>
    <row r="35">
      <c r="B35" t="inlineStr">
        <is>
          <t>Market Capitalization</t>
        </is>
      </c>
      <c r="C35" s="107">
        <f>'Data Sheet'!K61</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74"/>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76" thickBot="1"/>
    <row r="40" ht="15" customHeight="1" s="176"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80" t="inlineStr">
        <is>
          <t>-</t>
        </is>
      </c>
      <c r="I51" s="107">
        <f>SUM(I44:I45)</f>
        <v/>
      </c>
      <c r="J51" s="107">
        <f>SUM(J44:J45)</f>
        <v/>
      </c>
      <c r="K51" s="107">
        <f>SUM(K44:K45)</f>
        <v/>
      </c>
      <c r="L51" s="107">
        <f>SUM(L44:L45)</f>
        <v/>
      </c>
    </row>
    <row r="52" ht="15" customHeight="1" s="176"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row r="67">
      <c r="B67" t="inlineStr">
        <is>
          <t>Normalized ROIC (Sustainable)</t>
        </is>
      </c>
      <c r="L67" s="46">
        <f>IFERROR(MEDIAN(I40:L40), 0.12)</f>
        <v/>
      </c>
    </row>
    <row r="68">
      <c r="B68" t="inlineStr">
        <is>
          <t>Expected Growth Rate</t>
        </is>
      </c>
      <c r="L68" s="46" t="n">
        <v>0.05</v>
      </c>
    </row>
    <row r="69">
      <c r="B69" t="inlineStr">
        <is>
          <t>Fundamental Reinvestment Rate</t>
        </is>
      </c>
      <c r="L69" s="46">
        <f>IF(L67&lt;=0, L55, L68/L67)</f>
        <v/>
      </c>
    </row>
    <row r="70">
      <c r="B70" t="inlineStr">
        <is>
          <t>Sustainable Terminal ROIC</t>
        </is>
      </c>
      <c r="L70" s="46">
        <f>MIN(0.18, MAX(0.06, 0.5*L67 + 0.5*DCF!D20))</f>
        <v/>
      </c>
    </row>
    <row r="71">
      <c r="B71" t="inlineStr">
        <is>
          <t>Terminal Reinvestment Rate</t>
        </is>
      </c>
      <c r="L71" s="46">
        <f>DCF!D19/L70</f>
        <v/>
      </c>
    </row>
    <row r="72">
      <c r="B72" t="inlineStr">
        <is>
          <t>Growth-ROIC Consistency Check</t>
        </is>
      </c>
      <c r="L72">
        <f>IF(ABS(L69*L67 - L68) &lt;= 0.005, "PASS", "WARNING")</f>
        <v/>
      </c>
    </row>
    <row r="73">
      <c r="B73" t="inlineStr">
        <is>
          <t>Growth Source</t>
        </is>
      </c>
      <c r="L73" t="inlineStr">
        <is>
          <t>Fundamental Estimate</t>
        </is>
      </c>
    </row>
    <row r="74">
      <c r="B74" t="inlineStr">
        <is>
          <t>Reinvestment Confidence</t>
        </is>
      </c>
      <c r="L74" t="inlineStr">
        <is>
          <t>HIGH</t>
        </is>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45"/>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76"/>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Valuation'!$L$69</f>
        <v/>
      </c>
      <c r="I11" s="81">
        <f>'Intrinsic Valuation'!$L$69</f>
        <v/>
      </c>
      <c r="J11" s="81">
        <f>$I$11+($M$11-$I$11)/4*1</f>
        <v/>
      </c>
      <c r="K11" s="81">
        <f>$I$11+($M$11-$I$11)/4*2</f>
        <v/>
      </c>
      <c r="L11" s="81">
        <f>$I$11+($M$11-$I$11)/4*3</f>
        <v/>
      </c>
      <c r="M11" s="81">
        <f>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Valuation'!$L$68</f>
        <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'Intrinsic Valuation'!$L$71</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76" thickBot="1">
      <c r="B42" s="127" t="inlineStr">
        <is>
          <t>Equity Value per Share</t>
        </is>
      </c>
      <c r="C42" s="127" t="n"/>
      <c r="D42" s="128">
        <f>D39/D40</f>
        <v/>
      </c>
    </row>
    <row r="44">
      <c r="B44" t="inlineStr">
        <is>
          <t>Share Price</t>
        </is>
      </c>
      <c r="D44" s="107" t="n">
        <v>12103</v>
      </c>
    </row>
    <row r="45">
      <c r="B45" t="inlineStr">
        <is>
          <t>Margin of Safety / (Discount)</t>
        </is>
      </c>
      <c r="D45" s="202">
        <f>(D42-D44)/D44</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n">
        <v>46283</v>
      </c>
      <c r="H6" t="n">
        <v>12103</v>
      </c>
      <c r="J6" t="n">
        <v>23346.4</v>
      </c>
    </row>
    <row r="7">
      <c r="B7" t="n">
        <v>2024</v>
      </c>
      <c r="C7" s="46" t="n">
        <v>0.08749999999999999</v>
      </c>
      <c r="G7" s="34" t="n">
        <v>46282</v>
      </c>
      <c r="H7" t="n">
        <v>12338</v>
      </c>
      <c r="J7" t="n">
        <v>23270.6</v>
      </c>
    </row>
    <row r="8">
      <c r="B8" t="n">
        <v>2023</v>
      </c>
      <c r="C8" s="46" t="n">
        <v>0.1942</v>
      </c>
      <c r="G8" s="34" t="n">
        <v>46281</v>
      </c>
      <c r="H8" t="n">
        <v>12166</v>
      </c>
      <c r="J8" t="n">
        <v>23217.6</v>
      </c>
    </row>
    <row r="9">
      <c r="B9" t="n">
        <v>2022</v>
      </c>
      <c r="C9" s="46" t="n">
        <v>0.0432</v>
      </c>
      <c r="G9" s="34" t="n">
        <v>46280</v>
      </c>
      <c r="H9" t="n">
        <v>12231</v>
      </c>
      <c r="J9" t="n">
        <v>23118.6</v>
      </c>
    </row>
    <row r="10">
      <c r="B10" t="n">
        <v>2021</v>
      </c>
      <c r="C10" s="46" t="n">
        <v>0.2412</v>
      </c>
      <c r="G10" s="34" t="n">
        <v>46276</v>
      </c>
      <c r="H10" t="n">
        <v>12400</v>
      </c>
      <c r="J10" t="n">
        <v>23398.1</v>
      </c>
    </row>
    <row r="11">
      <c r="B11" t="n">
        <v>2020</v>
      </c>
      <c r="C11" s="46" t="n">
        <v>0.149</v>
      </c>
      <c r="G11" s="34" t="n">
        <v>46275</v>
      </c>
      <c r="H11" t="n">
        <v>12590</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46274</v>
      </c>
      <c r="H12" t="n">
        <v>12618</v>
      </c>
      <c r="J12" t="n">
        <v>23431.5</v>
      </c>
      <c r="N12" t="n">
        <v>1</v>
      </c>
      <c r="O12" t="inlineStr">
        <is>
          <t>Maruti Suzuki</t>
        </is>
      </c>
      <c r="P12" t="n">
        <v>12103</v>
      </c>
      <c r="Q12" t="n">
        <v>31.44</v>
      </c>
      <c r="R12" t="n">
        <v>380521.44</v>
      </c>
      <c r="S12" t="n">
        <v>95130.36</v>
      </c>
      <c r="T12" t="n">
        <v>19026.07</v>
      </c>
      <c r="U12" t="n">
        <v>456625.73</v>
      </c>
      <c r="V12" t="n">
        <v>66052</v>
      </c>
      <c r="W12" t="n">
        <v>30.61</v>
      </c>
      <c r="X12" t="n">
        <v>14971</v>
      </c>
    </row>
    <row r="13">
      <c r="B13" t="n">
        <v>2018</v>
      </c>
      <c r="C13" s="46" t="n">
        <v>0.0315</v>
      </c>
      <c r="G13" s="34" t="n">
        <v>46273</v>
      </c>
      <c r="H13" t="n">
        <v>12641</v>
      </c>
      <c r="J13" t="n">
        <v>23635.1</v>
      </c>
      <c r="N13" t="n">
        <v>2</v>
      </c>
      <c r="O13" t="inlineStr">
        <is>
          <t>M &amp; M</t>
        </is>
      </c>
      <c r="P13" t="n">
        <v>3052</v>
      </c>
      <c r="Q13" t="n">
        <v>124.35</v>
      </c>
      <c r="R13" t="n">
        <v>379525</v>
      </c>
      <c r="S13" t="n">
        <v>94881.25</v>
      </c>
      <c r="T13" t="n">
        <v>18976.25</v>
      </c>
      <c r="U13" t="n">
        <v>455430</v>
      </c>
      <c r="V13" t="n">
        <v>76487.98</v>
      </c>
      <c r="W13" t="n">
        <v>12.44</v>
      </c>
      <c r="X13" t="n">
        <v>20183.53</v>
      </c>
    </row>
    <row r="14">
      <c r="B14" t="n">
        <v>2017</v>
      </c>
      <c r="C14" s="46" t="n">
        <v>0.2865</v>
      </c>
      <c r="G14" s="34" t="n">
        <v>46272</v>
      </c>
      <c r="H14" t="n">
        <v>12760</v>
      </c>
      <c r="J14" t="n">
        <v>23779.15</v>
      </c>
      <c r="N14" t="n">
        <v>3</v>
      </c>
      <c r="O14" t="inlineStr">
        <is>
          <t>Bajaj Auto</t>
        </is>
      </c>
      <c r="P14" t="n">
        <v>11414</v>
      </c>
      <c r="Q14" t="n">
        <v>27.48</v>
      </c>
      <c r="R14" t="n">
        <v>313661.1</v>
      </c>
      <c r="S14" t="n">
        <v>78415.27</v>
      </c>
      <c r="T14" t="n">
        <v>15683.06</v>
      </c>
      <c r="U14" t="n">
        <v>376393.31</v>
      </c>
      <c r="V14" t="n">
        <v>4400.19</v>
      </c>
      <c r="W14" t="n">
        <v>20.53</v>
      </c>
      <c r="X14" t="n">
        <v>158.3</v>
      </c>
    </row>
    <row r="15">
      <c r="B15" t="n">
        <v>2016</v>
      </c>
      <c r="C15" s="46" t="n">
        <v>0.0301</v>
      </c>
      <c r="G15" s="34" t="n">
        <v>46269</v>
      </c>
      <c r="H15" t="n">
        <v>12694</v>
      </c>
      <c r="J15" t="n">
        <v>23897.7</v>
      </c>
      <c r="N15" t="n">
        <v>4</v>
      </c>
      <c r="O15" t="inlineStr">
        <is>
          <t>Eicher Motors</t>
        </is>
      </c>
      <c r="P15" t="n">
        <v>7516</v>
      </c>
      <c r="Q15" t="n">
        <v>27.45</v>
      </c>
      <c r="R15" t="n">
        <v>206330.52</v>
      </c>
      <c r="S15" t="n">
        <v>51582.63</v>
      </c>
      <c r="T15" t="n">
        <v>10316.53</v>
      </c>
      <c r="U15" t="n">
        <v>247596.62</v>
      </c>
      <c r="V15" t="n">
        <v>2012.58</v>
      </c>
      <c r="W15" t="n">
        <v>12.74</v>
      </c>
      <c r="X15" t="n">
        <v>0.22</v>
      </c>
    </row>
    <row r="16">
      <c r="B16" t="n">
        <v>2015</v>
      </c>
      <c r="C16" s="46" t="n">
        <v>-0.0406</v>
      </c>
      <c r="G16" s="34" t="n">
        <v>46268</v>
      </c>
      <c r="H16" t="n">
        <v>12857</v>
      </c>
      <c r="J16" t="n">
        <v>23873.45</v>
      </c>
      <c r="N16" t="n">
        <v>5</v>
      </c>
      <c r="O16" t="inlineStr">
        <is>
          <t>TVS Motor Co.</t>
        </is>
      </c>
      <c r="P16" t="n">
        <v>4171.3</v>
      </c>
      <c r="Q16" t="n">
        <v>47.51</v>
      </c>
      <c r="R16" t="n">
        <v>198173.09</v>
      </c>
      <c r="S16" t="n">
        <v>49543.27</v>
      </c>
      <c r="T16" t="n">
        <v>9908.65</v>
      </c>
      <c r="U16" t="n">
        <v>237807.71</v>
      </c>
      <c r="V16" t="n">
        <v>238.77</v>
      </c>
      <c r="W16" t="n">
        <v>13.43</v>
      </c>
      <c r="X16" t="n">
        <v>8.51</v>
      </c>
    </row>
    <row r="17">
      <c r="B17" t="n">
        <v>2014</v>
      </c>
      <c r="C17" s="46" t="n">
        <v>0.3139</v>
      </c>
      <c r="G17" s="34" t="n">
        <v>46267</v>
      </c>
      <c r="H17" t="n">
        <v>12849</v>
      </c>
      <c r="J17" t="n">
        <v>23914.45</v>
      </c>
      <c r="N17" t="n">
        <v>6</v>
      </c>
      <c r="O17" t="inlineStr">
        <is>
          <t>Hyundai Motor I</t>
        </is>
      </c>
      <c r="P17" t="n">
        <v>2208.8</v>
      </c>
      <c r="Q17" t="n">
        <v>81.25</v>
      </c>
      <c r="R17" t="n">
        <v>179474.08</v>
      </c>
      <c r="S17" t="n">
        <v>44868.52</v>
      </c>
      <c r="T17" t="n">
        <v>8973.700000000001</v>
      </c>
      <c r="U17" t="n">
        <v>215368.9</v>
      </c>
    </row>
    <row r="18">
      <c r="B18" t="n">
        <v>2013</v>
      </c>
      <c r="C18" s="46" t="n">
        <v>0.06759999999999999</v>
      </c>
      <c r="G18" s="34" t="n">
        <v>46266</v>
      </c>
      <c r="H18" t="n">
        <v>12950</v>
      </c>
      <c r="J18" t="n">
        <v>24055.8</v>
      </c>
      <c r="N18" t="n">
        <v>7</v>
      </c>
      <c r="O18" t="inlineStr">
        <is>
          <t>Samvardh. Mothe.</t>
        </is>
      </c>
      <c r="P18" t="n">
        <v>162.57</v>
      </c>
      <c r="Q18" t="n">
        <v>1055.44</v>
      </c>
      <c r="R18" t="n">
        <v>171583.57</v>
      </c>
      <c r="S18" t="n">
        <v>42895.89</v>
      </c>
      <c r="T18" t="n">
        <v>8579.18</v>
      </c>
      <c r="U18" t="n">
        <v>205900.28</v>
      </c>
    </row>
    <row r="19">
      <c r="B19" t="n">
        <v>2012</v>
      </c>
      <c r="C19" s="46" t="n">
        <v>0.277</v>
      </c>
      <c r="G19" s="34" t="n">
        <v>46265</v>
      </c>
      <c r="H19" t="n">
        <v>13547</v>
      </c>
      <c r="J19" t="n">
        <v>24080.4</v>
      </c>
      <c r="N19" t="n">
        <v>8</v>
      </c>
      <c r="O19" t="inlineStr">
        <is>
          <t>Bosch</t>
        </is>
      </c>
      <c r="P19" t="n">
        <v>47000</v>
      </c>
      <c r="Q19" t="n">
        <v>2.95</v>
      </c>
      <c r="R19" t="n">
        <v>138631.67</v>
      </c>
      <c r="S19" t="n">
        <v>34657.92</v>
      </c>
      <c r="T19" t="n">
        <v>6931.58</v>
      </c>
      <c r="U19" t="n">
        <v>166358.01</v>
      </c>
    </row>
    <row r="20">
      <c r="B20" t="n">
        <v>2011</v>
      </c>
      <c r="C20" s="46" t="n">
        <v>-0.2462</v>
      </c>
      <c r="G20" s="34" t="n">
        <v>46262</v>
      </c>
      <c r="H20" t="n">
        <v>13376</v>
      </c>
      <c r="J20" t="n">
        <v>24175.65</v>
      </c>
      <c r="N20" t="n">
        <v>9</v>
      </c>
      <c r="O20" t="inlineStr">
        <is>
          <t>Tata Motors PVeh</t>
        </is>
      </c>
      <c r="P20" t="n">
        <v>303.8</v>
      </c>
      <c r="Q20" t="n">
        <v>368.29</v>
      </c>
      <c r="R20" t="n">
        <v>111886.25</v>
      </c>
      <c r="S20" t="n">
        <v>27971.56</v>
      </c>
      <c r="T20" t="n">
        <v>5594.31</v>
      </c>
      <c r="U20" t="n">
        <v>134263.5</v>
      </c>
    </row>
    <row r="21">
      <c r="B21" t="n">
        <v>2010</v>
      </c>
      <c r="C21" s="46" t="n">
        <v>0.1795</v>
      </c>
      <c r="G21" s="34" t="n">
        <v>46261</v>
      </c>
      <c r="H21" t="n">
        <v>13440</v>
      </c>
      <c r="J21" t="n">
        <v>24090.85</v>
      </c>
      <c r="N21" t="n">
        <v>10</v>
      </c>
      <c r="O21" t="inlineStr">
        <is>
          <t>Hero Motocorp</t>
        </is>
      </c>
      <c r="P21" t="n">
        <v>5285.5</v>
      </c>
      <c r="Q21" t="n">
        <v>20.01</v>
      </c>
      <c r="R21" t="n">
        <v>105784.63</v>
      </c>
      <c r="S21" t="n">
        <v>26446.16</v>
      </c>
      <c r="T21" t="n">
        <v>5289.23</v>
      </c>
      <c r="U21" t="n">
        <v>126941.56</v>
      </c>
    </row>
    <row r="22">
      <c r="B22" t="n">
        <v>2009</v>
      </c>
      <c r="C22" s="46" t="n">
        <v>0.7576000000000001</v>
      </c>
      <c r="G22" s="34" t="n">
        <v>46260</v>
      </c>
      <c r="H22" t="n">
        <v>13520</v>
      </c>
      <c r="J22" t="n">
        <v>24207.75</v>
      </c>
    </row>
    <row r="23">
      <c r="B23" t="n">
        <v>2008</v>
      </c>
      <c r="C23" s="46" t="n">
        <v>-0.5179</v>
      </c>
      <c r="G23" s="34" t="n">
        <v>46259</v>
      </c>
      <c r="H23" t="n">
        <v>13678</v>
      </c>
      <c r="J23" t="n">
        <v>24334.55</v>
      </c>
    </row>
    <row r="24">
      <c r="B24" t="n">
        <v>2007</v>
      </c>
      <c r="C24" s="46" t="n">
        <v>0.5477</v>
      </c>
      <c r="G24" s="34" t="n">
        <v>46258</v>
      </c>
      <c r="H24" t="n">
        <v>13620</v>
      </c>
      <c r="J24" t="n">
        <v>24219.05</v>
      </c>
      <c r="O24" t="inlineStr">
        <is>
          <t>M &amp; M</t>
        </is>
      </c>
      <c r="Q24" t="inlineStr">
        <is>
          <t>India</t>
        </is>
      </c>
      <c r="R24" t="n">
        <v>94881.2</v>
      </c>
      <c r="S24" t="n">
        <v>379525</v>
      </c>
      <c r="T24" s="46" t="n">
        <v>0.3</v>
      </c>
    </row>
    <row r="25">
      <c r="B25" t="n">
        <v>2006</v>
      </c>
      <c r="C25" s="46" t="n">
        <v>0.3983</v>
      </c>
      <c r="G25" s="34" t="n">
        <v>46255</v>
      </c>
      <c r="H25" t="n">
        <v>13565</v>
      </c>
      <c r="J25" t="n">
        <v>24252</v>
      </c>
      <c r="O25" t="inlineStr">
        <is>
          <t>Maruti Suzuki India Ltd</t>
        </is>
      </c>
      <c r="Q25">
        <f>Q24</f>
        <v/>
      </c>
      <c r="R25" t="n">
        <v>102</v>
      </c>
      <c r="S25" t="n">
        <v>380521</v>
      </c>
      <c r="T25" s="46">
        <f>T24</f>
        <v/>
      </c>
    </row>
    <row r="26">
      <c r="B26" t="n">
        <v>2005</v>
      </c>
      <c r="C26" s="46" t="n">
        <v>0.3634</v>
      </c>
      <c r="G26" s="34" t="n">
        <v>46254</v>
      </c>
      <c r="H26" t="n">
        <v>13809</v>
      </c>
      <c r="J26" t="n">
        <v>24231.85</v>
      </c>
      <c r="O26" t="inlineStr">
        <is>
          <t>Bajaj Auto</t>
        </is>
      </c>
      <c r="Q26">
        <f>Q25</f>
        <v/>
      </c>
      <c r="R26" t="n">
        <v>78415.3</v>
      </c>
      <c r="S26" t="n">
        <v>313661.1</v>
      </c>
      <c r="T26" s="46">
        <f>T25</f>
        <v/>
      </c>
    </row>
    <row r="27">
      <c r="B27" t="n">
        <v>2004</v>
      </c>
      <c r="C27" s="46" t="n">
        <v>0.1068</v>
      </c>
      <c r="G27" s="34" t="n">
        <v>46253</v>
      </c>
      <c r="H27" t="n">
        <v>13690</v>
      </c>
      <c r="J27" t="n">
        <v>24078.3</v>
      </c>
      <c r="O27" t="inlineStr">
        <is>
          <t>Eicher Motors</t>
        </is>
      </c>
      <c r="Q27">
        <f>Q26</f>
        <v/>
      </c>
      <c r="R27" t="n">
        <v>51582.6</v>
      </c>
      <c r="S27" t="n">
        <v>206330.52</v>
      </c>
      <c r="T27" s="46">
        <f>T26</f>
        <v/>
      </c>
    </row>
    <row r="28">
      <c r="B28" t="n">
        <v>2003</v>
      </c>
      <c r="C28" s="46" t="n">
        <v>0.719</v>
      </c>
      <c r="G28" s="34" t="n">
        <v>46252</v>
      </c>
      <c r="H28" t="n">
        <v>13691</v>
      </c>
      <c r="J28" t="n">
        <v>24154.9</v>
      </c>
      <c r="O28" t="inlineStr">
        <is>
          <t>TVS Motor Co.</t>
        </is>
      </c>
      <c r="Q28">
        <f>Q27</f>
        <v/>
      </c>
      <c r="R28" t="n">
        <v>49543.3</v>
      </c>
      <c r="S28" t="n">
        <v>198173.09</v>
      </c>
      <c r="T28" s="46">
        <f>T27</f>
        <v/>
      </c>
    </row>
    <row r="29">
      <c r="B29" t="n">
        <v>2002</v>
      </c>
      <c r="C29" s="46" t="n">
        <v>0.0325</v>
      </c>
      <c r="G29" s="34" t="n">
        <v>46251</v>
      </c>
      <c r="H29" t="n">
        <v>13760</v>
      </c>
      <c r="J29" t="n">
        <v>24287.65</v>
      </c>
    </row>
    <row r="30">
      <c r="G30" s="34" t="n">
        <v>46248</v>
      </c>
      <c r="H30" t="n">
        <v>13834</v>
      </c>
      <c r="J30" t="n">
        <v>24366</v>
      </c>
    </row>
    <row r="31">
      <c r="G31" s="34" t="n">
        <v>46247</v>
      </c>
      <c r="H31" t="n">
        <v>13905</v>
      </c>
      <c r="J31" t="n">
        <v>24395.85</v>
      </c>
    </row>
    <row r="32">
      <c r="G32" s="34" t="n">
        <v>46246</v>
      </c>
      <c r="H32" t="n">
        <v>13875</v>
      </c>
      <c r="J32" t="n">
        <v>24435.95</v>
      </c>
    </row>
    <row r="33">
      <c r="G33" s="34" t="n">
        <v>46245</v>
      </c>
      <c r="H33" t="n">
        <v>13990</v>
      </c>
      <c r="J33" t="n">
        <v>24471.7</v>
      </c>
    </row>
    <row r="34">
      <c r="G34" s="34" t="n">
        <v>46244</v>
      </c>
      <c r="H34" t="n">
        <v>14097</v>
      </c>
      <c r="J34" t="n">
        <v>24583.8</v>
      </c>
    </row>
    <row r="35">
      <c r="G35" s="34" t="n">
        <v>46241</v>
      </c>
      <c r="H35" t="n">
        <v>14037</v>
      </c>
      <c r="J35" t="n">
        <v>24570.65</v>
      </c>
    </row>
    <row r="36">
      <c r="G36" s="34" t="n">
        <v>46240</v>
      </c>
      <c r="H36" t="n">
        <v>14080</v>
      </c>
      <c r="J36" t="n">
        <v>24636</v>
      </c>
    </row>
    <row r="37">
      <c r="G37" s="34" t="n">
        <v>46239</v>
      </c>
      <c r="H37" t="n">
        <v>14190</v>
      </c>
      <c r="J37" t="n">
        <v>24624.65</v>
      </c>
    </row>
    <row r="38">
      <c r="G38" s="34" t="n">
        <v>46238</v>
      </c>
      <c r="H38" t="n">
        <v>14168</v>
      </c>
      <c r="J38" t="n">
        <v>24614.9</v>
      </c>
    </row>
    <row r="39">
      <c r="G39" s="34" t="n">
        <v>46237</v>
      </c>
      <c r="H39" t="n">
        <v>14150</v>
      </c>
      <c r="J39" t="n">
        <v>24774.3</v>
      </c>
    </row>
    <row r="40">
      <c r="G40" s="34" t="n">
        <v>46234</v>
      </c>
      <c r="H40" t="n">
        <v>14234</v>
      </c>
      <c r="J40" t="n">
        <v>24383.6</v>
      </c>
    </row>
    <row r="41">
      <c r="G41" s="34" t="n">
        <v>46233</v>
      </c>
      <c r="H41" t="n">
        <v>14188</v>
      </c>
      <c r="J41" t="n">
        <v>24317.15</v>
      </c>
    </row>
    <row r="42">
      <c r="G42" s="34" t="n">
        <v>46232</v>
      </c>
      <c r="H42" t="n">
        <v>13948</v>
      </c>
      <c r="J42" t="n">
        <v>24250.2</v>
      </c>
    </row>
    <row r="43">
      <c r="G43" s="34" t="n">
        <v>46231</v>
      </c>
      <c r="H43" t="n">
        <v>13802</v>
      </c>
      <c r="J43" t="n">
        <v>23985.35</v>
      </c>
    </row>
    <row r="44">
      <c r="G44" s="34" t="n">
        <v>46230</v>
      </c>
      <c r="H44" t="n">
        <v>13730</v>
      </c>
      <c r="J44" t="n">
        <v>23995.95</v>
      </c>
    </row>
    <row r="45">
      <c r="G45" s="34" t="n">
        <v>46227</v>
      </c>
      <c r="H45" t="n">
        <v>13442</v>
      </c>
      <c r="J45" t="n">
        <v>23767.45</v>
      </c>
    </row>
    <row r="46">
      <c r="G46" s="34" t="n">
        <v>46226</v>
      </c>
      <c r="H46" t="n">
        <v>13403</v>
      </c>
      <c r="J46" t="n">
        <v>23869.6</v>
      </c>
    </row>
    <row r="47">
      <c r="G47" s="34" t="n">
        <v>46225</v>
      </c>
      <c r="H47" t="n">
        <v>13545</v>
      </c>
      <c r="J47" t="n">
        <v>23996.25</v>
      </c>
    </row>
    <row r="48">
      <c r="G48" s="34" t="n">
        <v>46224</v>
      </c>
      <c r="H48" t="n">
        <v>13597</v>
      </c>
      <c r="J48" t="n">
        <v>24187.7</v>
      </c>
    </row>
    <row r="49">
      <c r="G49" s="34" t="n">
        <v>46223</v>
      </c>
      <c r="H49" t="n">
        <v>13514</v>
      </c>
      <c r="J49" t="n">
        <v>24238.5</v>
      </c>
    </row>
    <row r="50">
      <c r="G50" s="34" t="n">
        <v>46220</v>
      </c>
      <c r="H50" t="n">
        <v>13803</v>
      </c>
      <c r="J50" t="n">
        <v>24334.3</v>
      </c>
    </row>
    <row r="51">
      <c r="G51" s="34" t="n">
        <v>46219</v>
      </c>
      <c r="H51" t="n">
        <v>13783</v>
      </c>
      <c r="J51" t="n">
        <v>24072.75</v>
      </c>
    </row>
    <row r="52">
      <c r="G52" s="34" t="n">
        <v>46218</v>
      </c>
      <c r="H52" t="n">
        <v>13583</v>
      </c>
      <c r="J52" t="n">
        <v>24078.5</v>
      </c>
    </row>
    <row r="53">
      <c r="G53" s="34" t="n">
        <v>46217</v>
      </c>
      <c r="H53" t="n">
        <v>13489</v>
      </c>
      <c r="J53" t="n">
        <v>24052.05</v>
      </c>
    </row>
    <row r="54">
      <c r="G54" s="34" t="n">
        <v>46216</v>
      </c>
      <c r="H54" t="n">
        <v>13695</v>
      </c>
      <c r="J54" t="n">
        <v>24211</v>
      </c>
    </row>
    <row r="55">
      <c r="G55" s="34" t="n">
        <v>46213</v>
      </c>
      <c r="H55" t="n">
        <v>13854</v>
      </c>
      <c r="J55" t="n">
        <v>24206.9</v>
      </c>
    </row>
    <row r="56">
      <c r="G56" s="34" t="n">
        <v>46212</v>
      </c>
      <c r="H56" t="n">
        <v>13728</v>
      </c>
      <c r="J56" t="n">
        <v>23962.8</v>
      </c>
    </row>
    <row r="57">
      <c r="G57" s="34" t="n">
        <v>46211</v>
      </c>
      <c r="H57" t="n">
        <v>13951</v>
      </c>
      <c r="J57" t="n">
        <v>23882.05</v>
      </c>
    </row>
    <row r="58">
      <c r="G58" s="34" t="n">
        <v>46210</v>
      </c>
      <c r="H58" t="n">
        <v>14538</v>
      </c>
      <c r="J58" t="n">
        <v>24398.7</v>
      </c>
    </row>
    <row r="59">
      <c r="G59" s="34" t="n">
        <v>46209</v>
      </c>
      <c r="H59" t="n">
        <v>14456</v>
      </c>
      <c r="J59" t="n">
        <v>24430.35</v>
      </c>
    </row>
    <row r="60">
      <c r="G60" s="34" t="n">
        <v>46206</v>
      </c>
      <c r="H60" t="n">
        <v>14366</v>
      </c>
      <c r="J60" t="n">
        <v>24270.85</v>
      </c>
    </row>
    <row r="61">
      <c r="G61" s="34" t="n">
        <v>46205</v>
      </c>
      <c r="H61" t="n">
        <v>14348</v>
      </c>
      <c r="J61" t="n">
        <v>24175.7</v>
      </c>
    </row>
    <row r="62">
      <c r="G62" s="34" t="n">
        <v>46204</v>
      </c>
      <c r="H62" t="n">
        <v>14395</v>
      </c>
      <c r="J62" t="n">
        <v>24005.85</v>
      </c>
    </row>
    <row r="63">
      <c r="G63" s="34" t="n">
        <v>46203</v>
      </c>
      <c r="H63" t="n">
        <v>14115</v>
      </c>
      <c r="J63" t="n">
        <v>23865.75</v>
      </c>
    </row>
    <row r="64">
      <c r="G64" s="34" t="n">
        <v>46202</v>
      </c>
      <c r="H64" t="n">
        <v>13412</v>
      </c>
      <c r="J64" t="n">
        <v>23946.25</v>
      </c>
    </row>
    <row r="65">
      <c r="G65" s="34" t="n">
        <v>46198</v>
      </c>
      <c r="H65" t="n">
        <v>13745</v>
      </c>
      <c r="J65" t="n">
        <v>24056</v>
      </c>
    </row>
    <row r="66">
      <c r="G66" s="34" t="n">
        <v>46197</v>
      </c>
      <c r="H66" t="n">
        <v>13248</v>
      </c>
      <c r="J66" t="n">
        <v>24021.65</v>
      </c>
    </row>
    <row r="67">
      <c r="G67" s="34" t="n">
        <v>46196</v>
      </c>
      <c r="H67" t="n">
        <v>13451</v>
      </c>
      <c r="J67" t="n">
        <v>23824.1</v>
      </c>
    </row>
    <row r="68">
      <c r="G68" s="34" t="n">
        <v>46195</v>
      </c>
      <c r="H68" t="n">
        <v>13421</v>
      </c>
      <c r="J68" t="n">
        <v>24102.9</v>
      </c>
    </row>
    <row r="69">
      <c r="G69" s="34" t="n">
        <v>46192</v>
      </c>
      <c r="H69" t="n">
        <v>13395</v>
      </c>
      <c r="J69" t="n">
        <v>24013.1</v>
      </c>
    </row>
    <row r="70">
      <c r="G70" s="34" t="n">
        <v>46191</v>
      </c>
      <c r="H70" t="n">
        <v>13484</v>
      </c>
      <c r="J70" t="n">
        <v>24168</v>
      </c>
    </row>
    <row r="71">
      <c r="G71" s="34" t="n">
        <v>46190</v>
      </c>
      <c r="H71" t="n">
        <v>13630</v>
      </c>
      <c r="J71" t="n">
        <v>24085.7</v>
      </c>
    </row>
    <row r="72">
      <c r="G72" s="34" t="n">
        <v>46189</v>
      </c>
      <c r="H72" t="n">
        <v>13691</v>
      </c>
      <c r="J72" t="n">
        <v>23989.15</v>
      </c>
    </row>
    <row r="73">
      <c r="G73" s="34" t="n">
        <v>46188</v>
      </c>
      <c r="H73" t="n">
        <v>13805</v>
      </c>
      <c r="J73" t="n">
        <v>23853.9</v>
      </c>
    </row>
    <row r="74">
      <c r="G74" s="34" t="n">
        <v>46185</v>
      </c>
      <c r="H74" t="n">
        <v>13366</v>
      </c>
      <c r="J74" t="n">
        <v>23622.9</v>
      </c>
    </row>
    <row r="75">
      <c r="G75" s="34" t="n">
        <v>46184</v>
      </c>
      <c r="H75" t="n">
        <v>13098</v>
      </c>
      <c r="J75" t="n">
        <v>23161.6</v>
      </c>
    </row>
    <row r="76">
      <c r="G76" s="34" t="n">
        <v>46183</v>
      </c>
      <c r="H76" t="n">
        <v>13073</v>
      </c>
      <c r="J76" t="n">
        <v>23214.95</v>
      </c>
    </row>
    <row r="77">
      <c r="G77" s="34" t="n">
        <v>46182</v>
      </c>
      <c r="H77" t="n">
        <v>13120</v>
      </c>
      <c r="J77" t="n">
        <v>23242.1</v>
      </c>
    </row>
    <row r="78">
      <c r="G78" s="34" t="n">
        <v>46181</v>
      </c>
      <c r="H78" t="n">
        <v>12912</v>
      </c>
      <c r="J78" t="n">
        <v>23123</v>
      </c>
    </row>
    <row r="79">
      <c r="G79" s="34" t="n">
        <v>46178</v>
      </c>
      <c r="H79" t="n">
        <v>13050</v>
      </c>
      <c r="J79" t="n">
        <v>23366.7</v>
      </c>
    </row>
    <row r="80">
      <c r="G80" s="34" t="n">
        <v>46177</v>
      </c>
      <c r="H80" t="n">
        <v>13064</v>
      </c>
      <c r="J80" t="n">
        <v>23416.55</v>
      </c>
    </row>
    <row r="81">
      <c r="G81" s="34" t="n">
        <v>46176</v>
      </c>
      <c r="H81" t="n">
        <v>13044</v>
      </c>
      <c r="J81" t="n">
        <v>23405.6</v>
      </c>
    </row>
    <row r="82">
      <c r="G82" s="34" t="n">
        <v>46175</v>
      </c>
      <c r="H82" t="n">
        <v>13022</v>
      </c>
      <c r="J82" t="n">
        <v>23483.55</v>
      </c>
    </row>
    <row r="83">
      <c r="G83" s="34" t="n">
        <v>46174</v>
      </c>
      <c r="H83" t="n">
        <v>12946</v>
      </c>
      <c r="J83" t="n">
        <v>23382.6</v>
      </c>
    </row>
    <row r="84">
      <c r="G84" s="34" t="n">
        <v>46171</v>
      </c>
      <c r="H84" t="n">
        <v>13127</v>
      </c>
      <c r="J84" t="n">
        <v>23547.75</v>
      </c>
    </row>
    <row r="85">
      <c r="G85" s="34" t="n">
        <v>46169</v>
      </c>
      <c r="H85" t="n">
        <v>13364</v>
      </c>
      <c r="J85" t="n">
        <v>23907.15</v>
      </c>
    </row>
    <row r="86">
      <c r="G86" s="34" t="n">
        <v>46168</v>
      </c>
      <c r="H86" t="n">
        <v>13208</v>
      </c>
      <c r="J86" t="n">
        <v>23913.7</v>
      </c>
    </row>
    <row r="87">
      <c r="G87" s="34" t="n">
        <v>46167</v>
      </c>
      <c r="H87" t="n">
        <v>13170</v>
      </c>
      <c r="J87" t="n">
        <v>24031.7</v>
      </c>
    </row>
    <row r="88">
      <c r="G88" s="34" t="n">
        <v>46164</v>
      </c>
      <c r="H88" t="n">
        <v>12987</v>
      </c>
      <c r="J88" t="n">
        <v>23719.3</v>
      </c>
    </row>
    <row r="89">
      <c r="G89" s="34" t="n">
        <v>46163</v>
      </c>
      <c r="H89" t="n">
        <v>13010</v>
      </c>
      <c r="J89" t="n">
        <v>23654.7</v>
      </c>
    </row>
    <row r="90">
      <c r="G90" s="34" t="n">
        <v>46162</v>
      </c>
      <c r="H90" t="n">
        <v>13003</v>
      </c>
      <c r="J90" t="n">
        <v>23659</v>
      </c>
    </row>
    <row r="91">
      <c r="G91" s="34" t="n">
        <v>46161</v>
      </c>
      <c r="H91" t="n">
        <v>12956</v>
      </c>
      <c r="J91" t="n">
        <v>23618</v>
      </c>
    </row>
    <row r="92">
      <c r="G92" s="34" t="n">
        <v>46160</v>
      </c>
      <c r="H92" t="n">
        <v>13016</v>
      </c>
      <c r="J92" t="n">
        <v>23649.95</v>
      </c>
    </row>
    <row r="93">
      <c r="G93" s="34" t="n">
        <v>46157</v>
      </c>
      <c r="H93" t="n">
        <v>13221</v>
      </c>
      <c r="J93" t="n">
        <v>23643.5</v>
      </c>
    </row>
    <row r="94">
      <c r="G94" s="34" t="n">
        <v>46156</v>
      </c>
      <c r="H94" t="n">
        <v>13075</v>
      </c>
      <c r="J94" t="n">
        <v>23689.6</v>
      </c>
    </row>
    <row r="95">
      <c r="G95" s="34" t="n">
        <v>46155</v>
      </c>
      <c r="H95" t="n">
        <v>13103</v>
      </c>
      <c r="J95" t="n">
        <v>23412.6</v>
      </c>
    </row>
    <row r="96">
      <c r="G96" s="34" t="n">
        <v>46154</v>
      </c>
      <c r="H96" t="n">
        <v>13172</v>
      </c>
      <c r="J96" t="n">
        <v>23379.55</v>
      </c>
    </row>
    <row r="97">
      <c r="G97" s="34" t="n">
        <v>46153</v>
      </c>
      <c r="H97" t="n">
        <v>13483</v>
      </c>
      <c r="J97" t="n">
        <v>23815.85</v>
      </c>
    </row>
    <row r="98">
      <c r="G98" s="34" t="n">
        <v>46150</v>
      </c>
      <c r="H98" t="n">
        <v>13726</v>
      </c>
      <c r="J98" t="n">
        <v>24176.15</v>
      </c>
    </row>
    <row r="99">
      <c r="G99" s="34" t="n">
        <v>46149</v>
      </c>
      <c r="H99" t="n">
        <v>13770</v>
      </c>
      <c r="J99" t="n">
        <v>24326.65</v>
      </c>
    </row>
    <row r="100">
      <c r="G100" s="34" t="n">
        <v>46148</v>
      </c>
      <c r="H100" t="n">
        <v>13722</v>
      </c>
      <c r="J100" t="n">
        <v>24330.95</v>
      </c>
    </row>
    <row r="101">
      <c r="G101" s="34" t="n">
        <v>46147</v>
      </c>
      <c r="H101" t="n">
        <v>13426</v>
      </c>
      <c r="J101" t="n">
        <v>24032.8</v>
      </c>
    </row>
    <row r="102">
      <c r="G102" s="34" t="n">
        <v>46146</v>
      </c>
      <c r="H102" t="n">
        <v>13580</v>
      </c>
      <c r="J102" t="n">
        <v>24119.3</v>
      </c>
    </row>
    <row r="103">
      <c r="G103" s="34" t="n">
        <v>46142</v>
      </c>
      <c r="H103" t="n">
        <v>13314</v>
      </c>
      <c r="J103" t="n">
        <v>23997.55</v>
      </c>
    </row>
    <row r="104">
      <c r="G104" s="34" t="n">
        <v>46141</v>
      </c>
      <c r="H104" t="n">
        <v>13257</v>
      </c>
      <c r="J104" t="n">
        <v>24177.65</v>
      </c>
    </row>
    <row r="105">
      <c r="G105" s="34" t="n">
        <v>46140</v>
      </c>
      <c r="H105" t="n">
        <v>12892</v>
      </c>
      <c r="J105" t="n">
        <v>23995.7</v>
      </c>
    </row>
    <row r="106">
      <c r="G106" s="34" t="n">
        <v>46139</v>
      </c>
      <c r="H106" t="n">
        <v>13222</v>
      </c>
      <c r="J106" t="n">
        <v>24092.7</v>
      </c>
    </row>
    <row r="107">
      <c r="G107" s="34" t="n">
        <v>46136</v>
      </c>
      <c r="H107" t="n">
        <v>13048</v>
      </c>
      <c r="J107" t="n">
        <v>23897.95</v>
      </c>
    </row>
    <row r="108">
      <c r="G108" s="34" t="n">
        <v>46135</v>
      </c>
      <c r="H108" t="n">
        <v>13160</v>
      </c>
      <c r="J108" t="n">
        <v>24173.05</v>
      </c>
    </row>
    <row r="109">
      <c r="G109" s="34" t="n">
        <v>46134</v>
      </c>
      <c r="H109" t="n">
        <v>13337</v>
      </c>
      <c r="J109" t="n">
        <v>24378.1</v>
      </c>
    </row>
    <row r="110">
      <c r="G110" s="34" t="n">
        <v>46133</v>
      </c>
      <c r="H110" t="n">
        <v>13461</v>
      </c>
      <c r="J110" t="n">
        <v>24576.6</v>
      </c>
    </row>
    <row r="111">
      <c r="G111" s="34" t="n">
        <v>46132</v>
      </c>
      <c r="H111" t="n">
        <v>13450</v>
      </c>
      <c r="J111" t="n">
        <v>24364.85</v>
      </c>
    </row>
    <row r="112">
      <c r="G112" s="34" t="n">
        <v>46129</v>
      </c>
      <c r="H112" t="n">
        <v>13453</v>
      </c>
      <c r="J112" t="n">
        <v>24353.55</v>
      </c>
    </row>
    <row r="113">
      <c r="G113" s="34" t="n">
        <v>46128</v>
      </c>
      <c r="H113" t="n">
        <v>13335</v>
      </c>
      <c r="J113" t="n">
        <v>24196.75</v>
      </c>
    </row>
    <row r="114">
      <c r="G114" s="34" t="n">
        <v>46127</v>
      </c>
      <c r="H114" t="n">
        <v>13289</v>
      </c>
      <c r="J114" t="n">
        <v>24231.3</v>
      </c>
    </row>
    <row r="115">
      <c r="G115" s="34" t="n">
        <v>46125</v>
      </c>
      <c r="H115" t="n">
        <v>13076</v>
      </c>
      <c r="J115" t="n">
        <v>23842.65</v>
      </c>
    </row>
    <row r="116">
      <c r="G116" s="34" t="n">
        <v>46122</v>
      </c>
      <c r="H116" t="n">
        <v>13709</v>
      </c>
      <c r="J116" t="n">
        <v>24050.6</v>
      </c>
    </row>
    <row r="117">
      <c r="G117" s="34" t="n">
        <v>46121</v>
      </c>
      <c r="H117" t="n">
        <v>13589</v>
      </c>
      <c r="J117" t="n">
        <v>23775.1</v>
      </c>
    </row>
    <row r="118">
      <c r="G118" s="34" t="n">
        <v>46120</v>
      </c>
      <c r="H118" t="n">
        <v>13602</v>
      </c>
      <c r="J118" t="n">
        <v>23997.35</v>
      </c>
    </row>
    <row r="119">
      <c r="G119" s="34" t="n">
        <v>46119</v>
      </c>
      <c r="H119" t="n">
        <v>12798</v>
      </c>
      <c r="J119" t="n">
        <v>23123.65</v>
      </c>
    </row>
    <row r="120">
      <c r="G120" s="34" t="n">
        <v>46118</v>
      </c>
      <c r="H120" t="n">
        <v>12688</v>
      </c>
      <c r="J120" t="n">
        <v>22968.25</v>
      </c>
    </row>
    <row r="121">
      <c r="G121" s="34" t="n">
        <v>46114</v>
      </c>
      <c r="H121" t="n">
        <v>12631</v>
      </c>
      <c r="J121" t="n">
        <v>22713.1</v>
      </c>
    </row>
    <row r="122">
      <c r="G122" s="34" t="n">
        <v>46113</v>
      </c>
      <c r="H122" t="n">
        <v>12509</v>
      </c>
      <c r="J122" t="n">
        <v>22679.4</v>
      </c>
    </row>
    <row r="123">
      <c r="G123" s="34" t="n">
        <v>46111</v>
      </c>
      <c r="H123" t="n">
        <v>12306</v>
      </c>
      <c r="J123" t="n">
        <v>22331.4</v>
      </c>
    </row>
    <row r="124">
      <c r="G124" s="34" t="n">
        <v>46108</v>
      </c>
      <c r="H124" t="n">
        <v>12389</v>
      </c>
      <c r="J124" t="n">
        <v>22819.6</v>
      </c>
    </row>
    <row r="125">
      <c r="G125" s="34" t="n">
        <v>46106</v>
      </c>
      <c r="H125" t="n">
        <v>12711</v>
      </c>
      <c r="J125" t="n">
        <v>23306.45</v>
      </c>
    </row>
    <row r="126">
      <c r="G126" s="34" t="n">
        <v>46105</v>
      </c>
      <c r="H126" t="n">
        <v>12464</v>
      </c>
      <c r="J126" t="n">
        <v>22912.4</v>
      </c>
    </row>
    <row r="127">
      <c r="G127" s="34" t="n">
        <v>46104</v>
      </c>
      <c r="H127" t="n">
        <v>12355</v>
      </c>
      <c r="J127" t="n">
        <v>22512.65</v>
      </c>
    </row>
    <row r="128">
      <c r="G128" s="34" t="n">
        <v>46101</v>
      </c>
      <c r="H128" t="n">
        <v>12601</v>
      </c>
      <c r="J128" t="n">
        <v>23114.5</v>
      </c>
    </row>
    <row r="129">
      <c r="G129" s="34" t="n">
        <v>46100</v>
      </c>
      <c r="H129" t="n">
        <v>12599</v>
      </c>
      <c r="J129" t="n">
        <v>23002.15</v>
      </c>
    </row>
    <row r="130">
      <c r="G130" s="34" t="n">
        <v>46099</v>
      </c>
      <c r="H130" t="n">
        <v>13048</v>
      </c>
      <c r="J130" t="n">
        <v>23777.8</v>
      </c>
    </row>
    <row r="131">
      <c r="G131" s="34" t="n">
        <v>46098</v>
      </c>
      <c r="H131" t="n">
        <v>12972</v>
      </c>
      <c r="J131" t="n">
        <v>23581.15</v>
      </c>
    </row>
    <row r="132">
      <c r="G132" s="34" t="n">
        <v>46097</v>
      </c>
      <c r="H132" t="n">
        <v>12757</v>
      </c>
      <c r="J132" t="n">
        <v>23408.8</v>
      </c>
    </row>
    <row r="133">
      <c r="G133" s="34" t="n">
        <v>46094</v>
      </c>
      <c r="H133" t="n">
        <v>12591</v>
      </c>
      <c r="J133" t="n">
        <v>23151.1</v>
      </c>
    </row>
    <row r="134">
      <c r="G134" s="34" t="n">
        <v>46093</v>
      </c>
      <c r="H134" t="n">
        <v>13011</v>
      </c>
      <c r="J134" t="n">
        <v>23639.15</v>
      </c>
    </row>
    <row r="135">
      <c r="G135" s="34" t="n">
        <v>46092</v>
      </c>
      <c r="H135" t="n">
        <v>13497</v>
      </c>
      <c r="J135" t="n">
        <v>23866.85</v>
      </c>
    </row>
    <row r="136">
      <c r="G136" s="34" t="n">
        <v>46091</v>
      </c>
      <c r="H136" t="n">
        <v>13867</v>
      </c>
      <c r="J136" t="n">
        <v>24261.6</v>
      </c>
    </row>
    <row r="137">
      <c r="G137" s="34" t="n">
        <v>46090</v>
      </c>
      <c r="H137" t="n">
        <v>13508</v>
      </c>
      <c r="J137" t="n">
        <v>24028.05</v>
      </c>
    </row>
    <row r="138">
      <c r="G138" s="34" t="n">
        <v>46087</v>
      </c>
      <c r="H138" t="n">
        <v>14159</v>
      </c>
      <c r="J138" t="n">
        <v>24450.45</v>
      </c>
    </row>
    <row r="139">
      <c r="G139" s="34" t="n">
        <v>46086</v>
      </c>
      <c r="H139" t="n">
        <v>14415</v>
      </c>
      <c r="J139" t="n">
        <v>24765.9</v>
      </c>
    </row>
    <row r="140">
      <c r="G140" s="34" t="n">
        <v>46085</v>
      </c>
      <c r="H140" t="n">
        <v>14158</v>
      </c>
      <c r="J140" t="n">
        <v>24480.5</v>
      </c>
    </row>
    <row r="141">
      <c r="G141" s="34" t="n">
        <v>46083</v>
      </c>
      <c r="H141" t="n">
        <v>14388</v>
      </c>
      <c r="J141" t="n">
        <v>24865.7</v>
      </c>
    </row>
    <row r="142">
      <c r="G142" s="34" t="n">
        <v>46080</v>
      </c>
      <c r="H142" t="n">
        <v>14857</v>
      </c>
      <c r="J142" t="n">
        <v>25178.65</v>
      </c>
    </row>
    <row r="143">
      <c r="G143" s="34" t="n">
        <v>46079</v>
      </c>
      <c r="H143" t="n">
        <v>15213</v>
      </c>
      <c r="J143" t="n">
        <v>25496.55</v>
      </c>
    </row>
    <row r="144">
      <c r="G144" s="34" t="n">
        <v>46078</v>
      </c>
      <c r="H144" t="n">
        <v>15070</v>
      </c>
      <c r="J144" t="n">
        <v>25482.5</v>
      </c>
    </row>
    <row r="145">
      <c r="G145" s="34" t="n">
        <v>46077</v>
      </c>
      <c r="H145" t="n">
        <v>14926</v>
      </c>
      <c r="J145" t="n">
        <v>25424.65</v>
      </c>
    </row>
    <row r="146">
      <c r="G146" s="34" t="n">
        <v>46076</v>
      </c>
      <c r="H146" t="n">
        <v>15072</v>
      </c>
      <c r="J146" t="n">
        <v>25713</v>
      </c>
    </row>
    <row r="147">
      <c r="G147" s="34" t="n">
        <v>46073</v>
      </c>
      <c r="H147" t="n">
        <v>14977</v>
      </c>
      <c r="J147" t="n">
        <v>25571.25</v>
      </c>
    </row>
    <row r="148">
      <c r="G148" s="34" t="n">
        <v>46072</v>
      </c>
      <c r="H148" t="n">
        <v>14903</v>
      </c>
      <c r="J148" t="n">
        <v>25454.35</v>
      </c>
    </row>
    <row r="149">
      <c r="G149" s="34" t="n">
        <v>46071</v>
      </c>
      <c r="H149" t="n">
        <v>15164</v>
      </c>
      <c r="J149" t="n">
        <v>25819.35</v>
      </c>
    </row>
    <row r="150">
      <c r="G150" s="34" t="n">
        <v>46070</v>
      </c>
      <c r="H150" t="n">
        <v>15179</v>
      </c>
      <c r="J150" t="n">
        <v>25725.4</v>
      </c>
    </row>
    <row r="151">
      <c r="G151" s="34" t="n">
        <v>46069</v>
      </c>
      <c r="H151" t="n">
        <v>15051</v>
      </c>
      <c r="J151" t="n">
        <v>25682.75</v>
      </c>
    </row>
    <row r="152">
      <c r="G152" s="34" t="n">
        <v>46066</v>
      </c>
      <c r="H152" t="n">
        <v>15237</v>
      </c>
      <c r="J152" t="n">
        <v>25471.1</v>
      </c>
    </row>
    <row r="153">
      <c r="G153" s="34" t="n">
        <v>46065</v>
      </c>
      <c r="H153" t="n">
        <v>15326</v>
      </c>
      <c r="J153" t="n">
        <v>25807.2</v>
      </c>
    </row>
    <row r="154">
      <c r="G154" s="34" t="n">
        <v>46064</v>
      </c>
      <c r="H154" t="n">
        <v>15412</v>
      </c>
      <c r="J154" t="n">
        <v>25953.85</v>
      </c>
    </row>
    <row r="155">
      <c r="G155" s="34" t="n">
        <v>46063</v>
      </c>
      <c r="H155" t="n">
        <v>15146</v>
      </c>
      <c r="J155" t="n">
        <v>25935.15</v>
      </c>
    </row>
    <row r="156">
      <c r="G156" s="34" t="n">
        <v>46062</v>
      </c>
      <c r="H156" t="n">
        <v>14978</v>
      </c>
      <c r="J156" t="n">
        <v>25867.3</v>
      </c>
    </row>
    <row r="157">
      <c r="G157" s="34" t="n">
        <v>46059</v>
      </c>
      <c r="H157" t="n">
        <v>14997</v>
      </c>
      <c r="J157" t="n">
        <v>25693.7</v>
      </c>
    </row>
    <row r="158">
      <c r="G158" s="34" t="n">
        <v>46058</v>
      </c>
      <c r="H158" t="n">
        <v>15059</v>
      </c>
      <c r="J158" t="n">
        <v>25642.8</v>
      </c>
    </row>
    <row r="159">
      <c r="G159" s="34" t="n">
        <v>46057</v>
      </c>
      <c r="H159" t="n">
        <v>15071</v>
      </c>
      <c r="J159" t="n">
        <v>25776</v>
      </c>
    </row>
    <row r="160">
      <c r="G160" s="34" t="n">
        <v>46056</v>
      </c>
      <c r="H160" t="n">
        <v>14782</v>
      </c>
      <c r="J160" t="n">
        <v>25727.55</v>
      </c>
    </row>
    <row r="161">
      <c r="G161" s="34" t="n">
        <v>46055</v>
      </c>
      <c r="H161" t="n">
        <v>14384</v>
      </c>
      <c r="J161" t="n">
        <v>25088.4</v>
      </c>
    </row>
    <row r="162">
      <c r="G162" s="34" t="n">
        <v>46054</v>
      </c>
      <c r="H162" t="n">
        <v>14199</v>
      </c>
      <c r="J162" t="n">
        <v>25320.65</v>
      </c>
    </row>
    <row r="163">
      <c r="G163" s="34" t="n">
        <v>46052</v>
      </c>
      <c r="H163" t="n">
        <v>14599</v>
      </c>
      <c r="J163" t="n">
        <v>25320.65</v>
      </c>
    </row>
    <row r="164">
      <c r="G164" s="34" t="n">
        <v>46051</v>
      </c>
      <c r="H164" t="n">
        <v>14502</v>
      </c>
      <c r="J164" t="n">
        <v>25418.9</v>
      </c>
    </row>
    <row r="165">
      <c r="G165" s="34" t="n">
        <v>46050</v>
      </c>
      <c r="H165" t="n">
        <v>14877</v>
      </c>
      <c r="J165" t="n">
        <v>25342.75</v>
      </c>
    </row>
    <row r="166">
      <c r="G166" s="34" t="n">
        <v>46049</v>
      </c>
      <c r="H166" t="n">
        <v>15245</v>
      </c>
      <c r="J166" t="n">
        <v>25175.4</v>
      </c>
    </row>
    <row r="167">
      <c r="G167" s="34" t="n">
        <v>46045</v>
      </c>
      <c r="H167" t="n">
        <v>15469</v>
      </c>
      <c r="J167" t="n">
        <v>25048.65</v>
      </c>
    </row>
    <row r="168">
      <c r="G168" s="34" t="n">
        <v>46044</v>
      </c>
      <c r="H168" t="n">
        <v>15765</v>
      </c>
      <c r="J168" t="n">
        <v>25289.9</v>
      </c>
    </row>
    <row r="169">
      <c r="G169" s="34" t="n">
        <v>46043</v>
      </c>
      <c r="H169" t="n">
        <v>15770</v>
      </c>
      <c r="J169" t="n">
        <v>25157.5</v>
      </c>
    </row>
    <row r="170">
      <c r="G170" s="34" t="n">
        <v>46042</v>
      </c>
      <c r="H170" t="n">
        <v>15879</v>
      </c>
      <c r="J170" t="n">
        <v>25232.5</v>
      </c>
    </row>
    <row r="171">
      <c r="G171" s="34" t="n">
        <v>46041</v>
      </c>
      <c r="H171" t="n">
        <v>16176</v>
      </c>
      <c r="J171" t="n">
        <v>25585.5</v>
      </c>
    </row>
    <row r="172">
      <c r="G172" s="34" t="n">
        <v>46038</v>
      </c>
      <c r="H172" t="n">
        <v>15859</v>
      </c>
      <c r="J172" t="n">
        <v>25694.35</v>
      </c>
    </row>
    <row r="173">
      <c r="G173" s="34" t="n">
        <v>46036</v>
      </c>
      <c r="H173" t="n">
        <v>16152</v>
      </c>
      <c r="J173" t="n">
        <v>25665.6</v>
      </c>
    </row>
    <row r="174">
      <c r="G174" s="34" t="n">
        <v>46035</v>
      </c>
      <c r="H174" t="n">
        <v>16426</v>
      </c>
      <c r="J174" t="n">
        <v>25732.3</v>
      </c>
    </row>
    <row r="175">
      <c r="G175" s="34" t="n">
        <v>46034</v>
      </c>
      <c r="H175" t="n">
        <v>16582</v>
      </c>
      <c r="J175" t="n">
        <v>25790.25</v>
      </c>
    </row>
    <row r="176">
      <c r="G176" s="34" t="n">
        <v>46031</v>
      </c>
      <c r="H176" t="n">
        <v>16501</v>
      </c>
      <c r="J176" t="n">
        <v>25683.3</v>
      </c>
    </row>
    <row r="177">
      <c r="G177" s="34" t="n">
        <v>46030</v>
      </c>
      <c r="H177" t="n">
        <v>16664</v>
      </c>
      <c r="J177" t="n">
        <v>25876.85</v>
      </c>
    </row>
    <row r="178">
      <c r="G178" s="34" t="n">
        <v>46029</v>
      </c>
      <c r="H178" t="n">
        <v>16809</v>
      </c>
      <c r="J178" t="n">
        <v>26140.75</v>
      </c>
    </row>
    <row r="179">
      <c r="G179" s="34" t="n">
        <v>46028</v>
      </c>
      <c r="H179" t="n">
        <v>17292</v>
      </c>
      <c r="J179" t="n">
        <v>26178.7</v>
      </c>
    </row>
    <row r="180">
      <c r="G180" s="34" t="n">
        <v>46027</v>
      </c>
      <c r="H180" t="n">
        <v>17155</v>
      </c>
      <c r="J180" t="n">
        <v>26250.3</v>
      </c>
    </row>
    <row r="181">
      <c r="G181" s="34" t="n">
        <v>46024</v>
      </c>
      <c r="H181" t="n">
        <v>16960</v>
      </c>
      <c r="J181" t="n">
        <v>26328.55</v>
      </c>
    </row>
    <row r="182">
      <c r="G182" s="34" t="n">
        <v>46023</v>
      </c>
      <c r="H182" t="n">
        <v>16708</v>
      </c>
      <c r="J182" t="n">
        <v>26146.55</v>
      </c>
    </row>
    <row r="183">
      <c r="G183" s="34" t="n">
        <v>46022</v>
      </c>
      <c r="H183" t="n">
        <v>16697</v>
      </c>
      <c r="J183" t="n">
        <v>26129.6</v>
      </c>
    </row>
    <row r="184">
      <c r="G184" s="34" t="n">
        <v>46021</v>
      </c>
      <c r="H184" t="n">
        <v>16647</v>
      </c>
      <c r="J184" t="n">
        <v>25938.85</v>
      </c>
    </row>
    <row r="185">
      <c r="G185" s="34" t="n">
        <v>46020</v>
      </c>
      <c r="H185" t="n">
        <v>16542</v>
      </c>
      <c r="J185" t="n">
        <v>25942.1</v>
      </c>
    </row>
    <row r="186">
      <c r="G186" s="34" t="n">
        <v>46017</v>
      </c>
      <c r="H186" t="n">
        <v>16596</v>
      </c>
      <c r="J186" t="n">
        <v>26042.3</v>
      </c>
    </row>
    <row r="187">
      <c r="G187" s="34" t="n">
        <v>46015</v>
      </c>
      <c r="H187" t="n">
        <v>16703</v>
      </c>
      <c r="J187" t="n">
        <v>26142.1</v>
      </c>
    </row>
    <row r="188">
      <c r="G188" s="34" t="n">
        <v>46014</v>
      </c>
      <c r="H188" t="n">
        <v>16585</v>
      </c>
      <c r="J188" t="n">
        <v>26177.15</v>
      </c>
    </row>
    <row r="189">
      <c r="G189" s="34" t="n">
        <v>46013</v>
      </c>
      <c r="H189" t="n">
        <v>16649</v>
      </c>
      <c r="J189" t="n">
        <v>26172.4</v>
      </c>
    </row>
    <row r="190">
      <c r="G190" s="34" t="n">
        <v>46010</v>
      </c>
      <c r="H190" t="n">
        <v>16414</v>
      </c>
      <c r="J190" t="n">
        <v>25966.4</v>
      </c>
    </row>
    <row r="191">
      <c r="G191" s="34" t="n">
        <v>46009</v>
      </c>
      <c r="H191" t="n">
        <v>16329</v>
      </c>
      <c r="J191" t="n">
        <v>25815.55</v>
      </c>
    </row>
    <row r="192">
      <c r="G192" s="34" t="n">
        <v>46008</v>
      </c>
      <c r="H192" t="n">
        <v>16398</v>
      </c>
      <c r="J192" t="n">
        <v>25818.55</v>
      </c>
    </row>
    <row r="193">
      <c r="G193" s="34" t="n">
        <v>46007</v>
      </c>
      <c r="H193" t="n">
        <v>16354</v>
      </c>
      <c r="J193" t="n">
        <v>25860.1</v>
      </c>
    </row>
    <row r="194">
      <c r="G194" s="34" t="n">
        <v>46006</v>
      </c>
      <c r="H194" t="n">
        <v>16415</v>
      </c>
      <c r="J194" t="n">
        <v>26027.3</v>
      </c>
    </row>
    <row r="195">
      <c r="G195" s="34" t="n">
        <v>46003</v>
      </c>
      <c r="H195" t="n">
        <v>16522</v>
      </c>
      <c r="J195" t="n">
        <v>26046.95</v>
      </c>
    </row>
    <row r="196">
      <c r="G196" s="34" t="n">
        <v>46002</v>
      </c>
      <c r="H196" t="n">
        <v>16248</v>
      </c>
      <c r="J196" t="n">
        <v>25898.55</v>
      </c>
    </row>
    <row r="197">
      <c r="G197" s="34" t="n">
        <v>46001</v>
      </c>
      <c r="H197" t="n">
        <v>16019</v>
      </c>
      <c r="J197" t="n">
        <v>25758</v>
      </c>
    </row>
    <row r="198">
      <c r="G198" s="34" t="n">
        <v>46000</v>
      </c>
      <c r="H198" t="n">
        <v>16020</v>
      </c>
      <c r="J198" t="n">
        <v>25839.65</v>
      </c>
    </row>
    <row r="199">
      <c r="G199" s="34" t="n">
        <v>45999</v>
      </c>
      <c r="H199" t="n">
        <v>16187</v>
      </c>
      <c r="J199" t="n">
        <v>25960.55</v>
      </c>
    </row>
    <row r="200">
      <c r="G200" s="34" t="n">
        <v>45996</v>
      </c>
      <c r="H200" t="n">
        <v>16282</v>
      </c>
      <c r="J200" t="n">
        <v>26186.45</v>
      </c>
    </row>
    <row r="201">
      <c r="G201" s="34" t="n">
        <v>45995</v>
      </c>
      <c r="H201" t="n">
        <v>15994</v>
      </c>
      <c r="J201" t="n">
        <v>26033.75</v>
      </c>
    </row>
    <row r="202">
      <c r="G202" s="34" t="n">
        <v>45994</v>
      </c>
      <c r="H202" t="n">
        <v>16082</v>
      </c>
      <c r="J202" t="n">
        <v>25986</v>
      </c>
    </row>
    <row r="203">
      <c r="G203" s="34" t="n">
        <v>45993</v>
      </c>
      <c r="H203" t="n">
        <v>16239</v>
      </c>
      <c r="J203" t="n">
        <v>26032.2</v>
      </c>
    </row>
    <row r="204">
      <c r="G204" s="34" t="n">
        <v>45992</v>
      </c>
      <c r="H204" t="n">
        <v>16097</v>
      </c>
      <c r="J204" t="n">
        <v>26175.75</v>
      </c>
    </row>
    <row r="205">
      <c r="G205" s="34" t="n">
        <v>45989</v>
      </c>
      <c r="H205" t="n">
        <v>15900</v>
      </c>
      <c r="J205" t="n">
        <v>26202.95</v>
      </c>
    </row>
    <row r="206">
      <c r="G206" s="34" t="n">
        <v>45988</v>
      </c>
      <c r="H206" t="n">
        <v>15903</v>
      </c>
      <c r="J206" t="n">
        <v>26215.55</v>
      </c>
    </row>
    <row r="207">
      <c r="G207" s="34" t="n">
        <v>45987</v>
      </c>
      <c r="H207" t="n">
        <v>16156</v>
      </c>
      <c r="J207" t="n">
        <v>26205.3</v>
      </c>
    </row>
    <row r="208">
      <c r="G208" s="34" t="n">
        <v>45986</v>
      </c>
      <c r="H208" t="n">
        <v>15889</v>
      </c>
      <c r="J208" t="n">
        <v>25884.8</v>
      </c>
    </row>
    <row r="209">
      <c r="G209" s="34" t="n">
        <v>45985</v>
      </c>
      <c r="H209" t="n">
        <v>15958</v>
      </c>
      <c r="J209" t="n">
        <v>25959.5</v>
      </c>
    </row>
    <row r="210">
      <c r="G210" s="34" t="n">
        <v>45982</v>
      </c>
      <c r="H210" t="n">
        <v>15977</v>
      </c>
      <c r="J210" t="n">
        <v>26068.15</v>
      </c>
    </row>
    <row r="211">
      <c r="G211" s="34" t="n">
        <v>45981</v>
      </c>
      <c r="H211" t="n">
        <v>15801</v>
      </c>
      <c r="J211" t="n">
        <v>26192.15</v>
      </c>
    </row>
    <row r="212">
      <c r="G212" s="34" t="n">
        <v>45980</v>
      </c>
      <c r="H212" t="n">
        <v>15768</v>
      </c>
      <c r="J212" t="n">
        <v>26052.65</v>
      </c>
    </row>
    <row r="213">
      <c r="G213" s="34" t="n">
        <v>45979</v>
      </c>
      <c r="H213" t="n">
        <v>15930</v>
      </c>
      <c r="J213" t="n">
        <v>25910.05</v>
      </c>
    </row>
    <row r="214">
      <c r="G214" s="34" t="n">
        <v>45978</v>
      </c>
      <c r="H214" t="n">
        <v>15878</v>
      </c>
      <c r="J214" t="n">
        <v>26013.45</v>
      </c>
    </row>
    <row r="215">
      <c r="G215" s="34" t="n">
        <v>45975</v>
      </c>
      <c r="H215" t="n">
        <v>15684</v>
      </c>
      <c r="J215" t="n">
        <v>25910.05</v>
      </c>
    </row>
    <row r="216">
      <c r="G216" s="34" t="n">
        <v>45974</v>
      </c>
      <c r="H216" t="n">
        <v>15749</v>
      </c>
      <c r="J216" t="n">
        <v>25879.15</v>
      </c>
    </row>
    <row r="217">
      <c r="G217" s="34" t="n">
        <v>45973</v>
      </c>
      <c r="H217" t="n">
        <v>15696</v>
      </c>
      <c r="J217" t="n">
        <v>25875.8</v>
      </c>
    </row>
    <row r="218">
      <c r="G218" s="34" t="n">
        <v>45972</v>
      </c>
      <c r="H218" t="n">
        <v>15645</v>
      </c>
      <c r="J218" t="n">
        <v>25694.95</v>
      </c>
    </row>
    <row r="219">
      <c r="G219" s="34" t="n">
        <v>45971</v>
      </c>
      <c r="H219" t="n">
        <v>15583</v>
      </c>
      <c r="J219" t="n">
        <v>25574.35</v>
      </c>
    </row>
    <row r="220">
      <c r="G220" s="34" t="n">
        <v>45968</v>
      </c>
      <c r="H220" t="n">
        <v>15479</v>
      </c>
      <c r="J220" t="n">
        <v>25492.3</v>
      </c>
    </row>
    <row r="221">
      <c r="G221" s="34" t="n">
        <v>45967</v>
      </c>
      <c r="H221" t="n">
        <v>15452</v>
      </c>
      <c r="J221" t="n">
        <v>25509.7</v>
      </c>
    </row>
    <row r="222">
      <c r="G222" s="34" t="n">
        <v>45965</v>
      </c>
      <c r="H222" t="n">
        <v>15374</v>
      </c>
      <c r="J222" t="n">
        <v>25597.65</v>
      </c>
    </row>
    <row r="223">
      <c r="G223" s="34" t="n">
        <v>45964</v>
      </c>
      <c r="H223" t="n">
        <v>15651</v>
      </c>
      <c r="J223" t="n">
        <v>25763.35</v>
      </c>
    </row>
    <row r="224">
      <c r="G224" s="34" t="n">
        <v>45961</v>
      </c>
      <c r="H224" t="n">
        <v>16186</v>
      </c>
      <c r="J224" t="n">
        <v>25722.1</v>
      </c>
    </row>
    <row r="225">
      <c r="G225" s="34" t="n">
        <v>45960</v>
      </c>
      <c r="H225" t="n">
        <v>16206</v>
      </c>
      <c r="J225" t="n">
        <v>25877.85</v>
      </c>
    </row>
    <row r="226">
      <c r="G226" s="34" t="n">
        <v>45959</v>
      </c>
      <c r="H226" t="n">
        <v>16138</v>
      </c>
      <c r="J226" t="n">
        <v>26053.9</v>
      </c>
    </row>
    <row r="227">
      <c r="G227" s="34" t="n">
        <v>45958</v>
      </c>
      <c r="H227" t="n">
        <v>16311</v>
      </c>
      <c r="J227" t="n">
        <v>25936.2</v>
      </c>
    </row>
    <row r="228">
      <c r="G228" s="34" t="n">
        <v>45957</v>
      </c>
      <c r="H228" t="n">
        <v>16388</v>
      </c>
      <c r="J228" t="n">
        <v>25966.05</v>
      </c>
    </row>
    <row r="229">
      <c r="G229" s="34" t="n">
        <v>45954</v>
      </c>
      <c r="H229" t="n">
        <v>16274</v>
      </c>
      <c r="J229" t="n">
        <v>25795.15</v>
      </c>
    </row>
    <row r="230">
      <c r="G230" s="34" t="n">
        <v>45953</v>
      </c>
      <c r="H230" t="n">
        <v>16393</v>
      </c>
      <c r="J230" t="n">
        <v>25891.4</v>
      </c>
    </row>
    <row r="231">
      <c r="G231" s="34" t="n">
        <v>45951</v>
      </c>
      <c r="H231" t="n">
        <v>16396</v>
      </c>
      <c r="J231" t="n">
        <v>25868.6</v>
      </c>
    </row>
    <row r="232">
      <c r="G232" s="34" t="n">
        <v>45950</v>
      </c>
      <c r="H232" t="n">
        <v>16424</v>
      </c>
      <c r="J232" t="n">
        <v>25843.15</v>
      </c>
    </row>
    <row r="233">
      <c r="G233" s="34" t="n">
        <v>45947</v>
      </c>
      <c r="H233" t="n">
        <v>16401</v>
      </c>
      <c r="J233" t="n">
        <v>25709.85</v>
      </c>
    </row>
    <row r="234">
      <c r="G234" s="34" t="n">
        <v>45946</v>
      </c>
      <c r="H234" t="n">
        <v>16298</v>
      </c>
      <c r="J234" t="n">
        <v>25585.3</v>
      </c>
    </row>
    <row r="235">
      <c r="G235" s="34" t="n">
        <v>45945</v>
      </c>
      <c r="H235" t="n">
        <v>16212</v>
      </c>
      <c r="J235" t="n">
        <v>25323.55</v>
      </c>
    </row>
    <row r="236">
      <c r="G236" s="34" t="n">
        <v>45944</v>
      </c>
      <c r="H236" t="n">
        <v>16261</v>
      </c>
      <c r="J236" t="n">
        <v>25145.5</v>
      </c>
    </row>
    <row r="237">
      <c r="G237" s="34" t="n">
        <v>45943</v>
      </c>
      <c r="H237" t="n">
        <v>16323</v>
      </c>
      <c r="J237" t="n">
        <v>25227.35</v>
      </c>
    </row>
    <row r="238">
      <c r="G238" s="34" t="n">
        <v>45940</v>
      </c>
      <c r="H238" t="n">
        <v>16265</v>
      </c>
      <c r="J238" t="n">
        <v>25285.35</v>
      </c>
    </row>
    <row r="239">
      <c r="G239" s="34" t="n">
        <v>45939</v>
      </c>
      <c r="H239" t="n">
        <v>15985</v>
      </c>
      <c r="J239" t="n">
        <v>25181.8</v>
      </c>
    </row>
    <row r="240">
      <c r="G240" s="34" t="n">
        <v>45938</v>
      </c>
      <c r="H240" t="n">
        <v>16012</v>
      </c>
      <c r="J240" t="n">
        <v>25046.15</v>
      </c>
    </row>
    <row r="241">
      <c r="G241" s="34" t="n">
        <v>45937</v>
      </c>
      <c r="H241" t="n">
        <v>16108</v>
      </c>
      <c r="J241" t="n">
        <v>25108.3</v>
      </c>
    </row>
    <row r="242">
      <c r="G242" s="34" t="n">
        <v>45936</v>
      </c>
      <c r="H242" t="n">
        <v>15998</v>
      </c>
      <c r="J242" t="n">
        <v>25077.65</v>
      </c>
    </row>
    <row r="243">
      <c r="G243" s="34" t="n">
        <v>45933</v>
      </c>
      <c r="H243" t="n">
        <v>15806</v>
      </c>
      <c r="J243" t="n">
        <v>24894.25</v>
      </c>
    </row>
    <row r="244">
      <c r="G244" s="34" t="n">
        <v>45931</v>
      </c>
      <c r="H244" t="n">
        <v>15965</v>
      </c>
      <c r="J244" t="n">
        <v>24836.3</v>
      </c>
    </row>
    <row r="245">
      <c r="G245" s="34" t="n">
        <v>45930</v>
      </c>
      <c r="H245" t="n">
        <v>16029</v>
      </c>
      <c r="J245" t="n">
        <v>24611.1</v>
      </c>
    </row>
    <row r="246">
      <c r="G246" s="34" t="n">
        <v>45929</v>
      </c>
      <c r="H246" t="n">
        <v>15984</v>
      </c>
      <c r="J246" t="n">
        <v>24634.9</v>
      </c>
    </row>
    <row r="247">
      <c r="G247" s="34" t="n">
        <v>45926</v>
      </c>
      <c r="H247" t="n">
        <v>16286</v>
      </c>
      <c r="J247" t="n">
        <v>24654.7</v>
      </c>
    </row>
    <row r="248">
      <c r="G248" s="34" t="n">
        <v>45925</v>
      </c>
      <c r="H248" t="n">
        <v>16269</v>
      </c>
      <c r="J248" t="n">
        <v>24890.85</v>
      </c>
    </row>
    <row r="249">
      <c r="G249" s="161" t="n">
        <v>45924</v>
      </c>
      <c r="H249" t="n">
        <v>16249</v>
      </c>
      <c r="J249" t="n">
        <v>25056.9</v>
      </c>
    </row>
    <row r="250">
      <c r="G250" s="161" t="n">
        <v>45923</v>
      </c>
      <c r="H250" t="n">
        <v>16097</v>
      </c>
      <c r="J250" t="n">
        <v>25169.5</v>
      </c>
    </row>
    <row r="251">
      <c r="G251" s="161" t="n">
        <v>45922</v>
      </c>
      <c r="H251" t="n">
        <v>15816</v>
      </c>
      <c r="J251" t="n">
        <v>25202.35</v>
      </c>
    </row>
    <row r="252">
      <c r="G252" s="161" t="n">
        <v>45919</v>
      </c>
      <c r="H252" t="n">
        <v>15864</v>
      </c>
      <c r="J252" t="n">
        <v>25327.05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7.109375" customWidth="1" style="176" min="2" max="2"/>
    <col width="10.6640625" customWidth="1" style="176" min="3" max="3"/>
    <col width="9.44140625" bestFit="1" customWidth="1" style="176" min="4" max="4"/>
    <col width="11.21875" customWidth="1" style="176" min="5" max="5"/>
    <col width="11.88671875" bestFit="1" customWidth="1" style="176" min="6" max="6"/>
    <col width="9.5546875" bestFit="1" customWidth="1" style="176" min="7" max="7"/>
    <col width="12.109375" customWidth="1" style="176" min="8" max="8"/>
    <col width="10.44140625" bestFit="1" customWidth="1" style="176" min="11" max="13"/>
    <col width="12.109375" customWidth="1" style="176" min="15" max="16"/>
    <col width="12.88671875"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76"/>
    <row r="12">
      <c r="B12" s="150">
        <f>'Raw FS'!L57</f>
        <v/>
      </c>
      <c r="C12" s="150" t="n"/>
      <c r="D12" s="155">
        <f>'Raw FS'!M57</f>
        <v/>
      </c>
      <c r="E12" s="155">
        <f>'Raw FS'!N57</f>
        <v/>
      </c>
      <c r="F12" s="155">
        <f>D12*E12</f>
        <v/>
      </c>
      <c r="G12" s="155">
        <f>'Raw FS'!AS56</f>
        <v/>
      </c>
      <c r="H12" s="155">
        <f>'Raw FS'!AT56</f>
        <v/>
      </c>
      <c r="I12" s="150" t="n"/>
      <c r="J12" s="150" t="n"/>
      <c r="K12" s="155">
        <f>'Raw FS'!AU56</f>
        <v/>
      </c>
      <c r="L12" s="155">
        <f>'Raw FS'!AV56</f>
        <v/>
      </c>
      <c r="M12" s="155">
        <f>'Raw FS'!AW56</f>
        <v/>
      </c>
      <c r="N12" s="150" t="n"/>
      <c r="O12" s="151">
        <f>$H12/K12</f>
        <v/>
      </c>
      <c r="P12" s="151">
        <f>$H12/L12</f>
        <v/>
      </c>
      <c r="Q12" s="151">
        <f>F12/M12</f>
        <v/>
      </c>
    </row>
    <row r="13">
      <c r="B13" s="150">
        <f>'Raw FS'!L58</f>
        <v/>
      </c>
      <c r="C13" s="150" t="n"/>
      <c r="D13" s="155">
        <f>'Raw FS'!M58</f>
        <v/>
      </c>
      <c r="E13" s="155">
        <f>'Raw FS'!N58</f>
        <v/>
      </c>
      <c r="F13" s="155">
        <f>D13*E13</f>
        <v/>
      </c>
      <c r="G13" s="155">
        <f>'Raw FS'!AS57</f>
        <v/>
      </c>
      <c r="H13" s="155">
        <f>'Raw FS'!AT57</f>
        <v/>
      </c>
      <c r="I13" s="150" t="n"/>
      <c r="J13" s="150" t="n"/>
      <c r="K13" s="155">
        <f>'Raw FS'!AU57</f>
        <v/>
      </c>
      <c r="L13" s="155">
        <f>'Raw FS'!AV57</f>
        <v/>
      </c>
      <c r="M13" s="155">
        <f>'Raw FS'!AW57</f>
        <v/>
      </c>
      <c r="N13" s="150" t="n"/>
      <c r="O13" s="151">
        <f>$H13/K13</f>
        <v/>
      </c>
      <c r="P13" s="151">
        <f>$H13/L13</f>
        <v/>
      </c>
      <c r="Q13" s="151">
        <f>F13/M13</f>
        <v/>
      </c>
    </row>
    <row r="14">
      <c r="B14" s="150">
        <f>'Raw FS'!L59</f>
        <v/>
      </c>
      <c r="C14" s="150" t="n"/>
      <c r="D14" s="155">
        <f>'Raw FS'!M59</f>
        <v/>
      </c>
      <c r="E14" s="155">
        <f>'Raw FS'!N59</f>
        <v/>
      </c>
      <c r="F14" s="155">
        <f>D14*E14</f>
        <v/>
      </c>
      <c r="G14" s="155">
        <f>'Raw FS'!AS58</f>
        <v/>
      </c>
      <c r="H14" s="155">
        <f>'Raw FS'!AT58</f>
        <v/>
      </c>
      <c r="I14" s="150" t="n"/>
      <c r="J14" s="150" t="n"/>
      <c r="K14" s="155">
        <f>'Raw FS'!AU58</f>
        <v/>
      </c>
      <c r="L14" s="155">
        <f>'Raw FS'!AV58</f>
        <v/>
      </c>
      <c r="M14" s="155">
        <f>'Raw FS'!AW58</f>
        <v/>
      </c>
      <c r="N14" s="150" t="n"/>
      <c r="O14" s="151">
        <f>$H14/K14</f>
        <v/>
      </c>
      <c r="P14" s="151">
        <f>$H14/L14</f>
        <v/>
      </c>
      <c r="Q14" s="151">
        <f>F14/M14</f>
        <v/>
      </c>
    </row>
    <row r="15">
      <c r="B15" s="150">
        <f>'Raw FS'!L60</f>
        <v/>
      </c>
      <c r="C15" s="150" t="n"/>
      <c r="D15" s="155">
        <f>'Raw FS'!M60</f>
        <v/>
      </c>
      <c r="E15" s="155">
        <f>'Raw FS'!N60</f>
        <v/>
      </c>
      <c r="F15" s="155">
        <f>D15*E15</f>
        <v/>
      </c>
      <c r="G15" s="155">
        <f>'Raw FS'!AS59</f>
        <v/>
      </c>
      <c r="H15" s="155">
        <f>'Raw FS'!AT59</f>
        <v/>
      </c>
      <c r="I15" s="150" t="n"/>
      <c r="J15" s="150" t="n"/>
      <c r="K15" s="155">
        <f>'Raw FS'!AU59</f>
        <v/>
      </c>
      <c r="L15" s="155">
        <f>'Raw FS'!AV59</f>
        <v/>
      </c>
      <c r="M15" s="155">
        <f>'Raw FS'!AW59</f>
        <v/>
      </c>
      <c r="N15" s="150" t="n"/>
      <c r="O15" s="151">
        <f>$H15/K15</f>
        <v/>
      </c>
      <c r="P15" s="151">
        <f>$H15/L15</f>
        <v/>
      </c>
      <c r="Q15" s="151">
        <f>F15/M15</f>
        <v/>
      </c>
    </row>
    <row r="16">
      <c r="B16" s="150">
        <f>'Raw FS'!L61</f>
        <v/>
      </c>
      <c r="C16" s="150" t="n"/>
      <c r="D16" s="155">
        <f>'Raw FS'!M61</f>
        <v/>
      </c>
      <c r="E16" s="155">
        <f>'Raw FS'!N61</f>
        <v/>
      </c>
      <c r="F16" s="155">
        <f>D16*E16</f>
        <v/>
      </c>
      <c r="G16" s="155">
        <f>'Raw FS'!AS60</f>
        <v/>
      </c>
      <c r="H16" s="155">
        <f>'Raw FS'!AT60</f>
        <v/>
      </c>
      <c r="I16" s="150" t="n"/>
      <c r="J16" s="150" t="n"/>
      <c r="K16" s="155">
        <f>'Raw FS'!AU60</f>
        <v/>
      </c>
      <c r="L16" s="155">
        <f>'Raw FS'!AV60</f>
        <v/>
      </c>
      <c r="M16" s="155">
        <f>'Raw FS'!AW60</f>
        <v/>
      </c>
      <c r="N16" s="150" t="n"/>
      <c r="O16" s="151">
        <f>$H16/K16</f>
        <v/>
      </c>
      <c r="P16" s="151">
        <f>$H16/L16</f>
        <v/>
      </c>
      <c r="Q16" s="151">
        <f>F16/M16</f>
        <v/>
      </c>
    </row>
    <row r="17">
      <c r="B17" s="150">
        <f>'Raw FS'!L62</f>
        <v/>
      </c>
      <c r="C17" s="150" t="n"/>
      <c r="D17" s="155">
        <f>'Raw FS'!M62</f>
        <v/>
      </c>
      <c r="E17" s="155">
        <f>'Raw FS'!N62</f>
        <v/>
      </c>
      <c r="F17" s="155">
        <f>D17*E17</f>
        <v/>
      </c>
      <c r="G17" s="155">
        <f>'Raw FS'!AS61</f>
        <v/>
      </c>
      <c r="H17" s="155">
        <f>'Raw FS'!AT61</f>
        <v/>
      </c>
      <c r="I17" s="150" t="n"/>
      <c r="J17" s="150" t="n"/>
      <c r="K17" s="155">
        <f>'Raw FS'!AU61</f>
        <v/>
      </c>
      <c r="L17" s="155">
        <f>'Raw FS'!AV61</f>
        <v/>
      </c>
      <c r="M17" s="155">
        <f>'Raw FS'!AW61</f>
        <v/>
      </c>
      <c r="N17" s="150" t="n"/>
      <c r="O17" s="151">
        <f>$H17/K17</f>
        <v/>
      </c>
      <c r="P17" s="151">
        <f>$H17/L17</f>
        <v/>
      </c>
      <c r="Q17" s="151">
        <f>F17/M17</f>
        <v/>
      </c>
    </row>
    <row r="18">
      <c r="B18" s="150">
        <f>'Raw FS'!L63</f>
        <v/>
      </c>
      <c r="C18" s="150" t="n"/>
      <c r="D18" s="155">
        <f>'Raw FS'!M63</f>
        <v/>
      </c>
      <c r="E18" s="155">
        <f>'Raw FS'!N63</f>
        <v/>
      </c>
      <c r="F18" s="155">
        <f>D18*E18</f>
        <v/>
      </c>
      <c r="G18" s="155">
        <f>'Raw FS'!AS62</f>
        <v/>
      </c>
      <c r="H18" s="155">
        <f>'Raw FS'!AT62</f>
        <v/>
      </c>
      <c r="I18" s="150" t="n"/>
      <c r="J18" s="150" t="n"/>
      <c r="K18" s="155">
        <f>'Raw FS'!AU62</f>
        <v/>
      </c>
      <c r="L18" s="155">
        <f>'Raw FS'!AV62</f>
        <v/>
      </c>
      <c r="M18" s="155">
        <f>'Raw FS'!AW62</f>
        <v/>
      </c>
      <c r="N18" s="150" t="n"/>
      <c r="O18" s="151">
        <f>$H18/K18</f>
        <v/>
      </c>
      <c r="P18" s="151">
        <f>$H18/L18</f>
        <v/>
      </c>
      <c r="Q18" s="151">
        <f>F18/M18</f>
        <v/>
      </c>
    </row>
    <row r="19">
      <c r="B19" s="150">
        <f>'Raw FS'!L64</f>
        <v/>
      </c>
      <c r="C19" s="150" t="n"/>
      <c r="D19" s="155">
        <f>'Raw FS'!M64</f>
        <v/>
      </c>
      <c r="E19" s="155">
        <f>'Raw FS'!N64</f>
        <v/>
      </c>
      <c r="F19" s="155">
        <f>D19*E19</f>
        <v/>
      </c>
      <c r="G19" s="155">
        <f>'Raw FS'!AS63</f>
        <v/>
      </c>
      <c r="H19" s="155">
        <f>'Raw FS'!AT63</f>
        <v/>
      </c>
      <c r="I19" s="150" t="n"/>
      <c r="J19" s="150" t="n"/>
      <c r="K19" s="155">
        <f>'Raw FS'!AU63</f>
        <v/>
      </c>
      <c r="L19" s="155">
        <f>'Raw FS'!AV63</f>
        <v/>
      </c>
      <c r="M19" s="155">
        <f>'Raw FS'!AW63</f>
        <v/>
      </c>
      <c r="N19" s="150" t="n"/>
      <c r="O19" s="151">
        <f>$H19/K19</f>
        <v/>
      </c>
      <c r="P19" s="151">
        <f>$H19/L19</f>
        <v/>
      </c>
      <c r="Q19" s="151">
        <f>F19/M19</f>
        <v/>
      </c>
    </row>
    <row r="20">
      <c r="B20" s="150">
        <f>'Raw FS'!L65</f>
        <v/>
      </c>
      <c r="C20" s="150" t="n"/>
      <c r="D20" s="155">
        <f>'Raw FS'!M65</f>
        <v/>
      </c>
      <c r="E20" s="155">
        <f>'Raw FS'!N65</f>
        <v/>
      </c>
      <c r="F20" s="155">
        <f>D20*E20</f>
        <v/>
      </c>
      <c r="G20" s="155">
        <f>'Raw FS'!AS64</f>
        <v/>
      </c>
      <c r="H20" s="155">
        <f>'Raw FS'!AT64</f>
        <v/>
      </c>
      <c r="I20" s="150" t="n"/>
      <c r="J20" s="150" t="n"/>
      <c r="K20" s="155">
        <f>'Raw FS'!AU64</f>
        <v/>
      </c>
      <c r="L20" s="155">
        <f>'Raw FS'!AV64</f>
        <v/>
      </c>
      <c r="M20" s="155">
        <f>'Raw FS'!AW64</f>
        <v/>
      </c>
      <c r="N20" s="150" t="n"/>
      <c r="O20" s="151">
        <f>$H20/K20</f>
        <v/>
      </c>
      <c r="P20" s="151">
        <f>$H20/L20</f>
        <v/>
      </c>
      <c r="Q20" s="151">
        <f>F20/M20</f>
        <v/>
      </c>
    </row>
    <row r="21">
      <c r="B21" s="150">
        <f>'Raw FS'!L66</f>
        <v/>
      </c>
      <c r="C21" s="150" t="n"/>
      <c r="D21" s="155">
        <f>'Raw FS'!M66</f>
        <v/>
      </c>
      <c r="E21" s="155">
        <f>'Raw FS'!N66</f>
        <v/>
      </c>
      <c r="F21" s="155">
        <f>D21*E21</f>
        <v/>
      </c>
      <c r="G21" s="155">
        <f>'Raw FS'!AS65</f>
        <v/>
      </c>
      <c r="H21" s="155">
        <f>'Raw FS'!AT65</f>
        <v/>
      </c>
      <c r="I21" s="150" t="n"/>
      <c r="J21" s="150" t="n"/>
      <c r="K21" s="155">
        <f>'Raw FS'!AU65</f>
        <v/>
      </c>
      <c r="L21" s="155">
        <f>'Raw FS'!AV65</f>
        <v/>
      </c>
      <c r="M21" s="155">
        <f>'Raw FS'!AW65</f>
        <v/>
      </c>
      <c r="N21" s="150" t="n"/>
      <c r="O21" s="151">
        <f>$H21/K21</f>
        <v/>
      </c>
      <c r="P21" s="151">
        <f>$H21/L21</f>
        <v/>
      </c>
      <c r="Q21" s="151">
        <f>F21/M21</f>
        <v/>
      </c>
    </row>
    <row r="22" ht="6.6" customHeight="1" s="176"/>
    <row r="23">
      <c r="B23" s="79" t="inlineStr">
        <is>
          <t>High</t>
        </is>
      </c>
      <c r="C23" s="79" t="n"/>
      <c r="D23" s="79" t="n"/>
      <c r="E23" s="79" t="n"/>
      <c r="F23" s="79" t="n"/>
      <c r="G23" s="79" t="n"/>
      <c r="H23" s="79" t="n"/>
      <c r="I23" s="79" t="n"/>
      <c r="J23" s="79" t="n"/>
      <c r="K23" s="79" t="n"/>
      <c r="L23" s="79" t="n"/>
      <c r="M23" s="79" t="n"/>
      <c r="N23" s="79" t="n"/>
      <c r="O23" s="86">
        <f>MAX(O13:O21)</f>
        <v/>
      </c>
      <c r="P23" s="86">
        <f>MAX(P13:P21)</f>
        <v/>
      </c>
      <c r="Q23" s="86">
        <f>MAX(Q13:Q21)</f>
        <v/>
      </c>
    </row>
    <row r="24">
      <c r="B24" s="79" t="inlineStr">
        <is>
          <t>25th Percentile</t>
        </is>
      </c>
      <c r="C24" s="79" t="n"/>
      <c r="D24" s="79" t="n"/>
      <c r="E24" s="79" t="n"/>
      <c r="F24" s="79" t="n"/>
      <c r="G24" s="79" t="n"/>
      <c r="H24" s="79" t="n"/>
      <c r="I24" s="79" t="n"/>
      <c r="J24" s="79" t="n"/>
      <c r="K24" s="79" t="n"/>
      <c r="L24" s="79" t="n"/>
      <c r="M24" s="79" t="n"/>
      <c r="N24" s="79" t="n"/>
      <c r="O24" s="87">
        <f>QUARTILE(O13:O21,1)</f>
        <v/>
      </c>
      <c r="P24" s="87">
        <f>QUARTILE(P13:P21,1)</f>
        <v/>
      </c>
      <c r="Q24" s="87">
        <f>QUARTILE(Q13:Q21,1)</f>
        <v/>
      </c>
    </row>
    <row r="25">
      <c r="B25" s="152" t="inlineStr">
        <is>
          <t>Median</t>
        </is>
      </c>
      <c r="C25" s="152" t="n"/>
      <c r="D25" s="152" t="n"/>
      <c r="E25" s="152" t="n"/>
      <c r="F25" s="152" t="n"/>
      <c r="G25" s="152" t="n"/>
      <c r="H25" s="152" t="n"/>
      <c r="I25" s="152" t="n"/>
      <c r="J25" s="152" t="n"/>
      <c r="K25" s="152" t="n"/>
      <c r="L25" s="152" t="n"/>
      <c r="M25" s="152" t="n"/>
      <c r="N25" s="152" t="n"/>
      <c r="O25" s="153">
        <f>MEDIAN(O13:O21)</f>
        <v/>
      </c>
      <c r="P25" s="153">
        <f>MEDIAN(P13:P21)</f>
        <v/>
      </c>
      <c r="Q25" s="153">
        <f>MEDIAN(Q13:Q21)</f>
        <v/>
      </c>
    </row>
    <row r="26">
      <c r="B26" s="152" t="inlineStr">
        <is>
          <t>Average</t>
        </is>
      </c>
      <c r="C26" s="152" t="n"/>
      <c r="D26" s="152" t="n"/>
      <c r="E26" s="152" t="n"/>
      <c r="F26" s="152" t="n"/>
      <c r="G26" s="152" t="n"/>
      <c r="H26" s="152" t="n"/>
      <c r="I26" s="152" t="n"/>
      <c r="J26" s="152" t="n"/>
      <c r="K26" s="152" t="n"/>
      <c r="L26" s="152" t="n"/>
      <c r="M26" s="152" t="n"/>
      <c r="N26" s="152" t="n"/>
      <c r="O26" s="153">
        <f>AVERAGE(O13:O21)</f>
        <v/>
      </c>
      <c r="P26" s="153">
        <f>AVERAGE(P13:P21)</f>
        <v/>
      </c>
      <c r="Q26" s="153">
        <f>AVERAGE(Q13:Q21)</f>
        <v/>
      </c>
    </row>
    <row r="27">
      <c r="B27" s="79" t="inlineStr">
        <is>
          <t>75th Percentile</t>
        </is>
      </c>
      <c r="C27" s="79" t="n"/>
      <c r="D27" s="79" t="n"/>
      <c r="E27" s="79" t="n"/>
      <c r="F27" s="79" t="n"/>
      <c r="G27" s="79" t="n"/>
      <c r="H27" s="79" t="n"/>
      <c r="I27" s="79" t="n"/>
      <c r="J27" s="79" t="n"/>
      <c r="K27" s="79" t="n"/>
      <c r="L27" s="79" t="n"/>
      <c r="M27" s="79" t="n"/>
      <c r="N27" s="79" t="n"/>
      <c r="O27" s="87">
        <f>QUARTILE(O13:O21,3)</f>
        <v/>
      </c>
      <c r="P27" s="87">
        <f>QUARTILE(P13:P21,3)</f>
        <v/>
      </c>
      <c r="Q27" s="87">
        <f>QUARTILE(Q13:Q21,3)</f>
        <v/>
      </c>
    </row>
    <row r="28">
      <c r="B28" s="79" t="inlineStr">
        <is>
          <t>Low</t>
        </is>
      </c>
      <c r="C28" s="79" t="n"/>
      <c r="D28" s="79" t="n"/>
      <c r="E28" s="79" t="n"/>
      <c r="F28" s="79" t="n"/>
      <c r="G28" s="79" t="n"/>
      <c r="H28" s="79" t="n"/>
      <c r="I28" s="79" t="n"/>
      <c r="J28" s="79" t="n"/>
      <c r="K28" s="79" t="n"/>
      <c r="L28" s="79" t="n"/>
      <c r="M28" s="79" t="n"/>
      <c r="N28" s="79" t="n"/>
      <c r="O28" s="86">
        <f>MIN(O13:O21)</f>
        <v/>
      </c>
      <c r="P28" s="86">
        <f>MIN(P13:P21)</f>
        <v/>
      </c>
      <c r="Q28" s="86">
        <f>MIN(Q13:Q21)</f>
        <v/>
      </c>
    </row>
    <row r="30">
      <c r="B30" s="84" t="inlineStr">
        <is>
          <t>Maruti Suzuki India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K12*O26</f>
        <v/>
      </c>
      <c r="P32" s="155">
        <f>L12*P26</f>
        <v/>
      </c>
      <c r="Q32" s="155">
        <f>M12*Q26</f>
        <v/>
      </c>
    </row>
    <row r="33">
      <c r="B33" s="150" t="inlineStr">
        <is>
          <t>Net Debt Value</t>
        </is>
      </c>
      <c r="C33" s="150" t="n"/>
      <c r="D33" s="150" t="n"/>
      <c r="E33" s="150" t="n"/>
      <c r="F33" s="150" t="n"/>
      <c r="G33" s="150" t="n"/>
      <c r="H33" s="150" t="n"/>
      <c r="I33" s="150" t="n"/>
      <c r="J33" s="150" t="n"/>
      <c r="K33" s="150" t="n"/>
      <c r="L33" s="150" t="n"/>
      <c r="M33" s="150" t="n"/>
      <c r="N33" s="150" t="n"/>
      <c r="O33" s="155">
        <f>$G$12</f>
        <v/>
      </c>
      <c r="P33" s="155">
        <f>$G$12</f>
        <v/>
      </c>
      <c r="Q33" s="155">
        <f>$G$12</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$E$12</f>
        <v/>
      </c>
      <c r="P35" s="155">
        <f>$E$12</f>
        <v/>
      </c>
      <c r="Q35" s="155">
        <f>$E$12</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O39">
        <f>IF(O37="N/A","N/A",IF(O37&gt;$D$12,TEXT((O37-$D$12)/$D$12,"0.0%")&amp;" Discount",TEXT(($D$12-O37)/$D$12,"0.0%")&amp;" Premium"))</f>
        <v/>
      </c>
      <c r="P39">
        <f>IF(P37="N/A","N/A",IF(P37&gt;$D$12,TEXT((P37-$D$12)/$D$12,"0.0%")&amp;" Discount",TEXT(($D$12-P37)/$D$12,"0.0%")&amp;" Premium"))</f>
        <v/>
      </c>
      <c r="Q39">
        <f>IF(Q37="N/A","N/A",IF(Q37&gt;$D$12,TEXT((Q37-$D$12)/$D$12,"0.0%")&amp;" Discount",TEXT(($D$12-Q37)/$D$12,"0.0%")&amp;" Premium"))</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4.2" customHeight="1" s="176">
      <c r="B7" s="37" t="n"/>
    </row>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Maruti Suzuki India - Voltas among 7 stocks hitting 52-week low; slipped up to 10% in a month</t>
        </is>
      </c>
    </row>
    <row r="38"/>
    <row r="39">
      <c r="A39" t="inlineStr">
        <is>
          <t>•</t>
        </is>
      </c>
      <c r="B39" s="184" t="inlineStr">
        <is>
          <t>Britannia Industries - Maruti Suzuki among 8 large-cap stocks to hit 52-week lows and fall up to 12% in a month</t>
        </is>
      </c>
    </row>
    <row r="40"/>
    <row r="41">
      <c r="A41" t="inlineStr">
        <is>
          <t>•</t>
        </is>
      </c>
      <c r="B41" s="184" t="inlineStr">
        <is>
          <t>Maruti Suzuki launches Auto Green Mission with automatic S-CNG Swift, Dzire and Baleno</t>
        </is>
      </c>
    </row>
    <row r="42"/>
    <row r="43">
      <c r="A43" t="inlineStr">
        <is>
          <t>•</t>
        </is>
      </c>
      <c r="B43" s="184" t="inlineStr">
        <is>
          <t>Maruti Suzuki records 1 million vehicle dispatches through in-plant railway sidings in Gujarat, Haryana</t>
        </is>
      </c>
    </row>
    <row r="44"/>
    <row r="45">
      <c r="A45" t="inlineStr">
        <is>
          <t>•</t>
        </is>
      </c>
      <c r="B45" s="184" t="inlineStr">
        <is>
          <t>Shree Cement - Maruti Suzuki among 8 large-cap stocks to hit 52-week lows and fall up to 12% in a month</t>
        </is>
      </c>
    </row>
    <row r="46"/>
    <row r="47">
      <c r="A47" t="inlineStr">
        <is>
          <t>•</t>
        </is>
      </c>
      <c r="B47" s="184" t="inlineStr">
        <is>
          <t>Maruti Suzuki India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6.6" customHeight="1" s="176"/>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Maruti Suzuki India - Voltas among 7 stocks hitting 52-week low; slipped up to 10% in a month</t>
        </is>
      </c>
    </row>
    <row r="37"/>
    <row r="38" ht="14.4" customHeight="1" s="176">
      <c r="A38" t="inlineStr">
        <is>
          <t>•</t>
        </is>
      </c>
      <c r="B38" s="184" t="inlineStr">
        <is>
          <t>Britannia Industries - Maruti Suzuki among 8 large-cap stocks to hit 52-week lows and fall up to 12% in a month</t>
        </is>
      </c>
    </row>
    <row r="39"/>
    <row r="40" ht="20.4" customHeight="1" s="176">
      <c r="A40" t="inlineStr">
        <is>
          <t>•</t>
        </is>
      </c>
      <c r="B40" s="184" t="inlineStr">
        <is>
          <t>Maruti Suzuki launches Auto Green Mission with automatic S-CNG Swift, Dzire and Baleno</t>
        </is>
      </c>
    </row>
    <row r="41"/>
    <row r="42">
      <c r="A42" t="inlineStr">
        <is>
          <t>•</t>
        </is>
      </c>
      <c r="B42" s="184" t="inlineStr">
        <is>
          <t>Maruti Suzuki records 1 million vehicle dispatches through in-plant railway sidings in Gujarat, Haryana</t>
        </is>
      </c>
    </row>
    <row r="43"/>
    <row r="44">
      <c r="A44" t="inlineStr">
        <is>
          <t>•</t>
        </is>
      </c>
      <c r="B44" s="184" t="inlineStr">
        <is>
          <t>Shree Cement - Maruti Suzuki among 8 large-cap stocks to hit 52-week lows and fall up to 12% in a month</t>
        </is>
      </c>
    </row>
    <row r="45"/>
    <row r="46">
      <c r="A46" t="inlineStr">
        <is>
          <t>•</t>
        </is>
      </c>
      <c r="B46" s="184" t="inlineStr">
        <is>
          <t>Maruti Suzuki India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O3" s="40" t="n"/>
      <c r="S3" s="35" t="n">
        <v>42064</v>
      </c>
      <c r="T3" s="35" t="n">
        <v>42430</v>
      </c>
      <c r="U3" s="35" t="n">
        <v>42795</v>
      </c>
      <c r="V3" s="35" t="n">
        <v>43160</v>
      </c>
      <c r="W3" s="35" t="n">
        <v>43525</v>
      </c>
      <c r="X3" s="35" t="n">
        <v>43891</v>
      </c>
      <c r="Y3" s="35" t="n">
        <v>44256</v>
      </c>
      <c r="Z3" s="35" t="n">
        <v>44621</v>
      </c>
      <c r="AA3" s="35" t="n">
        <v>44986</v>
      </c>
      <c r="AB3" s="35" t="n">
        <v>45352</v>
      </c>
      <c r="AC3" s="35" t="n">
        <v>45717</v>
      </c>
      <c r="AD3" s="35" t="n">
        <v>46082</v>
      </c>
      <c r="AE3" t="inlineStr">
        <is>
          <t>TTM</t>
        </is>
      </c>
    </row>
    <row r="4">
      <c r="C4" s="35" t="n"/>
      <c r="D4" s="35" t="n"/>
      <c r="E4" s="35" t="n"/>
      <c r="F4" s="35" t="n"/>
      <c r="G4" s="35" t="n"/>
      <c r="H4" s="35" t="n"/>
      <c r="I4" s="35" t="n"/>
      <c r="J4" s="35" t="n"/>
      <c r="K4" s="35" t="n"/>
      <c r="L4" s="35" t="n"/>
      <c r="M4" s="35" t="n"/>
      <c r="N4" s="35" t="n"/>
      <c r="O4" s="35" t="n"/>
      <c r="R4" t="inlineStr">
        <is>
          <t>Sales +</t>
        </is>
      </c>
      <c r="S4" s="73" t="n">
        <v>50801</v>
      </c>
      <c r="T4" s="73" t="n">
        <v>57589</v>
      </c>
      <c r="U4" s="73" t="n">
        <v>68085</v>
      </c>
      <c r="V4" s="73" t="n">
        <v>79809</v>
      </c>
      <c r="W4" s="73" t="n">
        <v>86068</v>
      </c>
      <c r="X4" s="73" t="n">
        <v>75660</v>
      </c>
      <c r="Y4" s="73" t="n">
        <v>70372</v>
      </c>
      <c r="Z4" s="73" t="n">
        <v>88330</v>
      </c>
      <c r="AA4" s="73" t="n">
        <v>118410</v>
      </c>
      <c r="AB4" s="73" t="n">
        <v>141858</v>
      </c>
      <c r="AC4" s="73" t="n">
        <v>152913</v>
      </c>
      <c r="AD4" s="73" t="n">
        <v>183316</v>
      </c>
      <c r="AE4" s="73" t="n">
        <v>197181</v>
      </c>
    </row>
    <row r="5">
      <c r="B5" s="35" t="inlineStr">
        <is>
          <t>Equity Capital</t>
        </is>
      </c>
      <c r="C5" t="n">
        <v>151</v>
      </c>
      <c r="D5" s="47" t="n">
        <v>151</v>
      </c>
      <c r="E5" s="47" t="n">
        <v>151</v>
      </c>
      <c r="F5" s="47" t="n">
        <v>151</v>
      </c>
      <c r="G5" s="47" t="n">
        <v>151</v>
      </c>
      <c r="H5" s="47" t="n">
        <v>151</v>
      </c>
      <c r="I5" s="47" t="n">
        <v>151</v>
      </c>
      <c r="J5" s="47" t="n">
        <v>151</v>
      </c>
      <c r="K5" s="47" t="n">
        <v>157</v>
      </c>
      <c r="L5" s="47" t="n">
        <v>157</v>
      </c>
      <c r="M5" s="47" t="n">
        <v>157</v>
      </c>
      <c r="N5" s="47" t="n">
        <v>157</v>
      </c>
      <c r="R5" t="inlineStr">
        <is>
          <t>Expenses +</t>
        </is>
      </c>
      <c r="S5" s="73" t="n">
        <v>43909</v>
      </c>
      <c r="T5" s="73" t="n">
        <v>48565</v>
      </c>
      <c r="U5" s="73" t="n">
        <v>57664</v>
      </c>
      <c r="V5" s="73" t="n">
        <v>67692</v>
      </c>
      <c r="W5" s="73" t="n">
        <v>75012</v>
      </c>
      <c r="X5" s="73" t="n">
        <v>68305</v>
      </c>
      <c r="Y5" s="73" t="n">
        <v>64961</v>
      </c>
      <c r="Z5" s="73" t="n">
        <v>82578</v>
      </c>
      <c r="AA5" s="73" t="n">
        <v>105288</v>
      </c>
      <c r="AB5" s="73" t="n">
        <v>123232</v>
      </c>
      <c r="AC5" s="73" t="n">
        <v>132689</v>
      </c>
      <c r="AD5" s="73" t="n">
        <v>161786</v>
      </c>
      <c r="AE5" s="73" t="n">
        <v>176050</v>
      </c>
    </row>
    <row r="6">
      <c r="B6" t="inlineStr">
        <is>
          <t>Reserves</t>
        </is>
      </c>
      <c r="C6" s="73" t="n">
        <v>24167</v>
      </c>
      <c r="D6" s="73" t="n">
        <v>30465</v>
      </c>
      <c r="E6" s="73" t="n">
        <v>36924</v>
      </c>
      <c r="F6" s="73" t="n">
        <v>42408</v>
      </c>
      <c r="G6" s="73" t="n">
        <v>46941</v>
      </c>
      <c r="H6" s="73" t="n">
        <v>49262</v>
      </c>
      <c r="I6" s="73" t="n">
        <v>52350</v>
      </c>
      <c r="J6" s="73" t="n">
        <v>55182</v>
      </c>
      <c r="K6" s="73" t="n">
        <v>74443</v>
      </c>
      <c r="L6" s="73" t="n">
        <v>85479</v>
      </c>
      <c r="M6" s="73" t="n">
        <v>96083</v>
      </c>
      <c r="N6" s="73" t="n">
        <v>106999</v>
      </c>
      <c r="O6" s="73" t="n"/>
      <c r="R6" t="inlineStr">
        <is>
          <t>Operating Profit</t>
        </is>
      </c>
      <c r="S6" s="73" t="n">
        <v>6892</v>
      </c>
      <c r="T6" s="73" t="n">
        <v>9024</v>
      </c>
      <c r="U6" s="73" t="n">
        <v>10421</v>
      </c>
      <c r="V6" s="73" t="n">
        <v>12118</v>
      </c>
      <c r="W6" s="73" t="n">
        <v>11056</v>
      </c>
      <c r="X6" s="73" t="n">
        <v>7355</v>
      </c>
      <c r="Y6" s="73" t="n">
        <v>5411</v>
      </c>
      <c r="Z6" s="73" t="n">
        <v>5752</v>
      </c>
      <c r="AA6" s="73" t="n">
        <v>13122</v>
      </c>
      <c r="AB6" s="73" t="n">
        <v>18626</v>
      </c>
      <c r="AC6" s="73" t="n">
        <v>20224</v>
      </c>
      <c r="AD6" s="73" t="n">
        <v>21530</v>
      </c>
      <c r="AE6" s="73" t="n">
        <v>21131</v>
      </c>
    </row>
    <row r="7">
      <c r="B7" s="73" t="inlineStr">
        <is>
          <t>Borrowings -</t>
        </is>
      </c>
      <c r="C7" s="73" t="n">
        <v>666</v>
      </c>
      <c r="D7" s="73" t="n">
        <v>231</v>
      </c>
      <c r="E7" s="73" t="n">
        <v>484</v>
      </c>
      <c r="F7" s="73" t="n">
        <v>121</v>
      </c>
      <c r="G7" s="73" t="n">
        <v>160</v>
      </c>
      <c r="H7" s="73" t="n">
        <v>184</v>
      </c>
      <c r="I7" s="73" t="n">
        <v>541</v>
      </c>
      <c r="J7" s="73" t="n">
        <v>426</v>
      </c>
      <c r="K7" s="73" t="n">
        <v>1248</v>
      </c>
      <c r="L7" s="73" t="n">
        <v>119</v>
      </c>
      <c r="M7" s="73" t="n">
        <v>87</v>
      </c>
      <c r="N7" s="73" t="n">
        <v>102</v>
      </c>
      <c r="O7" s="73" t="n"/>
      <c r="R7" t="inlineStr">
        <is>
          <t>OPM %</t>
        </is>
      </c>
      <c r="S7" s="75" t="n">
        <v>14</v>
      </c>
      <c r="T7" s="75" t="n">
        <v>16</v>
      </c>
      <c r="U7" s="75" t="n">
        <v>15</v>
      </c>
      <c r="V7" s="75" t="n">
        <v>15</v>
      </c>
      <c r="W7" s="75" t="n">
        <v>13</v>
      </c>
      <c r="X7" s="75" t="n">
        <v>10</v>
      </c>
      <c r="Y7" s="75" t="n">
        <v>8</v>
      </c>
      <c r="Z7" s="75" t="n">
        <v>7</v>
      </c>
      <c r="AA7" s="75" t="n">
        <v>11</v>
      </c>
      <c r="AB7" s="75" t="n">
        <v>13</v>
      </c>
      <c r="AC7" s="75" t="n">
        <v>13</v>
      </c>
      <c r="AD7" s="75" t="n">
        <v>12</v>
      </c>
      <c r="AE7" s="75" t="n">
        <v>11</v>
      </c>
    </row>
    <row r="8">
      <c r="B8" s="73" t="inlineStr">
        <is>
          <t>Long term Borrowings</t>
        </is>
      </c>
      <c r="C8" s="73" t="n">
        <v>278</v>
      </c>
      <c r="D8" s="73" t="n">
        <v>0</v>
      </c>
      <c r="E8" s="73" t="n">
        <v>0</v>
      </c>
      <c r="F8" s="73" t="n">
        <v>10</v>
      </c>
      <c r="G8" s="73" t="n">
        <v>8</v>
      </c>
      <c r="H8" s="73" t="n">
        <v>5</v>
      </c>
      <c r="I8" s="73" t="n">
        <v>3</v>
      </c>
      <c r="J8" s="73" t="n">
        <v>0</v>
      </c>
      <c r="K8" s="73" t="n">
        <v>0</v>
      </c>
      <c r="L8" s="73" t="n">
        <v>0</v>
      </c>
      <c r="M8" s="73" t="n">
        <v>0</v>
      </c>
      <c r="N8" s="73" t="n">
        <v>0</v>
      </c>
      <c r="R8" t="inlineStr">
        <is>
          <t>Other Income +</t>
        </is>
      </c>
      <c r="S8" s="73" t="n">
        <v>817</v>
      </c>
      <c r="T8" s="73" t="n">
        <v>1464</v>
      </c>
      <c r="U8" s="73" t="n">
        <v>2399</v>
      </c>
      <c r="V8" s="73" t="n">
        <v>2155</v>
      </c>
      <c r="W8" s="73" t="n">
        <v>2664</v>
      </c>
      <c r="X8" s="73" t="n">
        <v>3410</v>
      </c>
      <c r="Y8" s="73" t="n">
        <v>3046</v>
      </c>
      <c r="Z8" s="73" t="n">
        <v>1861</v>
      </c>
      <c r="AA8" s="73" t="n">
        <v>2415</v>
      </c>
      <c r="AB8" s="73" t="n">
        <v>4248</v>
      </c>
      <c r="AC8" s="73" t="n">
        <v>5199</v>
      </c>
      <c r="AD8" s="73" t="n">
        <v>4569</v>
      </c>
      <c r="AE8" s="73" t="n">
        <v>4707</v>
      </c>
    </row>
    <row r="9">
      <c r="B9" t="inlineStr">
        <is>
          <t>Short term Borrowings</t>
        </is>
      </c>
      <c r="C9" t="n">
        <v>52</v>
      </c>
      <c r="D9" t="n">
        <v>77</v>
      </c>
      <c r="E9" t="n">
        <v>484</v>
      </c>
      <c r="F9" t="n">
        <v>111</v>
      </c>
      <c r="G9" t="n">
        <v>150</v>
      </c>
      <c r="H9" t="n">
        <v>106</v>
      </c>
      <c r="I9" t="n">
        <v>489</v>
      </c>
      <c r="J9" t="n">
        <v>382</v>
      </c>
      <c r="K9" t="n">
        <v>1216</v>
      </c>
      <c r="L9" t="n">
        <v>33</v>
      </c>
      <c r="M9" t="n">
        <v>0</v>
      </c>
      <c r="N9" s="73" t="n">
        <v>0</v>
      </c>
      <c r="R9" t="inlineStr">
        <is>
          <t>Interest</t>
        </is>
      </c>
      <c r="S9" t="n">
        <v>218</v>
      </c>
      <c r="T9" t="n">
        <v>82</v>
      </c>
      <c r="U9" t="n">
        <v>89</v>
      </c>
      <c r="V9" t="n">
        <v>346</v>
      </c>
      <c r="W9" t="n">
        <v>76</v>
      </c>
      <c r="X9" t="n">
        <v>134</v>
      </c>
      <c r="Y9" t="n">
        <v>102</v>
      </c>
      <c r="Z9" t="n">
        <v>127</v>
      </c>
      <c r="AA9" t="n">
        <v>252</v>
      </c>
      <c r="AB9" t="n">
        <v>194</v>
      </c>
      <c r="AC9" t="n">
        <v>194</v>
      </c>
      <c r="AD9" t="n">
        <v>239</v>
      </c>
      <c r="AE9" t="n">
        <v>255</v>
      </c>
    </row>
    <row r="10">
      <c r="B10" t="inlineStr">
        <is>
          <t>Lease Liabilities</t>
        </is>
      </c>
      <c r="C10" t="n">
        <v>0</v>
      </c>
      <c r="D10" t="n">
        <v>0</v>
      </c>
      <c r="E10" t="n">
        <v>0</v>
      </c>
      <c r="F10" t="n">
        <v>0</v>
      </c>
      <c r="G10" t="n">
        <v>0</v>
      </c>
      <c r="H10" t="n">
        <v>70</v>
      </c>
      <c r="I10" t="n">
        <v>47</v>
      </c>
      <c r="J10" t="n">
        <v>41</v>
      </c>
      <c r="K10" t="n">
        <v>32</v>
      </c>
      <c r="L10" t="n">
        <v>86</v>
      </c>
      <c r="M10" t="n">
        <v>87</v>
      </c>
      <c r="N10" t="n">
        <v>102</v>
      </c>
      <c r="O10" s="73" t="n"/>
      <c r="R10" t="inlineStr">
        <is>
          <t>Depreciation</t>
        </is>
      </c>
      <c r="S10" s="73" t="n">
        <v>2515</v>
      </c>
      <c r="T10" s="73" t="n">
        <v>2822</v>
      </c>
      <c r="U10" s="73" t="n">
        <v>2604</v>
      </c>
      <c r="V10" s="73" t="n">
        <v>2760</v>
      </c>
      <c r="W10" s="73" t="n">
        <v>3021</v>
      </c>
      <c r="X10" s="73" t="n">
        <v>3528</v>
      </c>
      <c r="Y10" s="73" t="n">
        <v>3034</v>
      </c>
      <c r="Z10" s="73" t="n">
        <v>2789</v>
      </c>
      <c r="AA10" s="73" t="n">
        <v>4846</v>
      </c>
      <c r="AB10" s="73" t="n">
        <v>5256</v>
      </c>
      <c r="AC10" s="73" t="n">
        <v>5608</v>
      </c>
      <c r="AD10" s="73" t="n">
        <v>6742</v>
      </c>
      <c r="AE10" s="73" t="n">
        <v>6966</v>
      </c>
    </row>
    <row r="11">
      <c r="B11" s="73" t="inlineStr">
        <is>
          <t>Other Borrowings</t>
        </is>
      </c>
      <c r="C11" s="73" t="n">
        <v>335</v>
      </c>
      <c r="D11" s="73" t="n">
        <v>154</v>
      </c>
      <c r="E11" s="73" t="n">
        <v>0</v>
      </c>
      <c r="F11" s="73" t="n">
        <v>0</v>
      </c>
      <c r="G11" s="73" t="n">
        <v>2</v>
      </c>
      <c r="H11" s="73" t="n">
        <v>2</v>
      </c>
      <c r="I11" s="73" t="n">
        <v>3</v>
      </c>
      <c r="J11" s="73" t="n">
        <v>3</v>
      </c>
      <c r="K11" s="73" t="n">
        <v>0</v>
      </c>
      <c r="L11" s="73" t="n">
        <v>0</v>
      </c>
      <c r="M11" s="73" t="n">
        <v>0</v>
      </c>
      <c r="N11" s="73" t="n">
        <v>0</v>
      </c>
      <c r="O11" s="73" t="n"/>
      <c r="R11" t="inlineStr">
        <is>
          <t>Profit before tax</t>
        </is>
      </c>
      <c r="S11" s="73" t="n">
        <v>4976</v>
      </c>
      <c r="T11" s="73" t="n">
        <v>7585</v>
      </c>
      <c r="U11" s="73" t="n">
        <v>10127</v>
      </c>
      <c r="V11" s="73" t="n">
        <v>11167</v>
      </c>
      <c r="W11" s="73" t="n">
        <v>10624</v>
      </c>
      <c r="X11" s="73" t="n">
        <v>7103</v>
      </c>
      <c r="Y11" s="73" t="n">
        <v>5321</v>
      </c>
      <c r="Z11" s="73" t="n">
        <v>4697</v>
      </c>
      <c r="AA11" s="73" t="n">
        <v>10438</v>
      </c>
      <c r="AB11" s="73" t="n">
        <v>17424</v>
      </c>
      <c r="AC11" s="73" t="n">
        <v>19620</v>
      </c>
      <c r="AD11" s="73" t="n">
        <v>19118</v>
      </c>
      <c r="AE11" s="73" t="n">
        <v>18616</v>
      </c>
    </row>
    <row r="12">
      <c r="B12" s="73" t="inlineStr">
        <is>
          <t>Other Liabilities -</t>
        </is>
      </c>
      <c r="C12" s="73" t="n">
        <v>9492</v>
      </c>
      <c r="D12" s="73" t="n">
        <v>11879</v>
      </c>
      <c r="E12" s="73" t="n">
        <v>14402</v>
      </c>
      <c r="F12" s="73" t="n">
        <v>17568</v>
      </c>
      <c r="G12" s="73" t="n">
        <v>16717</v>
      </c>
      <c r="H12" s="73" t="n">
        <v>14031</v>
      </c>
      <c r="I12" s="73" t="n">
        <v>18335</v>
      </c>
      <c r="J12" s="73" t="n">
        <v>18896</v>
      </c>
      <c r="K12" s="73" t="n">
        <v>24258</v>
      </c>
      <c r="L12" s="73" t="n">
        <v>29550</v>
      </c>
      <c r="M12" s="73" t="n">
        <v>34689</v>
      </c>
      <c r="N12" s="73" t="n">
        <v>41622</v>
      </c>
      <c r="R12" t="inlineStr">
        <is>
          <t>Tax %</t>
        </is>
      </c>
      <c r="S12" s="75" t="n">
        <v>24</v>
      </c>
      <c r="T12" s="75" t="n">
        <v>28</v>
      </c>
      <c r="U12" s="75" t="n">
        <v>26</v>
      </c>
      <c r="V12" s="75" t="n">
        <v>29</v>
      </c>
      <c r="W12" s="75" t="n">
        <v>28</v>
      </c>
      <c r="X12" s="75" t="n">
        <v>20</v>
      </c>
      <c r="Y12" s="75" t="n">
        <v>18</v>
      </c>
      <c r="Z12" s="75" t="n">
        <v>17</v>
      </c>
      <c r="AA12" s="75" t="n">
        <v>21</v>
      </c>
      <c r="AB12" s="75" t="n">
        <v>23</v>
      </c>
      <c r="AC12" s="75" t="n">
        <v>26</v>
      </c>
      <c r="AD12" s="75" t="n">
        <v>23</v>
      </c>
      <c r="AE12" t="n">
        <v>0</v>
      </c>
    </row>
    <row r="13">
      <c r="B13" t="inlineStr">
        <is>
          <t>Non controlling int</t>
        </is>
      </c>
      <c r="C13" t="n">
        <v>13</v>
      </c>
      <c r="D13" t="n">
        <v>14</v>
      </c>
      <c r="E13" t="n">
        <v>15</v>
      </c>
      <c r="F13" t="n">
        <v>16</v>
      </c>
      <c r="G13" t="n">
        <v>18</v>
      </c>
      <c r="H13" t="n">
        <v>19</v>
      </c>
      <c r="I13" t="n">
        <v>0</v>
      </c>
      <c r="J13" t="n">
        <v>0</v>
      </c>
      <c r="K13" t="n">
        <v>0</v>
      </c>
      <c r="L13" t="n">
        <v>0</v>
      </c>
      <c r="M13" t="n">
        <v>0</v>
      </c>
      <c r="N13" t="n">
        <v>0</v>
      </c>
      <c r="O13" s="73" t="n"/>
      <c r="R13" t="inlineStr">
        <is>
          <t>Net Profit +</t>
        </is>
      </c>
      <c r="S13" s="73" t="n">
        <v>3809</v>
      </c>
      <c r="T13" s="73" t="n">
        <v>5497</v>
      </c>
      <c r="U13" s="73" t="n">
        <v>7511</v>
      </c>
      <c r="V13" s="73" t="n">
        <v>7881</v>
      </c>
      <c r="W13" s="73" t="n">
        <v>7651</v>
      </c>
      <c r="X13" s="73" t="n">
        <v>5678</v>
      </c>
      <c r="Y13" s="73" t="n">
        <v>4389</v>
      </c>
      <c r="Z13" s="73" t="n">
        <v>3880</v>
      </c>
      <c r="AA13" s="73" t="n">
        <v>8264</v>
      </c>
      <c r="AB13" s="73" t="n">
        <v>13488</v>
      </c>
      <c r="AC13" s="73" t="n">
        <v>14500</v>
      </c>
      <c r="AD13" s="73" t="n">
        <v>14680</v>
      </c>
      <c r="AE13" s="73" t="n">
        <v>14334</v>
      </c>
    </row>
    <row r="14">
      <c r="B14" s="73" t="inlineStr">
        <is>
          <t>Trade Payables</t>
        </is>
      </c>
      <c r="C14" s="73" t="n">
        <v>5514</v>
      </c>
      <c r="D14" s="73" t="n">
        <v>7409</v>
      </c>
      <c r="E14" s="73" t="n">
        <v>8369</v>
      </c>
      <c r="F14" s="73" t="n">
        <v>10499</v>
      </c>
      <c r="G14" s="73" t="n">
        <v>9638</v>
      </c>
      <c r="H14" s="73" t="n">
        <v>7499</v>
      </c>
      <c r="I14" s="73" t="n">
        <v>10168</v>
      </c>
      <c r="J14" s="73" t="n">
        <v>9765</v>
      </c>
      <c r="K14" s="73" t="n">
        <v>13676</v>
      </c>
      <c r="L14" s="73" t="n">
        <v>16988</v>
      </c>
      <c r="M14" s="73" t="n">
        <v>16922</v>
      </c>
      <c r="N14" s="73" t="n">
        <v>22134</v>
      </c>
      <c r="S14" t="n">
        <v>126.04</v>
      </c>
      <c r="T14" t="n">
        <v>181.98</v>
      </c>
      <c r="U14" t="n">
        <v>248.61</v>
      </c>
      <c r="V14" t="n">
        <v>260.86</v>
      </c>
      <c r="W14" t="n">
        <v>253.21</v>
      </c>
      <c r="X14" t="n">
        <v>187.9</v>
      </c>
      <c r="Y14" t="n">
        <v>145.3</v>
      </c>
      <c r="Z14" t="n">
        <v>128.43</v>
      </c>
      <c r="AA14" t="n">
        <v>273.56</v>
      </c>
      <c r="AB14" t="n">
        <v>429.01</v>
      </c>
      <c r="AC14" t="n">
        <v>461.2</v>
      </c>
      <c r="AD14" t="n">
        <v>466.9</v>
      </c>
      <c r="AE14" t="n">
        <v>455.91</v>
      </c>
    </row>
    <row r="15">
      <c r="B15" t="inlineStr">
        <is>
          <t>Advance from Customers</t>
        </is>
      </c>
      <c r="C15" t="n">
        <v>428</v>
      </c>
      <c r="D15" t="n">
        <v>506</v>
      </c>
      <c r="E15" t="n">
        <v>941</v>
      </c>
      <c r="F15" t="n">
        <v>1152</v>
      </c>
      <c r="G15" t="n">
        <v>418</v>
      </c>
      <c r="H15" t="n">
        <v>468</v>
      </c>
      <c r="I15" t="n">
        <v>1019</v>
      </c>
      <c r="J15" s="73" t="n">
        <v>1124</v>
      </c>
      <c r="K15" s="73" t="n">
        <v>1463</v>
      </c>
      <c r="L15" t="n">
        <v>1464</v>
      </c>
      <c r="M15" s="73" t="n">
        <v>1136</v>
      </c>
      <c r="N15" s="73" t="n">
        <v>2250</v>
      </c>
      <c r="O15" s="73" t="n"/>
      <c r="S15" t="n">
        <v>20</v>
      </c>
      <c r="T15" t="n">
        <v>19</v>
      </c>
      <c r="U15" t="n">
        <v>30</v>
      </c>
      <c r="V15" t="n">
        <v>31</v>
      </c>
      <c r="W15" t="n">
        <v>32</v>
      </c>
      <c r="X15" t="n">
        <v>32</v>
      </c>
      <c r="Y15" t="n">
        <v>31</v>
      </c>
      <c r="Z15" t="n">
        <v>47</v>
      </c>
      <c r="AA15" t="n">
        <v>34</v>
      </c>
      <c r="AB15" t="n">
        <v>29</v>
      </c>
      <c r="AC15" t="n">
        <v>29</v>
      </c>
      <c r="AD15" t="n">
        <v>30</v>
      </c>
      <c r="AE15" t="n">
        <v>0</v>
      </c>
    </row>
    <row r="16">
      <c r="B16" s="73" t="inlineStr">
        <is>
          <t>Other liability items</t>
        </is>
      </c>
      <c r="C16" s="73" t="n">
        <v>3538</v>
      </c>
      <c r="D16" s="73" t="n">
        <v>3950</v>
      </c>
      <c r="E16" s="73" t="n">
        <v>5076</v>
      </c>
      <c r="F16" s="73" t="n">
        <v>5900</v>
      </c>
      <c r="G16" s="73" t="n">
        <v>6644</v>
      </c>
      <c r="H16" s="73" t="n">
        <v>6045</v>
      </c>
      <c r="I16" s="73" t="n">
        <v>7148</v>
      </c>
      <c r="J16" s="73" t="n">
        <v>8007</v>
      </c>
      <c r="K16" s="73" t="n">
        <v>9120</v>
      </c>
      <c r="L16" s="73" t="n">
        <v>11098</v>
      </c>
      <c r="M16" s="73" t="n">
        <v>16631</v>
      </c>
      <c r="N16" s="73" t="n">
        <v>17238</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34477</v>
      </c>
      <c r="D18" s="71" t="n">
        <v>42726</v>
      </c>
      <c r="E18" s="71" t="n">
        <v>51960</v>
      </c>
      <c r="F18" s="71" t="n">
        <v>60248</v>
      </c>
      <c r="G18" s="71" t="n">
        <v>63969</v>
      </c>
      <c r="H18" s="71" t="n">
        <v>63628</v>
      </c>
      <c r="I18" s="71" t="n">
        <v>71376</v>
      </c>
      <c r="J18" s="71" t="n">
        <v>74656</v>
      </c>
      <c r="K18" s="71" t="n">
        <v>100106</v>
      </c>
      <c r="L18" s="71" t="n">
        <v>115304</v>
      </c>
      <c r="M18" s="71" t="n">
        <v>131016</v>
      </c>
      <c r="N18" s="71" t="n">
        <v>148880</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6449</v>
      </c>
      <c r="T19" s="73" t="n">
        <v>8482</v>
      </c>
      <c r="U19" s="73" t="n">
        <v>10282</v>
      </c>
      <c r="V19" s="73" t="n">
        <v>11788</v>
      </c>
      <c r="W19" s="73" t="n">
        <v>6601</v>
      </c>
      <c r="X19" s="73" t="n">
        <v>3496</v>
      </c>
      <c r="Y19" s="73" t="n">
        <v>8856</v>
      </c>
      <c r="Z19" s="73" t="n">
        <v>1840</v>
      </c>
      <c r="AA19" s="73" t="n">
        <v>10815</v>
      </c>
      <c r="AB19" s="73" t="n">
        <v>16801</v>
      </c>
      <c r="AC19" s="73" t="n">
        <v>16180</v>
      </c>
      <c r="AD19" s="73" t="n">
        <v>19100</v>
      </c>
    </row>
    <row r="20">
      <c r="C20" s="73" t="n"/>
      <c r="D20" s="73" t="n"/>
      <c r="E20" s="73" t="n"/>
      <c r="F20" s="73" t="n"/>
      <c r="G20" s="73" t="n"/>
      <c r="H20" s="73" t="n"/>
      <c r="I20" s="73" t="n"/>
      <c r="J20" s="73" t="n"/>
      <c r="K20" s="73" t="n"/>
      <c r="L20" s="73" t="n"/>
      <c r="M20" s="73" t="n"/>
      <c r="N20" s="73" t="n"/>
      <c r="O20" s="73" t="n"/>
      <c r="R20" t="inlineStr">
        <is>
          <t>Profit from operations</t>
        </is>
      </c>
      <c r="S20" s="73" t="n">
        <v>6779</v>
      </c>
      <c r="T20" s="73" t="n">
        <v>8935</v>
      </c>
      <c r="U20" s="73" t="n">
        <v>10413</v>
      </c>
      <c r="V20" s="73" t="n">
        <v>12036</v>
      </c>
      <c r="W20" s="73" t="n">
        <v>11060</v>
      </c>
      <c r="X20" s="73" t="n">
        <v>7503</v>
      </c>
      <c r="Y20" s="73" t="n">
        <v>5531</v>
      </c>
      <c r="Z20" s="73" t="n">
        <v>5832</v>
      </c>
      <c r="AA20" s="73" t="n">
        <v>13176</v>
      </c>
      <c r="AB20" s="73" t="n">
        <v>18676</v>
      </c>
      <c r="AC20" s="73" t="n">
        <v>20322</v>
      </c>
      <c r="AD20" s="73" t="n">
        <v>21802</v>
      </c>
    </row>
    <row r="21">
      <c r="B21" s="73" t="inlineStr">
        <is>
          <t>Fixed Assets -</t>
        </is>
      </c>
      <c r="C21" s="73" t="n">
        <v>12490</v>
      </c>
      <c r="D21" s="73" t="n">
        <v>12530</v>
      </c>
      <c r="E21" s="73" t="n">
        <v>13311</v>
      </c>
      <c r="F21" s="73" t="n">
        <v>13389</v>
      </c>
      <c r="G21" s="73" t="n">
        <v>15437</v>
      </c>
      <c r="H21" s="73" t="n">
        <v>15744</v>
      </c>
      <c r="I21" s="73" t="n">
        <v>14989</v>
      </c>
      <c r="J21" s="73" t="n">
        <v>13747</v>
      </c>
      <c r="K21" s="73" t="n">
        <v>27941</v>
      </c>
      <c r="L21" s="73" t="n">
        <v>27865</v>
      </c>
      <c r="M21" s="73" t="n">
        <v>32983</v>
      </c>
      <c r="N21" s="73" t="n">
        <v>34523</v>
      </c>
      <c r="R21" t="inlineStr">
        <is>
          <t>Receivables</t>
        </is>
      </c>
      <c r="S21" t="n">
        <v>345</v>
      </c>
      <c r="T21" t="n">
        <v>-204</v>
      </c>
      <c r="U21" t="n">
        <v>122</v>
      </c>
      <c r="V21" t="n">
        <v>-262</v>
      </c>
      <c r="W21" t="n">
        <v>-851</v>
      </c>
      <c r="X21" s="73" t="n">
        <v>340</v>
      </c>
      <c r="Y21" t="n">
        <v>696</v>
      </c>
      <c r="Z21" t="n">
        <v>-764</v>
      </c>
      <c r="AA21" t="n">
        <v>-1270</v>
      </c>
      <c r="AB21" t="n">
        <v>-1316</v>
      </c>
      <c r="AC21" s="73" t="n">
        <v>-1969</v>
      </c>
      <c r="AD21" t="n">
        <v>1236</v>
      </c>
    </row>
    <row r="22">
      <c r="B22" s="73" t="inlineStr">
        <is>
          <t>Land</t>
        </is>
      </c>
      <c r="C22" s="73" t="n">
        <v>2100</v>
      </c>
      <c r="D22" s="73" t="n">
        <v>1902</v>
      </c>
      <c r="E22" s="73" t="n">
        <v>1963</v>
      </c>
      <c r="F22" s="73" t="n">
        <v>3212</v>
      </c>
      <c r="G22" s="73" t="n">
        <v>3914</v>
      </c>
      <c r="H22" s="73" t="n">
        <v>4569</v>
      </c>
      <c r="I22" s="73" t="n">
        <v>4566</v>
      </c>
      <c r="J22" s="73" t="n">
        <v>4592</v>
      </c>
      <c r="K22" s="73" t="n">
        <v>6830</v>
      </c>
      <c r="L22" s="73" t="n">
        <v>6896</v>
      </c>
      <c r="M22" s="73" t="n">
        <v>6921</v>
      </c>
      <c r="N22" s="73" t="n">
        <v>6968</v>
      </c>
      <c r="O22" s="73" t="n"/>
      <c r="R22" t="inlineStr">
        <is>
          <t>Inventory</t>
        </is>
      </c>
      <c r="S22" t="n">
        <v>-982</v>
      </c>
      <c r="T22" t="n">
        <v>-450</v>
      </c>
      <c r="U22" t="n">
        <v>-131</v>
      </c>
      <c r="V22" t="n">
        <v>104</v>
      </c>
      <c r="W22" t="n">
        <v>-162</v>
      </c>
      <c r="X22" t="n">
        <v>109</v>
      </c>
      <c r="Y22" s="73" t="n">
        <v>165</v>
      </c>
      <c r="Z22" t="n">
        <v>-483</v>
      </c>
      <c r="AA22" s="73" t="n">
        <v>-1050</v>
      </c>
      <c r="AB22" s="73" t="n">
        <v>125</v>
      </c>
      <c r="AC22" s="73" t="n">
        <v>-1595</v>
      </c>
      <c r="AD22" s="73" t="n">
        <v>-4407</v>
      </c>
    </row>
    <row r="23">
      <c r="B23" s="73" t="inlineStr">
        <is>
          <t>Building</t>
        </is>
      </c>
      <c r="C23" s="73" t="n">
        <v>1882</v>
      </c>
      <c r="D23" s="73" t="n">
        <v>1513</v>
      </c>
      <c r="E23" s="73" t="n">
        <v>1835</v>
      </c>
      <c r="F23" s="73" t="n">
        <v>1983</v>
      </c>
      <c r="G23" s="73" t="n">
        <v>2333</v>
      </c>
      <c r="H23" s="73" t="n">
        <v>2697</v>
      </c>
      <c r="I23" s="73" t="n">
        <v>2831</v>
      </c>
      <c r="J23" s="73" t="n">
        <v>2955</v>
      </c>
      <c r="K23" s="73" t="n">
        <v>5218</v>
      </c>
      <c r="L23" s="73" t="n">
        <v>5604</v>
      </c>
      <c r="M23" s="73" t="n">
        <v>8158</v>
      </c>
      <c r="N23" s="73" t="n">
        <v>9192</v>
      </c>
      <c r="O23" s="73" t="n"/>
      <c r="R23" t="inlineStr">
        <is>
          <t>Payables</t>
        </is>
      </c>
      <c r="S23" t="n">
        <v>712</v>
      </c>
      <c r="T23" t="n">
        <v>1789</v>
      </c>
      <c r="U23" t="n">
        <v>979</v>
      </c>
      <c r="V23" s="73" t="n">
        <v>2128</v>
      </c>
      <c r="W23" t="n">
        <v>-858</v>
      </c>
      <c r="X23" t="n">
        <v>-2155</v>
      </c>
      <c r="Y23" s="73" t="n">
        <v>2680</v>
      </c>
      <c r="Z23" s="73" t="n">
        <v>-396</v>
      </c>
      <c r="AA23" s="73" t="n">
        <v>2491</v>
      </c>
      <c r="AB23" t="n">
        <v>3321</v>
      </c>
      <c r="AC23" s="73" t="n">
        <v>2606</v>
      </c>
      <c r="AD23" t="n">
        <v>5194</v>
      </c>
    </row>
    <row r="24">
      <c r="B24" s="73" t="inlineStr">
        <is>
          <t>Plant Machinery</t>
        </is>
      </c>
      <c r="C24" s="73" t="n">
        <v>21802</v>
      </c>
      <c r="D24" s="73" t="n">
        <v>11163</v>
      </c>
      <c r="E24" s="73" t="n">
        <v>13888</v>
      </c>
      <c r="F24" s="73" t="n">
        <v>15082</v>
      </c>
      <c r="G24" s="73" t="n">
        <v>18550</v>
      </c>
      <c r="H24" s="73" t="n">
        <v>20775</v>
      </c>
      <c r="I24" s="73" t="n">
        <v>22262</v>
      </c>
      <c r="J24" s="73" t="n">
        <v>22712</v>
      </c>
      <c r="K24" s="73" t="n">
        <v>40872</v>
      </c>
      <c r="L24" s="73" t="n">
        <v>44745</v>
      </c>
      <c r="M24" s="73" t="n">
        <v>51915</v>
      </c>
      <c r="N24" s="73" t="n">
        <v>57284</v>
      </c>
      <c r="R24" t="inlineStr">
        <is>
          <t>Working capital changes</t>
        </is>
      </c>
      <c r="S24" t="n">
        <v>745</v>
      </c>
      <c r="T24" t="n">
        <v>1460</v>
      </c>
      <c r="U24" t="n">
        <v>2192</v>
      </c>
      <c r="V24" s="73" t="n">
        <v>2808</v>
      </c>
      <c r="W24" t="n">
        <v>-1315</v>
      </c>
      <c r="X24" t="n">
        <v>-2570</v>
      </c>
      <c r="Y24" t="n">
        <v>4336</v>
      </c>
      <c r="Z24" t="n">
        <v>-2813</v>
      </c>
      <c r="AA24" t="n">
        <v>-97</v>
      </c>
      <c r="AB24" s="73" t="n">
        <v>1722</v>
      </c>
      <c r="AC24" s="73" t="n">
        <v>-335</v>
      </c>
      <c r="AD24" s="73" t="n">
        <v>1635</v>
      </c>
    </row>
    <row r="25">
      <c r="B25" t="inlineStr">
        <is>
          <t>Equipments</t>
        </is>
      </c>
      <c r="C25" t="n">
        <v>46</v>
      </c>
      <c r="D25" t="n">
        <v>27</v>
      </c>
      <c r="E25" t="n">
        <v>32</v>
      </c>
      <c r="F25" t="n">
        <v>32</v>
      </c>
      <c r="G25" t="n">
        <v>34</v>
      </c>
      <c r="H25" t="n">
        <v>40</v>
      </c>
      <c r="I25" t="n">
        <v>41</v>
      </c>
      <c r="J25" t="n">
        <v>44</v>
      </c>
      <c r="K25" t="n">
        <v>44</v>
      </c>
      <c r="L25" t="n">
        <v>53</v>
      </c>
      <c r="M25" t="n">
        <v>63</v>
      </c>
      <c r="N25" t="n">
        <v>75</v>
      </c>
      <c r="R25" t="inlineStr">
        <is>
          <t>Direct taxes</t>
        </is>
      </c>
      <c r="S25" s="73" t="n">
        <v>-1075</v>
      </c>
      <c r="T25" s="73" t="n">
        <v>-1912</v>
      </c>
      <c r="U25" s="73" t="n">
        <v>-2323</v>
      </c>
      <c r="V25" s="73" t="n">
        <v>-3056</v>
      </c>
      <c r="W25" s="73" t="n">
        <v>-3144</v>
      </c>
      <c r="X25" s="73" t="n">
        <v>-1438</v>
      </c>
      <c r="Y25" s="73" t="n">
        <v>-1011</v>
      </c>
      <c r="Z25" s="73" t="n">
        <v>-1178</v>
      </c>
      <c r="AA25" s="73" t="n">
        <v>-2265</v>
      </c>
      <c r="AB25" s="73" t="n">
        <v>-3597</v>
      </c>
      <c r="AC25" s="73" t="n">
        <v>-3807</v>
      </c>
      <c r="AD25" s="73" t="n">
        <v>-4337</v>
      </c>
    </row>
    <row r="26">
      <c r="B26" s="73" t="inlineStr">
        <is>
          <t>Furniture n fittings</t>
        </is>
      </c>
      <c r="C26" s="73" t="n">
        <v>144</v>
      </c>
      <c r="D26" s="73" t="n">
        <v>109</v>
      </c>
      <c r="E26" s="73" t="n">
        <v>140</v>
      </c>
      <c r="F26" s="73" t="n">
        <v>206</v>
      </c>
      <c r="G26" s="73" t="n">
        <v>270</v>
      </c>
      <c r="H26" s="73" t="n">
        <v>347</v>
      </c>
      <c r="I26" s="73" t="n">
        <v>403</v>
      </c>
      <c r="J26" s="73" t="n">
        <v>445</v>
      </c>
      <c r="K26" s="73" t="n">
        <v>569</v>
      </c>
      <c r="L26" s="73" t="n">
        <v>636</v>
      </c>
      <c r="M26" s="73" t="n">
        <v>698</v>
      </c>
      <c r="N26" s="73" t="n">
        <v>751</v>
      </c>
      <c r="R26" t="inlineStr">
        <is>
          <t>Cash from Investing Activity -</t>
        </is>
      </c>
      <c r="S26" s="73" t="n">
        <v>-4491</v>
      </c>
      <c r="T26" s="73" t="n">
        <v>-7230</v>
      </c>
      <c r="U26" s="73" t="n">
        <v>-9173</v>
      </c>
      <c r="V26" s="73" t="n">
        <v>-8302</v>
      </c>
      <c r="W26" s="73" t="n">
        <v>-3540</v>
      </c>
      <c r="X26" s="73" t="n">
        <v>-557</v>
      </c>
      <c r="Y26" s="73" t="n">
        <v>-7291</v>
      </c>
      <c r="Z26" s="73" t="n">
        <v>-239</v>
      </c>
      <c r="AA26" s="73" t="n">
        <v>-8820</v>
      </c>
      <c r="AB26" s="73" t="n">
        <v>-11865</v>
      </c>
      <c r="AC26" t="n">
        <v>-14500</v>
      </c>
      <c r="AD26" s="73" t="n">
        <v>-14734</v>
      </c>
    </row>
    <row r="27">
      <c r="B27" s="73" t="inlineStr">
        <is>
          <t>Railway sidings</t>
        </is>
      </c>
      <c r="C27" s="73" t="n">
        <v>0</v>
      </c>
      <c r="D27" s="73" t="n">
        <v>0</v>
      </c>
      <c r="E27" s="73" t="n">
        <v>0</v>
      </c>
      <c r="F27" s="73" t="n">
        <v>0</v>
      </c>
      <c r="G27" s="73" t="n">
        <v>0</v>
      </c>
      <c r="H27" s="73" t="n">
        <v>0</v>
      </c>
      <c r="I27" s="73" t="n">
        <v>0</v>
      </c>
      <c r="J27" s="73" t="n">
        <v>0</v>
      </c>
      <c r="K27" s="73" t="n">
        <v>73</v>
      </c>
      <c r="L27" s="73" t="n">
        <v>74</v>
      </c>
      <c r="M27" s="73" t="n">
        <v>94</v>
      </c>
      <c r="N27" s="73" t="n">
        <v>230</v>
      </c>
      <c r="R27" t="inlineStr">
        <is>
          <t>Fixed assets purchased</t>
        </is>
      </c>
      <c r="S27" s="73" t="n">
        <v>-3058</v>
      </c>
      <c r="T27" s="73" t="n">
        <v>-2469</v>
      </c>
      <c r="U27" s="73" t="n">
        <v>-3391</v>
      </c>
      <c r="V27" s="73" t="n">
        <v>-3912</v>
      </c>
      <c r="W27" s="73" t="n">
        <v>-4872</v>
      </c>
      <c r="X27" s="73" t="n">
        <v>-3437</v>
      </c>
      <c r="Y27" s="73" t="n">
        <v>-2370</v>
      </c>
      <c r="Z27" s="73" t="n">
        <v>-3459</v>
      </c>
      <c r="AA27" s="73" t="n">
        <v>-8065</v>
      </c>
      <c r="AB27" s="73" t="n">
        <v>-9200</v>
      </c>
      <c r="AC27" s="73" t="n">
        <v>-10621</v>
      </c>
      <c r="AD27" s="73" t="n">
        <v>-10398</v>
      </c>
    </row>
    <row r="28">
      <c r="B28" t="inlineStr">
        <is>
          <t>Vehicles</t>
        </is>
      </c>
      <c r="C28" t="n">
        <v>108</v>
      </c>
      <c r="D28" t="n">
        <v>104</v>
      </c>
      <c r="E28" t="n">
        <v>130</v>
      </c>
      <c r="F28" t="n">
        <v>162</v>
      </c>
      <c r="G28" t="n">
        <v>184</v>
      </c>
      <c r="H28" t="n">
        <v>206</v>
      </c>
      <c r="I28" t="n">
        <v>174</v>
      </c>
      <c r="J28" t="n">
        <v>248</v>
      </c>
      <c r="K28" t="n">
        <v>351</v>
      </c>
      <c r="L28" t="n">
        <v>448</v>
      </c>
      <c r="M28" t="n">
        <v>568</v>
      </c>
      <c r="N28" t="n">
        <v>678</v>
      </c>
      <c r="O28" s="73" t="n"/>
      <c r="R28" t="inlineStr">
        <is>
          <t>Fixed assets sold</t>
        </is>
      </c>
      <c r="S28" s="73" t="n">
        <v>16</v>
      </c>
      <c r="T28" s="73" t="n">
        <v>12</v>
      </c>
      <c r="U28" s="73" t="n">
        <v>16</v>
      </c>
      <c r="V28" s="73" t="n">
        <v>26</v>
      </c>
      <c r="W28" s="73" t="n">
        <v>170</v>
      </c>
      <c r="X28" s="73" t="n">
        <v>37</v>
      </c>
      <c r="Y28" s="73" t="n">
        <v>42</v>
      </c>
      <c r="Z28" s="73" t="n">
        <v>136</v>
      </c>
      <c r="AA28" s="73" t="n">
        <v>109</v>
      </c>
      <c r="AB28" t="n">
        <v>45</v>
      </c>
      <c r="AC28" s="73" t="n">
        <v>42</v>
      </c>
      <c r="AD28" s="73" t="n">
        <v>52</v>
      </c>
    </row>
    <row r="29">
      <c r="B29" t="inlineStr">
        <is>
          <t>Intangible Assets</t>
        </is>
      </c>
      <c r="C29" t="n">
        <v>678</v>
      </c>
      <c r="D29" t="n">
        <v>563</v>
      </c>
      <c r="E29" t="n">
        <v>563</v>
      </c>
      <c r="F29" t="n">
        <v>570</v>
      </c>
      <c r="G29" t="n">
        <v>684</v>
      </c>
      <c r="H29" t="n">
        <v>684</v>
      </c>
      <c r="I29" s="73" t="n">
        <v>2734</v>
      </c>
      <c r="J29" s="73" t="n">
        <v>2744</v>
      </c>
      <c r="K29" s="73" t="n">
        <v>3490</v>
      </c>
      <c r="L29" s="73" t="n">
        <v>3505</v>
      </c>
      <c r="M29" s="73" t="n">
        <v>3622</v>
      </c>
      <c r="N29" s="73" t="n">
        <v>4248</v>
      </c>
      <c r="R29" t="inlineStr">
        <is>
          <t>Investments purchased</t>
        </is>
      </c>
      <c r="S29" s="73" t="n">
        <v>-17354</v>
      </c>
      <c r="T29" s="73" t="n">
        <v>-12044</v>
      </c>
      <c r="U29" s="73" t="n">
        <v>-17716</v>
      </c>
      <c r="V29" s="73" t="n">
        <v>-47069</v>
      </c>
      <c r="W29" s="73" t="n">
        <v>-52957</v>
      </c>
      <c r="X29" s="73" t="n">
        <v>-44205</v>
      </c>
      <c r="Y29" s="73" t="n">
        <v>-44869</v>
      </c>
      <c r="Z29" s="73" t="n">
        <v>-60525</v>
      </c>
      <c r="AA29" s="73" t="n">
        <v>-66597</v>
      </c>
      <c r="AB29" s="73" t="n">
        <v>-65736</v>
      </c>
      <c r="AC29" s="73" t="n">
        <v>-73882</v>
      </c>
      <c r="AD29" s="73" t="n">
        <v>-108034</v>
      </c>
    </row>
    <row r="30">
      <c r="B30" t="inlineStr">
        <is>
          <t>Other fixed assets</t>
        </is>
      </c>
      <c r="C30" t="n">
        <v>674</v>
      </c>
      <c r="D30" t="n">
        <v>468</v>
      </c>
      <c r="E30" t="n">
        <v>589</v>
      </c>
      <c r="F30" t="n">
        <v>640</v>
      </c>
      <c r="G30" t="n">
        <v>907</v>
      </c>
      <c r="H30" t="n">
        <v>937</v>
      </c>
      <c r="I30" t="n">
        <v>967</v>
      </c>
      <c r="J30" t="n">
        <v>1254</v>
      </c>
      <c r="K30" t="n">
        <v>1660</v>
      </c>
      <c r="L30" t="n">
        <v>1783</v>
      </c>
      <c r="M30" t="n">
        <v>2002</v>
      </c>
      <c r="N30" s="73" t="n">
        <v>2246</v>
      </c>
      <c r="O30" s="73" t="n"/>
      <c r="R30" t="inlineStr">
        <is>
          <t>Investments sold</t>
        </is>
      </c>
      <c r="S30" s="73" t="n">
        <v>15270</v>
      </c>
      <c r="T30" s="73" t="n">
        <v>7378</v>
      </c>
      <c r="U30" s="73" t="n">
        <v>11839</v>
      </c>
      <c r="V30" s="73" t="n">
        <v>42564</v>
      </c>
      <c r="W30" s="73" t="n">
        <v>53986</v>
      </c>
      <c r="X30" s="73" t="n">
        <v>46969</v>
      </c>
      <c r="Y30" s="73" t="n">
        <v>42920</v>
      </c>
      <c r="Z30" s="73" t="n">
        <v>63579</v>
      </c>
      <c r="AA30" s="73" t="n">
        <v>61605</v>
      </c>
      <c r="AB30" s="73" t="n">
        <v>61933</v>
      </c>
      <c r="AC30" s="73" t="n">
        <v>69795</v>
      </c>
      <c r="AD30" s="73" t="n">
        <v>101969</v>
      </c>
    </row>
    <row r="31">
      <c r="B31" t="inlineStr">
        <is>
          <t>Gross Block</t>
        </is>
      </c>
      <c r="C31" s="73" t="n">
        <v>26902</v>
      </c>
      <c r="D31" s="73" t="n">
        <v>15343</v>
      </c>
      <c r="E31" s="73" t="n">
        <v>18680</v>
      </c>
      <c r="F31" s="73" t="n">
        <v>21458</v>
      </c>
      <c r="G31" s="73" t="n">
        <v>26365</v>
      </c>
      <c r="H31" s="73" t="n">
        <v>29768</v>
      </c>
      <c r="I31" s="73" t="n">
        <v>31496</v>
      </c>
      <c r="J31" s="73" t="n">
        <v>32530</v>
      </c>
      <c r="K31" s="73" t="n">
        <v>56083</v>
      </c>
      <c r="L31" s="73" t="n">
        <v>60787</v>
      </c>
      <c r="M31" s="73" t="n">
        <v>71052</v>
      </c>
      <c r="N31" s="73" t="n">
        <v>78202</v>
      </c>
      <c r="O31" s="73" t="n"/>
      <c r="R31" t="inlineStr">
        <is>
          <t>Interest received</t>
        </is>
      </c>
      <c r="S31" t="n">
        <v>152</v>
      </c>
      <c r="T31" t="n">
        <v>67</v>
      </c>
      <c r="U31" s="73" t="n">
        <v>36</v>
      </c>
      <c r="V31" s="73" t="n">
        <v>68</v>
      </c>
      <c r="W31" s="73" t="n">
        <v>124</v>
      </c>
      <c r="X31" s="73" t="n">
        <v>96</v>
      </c>
      <c r="Y31" s="73" t="n">
        <v>67</v>
      </c>
      <c r="Z31" s="73" t="n">
        <v>174</v>
      </c>
      <c r="AA31" s="73" t="n">
        <v>313</v>
      </c>
      <c r="AB31" s="73" t="n">
        <v>372</v>
      </c>
      <c r="AC31" s="73" t="n">
        <v>444</v>
      </c>
      <c r="AD31" s="73" t="n">
        <v>354</v>
      </c>
    </row>
    <row r="32">
      <c r="B32" s="73" t="inlineStr">
        <is>
          <t>Accumulated Depreciation</t>
        </is>
      </c>
      <c r="C32" s="73" t="n">
        <v>14412</v>
      </c>
      <c r="D32" s="73" t="n">
        <v>2813</v>
      </c>
      <c r="E32" s="73" t="n">
        <v>5370</v>
      </c>
      <c r="F32" s="73" t="n">
        <v>8069</v>
      </c>
      <c r="G32" s="73" t="n">
        <v>10928</v>
      </c>
      <c r="H32" s="73" t="n">
        <v>14024</v>
      </c>
      <c r="I32" s="73" t="n">
        <v>16508</v>
      </c>
      <c r="J32" s="73" t="n">
        <v>18783</v>
      </c>
      <c r="K32" s="73" t="n">
        <v>28141</v>
      </c>
      <c r="L32" s="73" t="n">
        <v>32922</v>
      </c>
      <c r="M32" s="73" t="n">
        <v>38070</v>
      </c>
      <c r="N32" s="73" t="n">
        <v>43679</v>
      </c>
      <c r="O32" s="73" t="n"/>
      <c r="R32" t="inlineStr">
        <is>
          <t>Dividends received</t>
        </is>
      </c>
      <c r="S32" t="n">
        <v>54</v>
      </c>
      <c r="T32" t="n">
        <v>11</v>
      </c>
      <c r="U32" s="73" t="n">
        <v>13</v>
      </c>
      <c r="V32" t="n">
        <v>20</v>
      </c>
      <c r="W32" t="n">
        <v>9</v>
      </c>
      <c r="X32" t="n">
        <v>4</v>
      </c>
      <c r="Y32" s="73" t="n">
        <v>3</v>
      </c>
      <c r="Z32" s="73" t="n">
        <v>3</v>
      </c>
      <c r="AA32" s="73" t="n">
        <v>6</v>
      </c>
      <c r="AB32" s="73" t="n">
        <v>6</v>
      </c>
      <c r="AC32" s="73" t="n">
        <v>9</v>
      </c>
      <c r="AD32" s="73" t="n">
        <v>11</v>
      </c>
    </row>
    <row r="33">
      <c r="B33" t="inlineStr">
        <is>
          <t>Net Block</t>
        </is>
      </c>
      <c r="C33" s="73" t="n">
        <v>12490</v>
      </c>
      <c r="D33" s="73" t="n">
        <v>12530</v>
      </c>
      <c r="E33" s="73" t="n">
        <v>13311</v>
      </c>
      <c r="F33" s="73" t="n">
        <v>13389</v>
      </c>
      <c r="G33" s="73" t="n">
        <v>15437</v>
      </c>
      <c r="H33" s="73" t="n">
        <v>15744</v>
      </c>
      <c r="I33" s="73" t="n">
        <v>14989</v>
      </c>
      <c r="J33" s="73" t="n">
        <v>13747</v>
      </c>
      <c r="K33" s="73" t="n">
        <v>27941</v>
      </c>
      <c r="L33" s="73" t="n">
        <v>27865</v>
      </c>
      <c r="M33" s="73" t="n">
        <v>32983</v>
      </c>
      <c r="N33" s="73" t="n">
        <v>34523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428</v>
      </c>
      <c r="T34" s="73" t="n">
        <v>-186</v>
      </c>
      <c r="U34" s="73" t="n">
        <v>7</v>
      </c>
      <c r="V34" s="73" t="n">
        <v>0</v>
      </c>
      <c r="W34" s="73" t="n">
        <v>0</v>
      </c>
      <c r="X34" s="73" t="n">
        <v>-5</v>
      </c>
      <c r="Y34" s="73" t="n">
        <v>-3019</v>
      </c>
      <c r="Z34" s="73" t="n">
        <v>-1</v>
      </c>
      <c r="AA34" s="73" t="n">
        <v>3808</v>
      </c>
      <c r="AB34" s="73" t="n">
        <v>795</v>
      </c>
      <c r="AC34" s="73" t="n">
        <v>-269</v>
      </c>
      <c r="AD34" s="73" t="n">
        <v>1311</v>
      </c>
    </row>
    <row r="35">
      <c r="B35" t="inlineStr">
        <is>
          <t>CWIP</t>
        </is>
      </c>
      <c r="C35" s="73" t="n">
        <v>1890</v>
      </c>
      <c r="D35" s="73" t="n">
        <v>1007</v>
      </c>
      <c r="E35" s="73" t="n">
        <v>1252</v>
      </c>
      <c r="F35" s="73" t="n">
        <v>2132</v>
      </c>
      <c r="G35" s="73" t="n">
        <v>1607</v>
      </c>
      <c r="H35" s="73" t="n">
        <v>1415</v>
      </c>
      <c r="I35" s="73" t="n">
        <v>1497</v>
      </c>
      <c r="J35" s="73" t="n">
        <v>2936</v>
      </c>
      <c r="K35" s="73" t="n">
        <v>4143</v>
      </c>
      <c r="L35" s="73" t="n">
        <v>7735</v>
      </c>
      <c r="M35" s="73" t="n">
        <v>7929</v>
      </c>
      <c r="N35" s="73" t="n">
        <v>9838</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13298</v>
      </c>
      <c r="D36" s="73" t="n">
        <v>20676</v>
      </c>
      <c r="E36" s="73" t="n">
        <v>29151</v>
      </c>
      <c r="F36" s="73" t="n">
        <v>36123</v>
      </c>
      <c r="G36" s="73" t="n">
        <v>37504</v>
      </c>
      <c r="H36" s="73" t="n">
        <v>37488</v>
      </c>
      <c r="I36" s="73" t="n">
        <v>42945</v>
      </c>
      <c r="J36" s="73" t="n">
        <v>42035</v>
      </c>
      <c r="K36" s="73" t="n">
        <v>49184</v>
      </c>
      <c r="L36" s="73" t="n">
        <v>57296</v>
      </c>
      <c r="M36" s="73" t="n">
        <v>66265</v>
      </c>
      <c r="N36" s="73" t="n">
        <v>76838</v>
      </c>
      <c r="O36" s="73" t="n"/>
      <c r="R36" t="inlineStr">
        <is>
          <t>Other investing items</t>
        </is>
      </c>
      <c r="S36" s="73" t="n">
        <v>-2004</v>
      </c>
      <c r="T36" s="73" t="n">
        <v>-1237</v>
      </c>
      <c r="U36" s="73" t="n">
        <v>-1129</v>
      </c>
      <c r="V36" s="73" t="n">
        <v>-3436</v>
      </c>
      <c r="W36" s="73" t="n">
        <v>-2948</v>
      </c>
      <c r="X36" s="73" t="n">
        <v>-3104</v>
      </c>
      <c r="Y36" s="73" t="n">
        <v>-1545</v>
      </c>
      <c r="Z36" s="73" t="n">
        <v>-1607</v>
      </c>
      <c r="AA36" t="n">
        <v>-1214</v>
      </c>
      <c r="AB36" s="73" t="n">
        <v>-4062</v>
      </c>
      <c r="AC36" t="n">
        <v>-4155</v>
      </c>
      <c r="AD36" s="73" t="n">
        <v>-4484</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6800</v>
      </c>
      <c r="D38" s="73" t="n">
        <v>8513</v>
      </c>
      <c r="E38" s="73" t="n">
        <v>8247</v>
      </c>
      <c r="F38" s="73" t="n">
        <v>8604</v>
      </c>
      <c r="G38" s="73" t="n">
        <v>9421</v>
      </c>
      <c r="H38" s="73" t="n">
        <v>8980</v>
      </c>
      <c r="I38" s="73" t="n">
        <v>11946</v>
      </c>
      <c r="J38" s="73" t="n">
        <v>15937</v>
      </c>
      <c r="K38" s="73" t="n">
        <v>18837</v>
      </c>
      <c r="L38" s="73" t="n">
        <v>22408</v>
      </c>
      <c r="M38" s="73" t="n">
        <v>23839</v>
      </c>
      <c r="N38" s="73" t="n">
        <v>27680</v>
      </c>
      <c r="O38" s="73" t="n"/>
      <c r="R38" t="inlineStr">
        <is>
          <t>Proceeds from shares</t>
        </is>
      </c>
      <c r="S38" t="n">
        <v>92</v>
      </c>
      <c r="T38" t="n">
        <v>77</v>
      </c>
      <c r="U38" s="73" t="n">
        <v>484</v>
      </c>
      <c r="V38" t="n">
        <v>10</v>
      </c>
      <c r="W38" t="n">
        <v>39</v>
      </c>
      <c r="X38" t="n">
        <v>0</v>
      </c>
      <c r="Y38" t="n">
        <v>380</v>
      </c>
      <c r="Z38" t="n">
        <v>0</v>
      </c>
      <c r="AA38" s="73" t="n">
        <v>831</v>
      </c>
      <c r="AB38" s="73" t="n">
        <v>0</v>
      </c>
      <c r="AC38" t="n">
        <v>0</v>
      </c>
      <c r="AD38" t="n">
        <v>0</v>
      </c>
    </row>
    <row r="39">
      <c r="B39" t="inlineStr">
        <is>
          <t>Inventories</t>
        </is>
      </c>
      <c r="C39" s="73" t="n">
        <v>2745</v>
      </c>
      <c r="D39" s="73" t="n">
        <v>3133</v>
      </c>
      <c r="E39" s="73" t="n">
        <v>3264</v>
      </c>
      <c r="F39" s="73" t="n">
        <v>3160</v>
      </c>
      <c r="G39" s="73" t="n">
        <v>3323</v>
      </c>
      <c r="H39" s="73" t="n">
        <v>3214</v>
      </c>
      <c r="I39" s="73" t="n">
        <v>3049</v>
      </c>
      <c r="J39" s="73" t="n">
        <v>3532</v>
      </c>
      <c r="K39" s="73" t="n">
        <v>5444</v>
      </c>
      <c r="L39" s="73" t="n">
        <v>5318</v>
      </c>
      <c r="M39" s="73" t="n">
        <v>6913</v>
      </c>
      <c r="N39" s="73" t="n">
        <v>11321</v>
      </c>
      <c r="O39" s="73" t="n"/>
      <c r="R39" t="inlineStr">
        <is>
          <t>Proceeds from borrowings</t>
        </is>
      </c>
      <c r="S39" t="n">
        <v>-1449</v>
      </c>
      <c r="T39" t="n">
        <v>-313</v>
      </c>
      <c r="U39" t="n">
        <v>-231</v>
      </c>
      <c r="V39" t="n">
        <v>-373</v>
      </c>
      <c r="W39" t="n">
        <v>0</v>
      </c>
      <c r="X39" t="n">
        <v>-46</v>
      </c>
      <c r="Y39" t="n">
        <v>0</v>
      </c>
      <c r="Z39" t="n">
        <v>-110</v>
      </c>
      <c r="AA39" t="n">
        <v>0</v>
      </c>
      <c r="AB39" t="n">
        <v>-1183</v>
      </c>
      <c r="AC39" t="n">
        <v>-33</v>
      </c>
      <c r="AD39" s="73" t="n">
        <v>0</v>
      </c>
    </row>
    <row r="40">
      <c r="B40" t="inlineStr">
        <is>
          <t>Trade receivables +</t>
        </is>
      </c>
      <c r="C40" s="73" t="n">
        <v>1144</v>
      </c>
      <c r="D40" s="73" t="n">
        <v>1323</v>
      </c>
      <c r="E40" s="73" t="n">
        <v>1203</v>
      </c>
      <c r="F40" s="73" t="n">
        <v>1465</v>
      </c>
      <c r="G40" s="73" t="n">
        <v>2313</v>
      </c>
      <c r="H40" s="73" t="n">
        <v>1978</v>
      </c>
      <c r="I40" s="73" t="n">
        <v>1280</v>
      </c>
      <c r="J40" s="73" t="n">
        <v>2034</v>
      </c>
      <c r="K40" s="73" t="n">
        <v>3285</v>
      </c>
      <c r="L40" s="73" t="n">
        <v>4597</v>
      </c>
      <c r="M40" s="73" t="n">
        <v>6540</v>
      </c>
      <c r="N40" s="73" t="n">
        <v>5342</v>
      </c>
      <c r="O40" s="73" t="n"/>
      <c r="R40" t="inlineStr">
        <is>
          <t>Repayment of borrowings</t>
        </is>
      </c>
      <c r="S40" t="n">
        <v>-222</v>
      </c>
      <c r="T40" t="n">
        <v>-92</v>
      </c>
      <c r="U40" t="n">
        <v>-110</v>
      </c>
      <c r="V40" s="73" t="n">
        <v>-346</v>
      </c>
      <c r="W40" t="n">
        <v>-73</v>
      </c>
      <c r="X40" t="n">
        <v>-136</v>
      </c>
      <c r="Y40" s="73" t="n">
        <v>-102</v>
      </c>
      <c r="Z40" t="n">
        <v>-130</v>
      </c>
      <c r="AA40" s="73" t="n">
        <v>-186</v>
      </c>
      <c r="AB40" s="73" t="n">
        <v>-147</v>
      </c>
      <c r="AC40" s="73" t="n">
        <v>-167</v>
      </c>
      <c r="AD40" s="73" t="n">
        <v>-204</v>
      </c>
    </row>
    <row r="41">
      <c r="B41" t="inlineStr">
        <is>
          <t>Cash Equivalents</t>
        </is>
      </c>
      <c r="C41" s="73" t="n">
        <v>43</v>
      </c>
      <c r="D41" s="73" t="n">
        <v>51</v>
      </c>
      <c r="E41" s="73" t="n">
        <v>24</v>
      </c>
      <c r="F41" s="73" t="n">
        <v>74</v>
      </c>
      <c r="G41" s="73" t="n">
        <v>188</v>
      </c>
      <c r="H41" s="73" t="n">
        <v>29</v>
      </c>
      <c r="I41" s="73" t="n">
        <v>3047</v>
      </c>
      <c r="J41" s="73" t="n">
        <v>3042</v>
      </c>
      <c r="K41" s="73" t="n">
        <v>2748</v>
      </c>
      <c r="L41" s="73" t="n">
        <v>2827</v>
      </c>
      <c r="M41" s="73" t="n">
        <v>553</v>
      </c>
      <c r="N41" s="73" t="n">
        <v>1580</v>
      </c>
      <c r="O41" s="73" t="n"/>
      <c r="R41" t="inlineStr">
        <is>
          <t>Interest paid fin</t>
        </is>
      </c>
      <c r="S41" s="73" t="n">
        <v>-362</v>
      </c>
      <c r="T41" s="73" t="n">
        <v>-755</v>
      </c>
      <c r="U41" s="73" t="n">
        <v>-1057</v>
      </c>
      <c r="V41" s="73" t="n">
        <v>-2266</v>
      </c>
      <c r="W41" s="73" t="n">
        <v>-2417</v>
      </c>
      <c r="X41" s="73" t="n">
        <v>-2417</v>
      </c>
      <c r="Y41" s="73" t="n">
        <v>-1812</v>
      </c>
      <c r="Z41" s="73" t="n">
        <v>-1359</v>
      </c>
      <c r="AA41" s="73" t="n">
        <v>-1812</v>
      </c>
      <c r="AB41" s="73" t="n">
        <v>-2719</v>
      </c>
      <c r="AC41" s="73" t="n">
        <v>-3930</v>
      </c>
      <c r="AD41" s="73" t="n">
        <v>-4244</v>
      </c>
    </row>
    <row r="42">
      <c r="B42" t="inlineStr">
        <is>
          <t>Loans n Advances</t>
        </is>
      </c>
      <c r="C42" s="73" t="n">
        <v>126</v>
      </c>
      <c r="D42" s="73" t="n">
        <v>623</v>
      </c>
      <c r="E42" s="73" t="n">
        <v>688</v>
      </c>
      <c r="F42" s="73" t="n">
        <v>1290</v>
      </c>
      <c r="G42" s="73" t="n">
        <v>1160</v>
      </c>
      <c r="H42" s="73" t="n">
        <v>1362</v>
      </c>
      <c r="I42" s="73" t="n">
        <v>1412</v>
      </c>
      <c r="J42" s="73" t="n">
        <v>2880</v>
      </c>
      <c r="K42" s="73" t="n">
        <v>349</v>
      </c>
      <c r="L42" s="73" t="n">
        <v>825</v>
      </c>
      <c r="M42" s="73" t="n">
        <v>339</v>
      </c>
      <c r="N42" s="73" t="n">
        <v>339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2741</v>
      </c>
      <c r="D43" s="73" t="n">
        <v>3384</v>
      </c>
      <c r="E43" s="73" t="n">
        <v>3069</v>
      </c>
      <c r="F43" s="73" t="n">
        <v>2615</v>
      </c>
      <c r="G43" s="73" t="n">
        <v>2438</v>
      </c>
      <c r="H43" s="73" t="n">
        <v>2398</v>
      </c>
      <c r="I43" s="73" t="n">
        <v>3158</v>
      </c>
      <c r="J43" s="73" t="n">
        <v>4448</v>
      </c>
      <c r="K43" s="73" t="n">
        <v>7012</v>
      </c>
      <c r="L43" s="73" t="n">
        <v>8841</v>
      </c>
      <c r="M43" s="73" t="n">
        <v>9494</v>
      </c>
      <c r="N43" s="73" t="n">
        <v>9098</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34477</v>
      </c>
      <c r="D44" s="73" t="n">
        <v>42726</v>
      </c>
      <c r="E44" s="73" t="n">
        <v>51960</v>
      </c>
      <c r="F44" s="73" t="n">
        <v>60248</v>
      </c>
      <c r="G44" s="73" t="n">
        <v>63969</v>
      </c>
      <c r="H44" s="73" t="n">
        <v>63628</v>
      </c>
      <c r="I44" s="73" t="n">
        <v>71376</v>
      </c>
      <c r="J44" s="73" t="n">
        <v>74656</v>
      </c>
      <c r="K44" s="73" t="n">
        <v>100106</v>
      </c>
      <c r="L44" s="73" t="n">
        <v>115304</v>
      </c>
      <c r="M44" s="73" t="n">
        <v>131016</v>
      </c>
      <c r="N44" s="73" t="n">
        <v>148880</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-45</v>
      </c>
      <c r="T45" t="n">
        <v>16</v>
      </c>
      <c r="U45" t="n">
        <v>-20</v>
      </c>
      <c r="V45" t="n">
        <v>50</v>
      </c>
      <c r="W45" t="n">
        <v>113</v>
      </c>
      <c r="X45" t="n">
        <v>-165</v>
      </c>
      <c r="Y45" t="n">
        <v>20</v>
      </c>
      <c r="Z45" t="n">
        <v>-6</v>
      </c>
      <c r="AA45" t="n">
        <v>780</v>
      </c>
      <c r="AB45" t="n">
        <v>874</v>
      </c>
      <c r="AC45" t="n">
        <v>-2475</v>
      </c>
      <c r="AD45" t="n">
        <v>-118</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Maruti Suzuki India Ltd</t>
        </is>
      </c>
      <c r="M56" t="n">
        <v>12103</v>
      </c>
      <c r="N56" t="n">
        <v>31.4</v>
      </c>
      <c r="AR56" t="n">
        <v>380521.44</v>
      </c>
      <c r="AS56">
        <f>AZ56-BA56</f>
        <v/>
      </c>
      <c r="AT56">
        <f>AR56+AS56</f>
        <v/>
      </c>
      <c r="AU56" t="n">
        <v>209879.2</v>
      </c>
      <c r="AV56">
        <f>AT56/AX56</f>
        <v/>
      </c>
      <c r="AW56" t="n">
        <v>13787.6</v>
      </c>
      <c r="AX56" t="n">
        <v>18.87</v>
      </c>
      <c r="AZ56" t="n">
        <v>102</v>
      </c>
      <c r="BA56" t="n">
        <v>1580</v>
      </c>
    </row>
    <row r="57">
      <c r="K57" t="n">
        <v>1</v>
      </c>
      <c r="L57" t="inlineStr">
        <is>
          <t>Maruti Suzuki</t>
        </is>
      </c>
      <c r="M57" t="n">
        <v>12103</v>
      </c>
      <c r="N57" t="n">
        <v>31.44</v>
      </c>
      <c r="AR57" t="n">
        <v>379525</v>
      </c>
      <c r="AS57">
        <f>AZ57-BA57</f>
        <v/>
      </c>
      <c r="AT57">
        <f>AR57+AS57</f>
        <v/>
      </c>
      <c r="AU57" t="n">
        <v>232750.28</v>
      </c>
      <c r="AV57">
        <f>AT57/AX57</f>
        <v/>
      </c>
      <c r="AW57" t="n">
        <v>23990.24</v>
      </c>
      <c r="AX57" t="n">
        <v>15.1</v>
      </c>
      <c r="AZ57" t="n">
        <v>94881.25</v>
      </c>
      <c r="BA57" t="n">
        <v>18976.25</v>
      </c>
    </row>
    <row r="58">
      <c r="K58" t="n">
        <v>2</v>
      </c>
      <c r="L58" t="inlineStr">
        <is>
          <t>M &amp; M</t>
        </is>
      </c>
      <c r="M58" t="n">
        <v>3052</v>
      </c>
      <c r="N58" t="n">
        <v>124.35</v>
      </c>
      <c r="AR58" t="n">
        <v>313661.1</v>
      </c>
      <c r="AS58">
        <f>AZ58-BA58</f>
        <v/>
      </c>
      <c r="AT58">
        <f>AR58+AS58</f>
        <v/>
      </c>
      <c r="AU58" t="n">
        <v>86755.32000000001</v>
      </c>
      <c r="AV58">
        <f>AT58/AX58</f>
        <v/>
      </c>
      <c r="AW58" t="n">
        <v>12755</v>
      </c>
      <c r="AX58" t="n">
        <v>28.24</v>
      </c>
      <c r="AZ58" t="n">
        <v>78415.27</v>
      </c>
      <c r="BA58" t="n">
        <v>15683.06</v>
      </c>
    </row>
    <row r="59">
      <c r="K59" t="n">
        <v>3</v>
      </c>
      <c r="L59" t="inlineStr">
        <is>
          <t>Bajaj Auto</t>
        </is>
      </c>
      <c r="M59" t="n">
        <v>11414</v>
      </c>
      <c r="N59" t="n">
        <v>27.48</v>
      </c>
      <c r="AR59" t="n">
        <v>206330.52</v>
      </c>
      <c r="AS59">
        <f>AZ59-BA59</f>
        <v/>
      </c>
      <c r="AT59">
        <f>AR59+AS59</f>
        <v/>
      </c>
      <c r="AU59" t="n">
        <v>26529.68</v>
      </c>
      <c r="AV59">
        <f>AT59/AX59</f>
        <v/>
      </c>
      <c r="AW59" t="n">
        <v>5850.04</v>
      </c>
      <c r="AX59" t="n">
        <v>30.53</v>
      </c>
      <c r="AZ59" t="n">
        <v>51582.63</v>
      </c>
      <c r="BA59" t="n">
        <v>10316.53</v>
      </c>
    </row>
    <row r="60">
      <c r="K60" t="n">
        <v>4</v>
      </c>
      <c r="L60" t="inlineStr">
        <is>
          <t>Eicher Motors</t>
        </is>
      </c>
      <c r="M60" t="n">
        <v>7516</v>
      </c>
      <c r="N60" t="n">
        <v>27.45</v>
      </c>
      <c r="AR60" t="n">
        <v>198173.09</v>
      </c>
      <c r="AS60">
        <f>AZ60-BA60</f>
        <v/>
      </c>
      <c r="AT60">
        <f>AR60+AS60</f>
        <v/>
      </c>
      <c r="AU60" t="n">
        <v>65182.08</v>
      </c>
      <c r="AV60">
        <f>AT60/AX60</f>
        <v/>
      </c>
      <c r="AW60" t="n">
        <v>4230.44</v>
      </c>
      <c r="AX60" t="n">
        <v>17.37</v>
      </c>
      <c r="AZ60" t="n">
        <v>49543.27</v>
      </c>
      <c r="BA60" t="n">
        <v>9908.65</v>
      </c>
    </row>
    <row r="61">
      <c r="K61" t="n">
        <v>5</v>
      </c>
      <c r="L61" t="inlineStr">
        <is>
          <t>TVS Motor Co.</t>
        </is>
      </c>
      <c r="M61" t="n">
        <v>4171.3</v>
      </c>
      <c r="N61" t="n">
        <v>47.51</v>
      </c>
      <c r="AR61" t="n">
        <v>179474.08</v>
      </c>
      <c r="AS61">
        <f>AZ61-BA61</f>
        <v/>
      </c>
      <c r="AT61">
        <f>AR61+AS61</f>
        <v/>
      </c>
      <c r="AU61" t="n">
        <v>65338.52</v>
      </c>
      <c r="AV61">
        <f>AT61/AX61</f>
        <v/>
      </c>
      <c r="AW61" t="n">
        <v>3554.48</v>
      </c>
      <c r="AX61" t="n">
        <v>38.4</v>
      </c>
      <c r="AZ61" t="n">
        <v>44868.52</v>
      </c>
      <c r="BA61" t="n">
        <v>8973.700000000001</v>
      </c>
    </row>
    <row r="62">
      <c r="K62" t="n">
        <v>6</v>
      </c>
      <c r="L62" t="inlineStr">
        <is>
          <t>Hyundai Motor I</t>
        </is>
      </c>
      <c r="M62" t="n">
        <v>2208.8</v>
      </c>
      <c r="N62" t="n">
        <v>81.25</v>
      </c>
      <c r="AR62" t="n">
        <v>171583.57</v>
      </c>
      <c r="AS62">
        <f>AZ62-BA62</f>
        <v/>
      </c>
      <c r="AT62">
        <f>AR62+AS62</f>
        <v/>
      </c>
      <c r="AU62" t="n">
        <v>140975.08</v>
      </c>
      <c r="AV62">
        <f>AT62/AX62</f>
        <v/>
      </c>
      <c r="AW62" t="n">
        <v>4302.64</v>
      </c>
      <c r="AX62" t="n">
        <v>13.43</v>
      </c>
      <c r="AZ62" t="n">
        <v>42895.89</v>
      </c>
      <c r="BA62" t="n">
        <v>8579.18</v>
      </c>
    </row>
    <row r="63">
      <c r="K63" t="n">
        <v>7</v>
      </c>
      <c r="L63" t="inlineStr">
        <is>
          <t>Samvardh. Mothe.</t>
        </is>
      </c>
      <c r="M63" t="n">
        <v>162.57</v>
      </c>
      <c r="N63" t="n">
        <v>1055.44</v>
      </c>
      <c r="AR63" t="n">
        <v>138631.67</v>
      </c>
      <c r="AS63">
        <f>AZ63-BA63</f>
        <v/>
      </c>
      <c r="AT63">
        <f>AR63+AS63</f>
        <v/>
      </c>
      <c r="AU63" t="n">
        <v>23367.6</v>
      </c>
      <c r="AV63">
        <f>AT63/AX63</f>
        <v/>
      </c>
      <c r="AW63" t="n">
        <v>2824.4</v>
      </c>
      <c r="AX63" t="n">
        <v>21.54</v>
      </c>
      <c r="AZ63" t="n">
        <v>34657.92</v>
      </c>
      <c r="BA63" t="n">
        <v>6931.58</v>
      </c>
    </row>
    <row r="64">
      <c r="K64" t="n">
        <v>8</v>
      </c>
      <c r="L64" t="inlineStr">
        <is>
          <t>Bosch</t>
        </is>
      </c>
      <c r="M64" t="n">
        <v>47000</v>
      </c>
      <c r="N64" t="n">
        <v>2.95</v>
      </c>
      <c r="AR64" t="n">
        <v>111886.25</v>
      </c>
      <c r="AS64">
        <f>AZ64-BA64</f>
        <v/>
      </c>
      <c r="AT64">
        <f>AR64+AS64</f>
        <v/>
      </c>
      <c r="AU64" t="n">
        <v>383196</v>
      </c>
      <c r="AV64">
        <f>AT64/AX64</f>
        <v/>
      </c>
      <c r="AW64" t="n">
        <v>3436</v>
      </c>
      <c r="AX64" t="n">
        <v>2.73</v>
      </c>
      <c r="AZ64" t="n">
        <v>27971.56</v>
      </c>
      <c r="BA64" t="n">
        <v>5594.31</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2026-09-30T21:07:53Z</dcterms:modified>
  <cp:lastModifiedBy>Loveish</cp:lastModifiedBy>
  <cp:lastPrinted>2012-12-06T18:14:13Z</cp:lastPrinted>
</cp:coreProperties>
</file>