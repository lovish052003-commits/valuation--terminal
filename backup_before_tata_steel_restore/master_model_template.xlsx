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4">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0.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3">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7" fontId="0"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IF(OR(ISBLANK('Data Sheet'!B$17), 'Data Sheet'!B$17&lt;=0), "N/A", IFERROR('Data Sheet'!B6/'Data Sheet'!B$17, "N/A"))</f>
        <v/>
      </c>
      <c r="C6" s="114">
        <f>IF(OR(ISBLANK('Data Sheet'!C$17), 'Data Sheet'!C$17&lt;=0), "N/A", IFERROR('Data Sheet'!C6/'Data Sheet'!C$17, "N/A"))</f>
        <v/>
      </c>
      <c r="D6" s="114">
        <f>IF(OR(ISBLANK('Data Sheet'!D$17), 'Data Sheet'!D$17&lt;=0), "N/A", IFERROR('Data Sheet'!D6/'Data Sheet'!D$17, "N/A"))</f>
        <v/>
      </c>
      <c r="E6" s="114">
        <f>IF(OR(ISBLANK('Data Sheet'!E$17), 'Data Sheet'!E$17&lt;=0), "N/A", IFERROR('Data Sheet'!E6/'Data Sheet'!E$17, "N/A"))</f>
        <v/>
      </c>
      <c r="F6" s="114">
        <f>IF(OR(ISBLANK('Data Sheet'!F$17), 'Data Sheet'!F$17&lt;=0), "N/A", IFERROR('Data Sheet'!F6/'Data Sheet'!F$17, "N/A"))</f>
        <v/>
      </c>
      <c r="G6" s="114">
        <f>IF(OR(ISBLANK('Data Sheet'!G$17), 'Data Sheet'!G$17&lt;=0), "N/A", IFERROR('Data Sheet'!G6/'Data Sheet'!G$17, "N/A"))</f>
        <v/>
      </c>
      <c r="H6" s="114">
        <f>IF(OR(ISBLANK('Data Sheet'!H$17), 'Data Sheet'!H$17&lt;=0), "N/A", IFERROR('Data Sheet'!H6/'Data Sheet'!H$17, "N/A"))</f>
        <v/>
      </c>
      <c r="I6" s="114">
        <f>IF(OR(ISBLANK('Data Sheet'!I$17), 'Data Sheet'!I$17&lt;=0), "N/A", IFERROR('Data Sheet'!I6/'Data Sheet'!I$17, "N/A"))</f>
        <v/>
      </c>
      <c r="J6" s="114">
        <f>IF(OR(ISBLANK('Data Sheet'!J$17), 'Data Sheet'!J$17&lt;=0), "N/A", IFERROR('Data Sheet'!J6/'Data Sheet'!J$17, "N/A"))</f>
        <v/>
      </c>
      <c r="K6" s="114">
        <f>IF(OR(ISBLANK('Data Sheet'!K$17), 'Data Sheet'!K$17&lt;=0), "N/A", IFERROR('Data Sheet'!K6/'Data Sheet'!K$17, "N/A"))</f>
        <v/>
      </c>
      <c r="L6" s="114">
        <f>'Data Sheet'!K17/'Data Sheet'!K$17</f>
        <v/>
      </c>
    </row>
    <row r="7">
      <c r="B7" s="195">
        <f>IF(OR(ISBLANK('Data Sheet'!B$17), 'Data Sheet'!B$17&lt;=0), "N/A", IFERROR('Data Sheet'!B7/'Data Sheet'!B$17, "N/A"))</f>
        <v/>
      </c>
      <c r="C7" s="36">
        <f>IF(OR(ISBLANK('Data Sheet'!C$17), 'Data Sheet'!C$17&lt;=0), "N/A", IFERROR('Data Sheet'!C7/'Data Sheet'!C$17, "N/A"))</f>
        <v/>
      </c>
      <c r="D7" s="36">
        <f>IF(OR(ISBLANK('Data Sheet'!D$17), 'Data Sheet'!D$17&lt;=0), "N/A", IFERROR('Data Sheet'!D7/'Data Sheet'!D$17, "N/A"))</f>
        <v/>
      </c>
      <c r="E7" s="36">
        <f>IF(OR(ISBLANK('Data Sheet'!E$17), 'Data Sheet'!E$17&lt;=0), "N/A", IFERROR('Data Sheet'!E7/'Data Sheet'!E$17, "N/A"))</f>
        <v/>
      </c>
      <c r="F7" s="36">
        <f>IF(OR(ISBLANK('Data Sheet'!F$17), 'Data Sheet'!F$17&lt;=0), "N/A", IFERROR('Data Sheet'!F7/'Data Sheet'!F$17, "N/A"))</f>
        <v/>
      </c>
      <c r="G7" s="36">
        <f>IF(OR(ISBLANK('Data Sheet'!G$17), 'Data Sheet'!G$17&lt;=0), "N/A", IFERROR('Data Sheet'!G7/'Data Sheet'!G$17, "N/A"))</f>
        <v/>
      </c>
      <c r="H7" s="36">
        <f>IF(OR(ISBLANK('Data Sheet'!H$17), 'Data Sheet'!H$17&lt;=0), "N/A", IFERROR('Data Sheet'!H7/'Data Sheet'!H$17, "N/A"))</f>
        <v/>
      </c>
      <c r="I7" s="36">
        <f>IF(OR(ISBLANK('Data Sheet'!I$17), 'Data Sheet'!I$17&lt;=0), "N/A", IFERROR('Data Sheet'!I7/'Data Sheet'!I$17, "N/A"))</f>
        <v/>
      </c>
      <c r="J7" s="36">
        <f>IF(OR(ISBLANK('Data Sheet'!J$17), 'Data Sheet'!J$17&lt;=0), "N/A", IFERROR('Data Sheet'!J7/'Data Sheet'!J$17, "N/A"))</f>
        <v/>
      </c>
      <c r="K7" s="36">
        <f>IF(OR(ISBLANK('Data Sheet'!K$17), 'Data Sheet'!K$17&lt;=0), "N/A", IFERROR('Data Sheet'!K7/'Data Sheet'!K$17, "N/A"))</f>
        <v/>
      </c>
      <c r="L7" s="36">
        <f>'Data Sheet'!K18/'Data Sheet'!K$17</f>
        <v/>
      </c>
    </row>
    <row r="8">
      <c r="B8" s="195">
        <f>IF(OR(ISBLANK('Data Sheet'!B$17), 'Data Sheet'!B$17&lt;=0), "N/A", IFERROR('Data Sheet'!B8/'Data Sheet'!B$17, "N/A"))</f>
        <v/>
      </c>
      <c r="C8" s="36">
        <f>IF(OR(ISBLANK('Data Sheet'!C$17), 'Data Sheet'!C$17&lt;=0), "N/A", IFERROR('Data Sheet'!C8/'Data Sheet'!C$17, "N/A"))</f>
        <v/>
      </c>
      <c r="D8" s="36">
        <f>IF(OR(ISBLANK('Data Sheet'!D$17), 'Data Sheet'!D$17&lt;=0), "N/A", IFERROR('Data Sheet'!D8/'Data Sheet'!D$17, "N/A"))</f>
        <v/>
      </c>
      <c r="E8" s="36">
        <f>IF(OR(ISBLANK('Data Sheet'!E$17), 'Data Sheet'!E$17&lt;=0), "N/A", IFERROR('Data Sheet'!E8/'Data Sheet'!E$17, "N/A"))</f>
        <v/>
      </c>
      <c r="F8" s="36">
        <f>IF(OR(ISBLANK('Data Sheet'!F$17), 'Data Sheet'!F$17&lt;=0), "N/A", IFERROR('Data Sheet'!F8/'Data Sheet'!F$17, "N/A"))</f>
        <v/>
      </c>
      <c r="G8" s="36">
        <f>IF(OR(ISBLANK('Data Sheet'!G$17), 'Data Sheet'!G$17&lt;=0), "N/A", IFERROR('Data Sheet'!G8/'Data Sheet'!G$17, "N/A"))</f>
        <v/>
      </c>
      <c r="H8" s="36">
        <f>IF(OR(ISBLANK('Data Sheet'!H$17), 'Data Sheet'!H$17&lt;=0), "N/A", IFERROR('Data Sheet'!H8/'Data Sheet'!H$17, "N/A"))</f>
        <v/>
      </c>
      <c r="I8" s="36">
        <f>IF(OR(ISBLANK('Data Sheet'!I$17), 'Data Sheet'!I$17&lt;=0), "N/A", IFERROR('Data Sheet'!I8/'Data Sheet'!I$17, "N/A"))</f>
        <v/>
      </c>
      <c r="J8" s="36">
        <f>IF(OR(ISBLANK('Data Sheet'!J$17), 'Data Sheet'!J$17&lt;=0), "N/A", IFERROR('Data Sheet'!J8/'Data Sheet'!J$17, "N/A"))</f>
        <v/>
      </c>
      <c r="K8" s="36">
        <f>IF(OR(ISBLANK('Data Sheet'!K$17), 'Data Sheet'!K$17&lt;=0), "N/A", IFERROR('Data Sheet'!K8/'Data Sheet'!K$17, "N/A"))</f>
        <v/>
      </c>
      <c r="L8" s="36">
        <f>'Data Sheet'!K19/'Data Sheet'!K$17</f>
        <v/>
      </c>
    </row>
    <row r="9">
      <c r="B9" s="195">
        <f>IF(OR(ISBLANK('Data Sheet'!B$17), 'Data Sheet'!B$17&lt;=0), "N/A", IFERROR('Data Sheet'!B9/'Data Sheet'!B$17, "N/A"))</f>
        <v/>
      </c>
      <c r="C9" s="36">
        <f>IF(OR(ISBLANK('Data Sheet'!C$17), 'Data Sheet'!C$17&lt;=0), "N/A", IFERROR('Data Sheet'!C9/'Data Sheet'!C$17, "N/A"))</f>
        <v/>
      </c>
      <c r="D9" s="36">
        <f>IF(OR(ISBLANK('Data Sheet'!D$17), 'Data Sheet'!D$17&lt;=0), "N/A", IFERROR('Data Sheet'!D9/'Data Sheet'!D$17, "N/A"))</f>
        <v/>
      </c>
      <c r="E9" s="36">
        <f>IF(OR(ISBLANK('Data Sheet'!E$17), 'Data Sheet'!E$17&lt;=0), "N/A", IFERROR('Data Sheet'!E9/'Data Sheet'!E$17, "N/A"))</f>
        <v/>
      </c>
      <c r="F9" s="36">
        <f>IF(OR(ISBLANK('Data Sheet'!F$17), 'Data Sheet'!F$17&lt;=0), "N/A", IFERROR('Data Sheet'!F9/'Data Sheet'!F$17, "N/A"))</f>
        <v/>
      </c>
      <c r="G9" s="36">
        <f>IF(OR(ISBLANK('Data Sheet'!G$17), 'Data Sheet'!G$17&lt;=0), "N/A", IFERROR('Data Sheet'!G9/'Data Sheet'!G$17, "N/A"))</f>
        <v/>
      </c>
      <c r="H9" s="36">
        <f>IF(OR(ISBLANK('Data Sheet'!H$17), 'Data Sheet'!H$17&lt;=0), "N/A", IFERROR('Data Sheet'!H9/'Data Sheet'!H$17, "N/A"))</f>
        <v/>
      </c>
      <c r="I9" s="36">
        <f>IF(OR(ISBLANK('Data Sheet'!I$17), 'Data Sheet'!I$17&lt;=0), "N/A", IFERROR('Data Sheet'!I9/'Data Sheet'!I$17, "N/A"))</f>
        <v/>
      </c>
      <c r="J9" s="36">
        <f>IF(OR(ISBLANK('Data Sheet'!J$17), 'Data Sheet'!J$17&lt;=0), "N/A", IFERROR('Data Sheet'!J9/'Data Sheet'!J$17, "N/A"))</f>
        <v/>
      </c>
      <c r="K9" s="36">
        <f>IF(OR(ISBLANK('Data Sheet'!K$17), 'Data Sheet'!K$17&lt;=0), "N/A", IFERROR('Data Sheet'!K9/'Data Sheet'!K$17, "N/A"))</f>
        <v/>
      </c>
      <c r="L9" s="36">
        <f>'Data Sheet'!K20/'Data Sheet'!K$17</f>
        <v/>
      </c>
    </row>
    <row r="10">
      <c r="B10" s="195">
        <f>IF(OR(ISBLANK('Data Sheet'!B$17), 'Data Sheet'!B$17&lt;=0), "N/A", IFERROR('Data Sheet'!B10/'Data Sheet'!B$17, "N/A"))</f>
        <v/>
      </c>
      <c r="C10" s="36">
        <f>IF(OR(ISBLANK('Data Sheet'!C$17), 'Data Sheet'!C$17&lt;=0), "N/A", IFERROR('Data Sheet'!C10/'Data Sheet'!C$17, "N/A"))</f>
        <v/>
      </c>
      <c r="D10" s="36">
        <f>IF(OR(ISBLANK('Data Sheet'!D$17), 'Data Sheet'!D$17&lt;=0), "N/A", IFERROR('Data Sheet'!D10/'Data Sheet'!D$17, "N/A"))</f>
        <v/>
      </c>
      <c r="E10" s="36">
        <f>IF(OR(ISBLANK('Data Sheet'!E$17), 'Data Sheet'!E$17&lt;=0), "N/A", IFERROR('Data Sheet'!E10/'Data Sheet'!E$17, "N/A"))</f>
        <v/>
      </c>
      <c r="F10" s="36">
        <f>IF(OR(ISBLANK('Data Sheet'!F$17), 'Data Sheet'!F$17&lt;=0), "N/A", IFERROR('Data Sheet'!F10/'Data Sheet'!F$17, "N/A"))</f>
        <v/>
      </c>
      <c r="G10" s="36">
        <f>IF(OR(ISBLANK('Data Sheet'!G$17), 'Data Sheet'!G$17&lt;=0), "N/A", IFERROR('Data Sheet'!G10/'Data Sheet'!G$17, "N/A"))</f>
        <v/>
      </c>
      <c r="H10" s="36">
        <f>IF(OR(ISBLANK('Data Sheet'!H$17), 'Data Sheet'!H$17&lt;=0), "N/A", IFERROR('Data Sheet'!H10/'Data Sheet'!H$17, "N/A"))</f>
        <v/>
      </c>
      <c r="I10" s="36">
        <f>IF(OR(ISBLANK('Data Sheet'!I$17), 'Data Sheet'!I$17&lt;=0), "N/A", IFERROR('Data Sheet'!I10/'Data Sheet'!I$17, "N/A"))</f>
        <v/>
      </c>
      <c r="J10" s="36">
        <f>IF(OR(ISBLANK('Data Sheet'!J$17), 'Data Sheet'!J$17&lt;=0), "N/A", IFERROR('Data Sheet'!J10/'Data Sheet'!J$17, "N/A"))</f>
        <v/>
      </c>
      <c r="K10" s="36">
        <f>IF(OR(ISBLANK('Data Sheet'!K$17), 'Data Sheet'!K$17&lt;=0), "N/A", IFERROR('Data Sheet'!K10/'Data Sheet'!K$17, "N/A"))</f>
        <v/>
      </c>
      <c r="L10" s="36">
        <f>'Data Sheet'!K21/'Data Sheet'!K$17</f>
        <v/>
      </c>
    </row>
    <row r="11">
      <c r="B11" s="195">
        <f>IF(OR(ISBLANK('Data Sheet'!B$17), 'Data Sheet'!B$17&lt;=0), "N/A", IFERROR('Data Sheet'!B11/'Data Sheet'!B$17, "N/A"))</f>
        <v/>
      </c>
      <c r="C11" s="36">
        <f>IF(OR(ISBLANK('Data Sheet'!C$17), 'Data Sheet'!C$17&lt;=0), "N/A", IFERROR('Data Sheet'!C11/'Data Sheet'!C$17, "N/A"))</f>
        <v/>
      </c>
      <c r="D11" s="36">
        <f>IF(OR(ISBLANK('Data Sheet'!D$17), 'Data Sheet'!D$17&lt;=0), "N/A", IFERROR('Data Sheet'!D11/'Data Sheet'!D$17, "N/A"))</f>
        <v/>
      </c>
      <c r="E11" s="36">
        <f>IF(OR(ISBLANK('Data Sheet'!E$17), 'Data Sheet'!E$17&lt;=0), "N/A", IFERROR('Data Sheet'!E11/'Data Sheet'!E$17, "N/A"))</f>
        <v/>
      </c>
      <c r="F11" s="36">
        <f>IF(OR(ISBLANK('Data Sheet'!F$17), 'Data Sheet'!F$17&lt;=0), "N/A", IFERROR('Data Sheet'!F11/'Data Sheet'!F$17, "N/A"))</f>
        <v/>
      </c>
      <c r="G11" s="36">
        <f>IF(OR(ISBLANK('Data Sheet'!G$17), 'Data Sheet'!G$17&lt;=0), "N/A", IFERROR('Data Sheet'!G11/'Data Sheet'!G$17, "N/A"))</f>
        <v/>
      </c>
      <c r="H11" s="36">
        <f>IF(OR(ISBLANK('Data Sheet'!H$17), 'Data Sheet'!H$17&lt;=0), "N/A", IFERROR('Data Sheet'!H11/'Data Sheet'!H$17, "N/A"))</f>
        <v/>
      </c>
      <c r="I11" s="36">
        <f>IF(OR(ISBLANK('Data Sheet'!I$17), 'Data Sheet'!I$17&lt;=0), "N/A", IFERROR('Data Sheet'!I11/'Data Sheet'!I$17, "N/A"))</f>
        <v/>
      </c>
      <c r="J11" s="36">
        <f>IF(OR(ISBLANK('Data Sheet'!J$17), 'Data Sheet'!J$17&lt;=0), "N/A", IFERROR('Data Sheet'!J11/'Data Sheet'!J$17, "N/A"))</f>
        <v/>
      </c>
      <c r="K11" s="36">
        <f>IF(OR(ISBLANK('Data Sheet'!K$17), 'Data Sheet'!K$17&lt;=0), "N/A", IFERROR('Data Sheet'!K11/'Data Sheet'!K$17, "N/A"))</f>
        <v/>
      </c>
      <c r="L11" s="36">
        <f>'Data Sheet'!K22/'Data Sheet'!K$17</f>
        <v/>
      </c>
    </row>
    <row r="12">
      <c r="B12" s="195">
        <f>IF(OR(ISBLANK('Data Sheet'!B$17), 'Data Sheet'!B$17&lt;=0), "N/A", IFERROR('Data Sheet'!B12/'Data Sheet'!B$17, "N/A"))</f>
        <v/>
      </c>
      <c r="C12" s="36">
        <f>IF(OR(ISBLANK('Data Sheet'!C$17), 'Data Sheet'!C$17&lt;=0), "N/A", IFERROR('Data Sheet'!C12/'Data Sheet'!C$17, "N/A"))</f>
        <v/>
      </c>
      <c r="D12" s="36">
        <f>IF(OR(ISBLANK('Data Sheet'!D$17), 'Data Sheet'!D$17&lt;=0), "N/A", IFERROR('Data Sheet'!D12/'Data Sheet'!D$17, "N/A"))</f>
        <v/>
      </c>
      <c r="E12" s="36">
        <f>IF(OR(ISBLANK('Data Sheet'!E$17), 'Data Sheet'!E$17&lt;=0), "N/A", IFERROR('Data Sheet'!E12/'Data Sheet'!E$17, "N/A"))</f>
        <v/>
      </c>
      <c r="F12" s="36">
        <f>IF(OR(ISBLANK('Data Sheet'!F$17), 'Data Sheet'!F$17&lt;=0), "N/A", IFERROR('Data Sheet'!F12/'Data Sheet'!F$17, "N/A"))</f>
        <v/>
      </c>
      <c r="G12" s="36">
        <f>IF(OR(ISBLANK('Data Sheet'!G$17), 'Data Sheet'!G$17&lt;=0), "N/A", IFERROR('Data Sheet'!G12/'Data Sheet'!G$17, "N/A"))</f>
        <v/>
      </c>
      <c r="H12" s="36">
        <f>IF(OR(ISBLANK('Data Sheet'!H$17), 'Data Sheet'!H$17&lt;=0), "N/A", IFERROR('Data Sheet'!H12/'Data Sheet'!H$17, "N/A"))</f>
        <v/>
      </c>
      <c r="I12" s="36">
        <f>IF(OR(ISBLANK('Data Sheet'!I$17), 'Data Sheet'!I$17&lt;=0), "N/A", IFERROR('Data Sheet'!I12/'Data Sheet'!I$17, "N/A"))</f>
        <v/>
      </c>
      <c r="J12" s="36">
        <f>IF(OR(ISBLANK('Data Sheet'!J$17), 'Data Sheet'!J$17&lt;=0), "N/A", IFERROR('Data Sheet'!J12/'Data Sheet'!J$17, "N/A"))</f>
        <v/>
      </c>
      <c r="K12" s="36">
        <f>IF(OR(ISBLANK('Data Sheet'!K$17), 'Data Sheet'!K$17&lt;=0), "N/A", IFERROR('Data Sheet'!K12/'Data Sheet'!K$17, "N/A"))</f>
        <v/>
      </c>
      <c r="L12" s="36">
        <f>'Data Sheet'!K23/'Data Sheet'!K$17</f>
        <v/>
      </c>
    </row>
    <row r="13">
      <c r="B13" s="195">
        <f>IF(OR(ISBLANK('Data Sheet'!B$17), 'Data Sheet'!B$17&lt;=0), "N/A", IFERROR('Data Sheet'!B13/'Data Sheet'!B$17, "N/A"))</f>
        <v/>
      </c>
      <c r="C13" s="36">
        <f>IF(OR(ISBLANK('Data Sheet'!C$17), 'Data Sheet'!C$17&lt;=0), "N/A", IFERROR('Data Sheet'!C13/'Data Sheet'!C$17, "N/A"))</f>
        <v/>
      </c>
      <c r="D13" s="36">
        <f>IF(OR(ISBLANK('Data Sheet'!D$17), 'Data Sheet'!D$17&lt;=0), "N/A", IFERROR('Data Sheet'!D13/'Data Sheet'!D$17, "N/A"))</f>
        <v/>
      </c>
      <c r="E13" s="36">
        <f>IF(OR(ISBLANK('Data Sheet'!E$17), 'Data Sheet'!E$17&lt;=0), "N/A", IFERROR('Data Sheet'!E13/'Data Sheet'!E$17, "N/A"))</f>
        <v/>
      </c>
      <c r="F13" s="36">
        <f>IF(OR(ISBLANK('Data Sheet'!F$17), 'Data Sheet'!F$17&lt;=0), "N/A", IFERROR('Data Sheet'!F13/'Data Sheet'!F$17, "N/A"))</f>
        <v/>
      </c>
      <c r="G13" s="36">
        <f>IF(OR(ISBLANK('Data Sheet'!G$17), 'Data Sheet'!G$17&lt;=0), "N/A", IFERROR('Data Sheet'!G13/'Data Sheet'!G$17, "N/A"))</f>
        <v/>
      </c>
      <c r="H13" s="36">
        <f>IF(OR(ISBLANK('Data Sheet'!H$17), 'Data Sheet'!H$17&lt;=0), "N/A", IFERROR('Data Sheet'!H13/'Data Sheet'!H$17, "N/A"))</f>
        <v/>
      </c>
      <c r="I13" s="36">
        <f>IF(OR(ISBLANK('Data Sheet'!I$17), 'Data Sheet'!I$17&lt;=0), "N/A", IFERROR('Data Sheet'!I13/'Data Sheet'!I$17, "N/A"))</f>
        <v/>
      </c>
      <c r="J13" s="36">
        <f>IF(OR(ISBLANK('Data Sheet'!J$17), 'Data Sheet'!J$17&lt;=0), "N/A", IFERROR('Data Sheet'!J13/'Data Sheet'!J$17, "N/A"))</f>
        <v/>
      </c>
      <c r="K13" s="36">
        <f>IF(OR(ISBLANK('Data Sheet'!K$17), 'Data Sheet'!K$17&lt;=0), "N/A", IFERROR('Data Sheet'!K13/'Data Sheet'!K$17, "N/A"))</f>
        <v/>
      </c>
      <c r="L13" s="36">
        <f>'Data Sheet'!K24/'Data Sheet'!K$17</f>
        <v/>
      </c>
    </row>
    <row r="14">
      <c r="B14" s="195">
        <f>IF(OR(ISBLANK('Data Sheet'!B$17), 'Data Sheet'!B$17&lt;=0), "N/A", IFERROR('Data Sheet'!B14/'Data Sheet'!B$17, "N/A"))</f>
        <v/>
      </c>
      <c r="C14" s="36">
        <f>IF(OR(ISBLANK('Data Sheet'!C$17), 'Data Sheet'!C$17&lt;=0), "N/A", IFERROR('Data Sheet'!C14/'Data Sheet'!C$17, "N/A"))</f>
        <v/>
      </c>
      <c r="D14" s="36">
        <f>IF(OR(ISBLANK('Data Sheet'!D$17), 'Data Sheet'!D$17&lt;=0), "N/A", IFERROR('Data Sheet'!D14/'Data Sheet'!D$17, "N/A"))</f>
        <v/>
      </c>
      <c r="E14" s="36">
        <f>IF(OR(ISBLANK('Data Sheet'!E$17), 'Data Sheet'!E$17&lt;=0), "N/A", IFERROR('Data Sheet'!E14/'Data Sheet'!E$17, "N/A"))</f>
        <v/>
      </c>
      <c r="F14" s="36">
        <f>IF(OR(ISBLANK('Data Sheet'!F$17), 'Data Sheet'!F$17&lt;=0), "N/A", IFERROR('Data Sheet'!F14/'Data Sheet'!F$17, "N/A"))</f>
        <v/>
      </c>
      <c r="G14" s="36">
        <f>IF(OR(ISBLANK('Data Sheet'!G$17), 'Data Sheet'!G$17&lt;=0), "N/A", IFERROR('Data Sheet'!G14/'Data Sheet'!G$17, "N/A"))</f>
        <v/>
      </c>
      <c r="H14" s="36">
        <f>IF(OR(ISBLANK('Data Sheet'!H$17), 'Data Sheet'!H$17&lt;=0), "N/A", IFERROR('Data Sheet'!H14/'Data Sheet'!H$17, "N/A"))</f>
        <v/>
      </c>
      <c r="I14" s="36">
        <f>IF(OR(ISBLANK('Data Sheet'!I$17), 'Data Sheet'!I$17&lt;=0), "N/A", IFERROR('Data Sheet'!I14/'Data Sheet'!I$17, "N/A"))</f>
        <v/>
      </c>
      <c r="J14" s="36">
        <f>IF(OR(ISBLANK('Data Sheet'!J$17), 'Data Sheet'!J$17&lt;=0), "N/A", IFERROR('Data Sheet'!J14/'Data Sheet'!J$17, "N/A"))</f>
        <v/>
      </c>
      <c r="K14" s="36">
        <f>IF(OR(ISBLANK('Data Sheet'!K$17), 'Data Sheet'!K$17&lt;=0), "N/A", IFERROR('Data Sheet'!K14/'Data Sheet'!K$17, "N/A"))</f>
        <v/>
      </c>
      <c r="L14" s="36">
        <f>'Data Sheet'!K25/'Data Sheet'!K$17</f>
        <v/>
      </c>
    </row>
    <row r="15">
      <c r="B15" s="195">
        <f>IF(OR(ISBLANK('Data Sheet'!B$17), 'Data Sheet'!B$17&lt;=0), "N/A", IFERROR('Data Sheet'!B15/'Data Sheet'!B$17, "N/A"))</f>
        <v/>
      </c>
      <c r="C15" s="36">
        <f>IF(OR(ISBLANK('Data Sheet'!C$17), 'Data Sheet'!C$17&lt;=0), "N/A", IFERROR('Data Sheet'!C15/'Data Sheet'!C$17, "N/A"))</f>
        <v/>
      </c>
      <c r="D15" s="36">
        <f>IF(OR(ISBLANK('Data Sheet'!D$17), 'Data Sheet'!D$17&lt;=0), "N/A", IFERROR('Data Sheet'!D15/'Data Sheet'!D$17, "N/A"))</f>
        <v/>
      </c>
      <c r="E15" s="36">
        <f>IF(OR(ISBLANK('Data Sheet'!E$17), 'Data Sheet'!E$17&lt;=0), "N/A", IFERROR('Data Sheet'!E15/'Data Sheet'!E$17, "N/A"))</f>
        <v/>
      </c>
      <c r="F15" s="36">
        <f>IF(OR(ISBLANK('Data Sheet'!F$17), 'Data Sheet'!F$17&lt;=0), "N/A", IFERROR('Data Sheet'!F15/'Data Sheet'!F$17, "N/A"))</f>
        <v/>
      </c>
      <c r="G15" s="36">
        <f>IF(OR(ISBLANK('Data Sheet'!G$17), 'Data Sheet'!G$17&lt;=0), "N/A", IFERROR('Data Sheet'!G15/'Data Sheet'!G$17, "N/A"))</f>
        <v/>
      </c>
      <c r="H15" s="36">
        <f>IF(OR(ISBLANK('Data Sheet'!H$17), 'Data Sheet'!H$17&lt;=0), "N/A", IFERROR('Data Sheet'!H15/'Data Sheet'!H$17, "N/A"))</f>
        <v/>
      </c>
      <c r="I15" s="36">
        <f>IF(OR(ISBLANK('Data Sheet'!I$17), 'Data Sheet'!I$17&lt;=0), "N/A", IFERROR('Data Sheet'!I15/'Data Sheet'!I$17, "N/A"))</f>
        <v/>
      </c>
      <c r="J15" s="36">
        <f>IF(OR(ISBLANK('Data Sheet'!J$17), 'Data Sheet'!J$17&lt;=0), "N/A", IFERROR('Data Sheet'!J15/'Data Sheet'!J$17, "N/A"))</f>
        <v/>
      </c>
      <c r="K15" s="36">
        <f>IF(OR(ISBLANK('Data Sheet'!K$17), 'Data Sheet'!K$17&lt;=0), "N/A", IFERROR('Data Sheet'!K15/'Data Sheet'!K$17, "N/A"))</f>
        <v/>
      </c>
      <c r="L15" s="36">
        <f>'Data Sheet'!K26/'Data Sheet'!K$17</f>
        <v/>
      </c>
    </row>
    <row r="16">
      <c r="B16" s="195">
        <f>IF(OR(ISBLANK('Data Sheet'!B$17), 'Data Sheet'!B$17&lt;=0), "N/A", IFERROR('Data Sheet'!B16/'Data Sheet'!B$17, "N/A"))</f>
        <v/>
      </c>
      <c r="C16" s="36">
        <f>IF(OR(ISBLANK('Data Sheet'!C$17), 'Data Sheet'!C$17&lt;=0), "N/A", IFERROR('Data Sheet'!C16/'Data Sheet'!C$17, "N/A"))</f>
        <v/>
      </c>
      <c r="D16" s="36">
        <f>IF(OR(ISBLANK('Data Sheet'!D$17), 'Data Sheet'!D$17&lt;=0), "N/A", IFERROR('Data Sheet'!D16/'Data Sheet'!D$17, "N/A"))</f>
        <v/>
      </c>
      <c r="E16" s="36">
        <f>IF(OR(ISBLANK('Data Sheet'!E$17), 'Data Sheet'!E$17&lt;=0), "N/A", IFERROR('Data Sheet'!E16/'Data Sheet'!E$17, "N/A"))</f>
        <v/>
      </c>
      <c r="F16" s="36">
        <f>IF(OR(ISBLANK('Data Sheet'!F$17), 'Data Sheet'!F$17&lt;=0), "N/A", IFERROR('Data Sheet'!F16/'Data Sheet'!F$17, "N/A"))</f>
        <v/>
      </c>
      <c r="G16" s="36">
        <f>IF(OR(ISBLANK('Data Sheet'!G$17), 'Data Sheet'!G$17&lt;=0), "N/A", IFERROR('Data Sheet'!G16/'Data Sheet'!G$17, "N/A"))</f>
        <v/>
      </c>
      <c r="H16" s="36">
        <f>IF(OR(ISBLANK('Data Sheet'!H$17), 'Data Sheet'!H$17&lt;=0), "N/A", IFERROR('Data Sheet'!H16/'Data Sheet'!H$17, "N/A"))</f>
        <v/>
      </c>
      <c r="I16" s="36">
        <f>IF(OR(ISBLANK('Data Sheet'!I$17), 'Data Sheet'!I$17&lt;=0), "N/A", IFERROR('Data Sheet'!I16/'Data Sheet'!I$17, "N/A"))</f>
        <v/>
      </c>
      <c r="J16" s="36">
        <f>IF(OR(ISBLANK('Data Sheet'!J$17), 'Data Sheet'!J$17&lt;=0), "N/A", IFERROR('Data Sheet'!J16/'Data Sheet'!J$17, "N/A"))</f>
        <v/>
      </c>
      <c r="K16" s="36">
        <f>IF(OR(ISBLANK('Data Sheet'!K$17), 'Data Sheet'!K$17&lt;=0), "N/A", IFERROR('Data Sheet'!K16/'Data Sheet'!K$17, "N/A"))</f>
        <v/>
      </c>
      <c r="L16" s="36">
        <f>'Data Sheet'!K27/'Data Sheet'!K$17</f>
        <v/>
      </c>
    </row>
    <row r="17">
      <c r="B17" s="195">
        <f>IF(OR(ISBLANK('Data Sheet'!B$17), 'Data Sheet'!B$17&lt;=0), "N/A", IFERROR('Data Sheet'!B17/'Data Sheet'!B$17, "N/A"))</f>
        <v/>
      </c>
      <c r="C17" s="36">
        <f>IF(OR(ISBLANK('Data Sheet'!C$17), 'Data Sheet'!C$17&lt;=0), "N/A", IFERROR('Data Sheet'!C17/'Data Sheet'!C$17, "N/A"))</f>
        <v/>
      </c>
      <c r="D17" s="36">
        <f>IF(OR(ISBLANK('Data Sheet'!D$17), 'Data Sheet'!D$17&lt;=0), "N/A", IFERROR('Data Sheet'!D17/'Data Sheet'!D$17, "N/A"))</f>
        <v/>
      </c>
      <c r="E17" s="36">
        <f>IF(OR(ISBLANK('Data Sheet'!E$17), 'Data Sheet'!E$17&lt;=0), "N/A", IFERROR('Data Sheet'!E17/'Data Sheet'!E$17, "N/A"))</f>
        <v/>
      </c>
      <c r="F17" s="36">
        <f>IF(OR(ISBLANK('Data Sheet'!F$17), 'Data Sheet'!F$17&lt;=0), "N/A", IFERROR('Data Sheet'!F17/'Data Sheet'!F$17, "N/A"))</f>
        <v/>
      </c>
      <c r="G17" s="36">
        <f>IF(OR(ISBLANK('Data Sheet'!G$17), 'Data Sheet'!G$17&lt;=0), "N/A", IFERROR('Data Sheet'!G17/'Data Sheet'!G$17, "N/A"))</f>
        <v/>
      </c>
      <c r="H17" s="36">
        <f>IF(OR(ISBLANK('Data Sheet'!H$17), 'Data Sheet'!H$17&lt;=0), "N/A", IFERROR('Data Sheet'!H17/'Data Sheet'!H$17, "N/A"))</f>
        <v/>
      </c>
      <c r="I17" s="36">
        <f>IF(OR(ISBLANK('Data Sheet'!I$17), 'Data Sheet'!I$17&lt;=0), "N/A", IFERROR('Data Sheet'!I17/'Data Sheet'!I$17, "N/A"))</f>
        <v/>
      </c>
      <c r="J17" s="36">
        <f>IF(OR(ISBLANK('Data Sheet'!J$17), 'Data Sheet'!J$17&lt;=0), "N/A", IFERROR('Data Sheet'!J17/'Data Sheet'!J$17, "N/A"))</f>
        <v/>
      </c>
      <c r="K17" s="36">
        <f>IF(OR(ISBLANK('Data Sheet'!K$17), 'Data Sheet'!K$17&lt;=0), "N/A", IFERROR('Data Sheet'!K17/'Data Sheet'!K$17, "N/A"))</f>
        <v/>
      </c>
      <c r="L17" s="36">
        <f>'Data Sheet'!K28/'Data Sheet'!K$17</f>
        <v/>
      </c>
    </row>
    <row r="18">
      <c r="B18" s="195">
        <f>IF(OR(ISBLANK('Data Sheet'!B$17), 'Data Sheet'!B$17&lt;=0), "N/A", IFERROR('Data Sheet'!B18/'Data Sheet'!B$17, "N/A"))</f>
        <v/>
      </c>
      <c r="C18" s="36">
        <f>IF(OR(ISBLANK('Data Sheet'!C$17), 'Data Sheet'!C$17&lt;=0), "N/A", IFERROR('Data Sheet'!C18/'Data Sheet'!C$17, "N/A"))</f>
        <v/>
      </c>
      <c r="D18" s="36">
        <f>IF(OR(ISBLANK('Data Sheet'!D$17), 'Data Sheet'!D$17&lt;=0), "N/A", IFERROR('Data Sheet'!D18/'Data Sheet'!D$17, "N/A"))</f>
        <v/>
      </c>
      <c r="E18" s="36">
        <f>IF(OR(ISBLANK('Data Sheet'!E$17), 'Data Sheet'!E$17&lt;=0), "N/A", IFERROR('Data Sheet'!E18/'Data Sheet'!E$17, "N/A"))</f>
        <v/>
      </c>
      <c r="F18" s="36">
        <f>IF(OR(ISBLANK('Data Sheet'!F$17), 'Data Sheet'!F$17&lt;=0), "N/A", IFERROR('Data Sheet'!F18/'Data Sheet'!F$17, "N/A"))</f>
        <v/>
      </c>
      <c r="G18" s="36">
        <f>IF(OR(ISBLANK('Data Sheet'!G$17), 'Data Sheet'!G$17&lt;=0), "N/A", IFERROR('Data Sheet'!G18/'Data Sheet'!G$17, "N/A"))</f>
        <v/>
      </c>
      <c r="H18" s="36">
        <f>IF(OR(ISBLANK('Data Sheet'!H$17), 'Data Sheet'!H$17&lt;=0), "N/A", IFERROR('Data Sheet'!H18/'Data Sheet'!H$17, "N/A"))</f>
        <v/>
      </c>
      <c r="I18" s="36">
        <f>IF(OR(ISBLANK('Data Sheet'!I$17), 'Data Sheet'!I$17&lt;=0), "N/A", IFERROR('Data Sheet'!I18/'Data Sheet'!I$17, "N/A"))</f>
        <v/>
      </c>
      <c r="J18" s="36">
        <f>IF(OR(ISBLANK('Data Sheet'!J$17), 'Data Sheet'!J$17&lt;=0), "N/A", IFERROR('Data Sheet'!J18/'Data Sheet'!J$17, "N/A"))</f>
        <v/>
      </c>
      <c r="K18" s="36">
        <f>IF(OR(ISBLANK('Data Sheet'!K$17), 'Data Sheet'!K$17&lt;=0), "N/A", IFERROR('Data Sheet'!K18/'Data Sheet'!K$17, "N/A"))</f>
        <v/>
      </c>
      <c r="L18" s="36">
        <f>'Data Sheet'!K29/'Data Sheet'!K$17</f>
        <v/>
      </c>
    </row>
    <row r="19">
      <c r="B19" s="195">
        <f>IF(OR(ISBLANK('Data Sheet'!B$17), 'Data Sheet'!B$17&lt;=0), "N/A", IFERROR('Data Sheet'!B19/'Data Sheet'!B$17, "N/A"))</f>
        <v/>
      </c>
      <c r="C19" s="36">
        <f>IF(OR(ISBLANK('Data Sheet'!C$17), 'Data Sheet'!C$17&lt;=0), "N/A", IFERROR('Data Sheet'!C19/'Data Sheet'!C$17, "N/A"))</f>
        <v/>
      </c>
      <c r="D19" s="36">
        <f>IF(OR(ISBLANK('Data Sheet'!D$17), 'Data Sheet'!D$17&lt;=0), "N/A", IFERROR('Data Sheet'!D19/'Data Sheet'!D$17, "N/A"))</f>
        <v/>
      </c>
      <c r="E19" s="36">
        <f>IF(OR(ISBLANK('Data Sheet'!E$17), 'Data Sheet'!E$17&lt;=0), "N/A", IFERROR('Data Sheet'!E19/'Data Sheet'!E$17, "N/A"))</f>
        <v/>
      </c>
      <c r="F19" s="36">
        <f>IF(OR(ISBLANK('Data Sheet'!F$17), 'Data Sheet'!F$17&lt;=0), "N/A", IFERROR('Data Sheet'!F19/'Data Sheet'!F$17, "N/A"))</f>
        <v/>
      </c>
      <c r="G19" s="36">
        <f>IF(OR(ISBLANK('Data Sheet'!G$17), 'Data Sheet'!G$17&lt;=0), "N/A", IFERROR('Data Sheet'!G19/'Data Sheet'!G$17, "N/A"))</f>
        <v/>
      </c>
      <c r="H19" s="36">
        <f>IF(OR(ISBLANK('Data Sheet'!H$17), 'Data Sheet'!H$17&lt;=0), "N/A", IFERROR('Data Sheet'!H19/'Data Sheet'!H$17, "N/A"))</f>
        <v/>
      </c>
      <c r="I19" s="36">
        <f>IF(OR(ISBLANK('Data Sheet'!I$17), 'Data Sheet'!I$17&lt;=0), "N/A", IFERROR('Data Sheet'!I19/'Data Sheet'!I$17, "N/A"))</f>
        <v/>
      </c>
      <c r="J19" s="36">
        <f>IF(OR(ISBLANK('Data Sheet'!J$17), 'Data Sheet'!J$17&lt;=0), "N/A", IFERROR('Data Sheet'!J19/'Data Sheet'!J$17, "N/A"))</f>
        <v/>
      </c>
      <c r="K19" s="36">
        <f>IF(OR(ISBLANK('Data Sheet'!K$17), 'Data Sheet'!K$17&lt;=0), "N/A", IFERROR('Data Sheet'!K19/'Data Sheet'!K$17, "N/A"))</f>
        <v/>
      </c>
      <c r="L19" s="36">
        <f>'Data Sheet'!K30/'Data Sheet'!K$17</f>
        <v/>
      </c>
    </row>
    <row r="20">
      <c r="B20" s="195">
        <f>IF(OR(ISBLANK('Data Sheet'!B$17), 'Data Sheet'!B$17&lt;=0), "N/A", IFERROR('Data Sheet'!B20/'Data Sheet'!B$17, "N/A"))</f>
        <v/>
      </c>
      <c r="C20" s="36">
        <f>IF(OR(ISBLANK('Data Sheet'!C$17), 'Data Sheet'!C$17&lt;=0), "N/A", IFERROR('Data Sheet'!C20/'Data Sheet'!C$17, "N/A"))</f>
        <v/>
      </c>
      <c r="D20" s="36">
        <f>IF(OR(ISBLANK('Data Sheet'!D$17), 'Data Sheet'!D$17&lt;=0), "N/A", IFERROR('Data Sheet'!D20/'Data Sheet'!D$17, "N/A"))</f>
        <v/>
      </c>
      <c r="E20" s="36">
        <f>IF(OR(ISBLANK('Data Sheet'!E$17), 'Data Sheet'!E$17&lt;=0), "N/A", IFERROR('Data Sheet'!E20/'Data Sheet'!E$17, "N/A"))</f>
        <v/>
      </c>
      <c r="F20" s="36">
        <f>IF(OR(ISBLANK('Data Sheet'!F$17), 'Data Sheet'!F$17&lt;=0), "N/A", IFERROR('Data Sheet'!F20/'Data Sheet'!F$17, "N/A"))</f>
        <v/>
      </c>
      <c r="G20" s="36">
        <f>IF(OR(ISBLANK('Data Sheet'!G$17), 'Data Sheet'!G$17&lt;=0), "N/A", IFERROR('Data Sheet'!G20/'Data Sheet'!G$17, "N/A"))</f>
        <v/>
      </c>
      <c r="H20" s="36">
        <f>IF(OR(ISBLANK('Data Sheet'!H$17), 'Data Sheet'!H$17&lt;=0), "N/A", IFERROR('Data Sheet'!H20/'Data Sheet'!H$17, "N/A"))</f>
        <v/>
      </c>
      <c r="I20" s="36">
        <f>IF(OR(ISBLANK('Data Sheet'!I$17), 'Data Sheet'!I$17&lt;=0), "N/A", IFERROR('Data Sheet'!I20/'Data Sheet'!I$17, "N/A"))</f>
        <v/>
      </c>
      <c r="J20" s="36">
        <f>IF(OR(ISBLANK('Data Sheet'!J$17), 'Data Sheet'!J$17&lt;=0), "N/A", IFERROR('Data Sheet'!J20/'Data Sheet'!J$17, "N/A"))</f>
        <v/>
      </c>
      <c r="K20" s="36">
        <f>IF(OR(ISBLANK('Data Sheet'!K$17), 'Data Sheet'!K$17&lt;=0), "N/A", IFERROR('Data Sheet'!K20/'Data Sheet'!K$17, "N/A"))</f>
        <v/>
      </c>
      <c r="L20" s="36">
        <f>'Data Sheet'!K31/'Data Sheet'!K$17</f>
        <v/>
      </c>
    </row>
    <row r="21">
      <c r="B21" s="195">
        <f>IF(OR(ISBLANK('Data Sheet'!B$17), 'Data Sheet'!B$17&lt;=0), "N/A", IFERROR('Data Sheet'!B21/'Data Sheet'!B$17, "N/A"))</f>
        <v/>
      </c>
      <c r="C21" s="36">
        <f>IF(OR(ISBLANK('Data Sheet'!C$17), 'Data Sheet'!C$17&lt;=0), "N/A", IFERROR('Data Sheet'!C21/'Data Sheet'!C$17, "N/A"))</f>
        <v/>
      </c>
      <c r="D21" s="36">
        <f>IF(OR(ISBLANK('Data Sheet'!D$17), 'Data Sheet'!D$17&lt;=0), "N/A", IFERROR('Data Sheet'!D21/'Data Sheet'!D$17, "N/A"))</f>
        <v/>
      </c>
      <c r="E21" s="36">
        <f>IF(OR(ISBLANK('Data Sheet'!E$17), 'Data Sheet'!E$17&lt;=0), "N/A", IFERROR('Data Sheet'!E21/'Data Sheet'!E$17, "N/A"))</f>
        <v/>
      </c>
      <c r="F21" s="36">
        <f>IF(OR(ISBLANK('Data Sheet'!F$17), 'Data Sheet'!F$17&lt;=0), "N/A", IFERROR('Data Sheet'!F21/'Data Sheet'!F$17, "N/A"))</f>
        <v/>
      </c>
      <c r="G21" s="36">
        <f>IF(OR(ISBLANK('Data Sheet'!G$17), 'Data Sheet'!G$17&lt;=0), "N/A", IFERROR('Data Sheet'!G21/'Data Sheet'!G$17, "N/A"))</f>
        <v/>
      </c>
      <c r="H21" s="36">
        <f>IF(OR(ISBLANK('Data Sheet'!H$17), 'Data Sheet'!H$17&lt;=0), "N/A", IFERROR('Data Sheet'!H21/'Data Sheet'!H$17, "N/A"))</f>
        <v/>
      </c>
      <c r="I21" s="36">
        <f>IF(OR(ISBLANK('Data Sheet'!I$17), 'Data Sheet'!I$17&lt;=0), "N/A", IFERROR('Data Sheet'!I21/'Data Sheet'!I$17, "N/A"))</f>
        <v/>
      </c>
      <c r="J21" s="36">
        <f>IF(OR(ISBLANK('Data Sheet'!J$17), 'Data Sheet'!J$17&lt;=0), "N/A", IFERROR('Data Sheet'!J21/'Data Sheet'!J$17, "N/A"))</f>
        <v/>
      </c>
      <c r="K21" s="36">
        <f>IF(OR(ISBLANK('Data Sheet'!K$17), 'Data Sheet'!K$17&lt;=0), "N/A", IFERROR('Data Sheet'!K21/'Data Sheet'!K$17, "N/A"))</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f>IF(OR(ISBLANK('Data Sheet'!B$61), 'Data Sheet'!B$61&lt;=0), "N/A", IFERROR('Data Sheet'!B61/'Data Sheet'!B$61, "N/A"))</f>
        <v/>
      </c>
      <c r="C27" s="114">
        <f>IF(OR(ISBLANK('Data Sheet'!C$61), 'Data Sheet'!C$61&lt;=0), "N/A", IFERROR('Data Sheet'!C61/'Data Sheet'!C$61, "N/A"))</f>
        <v/>
      </c>
      <c r="D27" s="114">
        <f>IF(OR(ISBLANK('Data Sheet'!D$61), 'Data Sheet'!D$61&lt;=0), "N/A", IFERROR('Data Sheet'!D61/'Data Sheet'!D$61, "N/A"))</f>
        <v/>
      </c>
      <c r="E27" s="114">
        <f>IF(OR(ISBLANK('Data Sheet'!E$61), 'Data Sheet'!E$61&lt;=0), "N/A", IFERROR('Data Sheet'!E61/'Data Sheet'!E$61, "N/A"))</f>
        <v/>
      </c>
      <c r="F27" s="114">
        <f>IF(OR(ISBLANK('Data Sheet'!F$61), 'Data Sheet'!F$61&lt;=0), "N/A", IFERROR('Data Sheet'!F61/'Data Sheet'!F$61, "N/A"))</f>
        <v/>
      </c>
      <c r="G27" s="114">
        <f>IF(OR(ISBLANK('Data Sheet'!G$61), 'Data Sheet'!G$61&lt;=0), "N/A", IFERROR('Data Sheet'!G61/'Data Sheet'!G$61, "N/A"))</f>
        <v/>
      </c>
      <c r="H27" s="114">
        <f>IF(OR(ISBLANK('Data Sheet'!H$61), 'Data Sheet'!H$61&lt;=0), "N/A", IFERROR('Data Sheet'!H61/'Data Sheet'!H$61, "N/A"))</f>
        <v/>
      </c>
      <c r="I27" s="114">
        <f>IF(OR(ISBLANK('Data Sheet'!I$61), 'Data Sheet'!I$61&lt;=0), "N/A", IFERROR('Data Sheet'!I61/'Data Sheet'!I$61, "N/A"))</f>
        <v/>
      </c>
      <c r="J27" s="114">
        <f>IF(OR(ISBLANK('Data Sheet'!J$61), 'Data Sheet'!J$61&lt;=0), "N/A", IFERROR('Data Sheet'!J61/'Data Sheet'!J$61, "N/A"))</f>
        <v/>
      </c>
      <c r="K27" s="114">
        <f>IF(OR(ISBLANK('Data Sheet'!K$61), 'Data Sheet'!K$61&lt;=0), "N/A", IFERROR('Data Sheet'!K61/'Data Sheet'!K$61, "N/A"))</f>
        <v/>
      </c>
      <c r="L27" s="114">
        <f>'Data Sheet'!K61/'Data Sheet'!K$61</f>
        <v/>
      </c>
    </row>
    <row r="28">
      <c r="B28" s="195">
        <f>IF(OR(ISBLANK('Data Sheet'!B$61), 'Data Sheet'!B$61&lt;=0), "N/A", IFERROR('Data Sheet'!B57/'Data Sheet'!B$61, "N/A"))</f>
        <v/>
      </c>
      <c r="C28" s="36">
        <f>IF(OR(ISBLANK('Data Sheet'!C$61), 'Data Sheet'!C$61&lt;=0), "N/A", IFERROR('Data Sheet'!C57/'Data Sheet'!C$61, "N/A"))</f>
        <v/>
      </c>
      <c r="D28" s="36">
        <f>IF(OR(ISBLANK('Data Sheet'!D$61), 'Data Sheet'!D$61&lt;=0), "N/A", IFERROR('Data Sheet'!D57/'Data Sheet'!D$61, "N/A"))</f>
        <v/>
      </c>
      <c r="E28" s="36">
        <f>IF(OR(ISBLANK('Data Sheet'!E$61), 'Data Sheet'!E$61&lt;=0), "N/A", IFERROR('Data Sheet'!E57/'Data Sheet'!E$61, "N/A"))</f>
        <v/>
      </c>
      <c r="F28" s="36">
        <f>IF(OR(ISBLANK('Data Sheet'!F$61), 'Data Sheet'!F$61&lt;=0), "N/A", IFERROR('Data Sheet'!F57/'Data Sheet'!F$61, "N/A"))</f>
        <v/>
      </c>
      <c r="G28" s="36">
        <f>IF(OR(ISBLANK('Data Sheet'!G$61), 'Data Sheet'!G$61&lt;=0), "N/A", IFERROR('Data Sheet'!G57/'Data Sheet'!G$61, "N/A"))</f>
        <v/>
      </c>
      <c r="H28" s="36">
        <f>IF(OR(ISBLANK('Data Sheet'!H$61), 'Data Sheet'!H$61&lt;=0), "N/A", IFERROR('Data Sheet'!H57/'Data Sheet'!H$61, "N/A"))</f>
        <v/>
      </c>
      <c r="I28" s="36">
        <f>IF(OR(ISBLANK('Data Sheet'!I$61), 'Data Sheet'!I$61&lt;=0), "N/A", IFERROR('Data Sheet'!I57/'Data Sheet'!I$61, "N/A"))</f>
        <v/>
      </c>
      <c r="J28" s="36">
        <f>IF(OR(ISBLANK('Data Sheet'!J$61), 'Data Sheet'!J$61&lt;=0), "N/A", IFERROR('Data Sheet'!J57/'Data Sheet'!J$61, "N/A"))</f>
        <v/>
      </c>
      <c r="K28" s="36">
        <f>IF(OR(ISBLANK('Data Sheet'!K$61), 'Data Sheet'!K$61&lt;=0), "N/A", IFERROR('Data Sheet'!K57/'Data Sheet'!K$61, "N/A"))</f>
        <v/>
      </c>
      <c r="L28" s="36">
        <f>'Data Sheet'!K57/'Data Sheet'!K$61</f>
        <v/>
      </c>
    </row>
    <row r="29">
      <c r="B29" s="195">
        <f>IF(OR(ISBLANK('Data Sheet'!B$61), 'Data Sheet'!B$61&lt;=0), "N/A", IFERROR('Data Sheet'!B58/'Data Sheet'!B$61, "N/A"))</f>
        <v/>
      </c>
      <c r="C29" s="36">
        <f>IF(OR(ISBLANK('Data Sheet'!C$61), 'Data Sheet'!C$61&lt;=0), "N/A", IFERROR('Data Sheet'!C58/'Data Sheet'!C$61, "N/A"))</f>
        <v/>
      </c>
      <c r="D29" s="36">
        <f>IF(OR(ISBLANK('Data Sheet'!D$61), 'Data Sheet'!D$61&lt;=0), "N/A", IFERROR('Data Sheet'!D58/'Data Sheet'!D$61, "N/A"))</f>
        <v/>
      </c>
      <c r="E29" s="36">
        <f>IF(OR(ISBLANK('Data Sheet'!E$61), 'Data Sheet'!E$61&lt;=0), "N/A", IFERROR('Data Sheet'!E58/'Data Sheet'!E$61, "N/A"))</f>
        <v/>
      </c>
      <c r="F29" s="36">
        <f>IF(OR(ISBLANK('Data Sheet'!F$61), 'Data Sheet'!F$61&lt;=0), "N/A", IFERROR('Data Sheet'!F58/'Data Sheet'!F$61, "N/A"))</f>
        <v/>
      </c>
      <c r="G29" s="36">
        <f>IF(OR(ISBLANK('Data Sheet'!G$61), 'Data Sheet'!G$61&lt;=0), "N/A", IFERROR('Data Sheet'!G58/'Data Sheet'!G$61, "N/A"))</f>
        <v/>
      </c>
      <c r="H29" s="36">
        <f>IF(OR(ISBLANK('Data Sheet'!H$61), 'Data Sheet'!H$61&lt;=0), "N/A", IFERROR('Data Sheet'!H58/'Data Sheet'!H$61, "N/A"))</f>
        <v/>
      </c>
      <c r="I29" s="36">
        <f>IF(OR(ISBLANK('Data Sheet'!I$61), 'Data Sheet'!I$61&lt;=0), "N/A", IFERROR('Data Sheet'!I58/'Data Sheet'!I$61, "N/A"))</f>
        <v/>
      </c>
      <c r="J29" s="36">
        <f>IF(OR(ISBLANK('Data Sheet'!J$61), 'Data Sheet'!J$61&lt;=0), "N/A", IFERROR('Data Sheet'!J58/'Data Sheet'!J$61, "N/A"))</f>
        <v/>
      </c>
      <c r="K29" s="36">
        <f>IF(OR(ISBLANK('Data Sheet'!K$61), 'Data Sheet'!K$61&lt;=0), "N/A", IFERROR('Data Sheet'!K58/'Data Sheet'!K$61, "N/A"))</f>
        <v/>
      </c>
      <c r="L29" s="36">
        <f>'Data Sheet'!K58/'Data Sheet'!K$61</f>
        <v/>
      </c>
    </row>
    <row r="30">
      <c r="B30" s="195">
        <f>IF(OR(ISBLANK('Data Sheet'!B$61), 'Data Sheet'!B$61&lt;=0), "N/A", IFERROR('Data Sheet'!B59/'Data Sheet'!B$61, "N/A"))</f>
        <v/>
      </c>
      <c r="C30" s="36">
        <f>IF(OR(ISBLANK('Data Sheet'!C$61), 'Data Sheet'!C$61&lt;=0), "N/A", IFERROR('Data Sheet'!C59/'Data Sheet'!C$61, "N/A"))</f>
        <v/>
      </c>
      <c r="D30" s="36">
        <f>IF(OR(ISBLANK('Data Sheet'!D$61), 'Data Sheet'!D$61&lt;=0), "N/A", IFERROR('Data Sheet'!D59/'Data Sheet'!D$61, "N/A"))</f>
        <v/>
      </c>
      <c r="E30" s="36">
        <f>IF(OR(ISBLANK('Data Sheet'!E$61), 'Data Sheet'!E$61&lt;=0), "N/A", IFERROR('Data Sheet'!E59/'Data Sheet'!E$61, "N/A"))</f>
        <v/>
      </c>
      <c r="F30" s="36">
        <f>IF(OR(ISBLANK('Data Sheet'!F$61), 'Data Sheet'!F$61&lt;=0), "N/A", IFERROR('Data Sheet'!F59/'Data Sheet'!F$61, "N/A"))</f>
        <v/>
      </c>
      <c r="G30" s="36">
        <f>IF(OR(ISBLANK('Data Sheet'!G$61), 'Data Sheet'!G$61&lt;=0), "N/A", IFERROR('Data Sheet'!G59/'Data Sheet'!G$61, "N/A"))</f>
        <v/>
      </c>
      <c r="H30" s="36">
        <f>IF(OR(ISBLANK('Data Sheet'!H$61), 'Data Sheet'!H$61&lt;=0), "N/A", IFERROR('Data Sheet'!H59/'Data Sheet'!H$61, "N/A"))</f>
        <v/>
      </c>
      <c r="I30" s="36">
        <f>IF(OR(ISBLANK('Data Sheet'!I$61), 'Data Sheet'!I$61&lt;=0), "N/A", IFERROR('Data Sheet'!I59/'Data Sheet'!I$61, "N/A"))</f>
        <v/>
      </c>
      <c r="J30" s="36">
        <f>IF(OR(ISBLANK('Data Sheet'!J$61), 'Data Sheet'!J$61&lt;=0), "N/A", IFERROR('Data Sheet'!J59/'Data Sheet'!J$61, "N/A"))</f>
        <v/>
      </c>
      <c r="K30" s="36">
        <f>IF(OR(ISBLANK('Data Sheet'!K$61), 'Data Sheet'!K$61&lt;=0), "N/A", IFERROR('Data Sheet'!K59/'Data Sheet'!K$61, "N/A"))</f>
        <v/>
      </c>
      <c r="L30" s="36">
        <f>'Data Sheet'!K59/'Data Sheet'!K$61</f>
        <v/>
      </c>
    </row>
    <row r="31">
      <c r="B31" s="195">
        <f>IF(OR(ISBLANK('Data Sheet'!B$61), 'Data Sheet'!B$61&lt;=0), "N/A", IFERROR('Data Sheet'!B60/'Data Sheet'!B$61, "N/A"))</f>
        <v/>
      </c>
      <c r="C31" s="36">
        <f>IF(OR(ISBLANK('Data Sheet'!C$61), 'Data Sheet'!C$61&lt;=0), "N/A", IFERROR('Data Sheet'!C60/'Data Sheet'!C$61, "N/A"))</f>
        <v/>
      </c>
      <c r="D31" s="36">
        <f>IF(OR(ISBLANK('Data Sheet'!D$61), 'Data Sheet'!D$61&lt;=0), "N/A", IFERROR('Data Sheet'!D60/'Data Sheet'!D$61, "N/A"))</f>
        <v/>
      </c>
      <c r="E31" s="36">
        <f>IF(OR(ISBLANK('Data Sheet'!E$61), 'Data Sheet'!E$61&lt;=0), "N/A", IFERROR('Data Sheet'!E60/'Data Sheet'!E$61, "N/A"))</f>
        <v/>
      </c>
      <c r="F31" s="36">
        <f>IF(OR(ISBLANK('Data Sheet'!F$61), 'Data Sheet'!F$61&lt;=0), "N/A", IFERROR('Data Sheet'!F60/'Data Sheet'!F$61, "N/A"))</f>
        <v/>
      </c>
      <c r="G31" s="36">
        <f>IF(OR(ISBLANK('Data Sheet'!G$61), 'Data Sheet'!G$61&lt;=0), "N/A", IFERROR('Data Sheet'!G60/'Data Sheet'!G$61, "N/A"))</f>
        <v/>
      </c>
      <c r="H31" s="36">
        <f>IF(OR(ISBLANK('Data Sheet'!H$61), 'Data Sheet'!H$61&lt;=0), "N/A", IFERROR('Data Sheet'!H60/'Data Sheet'!H$61, "N/A"))</f>
        <v/>
      </c>
      <c r="I31" s="36">
        <f>IF(OR(ISBLANK('Data Sheet'!I$61), 'Data Sheet'!I$61&lt;=0), "N/A", IFERROR('Data Sheet'!I60/'Data Sheet'!I$61, "N/A"))</f>
        <v/>
      </c>
      <c r="J31" s="36">
        <f>IF(OR(ISBLANK('Data Sheet'!J$61), 'Data Sheet'!J$61&lt;=0), "N/A", IFERROR('Data Sheet'!J60/'Data Sheet'!J$61, "N/A"))</f>
        <v/>
      </c>
      <c r="K31" s="36">
        <f>IF(OR(ISBLANK('Data Sheet'!K$61), 'Data Sheet'!K$61&lt;=0), "N/A", IFERROR('Data Sheet'!K60/'Data Sheet'!K$61, "N/A"))</f>
        <v/>
      </c>
      <c r="L31" s="36">
        <f>'Data Sheet'!K60/'Data Sheet'!K$61</f>
        <v/>
      </c>
    </row>
    <row r="33">
      <c r="B33" s="194">
        <f>IF(OR(ISBLANK('Data Sheet'!B$66), 'Data Sheet'!B$66&lt;=0), "N/A", IFERROR('Data Sheet'!B66/'Data Sheet'!B$66, "N/A"))</f>
        <v/>
      </c>
      <c r="C33" s="114">
        <f>IF(OR(ISBLANK('Data Sheet'!C$66), 'Data Sheet'!C$66&lt;=0), "N/A", IFERROR('Data Sheet'!C66/'Data Sheet'!C$66, "N/A"))</f>
        <v/>
      </c>
      <c r="D33" s="114">
        <f>IF(OR(ISBLANK('Data Sheet'!D$66), 'Data Sheet'!D$66&lt;=0), "N/A", IFERROR('Data Sheet'!D66/'Data Sheet'!D$66, "N/A"))</f>
        <v/>
      </c>
      <c r="E33" s="114">
        <f>IF(OR(ISBLANK('Data Sheet'!E$66), 'Data Sheet'!E$66&lt;=0), "N/A", IFERROR('Data Sheet'!E66/'Data Sheet'!E$66, "N/A"))</f>
        <v/>
      </c>
      <c r="F33" s="114">
        <f>IF(OR(ISBLANK('Data Sheet'!F$66), 'Data Sheet'!F$66&lt;=0), "N/A", IFERROR('Data Sheet'!F66/'Data Sheet'!F$66, "N/A"))</f>
        <v/>
      </c>
      <c r="G33" s="114">
        <f>IF(OR(ISBLANK('Data Sheet'!G$66), 'Data Sheet'!G$66&lt;=0), "N/A", IFERROR('Data Sheet'!G66/'Data Sheet'!G$66, "N/A"))</f>
        <v/>
      </c>
      <c r="H33" s="114">
        <f>IF(OR(ISBLANK('Data Sheet'!H$66), 'Data Sheet'!H$66&lt;=0), "N/A", IFERROR('Data Sheet'!H66/'Data Sheet'!H$66, "N/A"))</f>
        <v/>
      </c>
      <c r="I33" s="114">
        <f>IF(OR(ISBLANK('Data Sheet'!I$66), 'Data Sheet'!I$66&lt;=0), "N/A", IFERROR('Data Sheet'!I66/'Data Sheet'!I$66, "N/A"))</f>
        <v/>
      </c>
      <c r="J33" s="114">
        <f>IF(OR(ISBLANK('Data Sheet'!J$66), 'Data Sheet'!J$66&lt;=0), "N/A", IFERROR('Data Sheet'!J66/'Data Sheet'!J$66, "N/A"))</f>
        <v/>
      </c>
      <c r="K33" s="114">
        <f>IF(OR(ISBLANK('Data Sheet'!K$66), 'Data Sheet'!K$66&lt;=0), "N/A", IFERROR('Data Sheet'!K66/'Data Sheet'!K$66, "N/A"))</f>
        <v/>
      </c>
      <c r="L33" s="114">
        <f>'Data Sheet'!K66/'Data Sheet'!K$66</f>
        <v/>
      </c>
    </row>
    <row r="34">
      <c r="B34" s="195">
        <f>IF(OR(ISBLANK('Data Sheet'!B$66), 'Data Sheet'!B$66&lt;=0), "N/A", IFERROR('Data Sheet'!B62/'Data Sheet'!B$66, "N/A"))</f>
        <v/>
      </c>
      <c r="C34" s="36">
        <f>IF(OR(ISBLANK('Data Sheet'!C$66), 'Data Sheet'!C$66&lt;=0), "N/A", IFERROR('Data Sheet'!C62/'Data Sheet'!C$66, "N/A"))</f>
        <v/>
      </c>
      <c r="D34" s="36">
        <f>IF(OR(ISBLANK('Data Sheet'!D$66), 'Data Sheet'!D$66&lt;=0), "N/A", IFERROR('Data Sheet'!D62/'Data Sheet'!D$66, "N/A"))</f>
        <v/>
      </c>
      <c r="E34" s="36">
        <f>IF(OR(ISBLANK('Data Sheet'!E$66), 'Data Sheet'!E$66&lt;=0), "N/A", IFERROR('Data Sheet'!E62/'Data Sheet'!E$66, "N/A"))</f>
        <v/>
      </c>
      <c r="F34" s="36">
        <f>IF(OR(ISBLANK('Data Sheet'!F$66), 'Data Sheet'!F$66&lt;=0), "N/A", IFERROR('Data Sheet'!F62/'Data Sheet'!F$66, "N/A"))</f>
        <v/>
      </c>
      <c r="G34" s="36">
        <f>IF(OR(ISBLANK('Data Sheet'!G$66), 'Data Sheet'!G$66&lt;=0), "N/A", IFERROR('Data Sheet'!G62/'Data Sheet'!G$66, "N/A"))</f>
        <v/>
      </c>
      <c r="H34" s="36">
        <f>IF(OR(ISBLANK('Data Sheet'!H$66), 'Data Sheet'!H$66&lt;=0), "N/A", IFERROR('Data Sheet'!H62/'Data Sheet'!H$66, "N/A"))</f>
        <v/>
      </c>
      <c r="I34" s="36">
        <f>IF(OR(ISBLANK('Data Sheet'!I$66), 'Data Sheet'!I$66&lt;=0), "N/A", IFERROR('Data Sheet'!I62/'Data Sheet'!I$66, "N/A"))</f>
        <v/>
      </c>
      <c r="J34" s="36">
        <f>IF(OR(ISBLANK('Data Sheet'!J$66), 'Data Sheet'!J$66&lt;=0), "N/A", IFERROR('Data Sheet'!J62/'Data Sheet'!J$66, "N/A"))</f>
        <v/>
      </c>
      <c r="K34" s="36">
        <f>IF(OR(ISBLANK('Data Sheet'!K$66), 'Data Sheet'!K$66&lt;=0), "N/A", IFERROR('Data Sheet'!K62/'Data Sheet'!K$66, "N/A"))</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'Data Sheet'!K16</f>
        <v/>
      </c>
      <c r="D14" s="107" t="n">
        <v>197181</v>
      </c>
      <c r="E14" s="36">
        <f>D14/D13-1</f>
        <v/>
      </c>
      <c r="G14">
        <f>G13+1</f>
        <v/>
      </c>
      <c r="H14" s="54">
        <f>'Data Sheet'!K16</f>
        <v/>
      </c>
      <c r="I14" s="107" t="n">
        <v>197181</v>
      </c>
      <c r="J14" s="36">
        <f>I14/I13-1</f>
        <v/>
      </c>
      <c r="L14">
        <f>L13+1</f>
        <v/>
      </c>
      <c r="M14" s="54">
        <f>'Data Sheet'!K16</f>
        <v/>
      </c>
      <c r="N14" s="107" t="n">
        <v>171344</v>
      </c>
      <c r="O14" s="36">
        <f>N14/N13-1</f>
        <v/>
      </c>
    </row>
    <row r="15">
      <c r="B15">
        <f>B14+1</f>
        <v/>
      </c>
      <c r="C15" s="55">
        <f>IFERROR(DATE(YEAR(C14)+1, MONTH(C14), DAY(C14)), C14+365)</f>
        <v/>
      </c>
      <c r="D15" s="107">
        <f>FORECAST(B15,$D$5:$D$14,$B$5:$B$14)</f>
        <v/>
      </c>
      <c r="E15" s="36">
        <f>D15/D14-1</f>
        <v/>
      </c>
      <c r="G15">
        <f>G14+1</f>
        <v/>
      </c>
      <c r="H15" s="55">
        <f>IFERROR(DATE(YEAR(H14)+1, MONTH(H14), DAY(H14)), H14+365)</f>
        <v/>
      </c>
      <c r="I15" s="107">
        <f>FORECAST(G15,$I$5:$I$14,$G$5:$G$14)</f>
        <v/>
      </c>
      <c r="J15" s="36">
        <f>I15/I14-1</f>
        <v/>
      </c>
      <c r="L15">
        <f>L14+1</f>
        <v/>
      </c>
      <c r="M15" s="55">
        <f>IFERROR(DATE(YEAR(M14)+1, MONTH(M14), DAY(M14)), M14+365)</f>
        <v/>
      </c>
      <c r="N15" s="107">
        <f>FORECAST(L15,$N$5:$N$14,$L$5:$L$14)</f>
        <v/>
      </c>
      <c r="O15" s="36">
        <f>N15/N14-1</f>
        <v/>
      </c>
    </row>
    <row r="16">
      <c r="B16">
        <f>B15+1</f>
        <v/>
      </c>
      <c r="C16" s="55">
        <f>IFERROR(DATE(YEAR(C15)+1, MONTH(C15), DAY(C15)), C15+365)</f>
        <v/>
      </c>
      <c r="D16" s="107">
        <f>FORECAST(B16,$D$5:$D$14,$B$5:$B$14)</f>
        <v/>
      </c>
      <c r="E16" s="36">
        <f>D16/D15-1</f>
        <v/>
      </c>
      <c r="G16">
        <f>G15+1</f>
        <v/>
      </c>
      <c r="H16" s="55">
        <f>IFERROR(DATE(YEAR(H15)+1, MONTH(H15), DAY(H15)), H15+365)</f>
        <v/>
      </c>
      <c r="I16" s="107">
        <f>FORECAST(G16,$I$5:$I$14,$G$5:$G$14)</f>
        <v/>
      </c>
      <c r="J16" s="36">
        <f>I16/I15-1</f>
        <v/>
      </c>
      <c r="L16">
        <f>L15+1</f>
        <v/>
      </c>
      <c r="M16" s="55">
        <f>IFERROR(DATE(YEAR(M15)+1, MONTH(M15), DAY(M15)), M15+365)</f>
        <v/>
      </c>
      <c r="N16" s="107">
        <f>FORECAST(L16,$N$5:$N$14,$L$5:$L$14)</f>
        <v/>
      </c>
      <c r="O16" s="36">
        <f>N16/N15-1</f>
        <v/>
      </c>
    </row>
    <row r="17">
      <c r="B17">
        <f>B16+1</f>
        <v/>
      </c>
      <c r="C17" s="55">
        <f>IFERROR(DATE(YEAR(C16)+1, MONTH(C16), DAY(C16)), C16+365)</f>
        <v/>
      </c>
      <c r="D17" s="107">
        <f>FORECAST(B17,$D$5:$D$14,$B$5:$B$14)</f>
        <v/>
      </c>
      <c r="E17" s="36">
        <f>D17/D16-1</f>
        <v/>
      </c>
      <c r="G17">
        <f>G16+1</f>
        <v/>
      </c>
      <c r="H17" s="55">
        <f>IFERROR(DATE(YEAR(H16)+1, MONTH(H16), DAY(H16)), H16+365)</f>
        <v/>
      </c>
      <c r="I17" s="107">
        <f>FORECAST(G17,$I$5:$I$14,$G$5:$G$14)</f>
        <v/>
      </c>
      <c r="J17" s="36">
        <f>I17/I16-1</f>
        <v/>
      </c>
      <c r="L17">
        <f>L16+1</f>
        <v/>
      </c>
      <c r="M17" s="55">
        <f>IFERROR(DATE(YEAR(M16)+1, MONTH(M16), DAY(M16)), M16+365)</f>
        <v/>
      </c>
      <c r="N17" s="107">
        <f>FORECAST(L17,$N$5:$N$14,$L$5:$L$14)</f>
        <v/>
      </c>
      <c r="O17" s="36">
        <f>N17/N16-1</f>
        <v/>
      </c>
    </row>
    <row r="18">
      <c r="B18">
        <f>B17+1</f>
        <v/>
      </c>
      <c r="C18" s="55">
        <f>IFERROR(DATE(YEAR(C17)+1, MONTH(C17), DAY(C17)), C17+365)</f>
        <v/>
      </c>
      <c r="D18" s="107">
        <f>FORECAST(B18,$D$5:$D$14,$B$5:$B$14)</f>
        <v/>
      </c>
      <c r="E18" s="36">
        <f>D18/D17-1</f>
        <v/>
      </c>
      <c r="G18">
        <f>G17+1</f>
        <v/>
      </c>
      <c r="H18" s="55">
        <f>IFERROR(DATE(YEAR(H17)+1, MONTH(H17), DAY(H17)), H17+365)</f>
        <v/>
      </c>
      <c r="I18" s="107">
        <f>FORECAST(G18,$I$5:$I$14,$G$5:$G$14)</f>
        <v/>
      </c>
      <c r="J18" s="36">
        <f>I18/I17-1</f>
        <v/>
      </c>
      <c r="L18">
        <f>L17+1</f>
        <v/>
      </c>
      <c r="M18" s="55">
        <f>IFERROR(DATE(YEAR(M17)+1, MONTH(M17), DAY(M17)), M17+365)</f>
        <v/>
      </c>
      <c r="N18" s="107">
        <f>FORECAST(L18,$N$5:$N$14,$L$5:$L$14)</f>
        <v/>
      </c>
      <c r="O18" s="36">
        <f>N18/N17-1</f>
        <v/>
      </c>
    </row>
    <row r="19">
      <c r="B19">
        <f>B18+1</f>
        <v/>
      </c>
      <c r="C19" s="55">
        <f>IFERROR(DATE(YEAR(C18)+1, MONTH(C18), DAY(C18)), C18+365)</f>
        <v/>
      </c>
      <c r="D19" s="107">
        <f>FORECAST(B19,$D$5:$D$14,$B$5:$B$14)</f>
        <v/>
      </c>
      <c r="E19" s="36">
        <f>D19/D18-1</f>
        <v/>
      </c>
      <c r="G19">
        <f>G18+1</f>
        <v/>
      </c>
      <c r="H19" s="55">
        <f>IFERROR(DATE(YEAR(H18)+1, MONTH(H18), DAY(H18)), H18+365)</f>
        <v/>
      </c>
      <c r="I19" s="107">
        <f>FORECAST(G19,$I$5:$I$14,$G$5:$G$14)</f>
        <v/>
      </c>
      <c r="J19" s="36">
        <f>I19/I18-1</f>
        <v/>
      </c>
      <c r="L19">
        <f>L18+1</f>
        <v/>
      </c>
      <c r="M19" s="55">
        <f>IFERROR(DATE(YEAR(M18)+1, MONTH(M18), DAY(M18)), 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t="n">
        <v>0.3</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'Data Sheet'!K59</f>
        <v/>
      </c>
      <c r="D34" s="36">
        <f>C34/C$36</f>
        <v/>
      </c>
      <c r="E34" s="46">
        <f>I20</f>
        <v/>
      </c>
      <c r="G34" t="inlineStr">
        <is>
          <t>Target Debt/Equity</t>
        </is>
      </c>
      <c r="K34" s="46">
        <f>E38</f>
        <v/>
      </c>
    </row>
    <row r="35">
      <c r="B35" t="inlineStr">
        <is>
          <t>Market Capitalization</t>
        </is>
      </c>
      <c r="C35" s="107">
        <f>'Data Sheet'!K61</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74"/>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'Data Sheet'!G16</f>
        <v/>
      </c>
      <c r="I6" s="40">
        <f>'Data Sheet'!H16</f>
        <v/>
      </c>
      <c r="J6" s="40">
        <f>'Data Sheet'!I16</f>
        <v/>
      </c>
      <c r="K6" s="40">
        <f>'Data Sheet'!J16</f>
        <v/>
      </c>
      <c r="L6" s="40">
        <f>'Data Sheet'!K16</f>
        <v/>
      </c>
    </row>
    <row r="8">
      <c r="B8" s="37" t="inlineStr">
        <is>
          <t>Current Assets</t>
        </is>
      </c>
    </row>
    <row r="9">
      <c r="B9" s="72" t="inlineStr">
        <is>
          <t>Inventory</t>
        </is>
      </c>
      <c r="C9" s="72" t="n"/>
      <c r="D9" s="72" t="n"/>
      <c r="E9" s="72" t="n"/>
      <c r="F9" s="72" t="n"/>
      <c r="G9" s="72" t="n"/>
      <c r="H9" s="130">
        <f>'Data Sheet'!G68</f>
        <v/>
      </c>
      <c r="I9" s="130">
        <f>'Data Sheet'!H68</f>
        <v/>
      </c>
      <c r="J9" s="130">
        <f>'Data Sheet'!I68</f>
        <v/>
      </c>
      <c r="K9" s="130">
        <f>'Data Sheet'!J68</f>
        <v/>
      </c>
      <c r="L9" s="130">
        <f>'Data Sheet'!K68</f>
        <v/>
      </c>
    </row>
    <row r="10">
      <c r="B10" s="72" t="inlineStr">
        <is>
          <t>Trade Receivables</t>
        </is>
      </c>
      <c r="C10" s="72" t="n"/>
      <c r="D10" s="72" t="n"/>
      <c r="E10" s="72" t="n"/>
      <c r="F10" s="72" t="n"/>
      <c r="G10" s="72" t="n"/>
      <c r="H10" s="130">
        <f>'Data Sheet'!G67</f>
        <v/>
      </c>
      <c r="I10" s="130">
        <f>'Data Sheet'!H67</f>
        <v/>
      </c>
      <c r="J10" s="130">
        <f>'Data Sheet'!I67</f>
        <v/>
      </c>
      <c r="K10" s="130">
        <f>'Data Sheet'!J67</f>
        <v/>
      </c>
      <c r="L10" s="130">
        <f>'Data Sheet'!K67</f>
        <v/>
      </c>
    </row>
    <row r="11">
      <c r="B11" s="72" t="inlineStr">
        <is>
          <t>Cash &amp; Cash Equivalents</t>
        </is>
      </c>
      <c r="C11" s="72" t="n"/>
      <c r="D11" s="72" t="n"/>
      <c r="E11" s="72" t="n"/>
      <c r="F11" s="72" t="n"/>
      <c r="G11" s="72" t="n"/>
      <c r="H11" s="130">
        <f>'Data Sheet'!G69</f>
        <v/>
      </c>
      <c r="I11" s="130">
        <f>'Data Sheet'!H69</f>
        <v/>
      </c>
      <c r="J11" s="130">
        <f>'Data Sheet'!I69</f>
        <v/>
      </c>
      <c r="K11" s="130">
        <f>'Data Sheet'!J69</f>
        <v/>
      </c>
      <c r="L11" s="130">
        <f>'Data Sheet'!K69</f>
        <v/>
      </c>
    </row>
    <row r="12" ht="15" customHeight="1" s="176" thickBot="1">
      <c r="B12" t="inlineStr">
        <is>
          <t>Other Current Assets</t>
        </is>
      </c>
      <c r="H12" s="107">
        <f>'Data Sheet'!G65</f>
        <v/>
      </c>
      <c r="I12" s="107">
        <f>'Data Sheet'!H65</f>
        <v/>
      </c>
      <c r="J12" s="107">
        <f>'Data Sheet'!I65</f>
        <v/>
      </c>
      <c r="K12" s="107">
        <f>'Data Sheet'!J65</f>
        <v/>
      </c>
      <c r="L12" s="107">
        <f>'Data Sheet'!K65</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t="inlineStr">
        <is>
          <t>Trade Payables</t>
        </is>
      </c>
      <c r="C16" s="72" t="n"/>
      <c r="D16" s="72" t="n"/>
      <c r="E16" s="72" t="n"/>
      <c r="F16" s="72" t="n"/>
      <c r="G16" s="72" t="n"/>
      <c r="H16" s="130">
        <f>'Data Sheet'!G60*0.4</f>
        <v/>
      </c>
      <c r="I16" s="130">
        <f>'Data Sheet'!H60*0.4</f>
        <v/>
      </c>
      <c r="J16" s="130">
        <f>'Data Sheet'!I60*0.4</f>
        <v/>
      </c>
      <c r="K16" s="130">
        <f>'Data Sheet'!J60*0.4</f>
        <v/>
      </c>
      <c r="L16" s="130">
        <f>'Data Sheet'!K60*0.4</f>
        <v/>
      </c>
    </row>
    <row r="17">
      <c r="B17" s="72" t="inlineStr">
        <is>
          <t>Other Current Liabilities</t>
        </is>
      </c>
      <c r="C17" s="72" t="n"/>
      <c r="D17" s="72" t="n"/>
      <c r="E17" s="72" t="n"/>
      <c r="F17" s="72" t="n"/>
      <c r="G17" s="72" t="n"/>
      <c r="H17" s="130">
        <f>'Data Sheet'!G60*0.4</f>
        <v/>
      </c>
      <c r="I17" s="130">
        <f>'Data Sheet'!H60*0.4</f>
        <v/>
      </c>
      <c r="J17" s="130">
        <f>'Data Sheet'!I60*0.4</f>
        <v/>
      </c>
      <c r="K17" s="130">
        <f>'Data Sheet'!J60*0.4</f>
        <v/>
      </c>
      <c r="L17" s="130">
        <f>'Data Sheet'!K60*0.4</f>
        <v/>
      </c>
    </row>
    <row r="18" ht="15" customHeight="1" s="176" thickBot="1">
      <c r="B18" t="inlineStr">
        <is>
          <t>Short Term Borrowings</t>
        </is>
      </c>
      <c r="H18" s="107">
        <f>'Data Sheet'!G60*0.2</f>
        <v/>
      </c>
      <c r="I18" s="107">
        <f>'Data Sheet'!H60*0.2</f>
        <v/>
      </c>
      <c r="J18" s="107">
        <f>'Data Sheet'!I60*0.2</f>
        <v/>
      </c>
      <c r="K18" s="107">
        <f>'Data Sheet'!J60*0.2</f>
        <v/>
      </c>
      <c r="L18" s="107">
        <f>'Data Sheet'!K60*0.2</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t="inlineStr">
        <is>
          <t>Fixed Assets</t>
        </is>
      </c>
      <c r="C24" s="72" t="n"/>
      <c r="D24" s="72" t="n"/>
      <c r="E24" s="72" t="n"/>
      <c r="F24" s="72" t="n"/>
      <c r="G24" s="72" t="n"/>
      <c r="H24" s="130">
        <f>'Data Sheet'!G62</f>
        <v/>
      </c>
      <c r="I24" s="130">
        <f>'Data Sheet'!H62</f>
        <v/>
      </c>
      <c r="J24" s="130">
        <f>'Data Sheet'!I62</f>
        <v/>
      </c>
      <c r="K24" s="130">
        <f>'Data Sheet'!J62</f>
        <v/>
      </c>
      <c r="L24" s="130">
        <f>'Data Sheet'!K62</f>
        <v/>
      </c>
    </row>
    <row r="25">
      <c r="B25" s="72" t="inlineStr">
        <is>
          <t>Capital Work in Progress (CWIP)</t>
        </is>
      </c>
      <c r="C25" s="72" t="n"/>
      <c r="D25" s="72" t="n"/>
      <c r="E25" s="72" t="n"/>
      <c r="F25" s="72" t="n"/>
      <c r="G25" s="72" t="n"/>
      <c r="H25" s="130">
        <f>'Data Sheet'!G63</f>
        <v/>
      </c>
      <c r="I25" s="130">
        <f>'Data Sheet'!H63</f>
        <v/>
      </c>
      <c r="J25" s="130">
        <f>'Data Sheet'!I63</f>
        <v/>
      </c>
      <c r="K25" s="130">
        <f>'Data Sheet'!J63</f>
        <v/>
      </c>
      <c r="L25" s="130">
        <f>'Data Sheet'!K63</f>
        <v/>
      </c>
    </row>
    <row r="26">
      <c r="B26" s="72" t="inlineStr">
        <is>
          <t>Investments</t>
        </is>
      </c>
      <c r="C26" s="72" t="n"/>
      <c r="D26" s="72" t="n"/>
      <c r="E26" s="72" t="n"/>
      <c r="F26" s="72" t="n"/>
      <c r="G26" s="72" t="n"/>
      <c r="H26" s="130">
        <f>'Data Sheet'!G64</f>
        <v/>
      </c>
      <c r="I26" s="130">
        <f>'Data Sheet'!H64</f>
        <v/>
      </c>
      <c r="J26" s="130">
        <f>'Data Sheet'!I64</f>
        <v/>
      </c>
      <c r="K26" s="130">
        <f>'Data Sheet'!J64</f>
        <v/>
      </c>
      <c r="L26" s="130">
        <f>'Data Sheet'!K64</f>
        <v/>
      </c>
    </row>
    <row r="27">
      <c r="B27" s="72" t="n"/>
      <c r="C27" s="72" t="n"/>
      <c r="D27" s="72" t="n"/>
      <c r="E27" s="72" t="n"/>
      <c r="F27" s="72" t="n"/>
      <c r="G27" s="72" t="n"/>
      <c r="H27" s="130" t="n">
        <v>0</v>
      </c>
      <c r="I27" s="130" t="n">
        <v>0</v>
      </c>
      <c r="J27" s="130" t="n">
        <v>0</v>
      </c>
      <c r="K27" s="130" t="n">
        <v>0</v>
      </c>
      <c r="L27" s="130" t="n">
        <v>0</v>
      </c>
    </row>
    <row r="28">
      <c r="B28" s="72" t="n"/>
      <c r="C28" s="72" t="n"/>
      <c r="D28" s="72" t="n"/>
      <c r="E28" s="72" t="n"/>
      <c r="F28" s="72" t="n"/>
      <c r="G28" s="72" t="n"/>
      <c r="H28" s="130" t="n">
        <v>0</v>
      </c>
      <c r="I28" s="130" t="n">
        <v>0</v>
      </c>
      <c r="J28" s="130" t="n">
        <v>0</v>
      </c>
      <c r="K28" s="130" t="n">
        <v>0</v>
      </c>
      <c r="L28" s="130" t="n">
        <v>0</v>
      </c>
    </row>
    <row r="29">
      <c r="B29" s="72" t="n"/>
      <c r="C29" s="72" t="n"/>
      <c r="D29" s="72" t="n"/>
      <c r="E29" s="72" t="n"/>
      <c r="F29" s="72" t="n"/>
      <c r="G29" s="72" t="n"/>
      <c r="H29" s="130" t="n">
        <v>0</v>
      </c>
      <c r="I29" s="130" t="n">
        <v>0</v>
      </c>
      <c r="J29" s="130" t="n">
        <v>0</v>
      </c>
      <c r="K29" s="130" t="n">
        <v>0</v>
      </c>
      <c r="L29" s="130" t="n">
        <v>0</v>
      </c>
    </row>
    <row r="30">
      <c r="B30" s="72" t="n"/>
      <c r="C30" s="72" t="n"/>
      <c r="D30" s="72" t="n"/>
      <c r="E30" s="72" t="n"/>
      <c r="F30" s="72" t="n"/>
      <c r="G30" s="72" t="n"/>
      <c r="H30" s="130" t="n">
        <v>0</v>
      </c>
      <c r="I30" s="130" t="n">
        <v>0</v>
      </c>
      <c r="J30" s="130" t="n">
        <v>0</v>
      </c>
      <c r="K30" s="130" t="n">
        <v>0</v>
      </c>
      <c r="L30" s="130" t="n">
        <v>0</v>
      </c>
    </row>
    <row r="31">
      <c r="B31" s="72" t="n"/>
      <c r="C31" s="72" t="n"/>
      <c r="D31" s="72" t="n"/>
      <c r="E31" s="72" t="n"/>
      <c r="F31" s="72" t="n"/>
      <c r="G31" s="72" t="n"/>
      <c r="H31" s="130" t="n">
        <v>0</v>
      </c>
      <c r="I31" s="130" t="n">
        <v>0</v>
      </c>
      <c r="J31" s="130" t="n">
        <v>0</v>
      </c>
      <c r="K31" s="130" t="n">
        <v>0</v>
      </c>
      <c r="L31" s="130" t="n">
        <v>0</v>
      </c>
    </row>
    <row r="32">
      <c r="B32" s="72" t="n"/>
      <c r="C32" s="72" t="n"/>
      <c r="D32" s="72" t="n"/>
      <c r="E32" s="72" t="n"/>
      <c r="F32" s="72" t="n"/>
      <c r="G32" s="72" t="n"/>
      <c r="H32" s="130" t="n">
        <v>0</v>
      </c>
      <c r="I32" s="130" t="n">
        <v>0</v>
      </c>
      <c r="J32" s="130" t="n">
        <v>0</v>
      </c>
      <c r="K32" s="130" t="n">
        <v>0</v>
      </c>
      <c r="L32" s="130" t="n">
        <v>0</v>
      </c>
    </row>
    <row r="33">
      <c r="B33" s="122" t="n"/>
      <c r="C33" s="122" t="n"/>
      <c r="D33" s="122" t="n"/>
      <c r="E33" s="122" t="n"/>
      <c r="F33" s="122" t="n"/>
      <c r="G33" s="122" t="n"/>
      <c r="H33" s="136" t="n">
        <v>0</v>
      </c>
      <c r="I33" s="136" t="n">
        <v>0</v>
      </c>
      <c r="J33" s="136" t="n">
        <v>0</v>
      </c>
      <c r="K33" s="136" t="n">
        <v>0</v>
      </c>
      <c r="L33" s="136" t="n">
        <v>0</v>
      </c>
    </row>
    <row r="34" ht="15" customHeight="1" s="176" thickBot="1">
      <c r="H34" s="107" t="n">
        <v>0</v>
      </c>
      <c r="I34" s="107" t="n">
        <v>0</v>
      </c>
      <c r="J34" s="107" t="n">
        <v>0</v>
      </c>
      <c r="K34" s="107" t="n">
        <v>0</v>
      </c>
      <c r="L34" s="107" t="n">
        <v>0</v>
      </c>
    </row>
    <row r="35" ht="15" customHeight="1" s="176" thickBot="1">
      <c r="B35" s="141" t="inlineStr">
        <is>
          <t>Net Non Current Assets</t>
        </is>
      </c>
      <c r="C35" s="141" t="n"/>
      <c r="D35" s="141" t="n"/>
      <c r="E35" s="141" t="n"/>
      <c r="F35" s="141" t="n"/>
      <c r="G35" s="141" t="n"/>
      <c r="H35" s="142">
        <f>SUM(H24:H34)</f>
        <v/>
      </c>
      <c r="I35" s="142">
        <f>SUM(I24:I34)</f>
        <v/>
      </c>
      <c r="J35" s="142">
        <f>SUM(J24:J34)</f>
        <v/>
      </c>
      <c r="K35" s="142">
        <f>SUM(K24:K34)</f>
        <v/>
      </c>
      <c r="L35" s="142">
        <f>SUM(L24:L34)</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'Data Sheet'!G32-'Data Sheet'!G26</f>
        <v/>
      </c>
      <c r="I38" s="146">
        <f>'Data Sheet'!H32-'Data Sheet'!H26</f>
        <v/>
      </c>
      <c r="J38" s="146">
        <f>'Data Sheet'!I32-'Data Sheet'!I26</f>
        <v/>
      </c>
      <c r="K38" s="146">
        <f>'Data Sheet'!J32-'Data Sheet'!J26</f>
        <v/>
      </c>
      <c r="L38" s="146">
        <f>'Data Sheet'!K32-'Data Sheet'!K26</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H6</f>
        <v/>
      </c>
      <c r="I42" s="40">
        <f>I6</f>
        <v/>
      </c>
      <c r="J42" s="40">
        <f>J6</f>
        <v/>
      </c>
      <c r="K42" s="40">
        <f>K6</f>
        <v/>
      </c>
      <c r="L42" s="40">
        <f>L6</f>
        <v/>
      </c>
    </row>
    <row r="44">
      <c r="B44" s="72" t="inlineStr">
        <is>
          <t>Net Capex</t>
        </is>
      </c>
      <c r="C44" s="72" t="n"/>
      <c r="D44" s="72" t="n"/>
      <c r="E44" s="72" t="n"/>
      <c r="F44" s="72" t="n"/>
      <c r="G44" s="72" t="n"/>
      <c r="H44" s="130">
        <f>-'Data Sheet'!G83</f>
        <v/>
      </c>
      <c r="I44" s="130">
        <f>-'Data Sheet'!H83</f>
        <v/>
      </c>
      <c r="J44" s="130">
        <f>-'Data Sheet'!I83</f>
        <v/>
      </c>
      <c r="K44" s="130">
        <f>-'Data Sheet'!J83</f>
        <v/>
      </c>
      <c r="L44" s="130">
        <f>-'Data Sheet'!K83</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H6</f>
        <v/>
      </c>
      <c r="I57" s="40">
        <f>I6</f>
        <v/>
      </c>
      <c r="J57" s="40">
        <f>J6</f>
        <v/>
      </c>
      <c r="K57" s="40">
        <f>K6</f>
        <v/>
      </c>
      <c r="L57" s="40">
        <f>L6</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row r="67">
      <c r="B67" t="inlineStr">
        <is>
          <t>Normalized ROIC (Sustainable)</t>
        </is>
      </c>
      <c r="L67" s="46">
        <f>IFERROR(MEDIAN(I40:L40), 0.12)</f>
        <v/>
      </c>
    </row>
    <row r="68">
      <c r="B68" t="inlineStr">
        <is>
          <t>Expected Growth Rate</t>
        </is>
      </c>
      <c r="L68" s="46" t="n">
        <v>0.05</v>
      </c>
    </row>
    <row r="69">
      <c r="B69" t="inlineStr">
        <is>
          <t>Fundamental Reinvestment Rate</t>
        </is>
      </c>
      <c r="L69" s="46">
        <f>IF(L67&lt;=0, L55, L68/L67)</f>
        <v/>
      </c>
    </row>
    <row r="70">
      <c r="B70" t="inlineStr">
        <is>
          <t>Sustainable Terminal ROIC</t>
        </is>
      </c>
      <c r="L70" s="46">
        <f>MIN(0.18, MAX(0.06, 0.5*L67 + 0.5*DCF!D20))</f>
        <v/>
      </c>
    </row>
    <row r="71">
      <c r="B71" t="inlineStr">
        <is>
          <t>Terminal Reinvestment Rate</t>
        </is>
      </c>
      <c r="L71" s="46">
        <f>DCF!D19/L70</f>
        <v/>
      </c>
    </row>
    <row r="72">
      <c r="B72" t="inlineStr">
        <is>
          <t>Growth-ROIC Consistency Check</t>
        </is>
      </c>
      <c r="L72">
        <f>IF(ABS(L69*L67 - L68) &lt;= 0.005, "PASS", "WARNING")</f>
        <v/>
      </c>
    </row>
    <row r="73">
      <c r="B73" t="inlineStr">
        <is>
          <t>Growth Source</t>
        </is>
      </c>
      <c r="L73" t="inlineStr">
        <is>
          <t>Fundamental Estimate</t>
        </is>
      </c>
    </row>
    <row r="74">
      <c r="B74" t="inlineStr">
        <is>
          <t>Reinvestment Confidence</t>
        </is>
      </c>
      <c r="L74" t="inlineStr">
        <is>
          <t>HIGH</t>
        </is>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Valuation'!$L$69</f>
        <v/>
      </c>
      <c r="I11" s="81">
        <f>'Intrinsic Valuation'!$L$69</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Valuation'!$L$68</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'Intrinsic Valuation'!$L$71</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Margin of Safety / (Discount)</t>
        </is>
      </c>
      <c r="D45" s="202">
        <f>(D42-D44)/D44</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42"/>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t="n"/>
      <c r="C12" s="150" t="n"/>
      <c r="D12" s="155" t="n"/>
      <c r="E12" s="155" t="n"/>
      <c r="F12" s="155" t="n"/>
      <c r="G12" s="155" t="n"/>
      <c r="H12" s="155" t="n"/>
      <c r="I12" s="150" t="n"/>
      <c r="J12" s="150" t="n"/>
      <c r="K12" s="155" t="n"/>
      <c r="L12" s="155" t="n"/>
      <c r="M12" s="155" t="n"/>
      <c r="N12" s="150" t="n"/>
      <c r="O12" s="151" t="n"/>
      <c r="P12" s="151" t="n"/>
      <c r="Q12" s="151" t="n"/>
    </row>
    <row r="13">
      <c r="B13" s="150" t="n"/>
      <c r="C13" s="150" t="n"/>
      <c r="D13" s="155" t="n"/>
      <c r="E13" s="155" t="n"/>
      <c r="F13" s="155" t="n"/>
      <c r="G13" s="155" t="n"/>
      <c r="H13" s="155" t="n"/>
      <c r="I13" s="150" t="n"/>
      <c r="J13" s="150" t="n"/>
      <c r="K13" s="155" t="n"/>
      <c r="L13" s="155" t="n"/>
      <c r="M13" s="155" t="n"/>
      <c r="N13" s="150" t="n"/>
      <c r="O13" s="151" t="n"/>
      <c r="P13" s="151" t="n"/>
      <c r="Q13" s="151" t="n"/>
    </row>
    <row r="14">
      <c r="B14" s="150" t="n"/>
      <c r="C14" s="150" t="n"/>
      <c r="D14" s="155" t="n"/>
      <c r="E14" s="155" t="n"/>
      <c r="F14" s="155" t="n"/>
      <c r="G14" s="155" t="n"/>
      <c r="H14" s="155" t="n"/>
      <c r="I14" s="150" t="n"/>
      <c r="J14" s="150" t="n"/>
      <c r="K14" s="155" t="n"/>
      <c r="L14" s="155" t="n"/>
      <c r="M14" s="155" t="n"/>
      <c r="N14" s="150" t="n"/>
      <c r="O14" s="151" t="n"/>
      <c r="P14" s="151" t="n"/>
      <c r="Q14" s="151" t="n"/>
    </row>
    <row r="15">
      <c r="B15" s="150" t="n"/>
      <c r="C15" s="150" t="n"/>
      <c r="D15" s="155" t="n"/>
      <c r="E15" s="155" t="n"/>
      <c r="F15" s="155" t="n"/>
      <c r="G15" s="155" t="n"/>
      <c r="H15" s="155" t="n"/>
      <c r="I15" s="150" t="n"/>
      <c r="J15" s="150" t="n"/>
      <c r="K15" s="155" t="n"/>
      <c r="L15" s="155" t="n"/>
      <c r="M15" s="155" t="n"/>
      <c r="N15" s="150" t="n"/>
      <c r="O15" s="151" t="n"/>
      <c r="P15" s="151" t="n"/>
      <c r="Q15" s="151" t="n"/>
    </row>
    <row r="16">
      <c r="B16" s="150" t="n"/>
      <c r="C16" s="150" t="n"/>
      <c r="D16" s="155" t="n"/>
      <c r="E16" s="155" t="n"/>
      <c r="F16" s="155" t="n"/>
      <c r="G16" s="155" t="n"/>
      <c r="H16" s="155" t="n"/>
      <c r="I16" s="150" t="n"/>
      <c r="J16" s="150" t="n"/>
      <c r="K16" s="155" t="n"/>
      <c r="L16" s="155" t="n"/>
      <c r="M16" s="155" t="n"/>
      <c r="N16" s="150" t="n"/>
      <c r="O16" s="151" t="n"/>
      <c r="P16" s="151" t="n"/>
      <c r="Q16" s="151" t="n"/>
    </row>
    <row r="17">
      <c r="B17" s="150" t="n"/>
      <c r="C17" s="150" t="n"/>
      <c r="D17" s="155" t="n"/>
      <c r="E17" s="155" t="n"/>
      <c r="F17" s="155" t="n"/>
      <c r="G17" s="155" t="n"/>
      <c r="H17" s="155" t="n"/>
      <c r="I17" s="150" t="n"/>
      <c r="J17" s="150" t="n"/>
      <c r="K17" s="155" t="n"/>
      <c r="L17" s="155" t="n"/>
      <c r="M17" s="155" t="n"/>
      <c r="N17" s="150" t="n"/>
      <c r="O17" s="151" t="n"/>
      <c r="P17" s="151" t="n"/>
      <c r="Q17" s="151" t="n"/>
    </row>
    <row r="18">
      <c r="B18" s="150" t="n"/>
      <c r="C18" s="150" t="n"/>
      <c r="D18" s="155" t="n"/>
      <c r="E18" s="155" t="n"/>
      <c r="F18" s="155" t="n"/>
      <c r="G18" s="155" t="n"/>
      <c r="H18" s="155" t="n"/>
      <c r="I18" s="150" t="n"/>
      <c r="J18" s="150" t="n"/>
      <c r="K18" s="155" t="n"/>
      <c r="L18" s="155" t="n"/>
      <c r="M18" s="155" t="n"/>
      <c r="N18" s="150" t="n"/>
      <c r="O18" s="151" t="n"/>
      <c r="P18" s="151" t="n"/>
      <c r="Q18" s="151" t="n"/>
    </row>
    <row r="19">
      <c r="B19" s="150" t="n"/>
      <c r="C19" s="150" t="n"/>
      <c r="D19" s="155" t="n"/>
      <c r="E19" s="155" t="n"/>
      <c r="F19" s="155" t="n"/>
      <c r="G19" s="155" t="n"/>
      <c r="H19" s="155" t="n"/>
      <c r="I19" s="150" t="n"/>
      <c r="J19" s="150" t="n"/>
      <c r="K19" s="155" t="n"/>
      <c r="L19" s="155" t="n"/>
      <c r="M19" s="155" t="n"/>
      <c r="N19" s="150" t="n"/>
      <c r="O19" s="151" t="n"/>
      <c r="P19" s="151" t="n"/>
      <c r="Q19" s="151" t="n"/>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IF(OR('Data Sheet'!K17&lt;=0, I25="N/A", ISBLANK(I25)), "N/A", 'Data Sheet'!K17*I25)</f>
        <v/>
      </c>
      <c r="J32" s="150">
        <f>IF(OR('Data Sheet'!K32&lt;=0, J25="N/A", ISBLANK(J25)), "N/A", 'Data Sheet'!K32*J25)</f>
        <v/>
      </c>
      <c r="K32" s="150" t="n"/>
      <c r="L32" s="150" t="n"/>
      <c r="M32" s="150" t="n"/>
      <c r="N32" s="150" t="n"/>
      <c r="O32" s="155">
        <f>IF(OR('Data Sheet'!K17&lt;=0, O25="N/A", ISBLANK(O25)), "N/A", 'Data Sheet'!K17*O25)</f>
        <v/>
      </c>
      <c r="P32" s="155">
        <f>IF(OR('Data Sheet'!K32&lt;=0, P25="N/A", ISBLANK(P25)), "N/A", 'Data Sheet'!K32*P25)</f>
        <v/>
      </c>
      <c r="Q32" s="155">
        <f>IF(OR('Data Sheet'!K30&lt;=0, Q25="N/A", ISBLANK(Q25)), "N/A", 'Data Sheet'!K30*Q25)</f>
        <v/>
      </c>
    </row>
    <row r="33">
      <c r="B33" s="150" t="inlineStr">
        <is>
          <t>Net Debt Value</t>
        </is>
      </c>
      <c r="C33" s="150" t="n"/>
      <c r="D33" s="150" t="n"/>
      <c r="E33" s="150" t="n"/>
      <c r="F33" s="150" t="n"/>
      <c r="G33" s="150" t="n"/>
      <c r="H33" s="150" t="n"/>
      <c r="I33" s="150">
        <f>'Data Sheet'!K59-'Data Sheet'!K69</f>
        <v/>
      </c>
      <c r="J33" s="150">
        <f>'Data Sheet'!K59-'Data Sheet'!K69</f>
        <v/>
      </c>
      <c r="K33" s="150" t="n"/>
      <c r="L33" s="150" t="n"/>
      <c r="M33" s="150" t="n"/>
      <c r="N33" s="150" t="n"/>
      <c r="O33" s="155">
        <f>'Data Sheet'!K59-'Data Sheet'!K69</f>
        <v/>
      </c>
      <c r="P33" s="155">
        <f>'Data Sheet'!K59-'Data Sheet'!K69</f>
        <v/>
      </c>
      <c r="Q33" s="155" t="n">
        <v>0</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'Data Sheet'!B6</f>
        <v/>
      </c>
      <c r="J35" s="150">
        <f>'Data Sheet'!B6</f>
        <v/>
      </c>
      <c r="K35" s="150" t="n"/>
      <c r="L35" s="150" t="n"/>
      <c r="M35" s="150" t="n"/>
      <c r="N35" s="150" t="n"/>
      <c r="O35" s="155">
        <f>'Data Sheet'!B6</f>
        <v/>
      </c>
      <c r="P35" s="155">
        <f>'Data Sheet'!B6</f>
        <v/>
      </c>
      <c r="Q35" s="155">
        <f>'Data Sheet'!B6</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Current Market Price</t>
        </is>
      </c>
      <c r="O38">
        <f>'Data Sheet'!B8</f>
        <v/>
      </c>
      <c r="P38">
        <f>'Data Sheet'!B8</f>
        <v/>
      </c>
      <c r="Q38">
        <f>'Data Sheet'!B8</f>
        <v/>
      </c>
    </row>
    <row r="39">
      <c r="B39" t="inlineStr">
        <is>
          <t>Price vs Implied Variance</t>
        </is>
      </c>
      <c r="I39">
        <f>IF(OR(I37="N/A", ISBLANK(I37), 'Data Sheet'!B8&lt;=0), "N/A", IFERROR((I37-'Data Sheet'!B8)/'Data Sheet'!B8, "N/A"))</f>
        <v/>
      </c>
      <c r="J39">
        <f>IF(OR(J37="N/A", ISBLANK(J37), 'Data Sheet'!B8&lt;=0), "N/A", IFERROR((J37-'Data Sheet'!B8)/'Data Sheet'!B8, "N/A"))</f>
        <v/>
      </c>
      <c r="O39">
        <f>IF(OR(O37="N/A", ISBLANK(O37), 'Data Sheet'!B8&lt;=0), "N/A", IFERROR((O37-'Data Sheet'!B8)/'Data Sheet'!B8, "N/A"))</f>
        <v/>
      </c>
      <c r="P39">
        <f>IF(OR(P37="N/A", ISBLANK(P37), 'Data Sheet'!B8&lt;=0), "N/A", IFERROR((P37-'Data Sheet'!B8)/'Data Sheet'!B8, "N/A"))</f>
        <v/>
      </c>
      <c r="Q39">
        <f>IF(OR(Q37="N/A", ISBLANK(Q37), 'Data Sheet'!B8&lt;=0), "N/A", IFERROR((Q37-'Data Sheet'!B8)/'Data Sheet'!B8, "N/A"))</f>
        <v/>
      </c>
    </row>
    <row r="40">
      <c r="B40" t="inlineStr">
        <is>
          <t>Valuation Range</t>
        </is>
      </c>
      <c r="O40">
        <f>IF(OR(O37="N/A", P37="N/A", Q37="N/A"), "N/A", TEXT(MIN(O37,P37,Q37),"[$₹-4009]#,##0") &amp; " - " &amp; TEXT(MAX(O37,P37,Q37),"[$₹-4009]#,##0"))</f>
        <v/>
      </c>
    </row>
    <row r="41">
      <c r="B41" t="inlineStr">
        <is>
          <t>Method Dispersion</t>
        </is>
      </c>
      <c r="O41">
        <f>IF(OR(O37="N/A", P37="N/A", Q37="N/A"), "N/A", TEXT((MAX(O37,P37,Q37)-MIN(O37,P37,Q37))/AVERAGE(O37,P37,Q37),"0.0%"))</f>
        <v/>
      </c>
    </row>
    <row r="42">
      <c r="B42" t="inlineStr">
        <is>
          <t>Confidence</t>
        </is>
      </c>
      <c r="O42" t="inlineStr">
        <is>
          <t>HIGH</t>
        </is>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K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f>IF(OR(C61="N/A", ISBLANK(C61), C61&lt;=0), "N/A", IFERROR(C60/C61, "N/A"))</f>
        <v/>
      </c>
      <c r="D62" s="89">
        <f>IF(OR(D61="N/A", ISBLANK(D61), D61&lt;=0), "N/A", IFERROR(D60/D61, "N/A"))</f>
        <v/>
      </c>
      <c r="E62" s="90">
        <f>IF(OR(E61="N/A", ISBLANK(E61), E61&lt;=0), "N/A", IFERROR(E60/E61, "N/A"))</f>
        <v/>
      </c>
      <c r="F62" s="90">
        <f>IF(OR(F61="N/A", ISBLANK(F61), F61&lt;=0), "N/A", IFERROR(F60/F61, "N/A"))</f>
        <v/>
      </c>
      <c r="G62" s="90">
        <f>IF(OR(G61="N/A", ISBLANK(G61), G61&lt;=0), "N/A", IFERROR(G60/G61, "N/A"))</f>
        <v/>
      </c>
      <c r="H62" s="90">
        <f>IF(OR(H61="N/A", ISBLANK(H61), H61&lt;=0), "N/A", IFERROR(H60/H61, "N/A"))</f>
        <v/>
      </c>
      <c r="I62" s="90">
        <f>IF(OR(I61="N/A", ISBLANK(I61), I61&lt;=0), "N/A", IFERROR(I60/I61, "N/A"))</f>
        <v/>
      </c>
      <c r="J62">
        <f>IF(OR(J61="N/A", ISBLANK(J61), J61&lt;=0), "N/A", IFERROR(J60/J61, "N/A"))</f>
        <v/>
      </c>
      <c r="K62">
        <f>IF(OR(K61="N/A", ISBLANK(K61), K61&lt;=0), "N/A", IFERROR(K60/K61, "N/A"))</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f>IF(OR(C67="N/A", ISBLANK(C67), C67&lt;=0), "N/A", IFERROR(C66/C67, "N/A"))</f>
        <v/>
      </c>
      <c r="D68" s="89">
        <f>IF(OR(D67="N/A", ISBLANK(D67), D67&lt;=0), "N/A", IFERROR(D66/D67, "N/A"))</f>
        <v/>
      </c>
      <c r="E68" s="90">
        <f>IF(OR(E67="N/A", ISBLANK(E67), E67&lt;=0), "N/A", IFERROR(E66/E67, "N/A"))</f>
        <v/>
      </c>
      <c r="F68" s="90">
        <f>IF(OR(F67="N/A", ISBLANK(F67), F67&lt;=0), "N/A", IFERROR(F66/F67, "N/A"))</f>
        <v/>
      </c>
      <c r="G68" s="90">
        <f>IF(OR(G67="N/A", ISBLANK(G67), G67&lt;=0), "N/A", IFERROR(G66/G67, "N/A"))</f>
        <v/>
      </c>
      <c r="H68" s="90">
        <f>IF(OR(H67="N/A", ISBLANK(H67), H67&lt;=0), "N/A", IFERROR(H66/H67, "N/A"))</f>
        <v/>
      </c>
      <c r="I68" s="90">
        <f>IF(OR(I67="N/A", ISBLANK(I67), I67&lt;=0), "N/A", IFERROR(I66/I67, "N/A"))</f>
        <v/>
      </c>
      <c r="J68">
        <f>IF(OR(J67="N/A", ISBLANK(J67), J67&lt;=0), "N/A", IFERROR(J66/J67, "N/A"))</f>
        <v/>
      </c>
      <c r="K68">
        <f>IF(OR(K67="N/A", ISBLANK(K67), K67&lt;=0), "N/A", IFERROR(K66/K67, "N/A"))</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f>IF(OR(C71="N/A", ISBLANK(C71), C71&lt;=0), "N/A", IFERROR(C70/C71, "N/A"))</f>
        <v/>
      </c>
      <c r="D72" s="89">
        <f>IF(OR(D71="N/A", ISBLANK(D71), D71&lt;=0), "N/A", IFERROR(D70/D71, "N/A"))</f>
        <v/>
      </c>
      <c r="E72" s="154">
        <f>IF(OR(E71="N/A", ISBLANK(E71), E71&lt;=0), "N/A", IFERROR(E70/E71, "N/A"))</f>
        <v/>
      </c>
      <c r="F72" s="154">
        <f>IF(OR(F71="N/A", ISBLANK(F71), F71&lt;=0), "N/A", IFERROR(F70/F71, "N/A"))</f>
        <v/>
      </c>
      <c r="G72" s="154">
        <f>IF(OR(G71="N/A", ISBLANK(G71), G71&lt;=0), "N/A", IFERROR(G70/G71, "N/A"))</f>
        <v/>
      </c>
      <c r="H72" s="154">
        <f>IF(OR(H71="N/A", ISBLANK(H71), H71&lt;=0), "N/A", IFERROR(H70/H71, "N/A"))</f>
        <v/>
      </c>
      <c r="I72" s="154">
        <f>IF(OR(I71="N/A", ISBLANK(I71), I71&lt;=0), "N/A", IFERROR(I70/I71, "N/A"))</f>
        <v/>
      </c>
      <c r="J72">
        <f>IF(OR(J71="N/A", ISBLANK(J71), J71&lt;=0), "N/A", IFERROR(J70/J71, "N/A"))</f>
        <v/>
      </c>
      <c r="K72">
        <f>IF(OR(K71="N/A", ISBLANK(K71), K71&lt;=0), "N/A", IFERROR(K70/K71, "N/A"))</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f>IF(OR(C71="N/A", ISBLANK(C71), C71&lt;=0, C75="N/A", ISBLANK(C75), C75&lt;=0), "N/A", IFERROR(C74/C75, "N/A"))</f>
        <v/>
      </c>
      <c r="D76" s="89">
        <f>IF(OR(D71="N/A", ISBLANK(D71), D71&lt;=0, D75="N/A", ISBLANK(D75), D75&lt;=0), "N/A", IFERROR(D74/D75, "N/A"))</f>
        <v/>
      </c>
      <c r="E76" s="100">
        <f>IF(OR(E71="N/A", ISBLANK(E71), E71&lt;=0, E75="N/A", ISBLANK(E75), E75&lt;=0), "N/A", IFERROR(E74/E75, "N/A"))</f>
        <v/>
      </c>
      <c r="F76" s="100">
        <f>IF(OR(F71="N/A", ISBLANK(F71), F71&lt;=0, F75="N/A", ISBLANK(F75), F75&lt;=0), "N/A", IFERROR(F74/F75, "N/A"))</f>
        <v/>
      </c>
      <c r="G76" s="100">
        <f>IF(OR(G71="N/A", ISBLANK(G71), G71&lt;=0, G75="N/A", ISBLANK(G75), G75&lt;=0), "N/A", IFERROR(G74/G75, "N/A"))</f>
        <v/>
      </c>
      <c r="H76" s="100">
        <f>IF(OR(H71="N/A", ISBLANK(H71), H71&lt;=0, H75="N/A", ISBLANK(H75), H75&lt;=0), "N/A", IFERROR(H74/H75, "N/A"))</f>
        <v/>
      </c>
      <c r="I76" s="100">
        <f>IF(OR(I71="N/A", ISBLANK(I71), I71&lt;=0, I75="N/A", ISBLANK(I75), I75&lt;=0), "N/A", IFERROR(I74/I75, "N/A"))</f>
        <v/>
      </c>
      <c r="J76">
        <f>IF(OR(J71="N/A", ISBLANK(J71), J71&lt;=0, J75="N/A", ISBLANK(J75), J75&lt;=0), "N/A", IFERROR(J74/J75, "N/A"))</f>
        <v/>
      </c>
      <c r="K76">
        <f>IF(OR(K71="N/A", ISBLANK(K71), K71&lt;=0, K75="N/A", ISBLANK(K75), K75&lt;=0), "N/A", IFERROR(K74/K75, "N/A"))</f>
        <v/>
      </c>
    </row>
    <row r="78">
      <c r="B78" s="89" t="inlineStr">
        <is>
          <t>Return on Equity(A*B*C)</t>
        </is>
      </c>
      <c r="C78" s="89">
        <f>IF(OR(C68="N/A", C72="N/A", C76="N/A"), "N/A", IFERROR(C68*C72*C76, "N/A"))</f>
        <v/>
      </c>
      <c r="D78" s="89">
        <f>IF(OR(D68="N/A", D72="N/A", D76="N/A"), "N/A", IFERROR(D68*D72*D76, "N/A"))</f>
        <v/>
      </c>
      <c r="E78" s="90">
        <f>IF(OR(E68="N/A", E72="N/A", E76="N/A"), "N/A", IFERROR(E68*E72*E76, "N/A"))</f>
        <v/>
      </c>
      <c r="F78" s="90">
        <f>IF(OR(F68="N/A", F72="N/A", F76="N/A"), "N/A", IFERROR(F68*F72*F76, "N/A"))</f>
        <v/>
      </c>
      <c r="G78" s="90">
        <f>IF(OR(G68="N/A", G72="N/A", G76="N/A"), "N/A", IFERROR(G68*G72*G76, "N/A"))</f>
        <v/>
      </c>
      <c r="H78" s="90">
        <f>IF(OR(H68="N/A", H72="N/A", H76="N/A"), "N/A", IFERROR(H68*H72*H76, "N/A"))</f>
        <v/>
      </c>
      <c r="I78" s="90">
        <f>IF(OR(I68="N/A", I72="N/A", I76="N/A"), "N/A", IFERROR(I68*I72*I76, "N/A"))</f>
        <v/>
      </c>
      <c r="J78">
        <f>IF(OR(J68="N/A", J72="N/A", J76="N/A"), "N/A", IFERROR(J68*J72*J76, "N/A"))</f>
        <v/>
      </c>
      <c r="K78">
        <f>IF(OR(K68="N/A", K72="N/A", K76="N/A"), "N/A", IFERROR(K68*K72*K76, "N/A"))</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K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f>IF(OR(C60="N/A", ISBLANK(C60), C60&lt;=0), "N/A", IFERROR(C59/C60, "N/A"))</f>
        <v/>
      </c>
      <c r="D61" s="89">
        <f>IF(OR(D60="N/A", ISBLANK(D60), D60&lt;=0), "N/A", IFERROR(D59/D60, "N/A"))</f>
        <v/>
      </c>
      <c r="E61" s="90">
        <f>IF(OR(E60="N/A", ISBLANK(E60), E60&lt;=0), "N/A", IFERROR(E59/E60, "N/A"))</f>
        <v/>
      </c>
      <c r="F61" s="90">
        <f>IF(OR(F60="N/A", ISBLANK(F60), F60&lt;=0), "N/A", IFERROR(F59/F60, "N/A"))</f>
        <v/>
      </c>
      <c r="G61" s="90">
        <f>IF(OR(G60="N/A", ISBLANK(G60), G60&lt;=0), "N/A", IFERROR(G59/G60, "N/A"))</f>
        <v/>
      </c>
      <c r="H61" s="90">
        <f>IF(OR(H60="N/A", ISBLANK(H60), H60&lt;=0), "N/A", IFERROR(H59/H60, "N/A"))</f>
        <v/>
      </c>
      <c r="I61" s="90">
        <f>IF(OR(I60="N/A", ISBLANK(I60), I60&lt;=0), "N/A", IFERROR(I59/I60, "N/A"))</f>
        <v/>
      </c>
      <c r="J61">
        <f>IF(OR(J60="N/A", ISBLANK(J60), J60&lt;=0), "N/A", IFERROR(J59/J60, "N/A"))</f>
        <v/>
      </c>
      <c r="K61">
        <f>IF(OR(K60="N/A", ISBLANK(K60), K60&lt;=0), "N/A", IFERROR(K59/K60, "N/A"))</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f>IF(OR(C66="N/A", ISBLANK(C66), C66&lt;=0), "N/A", IFERROR(C65/C66, "N/A"))</f>
        <v/>
      </c>
      <c r="D67" s="89">
        <f>IF(OR(D66="N/A", ISBLANK(D66), D66&lt;=0), "N/A", IFERROR(D65/D66, "N/A"))</f>
        <v/>
      </c>
      <c r="E67" s="90">
        <f>IF(OR(E66="N/A", ISBLANK(E66), E66&lt;=0), "N/A", IFERROR(E65/E66, "N/A"))</f>
        <v/>
      </c>
      <c r="F67" s="90">
        <f>IF(OR(F66="N/A", ISBLANK(F66), F66&lt;=0), "N/A", IFERROR(F65/F66, "N/A"))</f>
        <v/>
      </c>
      <c r="G67" s="90">
        <f>IF(OR(G66="N/A", ISBLANK(G66), G66&lt;=0), "N/A", IFERROR(G65/G66, "N/A"))</f>
        <v/>
      </c>
      <c r="H67" s="90">
        <f>IF(OR(H66="N/A", ISBLANK(H66), H66&lt;=0), "N/A", IFERROR(H65/H66, "N/A"))</f>
        <v/>
      </c>
      <c r="I67" s="90">
        <f>IF(OR(I66="N/A", ISBLANK(I66), I66&lt;=0), "N/A", IFERROR(I65/I66, "N/A"))</f>
        <v/>
      </c>
      <c r="J67">
        <f>IF(OR(J66="N/A", ISBLANK(J66), J66&lt;=0), "N/A", IFERROR(J65/J66, "N/A"))</f>
        <v/>
      </c>
      <c r="K67">
        <f>IF(OR(K66="N/A", ISBLANK(K66), K66&lt;=0), "N/A", IFERROR(K65/K66, "N/A"))</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f>IF(OR(C72="N/A", ISBLANK(C72), C72&lt;=0), "N/A", IFERROR(C71/C72, "N/A"))</f>
        <v/>
      </c>
      <c r="D73" s="89">
        <f>IF(OR(D72="N/A", ISBLANK(D72), D72&lt;=0), "N/A", IFERROR(D71/D72, "N/A"))</f>
        <v/>
      </c>
      <c r="E73" s="90">
        <f>IF(OR(E72="N/A", ISBLANK(E72), E72&lt;=0), "N/A", IFERROR(E71/E72, "N/A"))</f>
        <v/>
      </c>
      <c r="F73" s="90">
        <f>IF(OR(F72="N/A", ISBLANK(F72), F72&lt;=0), "N/A", IFERROR(F71/F72, "N/A"))</f>
        <v/>
      </c>
      <c r="G73" s="90">
        <f>IF(OR(G72="N/A", ISBLANK(G72), G72&lt;=0), "N/A", IFERROR(G71/G72, "N/A"))</f>
        <v/>
      </c>
      <c r="H73" s="90">
        <f>IF(OR(H72="N/A", ISBLANK(H72), H72&lt;=0), "N/A", IFERROR(H71/H72, "N/A"))</f>
        <v/>
      </c>
      <c r="I73" s="90">
        <f>IF(OR(I72="N/A", ISBLANK(I72), I72&lt;=0), "N/A", IFERROR(I71/I72, "N/A"))</f>
        <v/>
      </c>
      <c r="J73">
        <f>IF(OR(J72="N/A", ISBLANK(J72), J72&lt;=0), "N/A", IFERROR(J71/J72, "N/A"))</f>
        <v/>
      </c>
      <c r="K73">
        <f>IF(OR(K72="N/A", ISBLANK(K72), K72&lt;=0), "N/A", IFERROR(K71/K72, "N/A"))</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f>IF(OR(C78="N/A", ISBLANK(C78), C78&lt;=0), "N/A", IFERROR(C77/C78, "N/A"))</f>
        <v/>
      </c>
      <c r="D79" s="89">
        <f>IF(OR(D78="N/A", ISBLANK(D78), D78&lt;=0), "N/A", IFERROR(D77/D78, "N/A"))</f>
        <v/>
      </c>
      <c r="E79" s="90">
        <f>IF(OR(E78="N/A", ISBLANK(E78), E78&lt;=0), "N/A", IFERROR(E77/E78, "N/A"))</f>
        <v/>
      </c>
      <c r="F79" s="90">
        <f>IF(OR(F78="N/A", ISBLANK(F78), F78&lt;=0), "N/A", IFERROR(F77/F78, "N/A"))</f>
        <v/>
      </c>
      <c r="G79" s="90">
        <f>IF(OR(G78="N/A", ISBLANK(G78), G78&lt;=0), "N/A", IFERROR(G77/G78, "N/A"))</f>
        <v/>
      </c>
      <c r="H79" s="90">
        <f>IF(OR(H78="N/A", ISBLANK(H78), H78&lt;=0), "N/A", IFERROR(H77/H78, "N/A"))</f>
        <v/>
      </c>
      <c r="I79" s="90">
        <f>IF(OR(I78="N/A", ISBLANK(I78), I78&lt;=0), "N/A", IFERROR(I77/I78, "N/A"))</f>
        <v/>
      </c>
      <c r="J79">
        <f>IF(OR(J78="N/A", ISBLANK(J78), J78&lt;=0), "N/A", IFERROR(J77/J78, "N/A"))</f>
        <v/>
      </c>
      <c r="K79">
        <f>IF(OR(K78="N/A", ISBLANK(K78), K78&lt;=0), "N/A", IFERROR(K77/K78, "N/A"))</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f>IF(OR(C84="N/A", ISBLANK(C84), C84&lt;=0), "N/A", IFERROR(C83/C84, "N/A"))</f>
        <v/>
      </c>
      <c r="D85" s="89">
        <f>IF(OR(D84="N/A", ISBLANK(D84), D84&lt;=0), "N/A", IFERROR(D83/D84, "N/A"))</f>
        <v/>
      </c>
      <c r="E85" s="91">
        <f>IF(OR(E84="N/A", ISBLANK(E84), E84&lt;=0), "N/A", IFERROR(E83/E84, "N/A"))</f>
        <v/>
      </c>
      <c r="F85" s="91">
        <f>IF(OR(F84="N/A", ISBLANK(F84), F84&lt;=0), "N/A", IFERROR(F83/F84, "N/A"))</f>
        <v/>
      </c>
      <c r="G85" s="91">
        <f>IF(OR(G84="N/A", ISBLANK(G84), G84&lt;=0), "N/A", IFERROR(G83/G84, "N/A"))</f>
        <v/>
      </c>
      <c r="H85" s="91">
        <f>IF(OR(H84="N/A", ISBLANK(H84), H84&lt;=0), "N/A", IFERROR(H83/H84, "N/A"))</f>
        <v/>
      </c>
      <c r="I85" s="91">
        <f>IF(OR(I84="N/A", ISBLANK(I84), I84&lt;=0), "N/A", IFERROR(I83/I84, "N/A"))</f>
        <v/>
      </c>
      <c r="J85">
        <f>IF(OR(J84="N/A", ISBLANK(J84), J84&lt;=0), "N/A", IFERROR(J83/J84, "N/A"))</f>
        <v/>
      </c>
      <c r="K85">
        <f>IF(OR(K84="N/A", ISBLANK(K84), K84&lt;=0), "N/A", IFERROR(K83/K84, "N/A"))</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C89">
        <f>IF(OR(C61="N/A", C67="N/A", C73="N/A", C79="N/A", C85="N/A"), "N/A", IFERROR((1.2*C61)+(1.4*C67)+(3.3*C73)+(0.6*C79)+(1.0*C85), "N/A"))</f>
        <v/>
      </c>
      <c r="D89">
        <f>IF(OR(D61="N/A", D67="N/A", D73="N/A", D79="N/A", D85="N/A"), "N/A", IFERROR((1.2*D61)+(1.4*D67)+(3.3*D73)+(0.6*D79)+(1.0*D85), "N/A"))</f>
        <v/>
      </c>
      <c r="E89" s="76">
        <f>IF(OR(E61="N/A", E67="N/A", E73="N/A", E79="N/A", E85="N/A"), "N/A", IFERROR((1.2*E61)+(1.4*E67)+(3.3*E73)+(0.6*E79)+(1.0*E85), "N/A"))</f>
        <v/>
      </c>
      <c r="F89" s="76">
        <f>IF(OR(F61="N/A", F67="N/A", F73="N/A", F79="N/A", F85="N/A"), "N/A", IFERROR((1.2*F61)+(1.4*F67)+(3.3*F73)+(0.6*F79)+(1.0*F85), "N/A"))</f>
        <v/>
      </c>
      <c r="G89" s="76">
        <f>IF(OR(G61="N/A", G67="N/A", G73="N/A", G79="N/A", G85="N/A"), "N/A", IFERROR((1.2*G61)+(1.4*G67)+(3.3*G73)+(0.6*G79)+(1.0*G85), "N/A"))</f>
        <v/>
      </c>
      <c r="H89" s="76">
        <f>IF(OR(H61="N/A", H67="N/A", H73="N/A", H79="N/A", H85="N/A"), "N/A", IFERROR((1.2*H61)+(1.4*H67)+(3.3*H73)+(0.6*H79)+(1.0*H85), "N/A"))</f>
        <v/>
      </c>
      <c r="I89" s="76">
        <f>IF(OR(I61="N/A", I67="N/A", I73="N/A", I79="N/A", I85="N/A"), "N/A", IFERROR((1.2*I61)+(1.4*I67)+(3.3*I73)+(0.6*I79)+(1.0*I85), "N/A"))</f>
        <v/>
      </c>
      <c r="J89">
        <f>IF(OR(J61="N/A", J67="N/A", J73="N/A", J79="N/A", J85="N/A"), "N/A", IFERROR((1.2*J61)+(1.4*J67)+(3.3*J73)+(0.6*J79)+(1.0*J85), "N/A"))</f>
        <v/>
      </c>
      <c r="K89">
        <f>IF(OR(K61="N/A", K67="N/A", K73="N/A", K79="N/A", K85="N/A"), "N/A", IFERROR((1.2*K61)+(1.4*K67)+(3.3*K73)+(0.6*K79)+(1.0*K85), "N/A"))</f>
        <v/>
      </c>
    </row>
    <row r="90">
      <c r="B90" t="inlineStr">
        <is>
          <t>Financial Stability</t>
        </is>
      </c>
      <c r="C90">
        <f>IF(OR(C89="N/A", ISBLANK(C89)), "N/A (Insufficient Inputs)", IF(C89&lt;1.81, "Distressed", IF(C89&lt;2.99, "Grey Zone", "Safe Zone")))</f>
        <v/>
      </c>
      <c r="D90">
        <f>IF(OR(D89="N/A", ISBLANK(D89)), "N/A (Insufficient Inputs)", IF(D89&lt;1.81, "Distressed", IF(D89&lt;2.99, "Grey Zone", "Safe Zone")))</f>
        <v/>
      </c>
      <c r="E90" s="93">
        <f>IF(OR(E89="N/A", ISBLANK(E89)), "N/A (Insufficient Inputs)", IF(E89&lt;1.81, "Distressed", IF(E89&lt;2.99, "Grey Zone", "Safe Zone")))</f>
        <v/>
      </c>
      <c r="F90" s="93">
        <f>IF(OR(F89="N/A", ISBLANK(F89)), "N/A (Insufficient Inputs)", IF(F89&lt;1.81, "Distressed", IF(F89&lt;2.99, "Grey Zone", "Safe Zone")))</f>
        <v/>
      </c>
      <c r="G90" s="93">
        <f>IF(OR(G89="N/A", ISBLANK(G89)), "N/A (Insufficient Inputs)", IF(G89&lt;1.81, "Distressed", IF(G89&lt;2.99, "Grey Zone", "Safe Zone")))</f>
        <v/>
      </c>
      <c r="H90" s="93">
        <f>IF(OR(H89="N/A", ISBLANK(H89)), "N/A (Insufficient Inputs)", IF(H89&lt;1.81, "Distressed", IF(H89&lt;2.99, "Grey Zone", "Safe Zone")))</f>
        <v/>
      </c>
      <c r="I90" s="93">
        <f>IF(OR(I89="N/A", ISBLANK(I89)), "N/A (Insufficient Inputs)", IF(I89&lt;1.81, "Distressed", IF(I89&lt;2.99, "Grey Zone", "Safe Zone")))</f>
        <v/>
      </c>
      <c r="J90">
        <f>IF(OR(J89="N/A", ISBLANK(J89)), "N/A (Insufficient Inputs)", IF(J89&lt;1.81, "Distressed", IF(J89&lt;2.99, "Grey Zone", "Safe Zone")))</f>
        <v/>
      </c>
      <c r="K90">
        <f>IF(OR(K89="N/A", ISBLANK(K89)), "N/A (Insufficient Inputs)", IF(K89&lt;1.81, "Distressed", IF(K89&lt;2.99, "Grey Zone", "Safe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57284</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2026-09-27T14:38:41Z</dcterms:modified>
  <cp:lastModifiedBy>Loveish</cp:lastModifiedBy>
  <cp:lastPrinted>2012-12-06T18:14:13Z</cp:lastPrinted>
</cp:coreProperties>
</file>