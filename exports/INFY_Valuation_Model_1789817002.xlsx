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B21B1171-9F1E-4082-A1C5-C8BF767F2D2A}" xr6:coauthVersionLast="47" xr6:coauthVersionMax="47" xr10:uidLastSave="{00000000-0000-0000-0000-000000000000}"/>
  <bookViews>
    <workbookView xWindow="19272" yWindow="6180" windowWidth="3768" windowHeight="6060" xr2:uid="{00000000-000D-0000-FFFF-FFFF00000000}"/>
  </bookViews>
  <sheets>
    <sheet name="AI Valuation Summary" sheetId="23" r:id="rId1"/>
    <sheet name="Profit &amp; Loss" sheetId="1" r:id="rId2"/>
    <sheet name="Quarters" sheetId="3" r:id="rId3"/>
    <sheet name="Balance Sheet" sheetId="2" r:id="rId4"/>
    <sheet name="Cash Flow" sheetId="4" r:id="rId5"/>
    <sheet name="Customization" sheetId="5" r:id="rId6"/>
    <sheet name="Common Size Statement" sheetId="8" r:id="rId7"/>
    <sheet name="Data Sheet" sheetId="6" r:id="rId8"/>
    <sheet name="Cash Flow Statement" sheetId="7" r:id="rId9"/>
    <sheet name="Historical FS" sheetId="9" r:id="rId10"/>
    <sheet name="Ratio Analysis" sheetId="10" r:id="rId11"/>
    <sheet name="Forecasting" sheetId="12" r:id="rId12"/>
    <sheet name="Rm" sheetId="11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3" r:id="rId18"/>
    <sheet name="Comp_Valuation" sheetId="19" r:id="rId19"/>
    <sheet name="Dupont Analysis" sheetId="20" r:id="rId20"/>
    <sheet name="Altman's Z Score" sheetId="22" r:id="rId21"/>
    <sheet name="Raw FS" sheetId="18" r:id="rId22"/>
    <sheet name="List of Stocks" sheetId="21" r:id="rId23"/>
  </sheets>
  <externalReferences>
    <externalReference r:id="rId24"/>
  </externalReferences>
  <definedNames>
    <definedName name="_xlnm._FilterDatabase" localSheetId="22" hidden="1">'List of Stocks'!$B$2:$E$5442</definedName>
    <definedName name="UPDATE" localSheetId="22">'[1]Data Sheet'!$E$1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1" i="23" l="1"/>
  <c r="A5" i="23"/>
  <c r="T25" i="13"/>
  <c r="T26" i="13" s="1"/>
  <c r="T27" i="13" s="1"/>
  <c r="T28" i="13" s="1"/>
  <c r="Q25" i="13"/>
  <c r="Q26" i="13" s="1"/>
  <c r="Q27" i="13" s="1"/>
  <c r="Q28" i="13" s="1"/>
  <c r="D40" i="17"/>
  <c r="B29" i="23" s="1"/>
  <c r="D38" i="17"/>
  <c r="B27" i="23" s="1"/>
  <c r="D37" i="17"/>
  <c r="B26" i="23" s="1"/>
  <c r="M5" i="12" a="1"/>
  <c r="M5" i="12"/>
  <c r="M6" i="12"/>
  <c r="M7" i="12"/>
  <c r="M8" i="12"/>
  <c r="M9" i="12"/>
  <c r="M10" i="12"/>
  <c r="M11" i="12"/>
  <c r="M12" i="12"/>
  <c r="M13" i="12"/>
  <c r="M14" i="12" s="1"/>
  <c r="M15" i="12" s="1"/>
  <c r="M16" i="12" s="1"/>
  <c r="M17" i="12" s="1"/>
  <c r="M18" i="12" s="1"/>
  <c r="M19" i="12" s="1"/>
  <c r="H5" i="12" a="1"/>
  <c r="H5" i="12"/>
  <c r="H6" i="12"/>
  <c r="H7" i="12"/>
  <c r="H8" i="12"/>
  <c r="H9" i="12"/>
  <c r="H10" i="12"/>
  <c r="H11" i="12"/>
  <c r="H12" i="12"/>
  <c r="H13" i="12"/>
  <c r="H14" i="12" s="1"/>
  <c r="H15" i="12" s="1"/>
  <c r="H16" i="12" s="1"/>
  <c r="H17" i="12" s="1"/>
  <c r="H18" i="12" s="1"/>
  <c r="H19" i="12" s="1"/>
  <c r="C5" i="12" a="1"/>
  <c r="C5" i="12"/>
  <c r="C6" i="12"/>
  <c r="C7" i="12"/>
  <c r="C8" i="12"/>
  <c r="C9" i="12"/>
  <c r="C10" i="12"/>
  <c r="C11" i="12"/>
  <c r="C12" i="12"/>
  <c r="C13" i="12"/>
  <c r="C14" i="12" s="1"/>
  <c r="C15" i="12" s="1"/>
  <c r="C16" i="12" s="1"/>
  <c r="C17" i="12" s="1"/>
  <c r="C18" i="12" s="1"/>
  <c r="C19" i="12" s="1"/>
  <c r="AS65" i="18"/>
  <c r="AT65" i="18" s="1"/>
  <c r="AS64" i="18"/>
  <c r="AT64" i="18" s="1"/>
  <c r="AS63" i="18"/>
  <c r="AT63" i="18" s="1"/>
  <c r="AS62" i="18"/>
  <c r="AT62" i="18" s="1"/>
  <c r="AS61" i="18"/>
  <c r="AT61" i="18" s="1"/>
  <c r="AS60" i="18"/>
  <c r="AT60" i="18" s="1"/>
  <c r="AS59" i="18"/>
  <c r="AT59" i="18" s="1"/>
  <c r="AS58" i="18"/>
  <c r="AT58" i="18" s="1"/>
  <c r="AS57" i="18"/>
  <c r="AT57" i="18" s="1"/>
  <c r="AS56" i="18"/>
  <c r="AT56" i="18" s="1"/>
  <c r="O60" i="9"/>
  <c r="N60" i="9"/>
  <c r="M60" i="9"/>
  <c r="K75" i="6"/>
  <c r="L60" i="9" s="1"/>
  <c r="J75" i="6"/>
  <c r="K60" i="9" s="1"/>
  <c r="I75" i="6"/>
  <c r="J60" i="9" s="1"/>
  <c r="H75" i="6"/>
  <c r="I60" i="9" s="1"/>
  <c r="G75" i="6"/>
  <c r="H60" i="9" s="1"/>
  <c r="F75" i="6"/>
  <c r="G60" i="9" s="1"/>
  <c r="E75" i="6"/>
  <c r="F60" i="9" s="1"/>
  <c r="D75" i="6"/>
  <c r="E60" i="9" s="1"/>
  <c r="C75" i="6"/>
  <c r="D60" i="9" s="1"/>
  <c r="B75" i="6"/>
  <c r="C60" i="9" s="1"/>
  <c r="K33" i="6"/>
  <c r="J33" i="6"/>
  <c r="I33" i="6"/>
  <c r="H33" i="6"/>
  <c r="G33" i="6"/>
  <c r="F33" i="6"/>
  <c r="E33" i="6"/>
  <c r="D33" i="6"/>
  <c r="C33" i="6"/>
  <c r="B33" i="6"/>
  <c r="B6" i="6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11" i="14"/>
  <c r="B12" i="19" l="1"/>
  <c r="E66" i="20"/>
  <c r="E60" i="20"/>
  <c r="I44" i="16"/>
  <c r="J44" i="16"/>
  <c r="K44" i="16"/>
  <c r="L44" i="16"/>
  <c r="H44" i="16"/>
  <c r="I38" i="16"/>
  <c r="J38" i="16"/>
  <c r="K38" i="16"/>
  <c r="L38" i="16"/>
  <c r="H38" i="16"/>
  <c r="C97" i="9"/>
  <c r="D97" i="9"/>
  <c r="E97" i="9"/>
  <c r="F97" i="9"/>
  <c r="G97" i="9"/>
  <c r="H97" i="9"/>
  <c r="I97" i="9"/>
  <c r="J97" i="9"/>
  <c r="K97" i="9"/>
  <c r="L97" i="9"/>
  <c r="C98" i="9"/>
  <c r="D98" i="9"/>
  <c r="E98" i="9"/>
  <c r="F98" i="9"/>
  <c r="G98" i="9"/>
  <c r="H98" i="9"/>
  <c r="I98" i="9"/>
  <c r="J98" i="9"/>
  <c r="K98" i="9"/>
  <c r="L98" i="9"/>
  <c r="C99" i="9"/>
  <c r="D99" i="9"/>
  <c r="E99" i="9"/>
  <c r="F99" i="9"/>
  <c r="G99" i="9"/>
  <c r="H99" i="9"/>
  <c r="I99" i="9"/>
  <c r="J99" i="9"/>
  <c r="K99" i="9"/>
  <c r="L99" i="9"/>
  <c r="C100" i="9"/>
  <c r="D100" i="9"/>
  <c r="E100" i="9"/>
  <c r="F100" i="9"/>
  <c r="G100" i="9"/>
  <c r="H100" i="9"/>
  <c r="I100" i="9"/>
  <c r="J100" i="9"/>
  <c r="K100" i="9"/>
  <c r="L100" i="9"/>
  <c r="C101" i="9"/>
  <c r="D101" i="9"/>
  <c r="E101" i="9"/>
  <c r="F101" i="9"/>
  <c r="G101" i="9"/>
  <c r="H101" i="9"/>
  <c r="I101" i="9"/>
  <c r="J101" i="9"/>
  <c r="K101" i="9"/>
  <c r="L101" i="9"/>
  <c r="C102" i="9"/>
  <c r="D102" i="9"/>
  <c r="E102" i="9"/>
  <c r="F102" i="9"/>
  <c r="G102" i="9"/>
  <c r="H102" i="9"/>
  <c r="I102" i="9"/>
  <c r="J102" i="9"/>
  <c r="K102" i="9"/>
  <c r="L102" i="9"/>
  <c r="D96" i="9"/>
  <c r="D103" i="9" s="1"/>
  <c r="E96" i="9"/>
  <c r="E103" i="9" s="1"/>
  <c r="F96" i="9"/>
  <c r="F103" i="9" s="1"/>
  <c r="G96" i="9"/>
  <c r="G103" i="9" s="1"/>
  <c r="H96" i="9"/>
  <c r="H103" i="9" s="1"/>
  <c r="I96" i="9"/>
  <c r="I103" i="9" s="1"/>
  <c r="J96" i="9"/>
  <c r="J103" i="9" s="1"/>
  <c r="K96" i="9"/>
  <c r="K103" i="9" s="1"/>
  <c r="L96" i="9"/>
  <c r="L103" i="9" s="1"/>
  <c r="C96" i="9"/>
  <c r="C103" i="9" s="1"/>
  <c r="B97" i="9"/>
  <c r="B98" i="9"/>
  <c r="B99" i="9"/>
  <c r="B100" i="9"/>
  <c r="B101" i="9"/>
  <c r="B102" i="9"/>
  <c r="B96" i="9"/>
  <c r="C84" i="9"/>
  <c r="D84" i="9"/>
  <c r="E84" i="9"/>
  <c r="F84" i="9"/>
  <c r="G84" i="9"/>
  <c r="H84" i="9"/>
  <c r="I84" i="9"/>
  <c r="J84" i="9"/>
  <c r="K84" i="9"/>
  <c r="L84" i="9"/>
  <c r="C85" i="9"/>
  <c r="D85" i="9"/>
  <c r="E85" i="9"/>
  <c r="F85" i="9"/>
  <c r="G85" i="9"/>
  <c r="H85" i="9"/>
  <c r="I85" i="9"/>
  <c r="J85" i="9"/>
  <c r="K85" i="9"/>
  <c r="L85" i="9"/>
  <c r="C86" i="9"/>
  <c r="D86" i="9"/>
  <c r="E86" i="9"/>
  <c r="F86" i="9"/>
  <c r="G86" i="9"/>
  <c r="H86" i="9"/>
  <c r="I86" i="9"/>
  <c r="J86" i="9"/>
  <c r="K86" i="9"/>
  <c r="L86" i="9"/>
  <c r="C87" i="9"/>
  <c r="D87" i="9"/>
  <c r="E87" i="9"/>
  <c r="F87" i="9"/>
  <c r="G87" i="9"/>
  <c r="H87" i="9"/>
  <c r="I87" i="9"/>
  <c r="J87" i="9"/>
  <c r="K87" i="9"/>
  <c r="L87" i="9"/>
  <c r="C88" i="9"/>
  <c r="D88" i="9"/>
  <c r="E88" i="9"/>
  <c r="F88" i="9"/>
  <c r="G88" i="9"/>
  <c r="H88" i="9"/>
  <c r="I88" i="9"/>
  <c r="J88" i="9"/>
  <c r="K88" i="9"/>
  <c r="L88" i="9"/>
  <c r="C89" i="9"/>
  <c r="D89" i="9"/>
  <c r="E89" i="9"/>
  <c r="F89" i="9"/>
  <c r="G89" i="9"/>
  <c r="H89" i="9"/>
  <c r="I89" i="9"/>
  <c r="J89" i="9"/>
  <c r="K89" i="9"/>
  <c r="L89" i="9"/>
  <c r="C90" i="9"/>
  <c r="D90" i="9"/>
  <c r="E90" i="9"/>
  <c r="F90" i="9"/>
  <c r="G90" i="9"/>
  <c r="H90" i="9"/>
  <c r="I90" i="9"/>
  <c r="J90" i="9"/>
  <c r="K90" i="9"/>
  <c r="L90" i="9"/>
  <c r="C91" i="9"/>
  <c r="D91" i="9"/>
  <c r="E91" i="9"/>
  <c r="F91" i="9"/>
  <c r="G91" i="9"/>
  <c r="H91" i="9"/>
  <c r="I91" i="9"/>
  <c r="J91" i="9"/>
  <c r="K91" i="9"/>
  <c r="L91" i="9"/>
  <c r="C92" i="9"/>
  <c r="D92" i="9"/>
  <c r="E92" i="9"/>
  <c r="F92" i="9"/>
  <c r="G92" i="9"/>
  <c r="H92" i="9"/>
  <c r="I92" i="9"/>
  <c r="J92" i="9"/>
  <c r="K92" i="9"/>
  <c r="L92" i="9"/>
  <c r="D83" i="9"/>
  <c r="D93" i="9" s="1"/>
  <c r="E83" i="9"/>
  <c r="E93" i="9" s="1"/>
  <c r="F83" i="9"/>
  <c r="F93" i="9" s="1"/>
  <c r="G83" i="9"/>
  <c r="G93" i="9" s="1"/>
  <c r="H83" i="9"/>
  <c r="H93" i="9" s="1"/>
  <c r="I83" i="9"/>
  <c r="I93" i="9" s="1"/>
  <c r="J83" i="9"/>
  <c r="J93" i="9" s="1"/>
  <c r="K83" i="9"/>
  <c r="K93" i="9" s="1"/>
  <c r="L83" i="9"/>
  <c r="L93" i="9" s="1"/>
  <c r="C83" i="9"/>
  <c r="C93" i="9" s="1"/>
  <c r="B91" i="9"/>
  <c r="B92" i="9"/>
  <c r="B84" i="9"/>
  <c r="B85" i="9"/>
  <c r="B86" i="9"/>
  <c r="B87" i="9"/>
  <c r="B88" i="9"/>
  <c r="B89" i="9"/>
  <c r="B90" i="9"/>
  <c r="B8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D78" i="9"/>
  <c r="E78" i="9"/>
  <c r="F78" i="9"/>
  <c r="G78" i="9"/>
  <c r="H78" i="9"/>
  <c r="I78" i="9"/>
  <c r="J78" i="9"/>
  <c r="K78" i="9"/>
  <c r="L78" i="9"/>
  <c r="D79" i="9"/>
  <c r="E79" i="9"/>
  <c r="F79" i="9"/>
  <c r="G79" i="9"/>
  <c r="H79" i="9"/>
  <c r="I79" i="9"/>
  <c r="J79" i="9"/>
  <c r="K79" i="9"/>
  <c r="L79" i="9"/>
  <c r="C75" i="9"/>
  <c r="C76" i="9"/>
  <c r="C77" i="9"/>
  <c r="C78" i="9"/>
  <c r="C79" i="9"/>
  <c r="C74" i="9"/>
  <c r="C80" i="9" s="1"/>
  <c r="B74" i="9"/>
  <c r="B75" i="9"/>
  <c r="B76" i="9"/>
  <c r="B77" i="9"/>
  <c r="B78" i="9"/>
  <c r="B79" i="9"/>
  <c r="F78" i="22"/>
  <c r="G78" i="22"/>
  <c r="H78" i="22"/>
  <c r="I78" i="22"/>
  <c r="E78" i="22"/>
  <c r="F65" i="22"/>
  <c r="G65" i="22"/>
  <c r="H65" i="22"/>
  <c r="I65" i="22"/>
  <c r="E65" i="22"/>
  <c r="C105" i="9" l="1"/>
  <c r="L80" i="9"/>
  <c r="F80" i="9"/>
  <c r="F77" i="22"/>
  <c r="F79" i="22" s="1"/>
  <c r="G77" i="22"/>
  <c r="G79" i="22" s="1"/>
  <c r="H77" i="22"/>
  <c r="H79" i="22" s="1"/>
  <c r="I77" i="22"/>
  <c r="I79" i="22" s="1"/>
  <c r="E77" i="22"/>
  <c r="F83" i="22"/>
  <c r="G83" i="22"/>
  <c r="H83" i="22"/>
  <c r="I83" i="22"/>
  <c r="E83" i="22"/>
  <c r="I82" i="22"/>
  <c r="H82" i="22"/>
  <c r="G82" i="22"/>
  <c r="F82" i="22"/>
  <c r="E82" i="22"/>
  <c r="F60" i="22"/>
  <c r="F66" i="22" s="1"/>
  <c r="F72" i="22" s="1"/>
  <c r="F84" i="22" s="1"/>
  <c r="G60" i="22"/>
  <c r="G66" i="22" s="1"/>
  <c r="G72" i="22" s="1"/>
  <c r="G84" i="22" s="1"/>
  <c r="H60" i="22"/>
  <c r="H66" i="22" s="1"/>
  <c r="H72" i="22" s="1"/>
  <c r="H84" i="22" s="1"/>
  <c r="I60" i="22"/>
  <c r="I66" i="22" s="1"/>
  <c r="I72" i="22" s="1"/>
  <c r="I84" i="22" s="1"/>
  <c r="E60" i="22"/>
  <c r="E66" i="22" s="1"/>
  <c r="E72" i="22" s="1"/>
  <c r="E84" i="22" s="1"/>
  <c r="F59" i="22"/>
  <c r="G59" i="22"/>
  <c r="H59" i="22"/>
  <c r="I59" i="22"/>
  <c r="E59" i="22"/>
  <c r="I76" i="22"/>
  <c r="H76" i="22"/>
  <c r="G76" i="22"/>
  <c r="F76" i="22"/>
  <c r="E76" i="22"/>
  <c r="I70" i="22"/>
  <c r="H70" i="22"/>
  <c r="G70" i="22"/>
  <c r="F70" i="22"/>
  <c r="E70" i="22"/>
  <c r="I88" i="22"/>
  <c r="H88" i="22"/>
  <c r="G88" i="22"/>
  <c r="F88" i="22"/>
  <c r="E88" i="22"/>
  <c r="I64" i="22"/>
  <c r="H64" i="22"/>
  <c r="G64" i="22"/>
  <c r="F64" i="22"/>
  <c r="E64" i="22"/>
  <c r="I61" i="22"/>
  <c r="H61" i="22"/>
  <c r="G61" i="22"/>
  <c r="F61" i="22"/>
  <c r="E61" i="22"/>
  <c r="I58" i="22"/>
  <c r="H58" i="22"/>
  <c r="G58" i="22"/>
  <c r="F58" i="22"/>
  <c r="E58" i="22"/>
  <c r="B4" i="22"/>
  <c r="B2" i="22"/>
  <c r="B3" i="22" s="1"/>
  <c r="B4" i="20"/>
  <c r="B2" i="20"/>
  <c r="B3" i="20" s="1"/>
  <c r="I87" i="20"/>
  <c r="H87" i="20"/>
  <c r="G87" i="20"/>
  <c r="F87" i="20"/>
  <c r="E87" i="20"/>
  <c r="I81" i="20"/>
  <c r="H81" i="20"/>
  <c r="G81" i="20"/>
  <c r="F81" i="20"/>
  <c r="E81" i="20"/>
  <c r="F75" i="20"/>
  <c r="G75" i="20"/>
  <c r="H75" i="20"/>
  <c r="I75" i="20"/>
  <c r="F71" i="20"/>
  <c r="G71" i="20"/>
  <c r="H71" i="20"/>
  <c r="I71" i="20"/>
  <c r="F66" i="20"/>
  <c r="G66" i="20"/>
  <c r="H66" i="20"/>
  <c r="I66" i="20"/>
  <c r="F67" i="20"/>
  <c r="G67" i="20"/>
  <c r="H67" i="20"/>
  <c r="I67" i="20"/>
  <c r="F68" i="20"/>
  <c r="G68" i="20"/>
  <c r="H68" i="20"/>
  <c r="I68" i="20"/>
  <c r="F60" i="20"/>
  <c r="G60" i="20"/>
  <c r="H60" i="20"/>
  <c r="I60" i="20"/>
  <c r="F61" i="20"/>
  <c r="G61" i="20"/>
  <c r="H61" i="20"/>
  <c r="I61" i="20"/>
  <c r="F62" i="20"/>
  <c r="G62" i="20"/>
  <c r="H62" i="20"/>
  <c r="I62" i="20"/>
  <c r="E75" i="20"/>
  <c r="E61" i="20" s="1"/>
  <c r="E71" i="20"/>
  <c r="E67" i="20"/>
  <c r="I65" i="20"/>
  <c r="H65" i="20"/>
  <c r="G65" i="20"/>
  <c r="F65" i="20"/>
  <c r="E65" i="20"/>
  <c r="F59" i="20"/>
  <c r="G59" i="20"/>
  <c r="H59" i="20"/>
  <c r="I59" i="20"/>
  <c r="E59" i="20"/>
  <c r="K13" i="19"/>
  <c r="M13" i="19"/>
  <c r="K14" i="19"/>
  <c r="M14" i="19"/>
  <c r="K15" i="19"/>
  <c r="M15" i="19"/>
  <c r="K16" i="19"/>
  <c r="M16" i="19"/>
  <c r="K17" i="19"/>
  <c r="M17" i="19"/>
  <c r="K18" i="19"/>
  <c r="M18" i="19"/>
  <c r="K19" i="19"/>
  <c r="M19" i="19"/>
  <c r="K20" i="19"/>
  <c r="M20" i="19"/>
  <c r="K21" i="19"/>
  <c r="M21" i="19"/>
  <c r="M12" i="19"/>
  <c r="K12" i="19"/>
  <c r="H13" i="19"/>
  <c r="H14" i="19"/>
  <c r="H15" i="19"/>
  <c r="H16" i="19"/>
  <c r="H17" i="19"/>
  <c r="H18" i="19"/>
  <c r="H19" i="19"/>
  <c r="H20" i="19"/>
  <c r="H21" i="19"/>
  <c r="H12" i="19"/>
  <c r="E13" i="19"/>
  <c r="E14" i="19"/>
  <c r="E15" i="19"/>
  <c r="E16" i="19"/>
  <c r="E17" i="19"/>
  <c r="E18" i="19"/>
  <c r="E19" i="19"/>
  <c r="E20" i="19"/>
  <c r="E21" i="19"/>
  <c r="E12" i="19"/>
  <c r="D13" i="19"/>
  <c r="F13" i="19" s="1"/>
  <c r="Q13" i="19" s="1"/>
  <c r="D14" i="19"/>
  <c r="F14" i="19" s="1"/>
  <c r="Q14" i="19" s="1"/>
  <c r="D15" i="19"/>
  <c r="F15" i="19" s="1"/>
  <c r="Q15" i="19" s="1"/>
  <c r="D16" i="19"/>
  <c r="F16" i="19" s="1"/>
  <c r="Q16" i="19" s="1"/>
  <c r="D17" i="19"/>
  <c r="F17" i="19" s="1"/>
  <c r="Q17" i="19" s="1"/>
  <c r="D18" i="19"/>
  <c r="F18" i="19" s="1"/>
  <c r="Q18" i="19" s="1"/>
  <c r="D19" i="19"/>
  <c r="F19" i="19" s="1"/>
  <c r="Q19" i="19" s="1"/>
  <c r="D20" i="19"/>
  <c r="F20" i="19" s="1"/>
  <c r="Q20" i="19" s="1"/>
  <c r="D21" i="19"/>
  <c r="F21" i="19" s="1"/>
  <c r="Q21" i="19" s="1"/>
  <c r="D12" i="19"/>
  <c r="F12" i="19" s="1"/>
  <c r="Q12" i="19" s="1"/>
  <c r="B20" i="19"/>
  <c r="B21" i="19"/>
  <c r="B13" i="19"/>
  <c r="B14" i="19"/>
  <c r="B15" i="19"/>
  <c r="B16" i="19"/>
  <c r="B17" i="19"/>
  <c r="B18" i="19"/>
  <c r="B19" i="19"/>
  <c r="AV56" i="18"/>
  <c r="L12" i="19" s="1"/>
  <c r="AV64" i="18"/>
  <c r="L20" i="19" s="1"/>
  <c r="AV65" i="18"/>
  <c r="L21" i="19" s="1"/>
  <c r="AV57" i="18"/>
  <c r="L13" i="19" s="1"/>
  <c r="AV58" i="18"/>
  <c r="L14" i="19" s="1"/>
  <c r="AV59" i="18"/>
  <c r="L15" i="19" s="1"/>
  <c r="AV60" i="18"/>
  <c r="L16" i="19" s="1"/>
  <c r="AV61" i="18"/>
  <c r="L17" i="19" s="1"/>
  <c r="AV62" i="18"/>
  <c r="L18" i="19" s="1"/>
  <c r="AV63" i="18"/>
  <c r="L19" i="19" s="1"/>
  <c r="G13" i="19"/>
  <c r="G14" i="19"/>
  <c r="G15" i="19"/>
  <c r="G16" i="19"/>
  <c r="G17" i="19"/>
  <c r="G18" i="19"/>
  <c r="G19" i="19"/>
  <c r="G20" i="19"/>
  <c r="G21" i="19"/>
  <c r="G12" i="19"/>
  <c r="D27" i="17"/>
  <c r="J13" i="17"/>
  <c r="K13" i="17" s="1"/>
  <c r="L13" i="17" s="1"/>
  <c r="M13" i="17" s="1"/>
  <c r="H6" i="17"/>
  <c r="I6" i="17" s="1"/>
  <c r="J6" i="17" s="1"/>
  <c r="K6" i="17" s="1"/>
  <c r="L6" i="17" s="1"/>
  <c r="M6" i="17" s="1"/>
  <c r="D63" i="9"/>
  <c r="E63" i="9"/>
  <c r="F63" i="9"/>
  <c r="G63" i="9"/>
  <c r="H63" i="9"/>
  <c r="I63" i="9"/>
  <c r="J63" i="9"/>
  <c r="K63" i="9"/>
  <c r="L63" i="9"/>
  <c r="D64" i="9"/>
  <c r="E64" i="9"/>
  <c r="F64" i="9"/>
  <c r="G64" i="9"/>
  <c r="H64" i="9"/>
  <c r="I64" i="9"/>
  <c r="J64" i="9"/>
  <c r="K64" i="9"/>
  <c r="L64" i="9"/>
  <c r="D65" i="9"/>
  <c r="E65" i="9"/>
  <c r="F65" i="9"/>
  <c r="G65" i="9"/>
  <c r="H65" i="9"/>
  <c r="I65" i="9"/>
  <c r="J65" i="9"/>
  <c r="K65" i="9"/>
  <c r="L65" i="9"/>
  <c r="C64" i="9"/>
  <c r="C65" i="9"/>
  <c r="C63" i="9"/>
  <c r="C66" i="9" s="1"/>
  <c r="C58" i="9"/>
  <c r="D58" i="9"/>
  <c r="E58" i="9"/>
  <c r="F58" i="9"/>
  <c r="G58" i="9"/>
  <c r="H58" i="9"/>
  <c r="I58" i="9"/>
  <c r="J58" i="9"/>
  <c r="K58" i="9"/>
  <c r="L58" i="9"/>
  <c r="C59" i="9"/>
  <c r="D59" i="9"/>
  <c r="E59" i="9"/>
  <c r="F59" i="9"/>
  <c r="G59" i="9"/>
  <c r="H59" i="9"/>
  <c r="I59" i="9"/>
  <c r="J59" i="9"/>
  <c r="K59" i="9"/>
  <c r="L59" i="9"/>
  <c r="D57" i="9"/>
  <c r="E57" i="9"/>
  <c r="F57" i="9"/>
  <c r="G57" i="9"/>
  <c r="H57" i="9"/>
  <c r="I57" i="9"/>
  <c r="J57" i="9"/>
  <c r="K57" i="9"/>
  <c r="L57" i="9"/>
  <c r="C57" i="9"/>
  <c r="C52" i="9"/>
  <c r="D52" i="9"/>
  <c r="E52" i="9"/>
  <c r="F52" i="9"/>
  <c r="G52" i="9"/>
  <c r="H52" i="9"/>
  <c r="I52" i="9"/>
  <c r="J52" i="9"/>
  <c r="K52" i="9"/>
  <c r="L52" i="9"/>
  <c r="C53" i="9"/>
  <c r="C41" i="10" s="1"/>
  <c r="D53" i="9"/>
  <c r="E53" i="9"/>
  <c r="F53" i="9"/>
  <c r="G53" i="9"/>
  <c r="H53" i="9"/>
  <c r="I53" i="9"/>
  <c r="J53" i="9"/>
  <c r="K53" i="9"/>
  <c r="L53" i="9"/>
  <c r="C54" i="9"/>
  <c r="D54" i="9"/>
  <c r="E54" i="9"/>
  <c r="F54" i="9"/>
  <c r="G54" i="9"/>
  <c r="H54" i="9"/>
  <c r="I54" i="9"/>
  <c r="J54" i="9"/>
  <c r="K54" i="9"/>
  <c r="L54" i="9"/>
  <c r="D51" i="9"/>
  <c r="D55" i="9" s="1"/>
  <c r="E51" i="9"/>
  <c r="E55" i="9" s="1"/>
  <c r="F51" i="9"/>
  <c r="F55" i="9" s="1"/>
  <c r="G51" i="9"/>
  <c r="G55" i="9" s="1"/>
  <c r="H51" i="9"/>
  <c r="H55" i="9" s="1"/>
  <c r="I51" i="9"/>
  <c r="I55" i="9" s="1"/>
  <c r="J51" i="9"/>
  <c r="J55" i="9" s="1"/>
  <c r="K51" i="9"/>
  <c r="K55" i="9" s="1"/>
  <c r="L51" i="9"/>
  <c r="L55" i="9" s="1"/>
  <c r="C51" i="9"/>
  <c r="C55" i="9" s="1"/>
  <c r="L57" i="16"/>
  <c r="K57" i="16"/>
  <c r="J57" i="16"/>
  <c r="I57" i="16"/>
  <c r="H57" i="16"/>
  <c r="L42" i="16"/>
  <c r="K42" i="16"/>
  <c r="J42" i="16"/>
  <c r="I42" i="16"/>
  <c r="H42" i="16"/>
  <c r="I6" i="16"/>
  <c r="J6" i="16"/>
  <c r="K6" i="16"/>
  <c r="L6" i="16"/>
  <c r="H6" i="16"/>
  <c r="I47" i="16"/>
  <c r="F71" i="22" s="1"/>
  <c r="J47" i="16"/>
  <c r="G71" i="22" s="1"/>
  <c r="K47" i="16"/>
  <c r="H71" i="22" s="1"/>
  <c r="H47" i="16"/>
  <c r="E71" i="22" s="1"/>
  <c r="H25" i="16"/>
  <c r="I25" i="16"/>
  <c r="J25" i="16"/>
  <c r="K25" i="16"/>
  <c r="L25" i="16"/>
  <c r="H26" i="16"/>
  <c r="I26" i="16"/>
  <c r="J26" i="16"/>
  <c r="K26" i="16"/>
  <c r="L26" i="16"/>
  <c r="H27" i="16"/>
  <c r="I27" i="16"/>
  <c r="J27" i="16"/>
  <c r="K27" i="16"/>
  <c r="L27" i="16"/>
  <c r="H28" i="16"/>
  <c r="I28" i="16"/>
  <c r="J28" i="16"/>
  <c r="K28" i="16"/>
  <c r="L28" i="16"/>
  <c r="H29" i="16"/>
  <c r="I29" i="16"/>
  <c r="J29" i="16"/>
  <c r="K29" i="16"/>
  <c r="L29" i="16"/>
  <c r="H30" i="16"/>
  <c r="I30" i="16"/>
  <c r="J30" i="16"/>
  <c r="K30" i="16"/>
  <c r="L30" i="16"/>
  <c r="H31" i="16"/>
  <c r="I31" i="16"/>
  <c r="J31" i="16"/>
  <c r="K31" i="16"/>
  <c r="L31" i="16"/>
  <c r="H32" i="16"/>
  <c r="I32" i="16"/>
  <c r="J32" i="16"/>
  <c r="K32" i="16"/>
  <c r="L32" i="16"/>
  <c r="H34" i="16"/>
  <c r="I34" i="16"/>
  <c r="J34" i="16"/>
  <c r="K34" i="16"/>
  <c r="L34" i="16"/>
  <c r="I24" i="16"/>
  <c r="J24" i="16"/>
  <c r="K24" i="16"/>
  <c r="L24" i="16"/>
  <c r="H24" i="16"/>
  <c r="B34" i="16"/>
  <c r="B25" i="16"/>
  <c r="B26" i="16"/>
  <c r="B27" i="16"/>
  <c r="B28" i="16"/>
  <c r="B29" i="16"/>
  <c r="B30" i="16"/>
  <c r="B31" i="16"/>
  <c r="B32" i="16"/>
  <c r="B33" i="16"/>
  <c r="B24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H17" i="16"/>
  <c r="H18" i="16"/>
  <c r="H16" i="16"/>
  <c r="H19" i="16" s="1"/>
  <c r="B16" i="16"/>
  <c r="B17" i="16"/>
  <c r="B18" i="16"/>
  <c r="I11" i="16"/>
  <c r="J11" i="16"/>
  <c r="K11" i="16"/>
  <c r="L11" i="16"/>
  <c r="I12" i="16"/>
  <c r="J12" i="16"/>
  <c r="K12" i="16"/>
  <c r="L12" i="16"/>
  <c r="H12" i="16"/>
  <c r="H11" i="16"/>
  <c r="I9" i="16"/>
  <c r="J9" i="16"/>
  <c r="K9" i="16"/>
  <c r="L9" i="16"/>
  <c r="I10" i="16"/>
  <c r="J10" i="16"/>
  <c r="K10" i="16"/>
  <c r="L10" i="16"/>
  <c r="H10" i="16"/>
  <c r="H9" i="16"/>
  <c r="H13" i="16" s="1"/>
  <c r="H21" i="16" s="1"/>
  <c r="B12" i="16"/>
  <c r="B11" i="16"/>
  <c r="B9" i="16"/>
  <c r="G14" i="15"/>
  <c r="D14" i="15"/>
  <c r="B15" i="15"/>
  <c r="B16" i="15"/>
  <c r="B17" i="15"/>
  <c r="B18" i="15"/>
  <c r="B14" i="15"/>
  <c r="F15" i="15"/>
  <c r="C35" i="15" s="1"/>
  <c r="F16" i="15"/>
  <c r="F17" i="15"/>
  <c r="F18" i="15"/>
  <c r="F14" i="15"/>
  <c r="E15" i="15"/>
  <c r="C34" i="15" s="1"/>
  <c r="E16" i="15"/>
  <c r="E17" i="15"/>
  <c r="E18" i="15"/>
  <c r="E14" i="15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10" i="14"/>
  <c r="H11" i="14" s="1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10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164" i="14"/>
  <c r="B165" i="14"/>
  <c r="B166" i="14"/>
  <c r="B167" i="14"/>
  <c r="B168" i="14"/>
  <c r="B169" i="14"/>
  <c r="B170" i="14"/>
  <c r="B171" i="14"/>
  <c r="B172" i="14"/>
  <c r="B173" i="14"/>
  <c r="B174" i="14"/>
  <c r="B158" i="14"/>
  <c r="B159" i="14"/>
  <c r="B160" i="14"/>
  <c r="B161" i="14"/>
  <c r="B162" i="14"/>
  <c r="B163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" i="14"/>
  <c r="Q33" i="19" l="1"/>
  <c r="P33" i="19"/>
  <c r="O33" i="19"/>
  <c r="Q28" i="19"/>
  <c r="Q27" i="19"/>
  <c r="Q26" i="19"/>
  <c r="Q25" i="19"/>
  <c r="Q24" i="19"/>
  <c r="Q23" i="19"/>
  <c r="Q35" i="19"/>
  <c r="P35" i="19"/>
  <c r="O35" i="19"/>
  <c r="Q32" i="19"/>
  <c r="Q34" i="19" s="1"/>
  <c r="Q37" i="19" s="1"/>
  <c r="Q39" i="19" s="1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F41" i="10"/>
  <c r="F105" i="9"/>
  <c r="L41" i="10"/>
  <c r="L105" i="9"/>
  <c r="D15" i="15"/>
  <c r="I14" i="15"/>
  <c r="H14" i="15"/>
  <c r="H18" i="15"/>
  <c r="I18" i="15"/>
  <c r="H17" i="15"/>
  <c r="I17" i="15"/>
  <c r="H16" i="15"/>
  <c r="I16" i="15"/>
  <c r="H15" i="15"/>
  <c r="I15" i="15"/>
  <c r="G15" i="15"/>
  <c r="E27" i="15" s="1"/>
  <c r="H9" i="17"/>
  <c r="I9" i="17" s="1"/>
  <c r="J9" i="17" s="1"/>
  <c r="K9" i="17" s="1"/>
  <c r="L9" i="17" s="1"/>
  <c r="M9" i="17" s="1"/>
  <c r="L66" i="9"/>
  <c r="K66" i="9"/>
  <c r="J66" i="9"/>
  <c r="I66" i="9"/>
  <c r="H66" i="9"/>
  <c r="G66" i="9"/>
  <c r="F66" i="9"/>
  <c r="E66" i="9"/>
  <c r="D66" i="9"/>
  <c r="P12" i="19"/>
  <c r="O12" i="19"/>
  <c r="P21" i="19"/>
  <c r="O21" i="19"/>
  <c r="O20" i="19"/>
  <c r="P20" i="19"/>
  <c r="O19" i="19"/>
  <c r="P19" i="19"/>
  <c r="O18" i="19"/>
  <c r="P18" i="19"/>
  <c r="O17" i="19"/>
  <c r="P17" i="19"/>
  <c r="O16" i="19"/>
  <c r="P16" i="19"/>
  <c r="O15" i="19"/>
  <c r="P15" i="19"/>
  <c r="O14" i="19"/>
  <c r="P14" i="19"/>
  <c r="O13" i="19"/>
  <c r="P13" i="19"/>
  <c r="E85" i="22"/>
  <c r="I85" i="22"/>
  <c r="H85" i="22"/>
  <c r="G85" i="22"/>
  <c r="F85" i="22"/>
  <c r="E67" i="22"/>
  <c r="F67" i="22"/>
  <c r="G67" i="22"/>
  <c r="H67" i="22"/>
  <c r="I67" i="22"/>
  <c r="E73" i="22"/>
  <c r="F73" i="22"/>
  <c r="G73" i="22"/>
  <c r="H73" i="22"/>
  <c r="E88" i="20"/>
  <c r="E82" i="20"/>
  <c r="E62" i="20"/>
  <c r="E68" i="20"/>
  <c r="E92" i="20"/>
  <c r="E89" i="20"/>
  <c r="E70" i="20"/>
  <c r="E72" i="20" s="1"/>
  <c r="E94" i="20" s="1"/>
  <c r="E93" i="20"/>
  <c r="E74" i="20"/>
  <c r="E76" i="20" s="1"/>
  <c r="I90" i="20"/>
  <c r="H90" i="20"/>
  <c r="G90" i="20"/>
  <c r="F90" i="20"/>
  <c r="I89" i="20"/>
  <c r="I92" i="20"/>
  <c r="I70" i="20"/>
  <c r="I72" i="20" s="1"/>
  <c r="H89" i="20"/>
  <c r="H92" i="20"/>
  <c r="H70" i="20"/>
  <c r="H72" i="20" s="1"/>
  <c r="G89" i="20"/>
  <c r="G92" i="20"/>
  <c r="G70" i="20"/>
  <c r="G72" i="20" s="1"/>
  <c r="F89" i="20"/>
  <c r="F92" i="20"/>
  <c r="F70" i="20"/>
  <c r="F72" i="20" s="1"/>
  <c r="I88" i="20"/>
  <c r="I82" i="20"/>
  <c r="H88" i="20"/>
  <c r="H82" i="20"/>
  <c r="G88" i="20"/>
  <c r="G82" i="20"/>
  <c r="F88" i="20"/>
  <c r="F82" i="20"/>
  <c r="I93" i="20"/>
  <c r="I74" i="20"/>
  <c r="H93" i="20"/>
  <c r="H74" i="20"/>
  <c r="G93" i="20"/>
  <c r="G74" i="20"/>
  <c r="F93" i="20"/>
  <c r="F74" i="20"/>
  <c r="L33" i="16"/>
  <c r="L35" i="16"/>
  <c r="K33" i="16"/>
  <c r="K35" i="16"/>
  <c r="J33" i="16"/>
  <c r="J35" i="16"/>
  <c r="I33" i="16"/>
  <c r="I35" i="16"/>
  <c r="H33" i="16"/>
  <c r="H35" i="16"/>
  <c r="H37" i="16" s="1"/>
  <c r="H8" i="17"/>
  <c r="L47" i="16"/>
  <c r="I71" i="22" s="1"/>
  <c r="I73" i="22" s="1"/>
  <c r="I8" i="17"/>
  <c r="B15" i="23" s="1"/>
  <c r="H10" i="17"/>
  <c r="L19" i="16"/>
  <c r="K19" i="16"/>
  <c r="J19" i="16"/>
  <c r="I19" i="16"/>
  <c r="H40" i="16"/>
  <c r="H59" i="16" s="1"/>
  <c r="L13" i="16"/>
  <c r="L21" i="16" s="1"/>
  <c r="K13" i="16"/>
  <c r="K21" i="16" s="1"/>
  <c r="J13" i="16"/>
  <c r="J21" i="16" s="1"/>
  <c r="I13" i="16"/>
  <c r="I21" i="16" s="1"/>
  <c r="O28" i="19" l="1"/>
  <c r="O27" i="19"/>
  <c r="O26" i="19"/>
  <c r="O32" i="19" s="1"/>
  <c r="O34" i="19" s="1"/>
  <c r="O37" i="19" s="1"/>
  <c r="O39" i="19" s="1"/>
  <c r="O25" i="19"/>
  <c r="O24" i="19"/>
  <c r="O23" i="19"/>
  <c r="P28" i="19"/>
  <c r="P27" i="19"/>
  <c r="P26" i="19"/>
  <c r="P32" i="19" s="1"/>
  <c r="P34" i="19" s="1"/>
  <c r="P37" i="19" s="1"/>
  <c r="P39" i="19" s="1"/>
  <c r="P25" i="19"/>
  <c r="P24" i="19"/>
  <c r="P23" i="19"/>
  <c r="E78" i="20"/>
  <c r="I89" i="22"/>
  <c r="H89" i="22"/>
  <c r="H90" i="22" s="1"/>
  <c r="G89" i="22"/>
  <c r="G90" i="22" s="1"/>
  <c r="F89" i="22"/>
  <c r="F90" i="22" s="1"/>
  <c r="H48" i="16"/>
  <c r="E28" i="15"/>
  <c r="K43" i="15" s="1"/>
  <c r="K35" i="15"/>
  <c r="G16" i="15"/>
  <c r="H20" i="15"/>
  <c r="H21" i="15"/>
  <c r="I20" i="15"/>
  <c r="E34" i="15" s="1"/>
  <c r="I21" i="15"/>
  <c r="C36" i="15"/>
  <c r="D16" i="15"/>
  <c r="E79" i="22"/>
  <c r="E89" i="22" s="1"/>
  <c r="E90" i="22" s="1"/>
  <c r="F83" i="20"/>
  <c r="F84" i="20" s="1"/>
  <c r="F76" i="20"/>
  <c r="G83" i="20"/>
  <c r="G84" i="20" s="1"/>
  <c r="G76" i="20"/>
  <c r="H83" i="20"/>
  <c r="H84" i="20" s="1"/>
  <c r="H76" i="20"/>
  <c r="I83" i="20"/>
  <c r="I84" i="20" s="1"/>
  <c r="I76" i="20"/>
  <c r="F94" i="20"/>
  <c r="F78" i="20"/>
  <c r="G94" i="20"/>
  <c r="G78" i="20"/>
  <c r="H94" i="20"/>
  <c r="H78" i="20"/>
  <c r="I94" i="20"/>
  <c r="I78" i="20"/>
  <c r="G5" i="23" s="1"/>
  <c r="F96" i="20"/>
  <c r="G96" i="20"/>
  <c r="H96" i="20"/>
  <c r="I96" i="20"/>
  <c r="E83" i="20"/>
  <c r="E84" i="20" s="1"/>
  <c r="E90" i="20"/>
  <c r="E96" i="20" s="1"/>
  <c r="I37" i="16"/>
  <c r="I40" i="16" s="1"/>
  <c r="I59" i="16" s="1"/>
  <c r="I45" i="16"/>
  <c r="I51" i="16" s="1"/>
  <c r="J37" i="16"/>
  <c r="J40" i="16" s="1"/>
  <c r="J59" i="16" s="1"/>
  <c r="J45" i="16"/>
  <c r="J51" i="16" s="1"/>
  <c r="K37" i="16"/>
  <c r="K40" i="16" s="1"/>
  <c r="K59" i="16" s="1"/>
  <c r="K45" i="16"/>
  <c r="K51" i="16" s="1"/>
  <c r="L37" i="16"/>
  <c r="L40" i="16" s="1"/>
  <c r="L59" i="16" s="1"/>
  <c r="L45" i="16"/>
  <c r="L51" i="16" s="1"/>
  <c r="I10" i="17"/>
  <c r="J8" i="17"/>
  <c r="B16" i="23" s="1"/>
  <c r="O12" i="14"/>
  <c r="O11" i="14"/>
  <c r="L9" i="14" s="1"/>
  <c r="L15" i="14" s="1"/>
  <c r="J15" i="15" l="1"/>
  <c r="K15" i="15" s="1"/>
  <c r="C15" i="23"/>
  <c r="I90" i="22"/>
  <c r="F5" i="23"/>
  <c r="J20" i="15"/>
  <c r="J21" i="15"/>
  <c r="K14" i="15"/>
  <c r="D18" i="15"/>
  <c r="D17" i="15"/>
  <c r="D36" i="15"/>
  <c r="E36" i="15" s="1"/>
  <c r="E35" i="15" s="1"/>
  <c r="K41" i="15" s="1"/>
  <c r="D35" i="15"/>
  <c r="D34" i="15"/>
  <c r="D38" i="15" s="1"/>
  <c r="K44" i="15"/>
  <c r="E38" i="15"/>
  <c r="K34" i="15" s="1"/>
  <c r="K16" i="15"/>
  <c r="G18" i="15"/>
  <c r="K18" i="15" s="1"/>
  <c r="G17" i="15"/>
  <c r="I48" i="16"/>
  <c r="H49" i="16"/>
  <c r="J10" i="17"/>
  <c r="K8" i="17"/>
  <c r="B17" i="23" s="1"/>
  <c r="B7" i="14"/>
  <c r="L2" i="12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G2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D5" i="12" a="1"/>
  <c r="D5" i="12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2" i="12"/>
  <c r="B32" i="11"/>
  <c r="C32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C9" i="11"/>
  <c r="H12" i="11" s="1"/>
  <c r="H14" i="11" s="1"/>
  <c r="B9" i="11"/>
  <c r="B2" i="10"/>
  <c r="L3" i="10"/>
  <c r="K3" i="10"/>
  <c r="J3" i="10"/>
  <c r="I3" i="10"/>
  <c r="H3" i="10"/>
  <c r="G3" i="10"/>
  <c r="F3" i="10"/>
  <c r="E3" i="10"/>
  <c r="D3" i="10"/>
  <c r="C3" i="10"/>
  <c r="D80" i="9"/>
  <c r="E80" i="9"/>
  <c r="G80" i="9"/>
  <c r="H80" i="9"/>
  <c r="I80" i="9"/>
  <c r="J80" i="9"/>
  <c r="K80" i="9"/>
  <c r="B64" i="9"/>
  <c r="B65" i="9"/>
  <c r="B63" i="9"/>
  <c r="B58" i="9"/>
  <c r="B59" i="9"/>
  <c r="B60" i="9"/>
  <c r="B52" i="9"/>
  <c r="B53" i="9"/>
  <c r="B54" i="9"/>
  <c r="B51" i="9"/>
  <c r="D7" i="9"/>
  <c r="E7" i="9"/>
  <c r="F7" i="9"/>
  <c r="G7" i="9"/>
  <c r="H7" i="9"/>
  <c r="I7" i="9"/>
  <c r="J7" i="9"/>
  <c r="K7" i="9"/>
  <c r="L7" i="9"/>
  <c r="D10" i="9"/>
  <c r="E10" i="9"/>
  <c r="F10" i="9"/>
  <c r="G10" i="9"/>
  <c r="H10" i="9"/>
  <c r="I10" i="9"/>
  <c r="J10" i="9"/>
  <c r="K10" i="9"/>
  <c r="L10" i="9"/>
  <c r="D11" i="9"/>
  <c r="E11" i="9"/>
  <c r="F11" i="9"/>
  <c r="G11" i="9"/>
  <c r="H11" i="9"/>
  <c r="I11" i="9"/>
  <c r="J11" i="9"/>
  <c r="K11" i="9"/>
  <c r="L11" i="9"/>
  <c r="D13" i="9"/>
  <c r="E13" i="9"/>
  <c r="F13" i="9"/>
  <c r="G13" i="9"/>
  <c r="H13" i="9"/>
  <c r="I13" i="9"/>
  <c r="J13" i="9"/>
  <c r="K13" i="9"/>
  <c r="L13" i="9"/>
  <c r="D14" i="9"/>
  <c r="D11" i="10" s="1"/>
  <c r="E14" i="9"/>
  <c r="E11" i="10" s="1"/>
  <c r="F14" i="9"/>
  <c r="F11" i="10" s="1"/>
  <c r="G14" i="9"/>
  <c r="G11" i="10" s="1"/>
  <c r="H14" i="9"/>
  <c r="H11" i="10" s="1"/>
  <c r="I14" i="9"/>
  <c r="I11" i="10" s="1"/>
  <c r="J14" i="9"/>
  <c r="J11" i="10" s="1"/>
  <c r="K14" i="9"/>
  <c r="K11" i="10" s="1"/>
  <c r="L14" i="9"/>
  <c r="L11" i="10" s="1"/>
  <c r="D16" i="9"/>
  <c r="E16" i="9"/>
  <c r="F16" i="9"/>
  <c r="G16" i="9"/>
  <c r="H16" i="9"/>
  <c r="I16" i="9"/>
  <c r="J16" i="9"/>
  <c r="K16" i="9"/>
  <c r="L16" i="9"/>
  <c r="D17" i="9"/>
  <c r="D17" i="10" s="1"/>
  <c r="E17" i="9"/>
  <c r="E17" i="10" s="1"/>
  <c r="F17" i="9"/>
  <c r="F17" i="10" s="1"/>
  <c r="G17" i="9"/>
  <c r="G17" i="10" s="1"/>
  <c r="H17" i="9"/>
  <c r="H17" i="10" s="1"/>
  <c r="I17" i="9"/>
  <c r="I17" i="10" s="1"/>
  <c r="J17" i="9"/>
  <c r="J17" i="10" s="1"/>
  <c r="K17" i="9"/>
  <c r="K17" i="10" s="1"/>
  <c r="L17" i="9"/>
  <c r="L17" i="10" s="1"/>
  <c r="D19" i="9"/>
  <c r="E19" i="9"/>
  <c r="E6" i="10" s="1"/>
  <c r="F19" i="9"/>
  <c r="F6" i="10" s="1"/>
  <c r="G19" i="9"/>
  <c r="G6" i="10" s="1"/>
  <c r="H19" i="9"/>
  <c r="H6" i="10" s="1"/>
  <c r="I19" i="9"/>
  <c r="I6" i="10" s="1"/>
  <c r="J19" i="9"/>
  <c r="J6" i="10" s="1"/>
  <c r="K19" i="9"/>
  <c r="K6" i="10" s="1"/>
  <c r="L19" i="9"/>
  <c r="L6" i="10" s="1"/>
  <c r="D20" i="9"/>
  <c r="D12" i="10" s="1"/>
  <c r="E20" i="9"/>
  <c r="E12" i="10" s="1"/>
  <c r="F20" i="9"/>
  <c r="F12" i="10" s="1"/>
  <c r="G20" i="9"/>
  <c r="G12" i="10" s="1"/>
  <c r="H20" i="9"/>
  <c r="H12" i="10" s="1"/>
  <c r="I20" i="9"/>
  <c r="I12" i="10" s="1"/>
  <c r="J20" i="9"/>
  <c r="J12" i="10" s="1"/>
  <c r="K20" i="9"/>
  <c r="K12" i="10" s="1"/>
  <c r="L20" i="9"/>
  <c r="L12" i="10" s="1"/>
  <c r="D22" i="9"/>
  <c r="E22" i="9"/>
  <c r="F22" i="9"/>
  <c r="G22" i="9"/>
  <c r="H22" i="9"/>
  <c r="I22" i="9"/>
  <c r="J22" i="9"/>
  <c r="K22" i="9"/>
  <c r="L22" i="9"/>
  <c r="D23" i="9"/>
  <c r="D18" i="10" s="1"/>
  <c r="E23" i="9"/>
  <c r="E18" i="10" s="1"/>
  <c r="F23" i="9"/>
  <c r="F18" i="10" s="1"/>
  <c r="G23" i="9"/>
  <c r="G18" i="10" s="1"/>
  <c r="H23" i="9"/>
  <c r="H18" i="10" s="1"/>
  <c r="I23" i="9"/>
  <c r="I18" i="10" s="1"/>
  <c r="J23" i="9"/>
  <c r="J18" i="10" s="1"/>
  <c r="K23" i="9"/>
  <c r="K18" i="10" s="1"/>
  <c r="L23" i="9"/>
  <c r="L18" i="10" s="1"/>
  <c r="D25" i="9"/>
  <c r="E25" i="9"/>
  <c r="F25" i="9"/>
  <c r="G25" i="9"/>
  <c r="H25" i="9"/>
  <c r="I25" i="9"/>
  <c r="J25" i="9"/>
  <c r="K25" i="9"/>
  <c r="L25" i="9"/>
  <c r="D26" i="9"/>
  <c r="D13" i="10" s="1"/>
  <c r="D19" i="10" s="1"/>
  <c r="E26" i="9"/>
  <c r="E13" i="10" s="1"/>
  <c r="E19" i="10" s="1"/>
  <c r="F26" i="9"/>
  <c r="F13" i="10" s="1"/>
  <c r="F19" i="10" s="1"/>
  <c r="G26" i="9"/>
  <c r="G13" i="10" s="1"/>
  <c r="G19" i="10" s="1"/>
  <c r="H26" i="9"/>
  <c r="H13" i="10" s="1"/>
  <c r="H19" i="10" s="1"/>
  <c r="I26" i="9"/>
  <c r="I13" i="10" s="1"/>
  <c r="I19" i="10" s="1"/>
  <c r="J26" i="9"/>
  <c r="J13" i="10" s="1"/>
  <c r="J19" i="10" s="1"/>
  <c r="K26" i="9"/>
  <c r="K13" i="10" s="1"/>
  <c r="K19" i="10" s="1"/>
  <c r="L26" i="9"/>
  <c r="L13" i="10" s="1"/>
  <c r="L19" i="10" s="1"/>
  <c r="D28" i="9"/>
  <c r="E28" i="9"/>
  <c r="F28" i="9"/>
  <c r="G28" i="9"/>
  <c r="H28" i="9"/>
  <c r="I28" i="9"/>
  <c r="J28" i="9"/>
  <c r="K28" i="9"/>
  <c r="L28" i="9"/>
  <c r="D29" i="9"/>
  <c r="E29" i="9"/>
  <c r="F29" i="9"/>
  <c r="G29" i="9"/>
  <c r="H29" i="9"/>
  <c r="I29" i="9"/>
  <c r="J29" i="9"/>
  <c r="K29" i="9"/>
  <c r="L29" i="9"/>
  <c r="D31" i="9"/>
  <c r="E31" i="9"/>
  <c r="F31" i="9"/>
  <c r="G31" i="9"/>
  <c r="H31" i="9"/>
  <c r="I31" i="9"/>
  <c r="J31" i="9"/>
  <c r="K31" i="9"/>
  <c r="L31" i="9"/>
  <c r="D32" i="9"/>
  <c r="D14" i="10" s="1"/>
  <c r="E32" i="9"/>
  <c r="E14" i="10" s="1"/>
  <c r="F32" i="9"/>
  <c r="F14" i="10" s="1"/>
  <c r="G32" i="9"/>
  <c r="G14" i="10" s="1"/>
  <c r="H32" i="9"/>
  <c r="H14" i="10" s="1"/>
  <c r="I32" i="9"/>
  <c r="I14" i="10" s="1"/>
  <c r="J32" i="9"/>
  <c r="J14" i="10" s="1"/>
  <c r="K32" i="9"/>
  <c r="K14" i="10" s="1"/>
  <c r="L32" i="9"/>
  <c r="L14" i="10" s="1"/>
  <c r="D34" i="9"/>
  <c r="E34" i="9"/>
  <c r="F34" i="9"/>
  <c r="G34" i="9"/>
  <c r="H34" i="9"/>
  <c r="I34" i="9"/>
  <c r="J34" i="9"/>
  <c r="K34" i="9"/>
  <c r="L34" i="9"/>
  <c r="D35" i="9"/>
  <c r="E35" i="9"/>
  <c r="F35" i="9"/>
  <c r="G35" i="9"/>
  <c r="H35" i="9"/>
  <c r="I35" i="9"/>
  <c r="J35" i="9"/>
  <c r="K35" i="9"/>
  <c r="L35" i="9"/>
  <c r="D37" i="9"/>
  <c r="E37" i="9"/>
  <c r="F37" i="9"/>
  <c r="G37" i="9"/>
  <c r="H37" i="9"/>
  <c r="I37" i="9"/>
  <c r="J37" i="9"/>
  <c r="K37" i="9"/>
  <c r="L37" i="9"/>
  <c r="D38" i="9"/>
  <c r="D15" i="10" s="1"/>
  <c r="E38" i="9"/>
  <c r="E15" i="10" s="1"/>
  <c r="F38" i="9"/>
  <c r="F15" i="10" s="1"/>
  <c r="G38" i="9"/>
  <c r="G15" i="10" s="1"/>
  <c r="H38" i="9"/>
  <c r="H15" i="10" s="1"/>
  <c r="I38" i="9"/>
  <c r="I15" i="10" s="1"/>
  <c r="J38" i="9"/>
  <c r="J15" i="10" s="1"/>
  <c r="K38" i="9"/>
  <c r="K15" i="10" s="1"/>
  <c r="L38" i="9"/>
  <c r="L15" i="10" s="1"/>
  <c r="D40" i="9"/>
  <c r="E40" i="9"/>
  <c r="F40" i="9"/>
  <c r="G40" i="9"/>
  <c r="H40" i="9"/>
  <c r="I40" i="9"/>
  <c r="J40" i="9"/>
  <c r="K40" i="9"/>
  <c r="L40" i="9"/>
  <c r="D42" i="9"/>
  <c r="E42" i="9"/>
  <c r="E43" i="9" s="1"/>
  <c r="F42" i="9"/>
  <c r="F43" i="9" s="1"/>
  <c r="G42" i="9"/>
  <c r="G43" i="9" s="1"/>
  <c r="H42" i="9"/>
  <c r="H43" i="9" s="1"/>
  <c r="I42" i="9"/>
  <c r="I43" i="9" s="1"/>
  <c r="J42" i="9"/>
  <c r="J43" i="9" s="1"/>
  <c r="K42" i="9"/>
  <c r="K43" i="9" s="1"/>
  <c r="L42" i="9"/>
  <c r="L43" i="9" s="1"/>
  <c r="D45" i="9"/>
  <c r="E45" i="9"/>
  <c r="E9" i="10" s="1"/>
  <c r="F45" i="9"/>
  <c r="F9" i="10" s="1"/>
  <c r="G45" i="9"/>
  <c r="G9" i="10" s="1"/>
  <c r="H45" i="9"/>
  <c r="H9" i="10" s="1"/>
  <c r="I45" i="9"/>
  <c r="I9" i="10" s="1"/>
  <c r="J45" i="9"/>
  <c r="J9" i="10" s="1"/>
  <c r="K45" i="9"/>
  <c r="K9" i="10" s="1"/>
  <c r="L45" i="9"/>
  <c r="L9" i="10" s="1"/>
  <c r="D46" i="9"/>
  <c r="E46" i="9"/>
  <c r="F46" i="9"/>
  <c r="G46" i="9"/>
  <c r="H46" i="9"/>
  <c r="I46" i="9"/>
  <c r="J46" i="9"/>
  <c r="K46" i="9"/>
  <c r="L46" i="9"/>
  <c r="D48" i="9"/>
  <c r="D22" i="10" s="1"/>
  <c r="E48" i="9"/>
  <c r="E22" i="10" s="1"/>
  <c r="F48" i="9"/>
  <c r="F22" i="10" s="1"/>
  <c r="G48" i="9"/>
  <c r="G22" i="10" s="1"/>
  <c r="H48" i="9"/>
  <c r="H22" i="10" s="1"/>
  <c r="I48" i="9"/>
  <c r="I22" i="10" s="1"/>
  <c r="J48" i="9"/>
  <c r="J22" i="10" s="1"/>
  <c r="K48" i="9"/>
  <c r="K22" i="10" s="1"/>
  <c r="L48" i="9"/>
  <c r="L22" i="10" s="1"/>
  <c r="C40" i="9"/>
  <c r="C45" i="9" s="1"/>
  <c r="C34" i="9"/>
  <c r="C28" i="9"/>
  <c r="C22" i="9"/>
  <c r="C16" i="9"/>
  <c r="C10" i="9"/>
  <c r="C7" i="9"/>
  <c r="D3" i="9"/>
  <c r="E3" i="9"/>
  <c r="F3" i="9"/>
  <c r="G3" i="9"/>
  <c r="H3" i="9"/>
  <c r="I3" i="9"/>
  <c r="J3" i="9"/>
  <c r="K3" i="9"/>
  <c r="L3" i="9"/>
  <c r="C3" i="9"/>
  <c r="B2" i="9"/>
  <c r="L25" i="8"/>
  <c r="K25" i="8"/>
  <c r="J25" i="8"/>
  <c r="I25" i="8"/>
  <c r="H25" i="8"/>
  <c r="G25" i="8"/>
  <c r="F25" i="8"/>
  <c r="E25" i="8"/>
  <c r="D25" i="8"/>
  <c r="C25" i="8"/>
  <c r="D4" i="8"/>
  <c r="E4" i="8"/>
  <c r="F4" i="8"/>
  <c r="G4" i="8"/>
  <c r="H4" i="8"/>
  <c r="I4" i="8"/>
  <c r="J4" i="8"/>
  <c r="K4" i="8"/>
  <c r="L4" i="8"/>
  <c r="C4" i="8"/>
  <c r="D38" i="8"/>
  <c r="E38" i="8"/>
  <c r="F38" i="8"/>
  <c r="G38" i="8"/>
  <c r="H38" i="8"/>
  <c r="I38" i="8"/>
  <c r="J38" i="8"/>
  <c r="K38" i="8"/>
  <c r="L38" i="8"/>
  <c r="D39" i="8"/>
  <c r="E39" i="8"/>
  <c r="F39" i="8"/>
  <c r="G39" i="8"/>
  <c r="H39" i="8"/>
  <c r="I39" i="8"/>
  <c r="J39" i="8"/>
  <c r="K39" i="8"/>
  <c r="L39" i="8"/>
  <c r="D40" i="8"/>
  <c r="E40" i="8"/>
  <c r="F40" i="8"/>
  <c r="G40" i="8"/>
  <c r="H40" i="8"/>
  <c r="I40" i="8"/>
  <c r="J40" i="8"/>
  <c r="K40" i="8"/>
  <c r="L40" i="8"/>
  <c r="C39" i="8"/>
  <c r="C40" i="8"/>
  <c r="C38" i="8"/>
  <c r="D34" i="8"/>
  <c r="E34" i="8"/>
  <c r="F34" i="8"/>
  <c r="G34" i="8"/>
  <c r="H34" i="8"/>
  <c r="I34" i="8"/>
  <c r="J34" i="8"/>
  <c r="K34" i="8"/>
  <c r="L34" i="8"/>
  <c r="D35" i="8"/>
  <c r="E35" i="8"/>
  <c r="F35" i="8"/>
  <c r="G35" i="8"/>
  <c r="H35" i="8"/>
  <c r="I35" i="8"/>
  <c r="J35" i="8"/>
  <c r="K35" i="8"/>
  <c r="L35" i="8"/>
  <c r="D36" i="8"/>
  <c r="E36" i="8"/>
  <c r="F36" i="8"/>
  <c r="G36" i="8"/>
  <c r="H36" i="8"/>
  <c r="I36" i="8"/>
  <c r="J36" i="8"/>
  <c r="K36" i="8"/>
  <c r="L36" i="8"/>
  <c r="C35" i="8"/>
  <c r="C36" i="8"/>
  <c r="C34" i="8"/>
  <c r="D33" i="8"/>
  <c r="E33" i="8"/>
  <c r="F33" i="8"/>
  <c r="G33" i="8"/>
  <c r="H33" i="8"/>
  <c r="I33" i="8"/>
  <c r="J33" i="8"/>
  <c r="K33" i="8"/>
  <c r="L33" i="8"/>
  <c r="C33" i="8"/>
  <c r="D28" i="8"/>
  <c r="E28" i="8"/>
  <c r="F28" i="8"/>
  <c r="G28" i="8"/>
  <c r="H28" i="8"/>
  <c r="I28" i="8"/>
  <c r="J28" i="8"/>
  <c r="K28" i="8"/>
  <c r="L28" i="8"/>
  <c r="D29" i="8"/>
  <c r="E29" i="8"/>
  <c r="F29" i="8"/>
  <c r="G29" i="8"/>
  <c r="H29" i="8"/>
  <c r="I29" i="8"/>
  <c r="J29" i="8"/>
  <c r="K29" i="8"/>
  <c r="L29" i="8"/>
  <c r="D30" i="8"/>
  <c r="E30" i="8"/>
  <c r="F30" i="8"/>
  <c r="G30" i="8"/>
  <c r="H30" i="8"/>
  <c r="I30" i="8"/>
  <c r="J30" i="8"/>
  <c r="K30" i="8"/>
  <c r="L30" i="8"/>
  <c r="D31" i="8"/>
  <c r="E31" i="8"/>
  <c r="F31" i="8"/>
  <c r="G31" i="8"/>
  <c r="H31" i="8"/>
  <c r="I31" i="8"/>
  <c r="J31" i="8"/>
  <c r="K31" i="8"/>
  <c r="L31" i="8"/>
  <c r="C29" i="8"/>
  <c r="C30" i="8"/>
  <c r="C31" i="8"/>
  <c r="C28" i="8"/>
  <c r="D27" i="8"/>
  <c r="E27" i="8"/>
  <c r="F27" i="8"/>
  <c r="G27" i="8"/>
  <c r="H27" i="8"/>
  <c r="I27" i="8"/>
  <c r="J27" i="8"/>
  <c r="K27" i="8"/>
  <c r="L27" i="8"/>
  <c r="C27" i="8"/>
  <c r="C74" i="6"/>
  <c r="D74" i="6"/>
  <c r="E74" i="6"/>
  <c r="F74" i="6"/>
  <c r="G74" i="6"/>
  <c r="H74" i="6"/>
  <c r="I74" i="6"/>
  <c r="J74" i="6"/>
  <c r="K74" i="6"/>
  <c r="B74" i="6"/>
  <c r="B39" i="8"/>
  <c r="B40" i="8"/>
  <c r="B38" i="8"/>
  <c r="B35" i="8"/>
  <c r="B36" i="8"/>
  <c r="B37" i="8"/>
  <c r="B29" i="8"/>
  <c r="B30" i="8"/>
  <c r="B31" i="8"/>
  <c r="B28" i="8"/>
  <c r="B23" i="8"/>
  <c r="B2" i="8"/>
  <c r="C7" i="8"/>
  <c r="D7" i="8"/>
  <c r="E7" i="8"/>
  <c r="F7" i="8"/>
  <c r="G7" i="8"/>
  <c r="H7" i="8"/>
  <c r="I7" i="8"/>
  <c r="J7" i="8"/>
  <c r="K7" i="8"/>
  <c r="L7" i="8"/>
  <c r="C8" i="8"/>
  <c r="D8" i="8"/>
  <c r="E8" i="8"/>
  <c r="F8" i="8"/>
  <c r="G8" i="8"/>
  <c r="H8" i="8"/>
  <c r="I8" i="8"/>
  <c r="J8" i="8"/>
  <c r="K8" i="8"/>
  <c r="L8" i="8"/>
  <c r="C9" i="8"/>
  <c r="D9" i="8"/>
  <c r="E9" i="8"/>
  <c r="F9" i="8"/>
  <c r="G9" i="8"/>
  <c r="H9" i="8"/>
  <c r="I9" i="8"/>
  <c r="J9" i="8"/>
  <c r="K9" i="8"/>
  <c r="L9" i="8"/>
  <c r="C10" i="8"/>
  <c r="D10" i="8"/>
  <c r="E10" i="8"/>
  <c r="F10" i="8"/>
  <c r="G10" i="8"/>
  <c r="H10" i="8"/>
  <c r="I10" i="8"/>
  <c r="J10" i="8"/>
  <c r="K10" i="8"/>
  <c r="L10" i="8"/>
  <c r="C11" i="8"/>
  <c r="D11" i="8"/>
  <c r="E11" i="8"/>
  <c r="F11" i="8"/>
  <c r="G11" i="8"/>
  <c r="H11" i="8"/>
  <c r="I11" i="8"/>
  <c r="J11" i="8"/>
  <c r="K11" i="8"/>
  <c r="L11" i="8"/>
  <c r="C12" i="8"/>
  <c r="D12" i="8"/>
  <c r="E12" i="8"/>
  <c r="F12" i="8"/>
  <c r="G12" i="8"/>
  <c r="H12" i="8"/>
  <c r="I12" i="8"/>
  <c r="J12" i="8"/>
  <c r="K12" i="8"/>
  <c r="L12" i="8"/>
  <c r="C13" i="8"/>
  <c r="D13" i="8"/>
  <c r="E13" i="8"/>
  <c r="F13" i="8"/>
  <c r="G13" i="8"/>
  <c r="H13" i="8"/>
  <c r="I13" i="8"/>
  <c r="J13" i="8"/>
  <c r="K13" i="8"/>
  <c r="L13" i="8"/>
  <c r="C14" i="8"/>
  <c r="D14" i="8"/>
  <c r="E14" i="8"/>
  <c r="F14" i="8"/>
  <c r="G14" i="8"/>
  <c r="H14" i="8"/>
  <c r="I14" i="8"/>
  <c r="J14" i="8"/>
  <c r="K14" i="8"/>
  <c r="L14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H16" i="8"/>
  <c r="I16" i="8"/>
  <c r="J16" i="8"/>
  <c r="K16" i="8"/>
  <c r="L16" i="8"/>
  <c r="C17" i="8"/>
  <c r="D17" i="8"/>
  <c r="E17" i="8"/>
  <c r="F17" i="8"/>
  <c r="G17" i="8"/>
  <c r="H17" i="8"/>
  <c r="I17" i="8"/>
  <c r="J17" i="8"/>
  <c r="K17" i="8"/>
  <c r="L17" i="8"/>
  <c r="C18" i="8"/>
  <c r="D18" i="8"/>
  <c r="E18" i="8"/>
  <c r="F18" i="8"/>
  <c r="G18" i="8"/>
  <c r="H18" i="8"/>
  <c r="I18" i="8"/>
  <c r="J18" i="8"/>
  <c r="K18" i="8"/>
  <c r="L18" i="8"/>
  <c r="C19" i="8"/>
  <c r="D19" i="8"/>
  <c r="E19" i="8"/>
  <c r="F19" i="8"/>
  <c r="G19" i="8"/>
  <c r="H19" i="8"/>
  <c r="I19" i="8"/>
  <c r="J19" i="8"/>
  <c r="K19" i="8"/>
  <c r="L19" i="8"/>
  <c r="C20" i="8"/>
  <c r="D20" i="8"/>
  <c r="E20" i="8"/>
  <c r="F20" i="8"/>
  <c r="G20" i="8"/>
  <c r="H20" i="8"/>
  <c r="I20" i="8"/>
  <c r="J20" i="8"/>
  <c r="K20" i="8"/>
  <c r="L20" i="8"/>
  <c r="D6" i="8"/>
  <c r="E6" i="8"/>
  <c r="F6" i="8"/>
  <c r="G6" i="8"/>
  <c r="H6" i="8"/>
  <c r="I6" i="8"/>
  <c r="J6" i="8"/>
  <c r="K6" i="8"/>
  <c r="L6" i="8"/>
  <c r="C6" i="8"/>
  <c r="C32" i="6"/>
  <c r="D21" i="8" s="1"/>
  <c r="D32" i="6"/>
  <c r="E21" i="8" s="1"/>
  <c r="E32" i="6"/>
  <c r="F21" i="8" s="1"/>
  <c r="F32" i="6"/>
  <c r="G21" i="8" s="1"/>
  <c r="G32" i="6"/>
  <c r="H21" i="8" s="1"/>
  <c r="H32" i="6"/>
  <c r="I21" i="8" s="1"/>
  <c r="I32" i="6"/>
  <c r="J21" i="8" s="1"/>
  <c r="J32" i="6"/>
  <c r="K21" i="8" s="1"/>
  <c r="K32" i="6"/>
  <c r="L21" i="8" s="1"/>
  <c r="B32" i="6"/>
  <c r="C21" i="8" s="1"/>
  <c r="B21" i="8"/>
  <c r="B20" i="8"/>
  <c r="B18" i="8"/>
  <c r="B19" i="8"/>
  <c r="B16" i="8"/>
  <c r="B17" i="8"/>
  <c r="B7" i="8"/>
  <c r="B8" i="8"/>
  <c r="B9" i="8"/>
  <c r="B10" i="8"/>
  <c r="B11" i="8"/>
  <c r="B12" i="8"/>
  <c r="B13" i="8"/>
  <c r="B14" i="8"/>
  <c r="B15" i="8"/>
  <c r="B6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16" i="23" l="1"/>
  <c r="C31" i="10"/>
  <c r="C30" i="10"/>
  <c r="C29" i="10"/>
  <c r="C28" i="10"/>
  <c r="C27" i="10"/>
  <c r="C39" i="10"/>
  <c r="D9" i="10"/>
  <c r="L23" i="10"/>
  <c r="L24" i="10" s="1"/>
  <c r="L8" i="10"/>
  <c r="K23" i="10"/>
  <c r="K24" i="10" s="1"/>
  <c r="K8" i="10"/>
  <c r="J23" i="10"/>
  <c r="J24" i="10" s="1"/>
  <c r="J8" i="10"/>
  <c r="I23" i="10"/>
  <c r="I24" i="10" s="1"/>
  <c r="I8" i="10"/>
  <c r="H23" i="10"/>
  <c r="H24" i="10" s="1"/>
  <c r="H8" i="10"/>
  <c r="G23" i="10"/>
  <c r="G24" i="10" s="1"/>
  <c r="G8" i="10"/>
  <c r="F23" i="10"/>
  <c r="F24" i="10" s="1"/>
  <c r="F8" i="10"/>
  <c r="E23" i="10"/>
  <c r="E24" i="10" s="1"/>
  <c r="E8" i="10"/>
  <c r="D23" i="10"/>
  <c r="D24" i="10" s="1"/>
  <c r="L25" i="10"/>
  <c r="L21" i="10"/>
  <c r="L7" i="10"/>
  <c r="K25" i="10"/>
  <c r="K21" i="10"/>
  <c r="K7" i="10"/>
  <c r="J25" i="10"/>
  <c r="J21" i="10"/>
  <c r="J7" i="10"/>
  <c r="I25" i="10"/>
  <c r="I21" i="10"/>
  <c r="I7" i="10"/>
  <c r="H25" i="10"/>
  <c r="H21" i="10"/>
  <c r="H7" i="10"/>
  <c r="G25" i="10"/>
  <c r="G21" i="10"/>
  <c r="G7" i="10"/>
  <c r="F25" i="10"/>
  <c r="F21" i="10"/>
  <c r="F7" i="10"/>
  <c r="E25" i="10"/>
  <c r="E21" i="10"/>
  <c r="E7" i="10"/>
  <c r="D25" i="10"/>
  <c r="D21" i="10"/>
  <c r="L8" i="9"/>
  <c r="L5" i="10" s="1"/>
  <c r="L31" i="10"/>
  <c r="L30" i="10"/>
  <c r="L29" i="10"/>
  <c r="L36" i="10" s="1"/>
  <c r="L28" i="10"/>
  <c r="L35" i="10" s="1"/>
  <c r="L27" i="10"/>
  <c r="L34" i="10" s="1"/>
  <c r="L37" i="10" s="1"/>
  <c r="L39" i="10"/>
  <c r="K8" i="9"/>
  <c r="K5" i="10" s="1"/>
  <c r="K31" i="10"/>
  <c r="K30" i="10"/>
  <c r="K29" i="10"/>
  <c r="K36" i="10" s="1"/>
  <c r="K28" i="10"/>
  <c r="K35" i="10" s="1"/>
  <c r="K27" i="10"/>
  <c r="K34" i="10" s="1"/>
  <c r="K37" i="10" s="1"/>
  <c r="J8" i="9"/>
  <c r="J5" i="10" s="1"/>
  <c r="J31" i="10"/>
  <c r="J30" i="10"/>
  <c r="J29" i="10"/>
  <c r="J36" i="10" s="1"/>
  <c r="J28" i="10"/>
  <c r="J35" i="10" s="1"/>
  <c r="J27" i="10"/>
  <c r="J34" i="10" s="1"/>
  <c r="J37" i="10" s="1"/>
  <c r="I8" i="9"/>
  <c r="I5" i="10" s="1"/>
  <c r="I31" i="10"/>
  <c r="I30" i="10"/>
  <c r="I29" i="10"/>
  <c r="I36" i="10" s="1"/>
  <c r="I28" i="10"/>
  <c r="I35" i="10" s="1"/>
  <c r="I27" i="10"/>
  <c r="I34" i="10" s="1"/>
  <c r="I37" i="10" s="1"/>
  <c r="H8" i="9"/>
  <c r="H5" i="10" s="1"/>
  <c r="H31" i="10"/>
  <c r="H30" i="10"/>
  <c r="H29" i="10"/>
  <c r="H36" i="10" s="1"/>
  <c r="H28" i="10"/>
  <c r="H35" i="10" s="1"/>
  <c r="H27" i="10"/>
  <c r="H34" i="10" s="1"/>
  <c r="H37" i="10" s="1"/>
  <c r="G8" i="9"/>
  <c r="G5" i="10" s="1"/>
  <c r="G31" i="10"/>
  <c r="G30" i="10"/>
  <c r="G29" i="10"/>
  <c r="G36" i="10" s="1"/>
  <c r="G28" i="10"/>
  <c r="G35" i="10" s="1"/>
  <c r="G27" i="10"/>
  <c r="G34" i="10" s="1"/>
  <c r="G37" i="10" s="1"/>
  <c r="F8" i="9"/>
  <c r="F5" i="10" s="1"/>
  <c r="F31" i="10"/>
  <c r="F30" i="10"/>
  <c r="F29" i="10"/>
  <c r="F36" i="10" s="1"/>
  <c r="F28" i="10"/>
  <c r="F35" i="10" s="1"/>
  <c r="F27" i="10"/>
  <c r="F34" i="10" s="1"/>
  <c r="F37" i="10" s="1"/>
  <c r="F39" i="10"/>
  <c r="E8" i="9"/>
  <c r="E5" i="10" s="1"/>
  <c r="E31" i="10"/>
  <c r="E30" i="10"/>
  <c r="E29" i="10"/>
  <c r="E36" i="10" s="1"/>
  <c r="E28" i="10"/>
  <c r="E35" i="10" s="1"/>
  <c r="E27" i="10"/>
  <c r="E34" i="10" s="1"/>
  <c r="E37" i="10" s="1"/>
  <c r="D31" i="10"/>
  <c r="D30" i="10"/>
  <c r="D29" i="10"/>
  <c r="D36" i="10" s="1"/>
  <c r="D28" i="10"/>
  <c r="D35" i="10" s="1"/>
  <c r="D27" i="10"/>
  <c r="D34" i="10" s="1"/>
  <c r="D37" i="10" s="1"/>
  <c r="K41" i="10"/>
  <c r="K39" i="10"/>
  <c r="K105" i="9"/>
  <c r="J41" i="10"/>
  <c r="J39" i="10"/>
  <c r="J105" i="9"/>
  <c r="I41" i="10"/>
  <c r="I39" i="10"/>
  <c r="I105" i="9"/>
  <c r="H41" i="10"/>
  <c r="H39" i="10"/>
  <c r="H105" i="9"/>
  <c r="G41" i="10"/>
  <c r="G39" i="10"/>
  <c r="G105" i="9"/>
  <c r="E41" i="10"/>
  <c r="E39" i="10"/>
  <c r="E105" i="9"/>
  <c r="D41" i="10"/>
  <c r="D39" i="10"/>
  <c r="D105" i="9"/>
  <c r="C61" i="9"/>
  <c r="C68" i="9" s="1"/>
  <c r="C37" i="8"/>
  <c r="L61" i="9"/>
  <c r="L68" i="9" s="1"/>
  <c r="L37" i="8"/>
  <c r="K61" i="9"/>
  <c r="K68" i="9" s="1"/>
  <c r="K37" i="8"/>
  <c r="J61" i="9"/>
  <c r="J68" i="9" s="1"/>
  <c r="J37" i="8"/>
  <c r="I61" i="9"/>
  <c r="I68" i="9" s="1"/>
  <c r="I37" i="8"/>
  <c r="H61" i="9"/>
  <c r="H68" i="9" s="1"/>
  <c r="H37" i="8"/>
  <c r="G61" i="9"/>
  <c r="G68" i="9" s="1"/>
  <c r="G37" i="8"/>
  <c r="F61" i="9"/>
  <c r="F68" i="9" s="1"/>
  <c r="F37" i="8"/>
  <c r="E61" i="9"/>
  <c r="E68" i="9" s="1"/>
  <c r="E37" i="8"/>
  <c r="D61" i="9"/>
  <c r="D68" i="9" s="1"/>
  <c r="D37" i="8"/>
  <c r="C13" i="9"/>
  <c r="D8" i="9"/>
  <c r="D5" i="10" s="1"/>
  <c r="D15" i="12"/>
  <c r="E15" i="12" s="1"/>
  <c r="B16" i="12"/>
  <c r="G16" i="12"/>
  <c r="L16" i="12"/>
  <c r="J48" i="16"/>
  <c r="I49" i="16"/>
  <c r="I52" i="16" s="1"/>
  <c r="K17" i="15"/>
  <c r="G21" i="15"/>
  <c r="G20" i="15"/>
  <c r="K20" i="15"/>
  <c r="K21" i="15"/>
  <c r="K33" i="15" s="1"/>
  <c r="K36" i="15" s="1"/>
  <c r="K28" i="15" s="1"/>
  <c r="K29" i="15" s="1"/>
  <c r="K40" i="15" s="1"/>
  <c r="K46" i="15" s="1"/>
  <c r="D20" i="17" s="1"/>
  <c r="E5" i="23" s="1"/>
  <c r="D26" i="17"/>
  <c r="J14" i="17"/>
  <c r="F16" i="23" s="1"/>
  <c r="K14" i="17"/>
  <c r="F17" i="23" s="1"/>
  <c r="L14" i="17"/>
  <c r="F18" i="23" s="1"/>
  <c r="M14" i="17"/>
  <c r="F19" i="23" s="1"/>
  <c r="K10" i="17"/>
  <c r="L8" i="17"/>
  <c r="B18" i="23" s="1"/>
  <c r="C19" i="9"/>
  <c r="D6" i="10" s="1"/>
  <c r="C14" i="9"/>
  <c r="C11" i="10" s="1"/>
  <c r="C11" i="9"/>
  <c r="C17" i="9"/>
  <c r="C17" i="10" s="1"/>
  <c r="C23" i="9"/>
  <c r="C18" i="10" s="1"/>
  <c r="C29" i="9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C17" i="23" l="1"/>
  <c r="O18" i="10"/>
  <c r="N18" i="10"/>
  <c r="O17" i="10"/>
  <c r="N17" i="10"/>
  <c r="O11" i="10"/>
  <c r="N11" i="10"/>
  <c r="O6" i="10"/>
  <c r="N6" i="10"/>
  <c r="O5" i="10"/>
  <c r="N5" i="10"/>
  <c r="D70" i="9"/>
  <c r="D40" i="10"/>
  <c r="E70" i="9"/>
  <c r="E40" i="10"/>
  <c r="F70" i="9"/>
  <c r="F40" i="10"/>
  <c r="G70" i="9"/>
  <c r="G40" i="10"/>
  <c r="H70" i="9"/>
  <c r="H40" i="10"/>
  <c r="I70" i="9"/>
  <c r="I40" i="10"/>
  <c r="J70" i="9"/>
  <c r="J40" i="10"/>
  <c r="K70" i="9"/>
  <c r="K40" i="10"/>
  <c r="L70" i="9"/>
  <c r="L40" i="10"/>
  <c r="C70" i="9"/>
  <c r="C40" i="10"/>
  <c r="O41" i="10"/>
  <c r="N41" i="10"/>
  <c r="O9" i="10"/>
  <c r="N9" i="10"/>
  <c r="O39" i="10"/>
  <c r="N39" i="10"/>
  <c r="O27" i="10"/>
  <c r="N27" i="10"/>
  <c r="C34" i="10"/>
  <c r="O28" i="10"/>
  <c r="N28" i="10"/>
  <c r="C35" i="10"/>
  <c r="O29" i="10"/>
  <c r="N29" i="10"/>
  <c r="C36" i="10"/>
  <c r="O30" i="10"/>
  <c r="N30" i="10"/>
  <c r="O31" i="10"/>
  <c r="N31" i="10"/>
  <c r="D21" i="17"/>
  <c r="M11" i="17" s="1"/>
  <c r="D19" i="23" s="1"/>
  <c r="I14" i="17"/>
  <c r="F15" i="23" s="1"/>
  <c r="I5" i="12" a="1"/>
  <c r="I60" i="16"/>
  <c r="I62" i="16" s="1"/>
  <c r="K48" i="16"/>
  <c r="J49" i="16"/>
  <c r="J52" i="16" s="1"/>
  <c r="L17" i="12"/>
  <c r="G17" i="12"/>
  <c r="D16" i="12"/>
  <c r="E16" i="12" s="1"/>
  <c r="B17" i="12"/>
  <c r="D17" i="12" s="1"/>
  <c r="L10" i="17"/>
  <c r="M8" i="17"/>
  <c r="C25" i="9"/>
  <c r="C20" i="9"/>
  <c r="C12" i="10" s="1"/>
  <c r="H24" i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M10" i="17" l="1"/>
  <c r="B19" i="23"/>
  <c r="C18" i="23"/>
  <c r="O12" i="10"/>
  <c r="N12" i="10"/>
  <c r="C25" i="10"/>
  <c r="C21" i="10"/>
  <c r="D7" i="10"/>
  <c r="O36" i="10"/>
  <c r="N36" i="10"/>
  <c r="O35" i="10"/>
  <c r="N35" i="10"/>
  <c r="O34" i="10"/>
  <c r="N34" i="10"/>
  <c r="C37" i="10"/>
  <c r="O40" i="10"/>
  <c r="N40" i="10"/>
  <c r="E17" i="12"/>
  <c r="B18" i="12"/>
  <c r="G18" i="12"/>
  <c r="L18" i="12"/>
  <c r="J60" i="16"/>
  <c r="J62" i="16" s="1"/>
  <c r="L48" i="16"/>
  <c r="L49" i="16" s="1"/>
  <c r="L52" i="16" s="1"/>
  <c r="L60" i="16" s="1"/>
  <c r="L62" i="16" s="1"/>
  <c r="K49" i="16"/>
  <c r="K52" i="16" s="1"/>
  <c r="L55" i="16" s="1"/>
  <c r="I11" i="17" s="1"/>
  <c r="J7" i="12"/>
  <c r="J8" i="12"/>
  <c r="J9" i="12"/>
  <c r="J10" i="12"/>
  <c r="J11" i="12"/>
  <c r="J12" i="12"/>
  <c r="J13" i="12"/>
  <c r="J14" i="12"/>
  <c r="I5" i="12"/>
  <c r="C31" i="9"/>
  <c r="C37" i="9" s="1"/>
  <c r="C26" i="9"/>
  <c r="C13" i="10" s="1"/>
  <c r="N15" i="1"/>
  <c r="M5" i="1"/>
  <c r="D15" i="23" l="1"/>
  <c r="L11" i="17"/>
  <c r="K11" i="17"/>
  <c r="J11" i="17"/>
  <c r="I12" i="17"/>
  <c r="E15" i="23" s="1"/>
  <c r="C19" i="23"/>
  <c r="M12" i="17"/>
  <c r="C19" i="10"/>
  <c r="O13" i="10"/>
  <c r="N13" i="10"/>
  <c r="C23" i="10"/>
  <c r="D8" i="10"/>
  <c r="O37" i="10"/>
  <c r="N37" i="10"/>
  <c r="O7" i="10"/>
  <c r="N7" i="10"/>
  <c r="O21" i="10"/>
  <c r="N21" i="10"/>
  <c r="O25" i="10"/>
  <c r="N25" i="10"/>
  <c r="I16" i="12"/>
  <c r="I17" i="12"/>
  <c r="J17" i="12" s="1"/>
  <c r="J6" i="12"/>
  <c r="K60" i="16"/>
  <c r="K62" i="16" s="1"/>
  <c r="L54" i="16"/>
  <c r="L19" i="12"/>
  <c r="G19" i="12"/>
  <c r="I19" i="12" s="1"/>
  <c r="I18" i="12"/>
  <c r="J18" i="12" s="1"/>
  <c r="D18" i="12"/>
  <c r="E18" i="12" s="1"/>
  <c r="B19" i="12"/>
  <c r="D19" i="12" s="1"/>
  <c r="E19" i="12" s="1"/>
  <c r="C42" i="9"/>
  <c r="C38" i="9"/>
  <c r="C15" i="10" s="1"/>
  <c r="C32" i="9"/>
  <c r="C14" i="10" s="1"/>
  <c r="C35" i="9"/>
  <c r="E19" i="23" l="1"/>
  <c r="M16" i="17"/>
  <c r="G19" i="23" s="1"/>
  <c r="D25" i="17"/>
  <c r="D29" i="17" s="1"/>
  <c r="D16" i="23"/>
  <c r="J12" i="17"/>
  <c r="E16" i="23" s="1"/>
  <c r="D17" i="23"/>
  <c r="K12" i="17"/>
  <c r="E17" i="23" s="1"/>
  <c r="D18" i="23"/>
  <c r="L12" i="17"/>
  <c r="E18" i="23" s="1"/>
  <c r="O14" i="10"/>
  <c r="N14" i="10"/>
  <c r="O15" i="10"/>
  <c r="N15" i="10"/>
  <c r="O8" i="10"/>
  <c r="N8" i="10"/>
  <c r="O23" i="10"/>
  <c r="N23" i="10"/>
  <c r="O19" i="10"/>
  <c r="N19" i="10"/>
  <c r="C46" i="9"/>
  <c r="C48" i="9" s="1"/>
  <c r="C22" i="10" s="1"/>
  <c r="D43" i="9"/>
  <c r="J19" i="12"/>
  <c r="H11" i="17"/>
  <c r="H12" i="17" s="1"/>
  <c r="L64" i="16"/>
  <c r="L65" i="16"/>
  <c r="D34" i="17" l="1"/>
  <c r="B24" i="23" s="1"/>
  <c r="B23" i="23"/>
  <c r="O22" i="10"/>
  <c r="N22" i="10"/>
  <c r="C24" i="10"/>
  <c r="I16" i="17"/>
  <c r="G15" i="23" s="1"/>
  <c r="L16" i="17"/>
  <c r="G18" i="23" s="1"/>
  <c r="K16" i="17"/>
  <c r="G17" i="23" s="1"/>
  <c r="J16" i="17"/>
  <c r="G16" i="23" s="1"/>
  <c r="O24" i="10" l="1"/>
  <c r="N24" i="10"/>
  <c r="D33" i="17"/>
  <c r="B22" i="23" s="1"/>
  <c r="D35" i="17"/>
  <c r="B25" i="23" s="1"/>
  <c r="D39" i="17" l="1"/>
  <c r="D42" i="17" l="1"/>
  <c r="B28" i="23"/>
  <c r="N5" i="12" a="1"/>
  <c r="N5" i="12"/>
  <c r="N6" i="12"/>
  <c r="N7" i="12"/>
  <c r="N8" i="12"/>
  <c r="N9" i="12"/>
  <c r="N10" i="12"/>
  <c r="N11" i="12"/>
  <c r="N12" i="12"/>
  <c r="N13" i="12"/>
  <c r="N14" i="12"/>
  <c r="O7" i="12"/>
  <c r="O8" i="12"/>
  <c r="O9" i="12"/>
  <c r="O10" i="12"/>
  <c r="O11" i="12"/>
  <c r="O12" i="12"/>
  <c r="O13" i="12"/>
  <c r="O14" i="12"/>
  <c r="O6" i="12"/>
  <c r="I15" i="12"/>
  <c r="J15" i="12"/>
  <c r="N15" i="12"/>
  <c r="O15" i="12"/>
  <c r="N16" i="12"/>
  <c r="O16" i="12"/>
  <c r="N17" i="12"/>
  <c r="O17" i="12"/>
  <c r="J16" i="12"/>
  <c r="N19" i="12"/>
  <c r="N18" i="12"/>
  <c r="O19" i="12"/>
  <c r="O18" i="12"/>
  <c r="D45" i="17" l="1"/>
  <c r="B30" i="23"/>
  <c r="B5" i="23"/>
  <c r="B32" i="23" l="1"/>
  <c r="C5" i="23"/>
  <c r="D5" i="2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Tata%20Steel.xlsx" TargetMode="External"/><Relationship Id="rId1" Type="http://schemas.openxmlformats.org/officeDocument/2006/relationships/externalLinkPath" Target="/Users/LENOVO/Downloads/Tata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AA84-A1D9-429F-9C12-843C76BC9BBF}">
  <dimension ref="A1:G32"/>
  <sheetViews>
    <sheetView tabSelected="1" workbookViewId="0"/>
  </sheetViews>
  <sheetFormatPr defaultRowHeight="14.4" x14ac:dyDescent="0.3"/>
  <cols>
    <col min="1" max="1" width="54.44140625" bestFit="1" customWidth="1"/>
    <col min="2" max="2" width="10.6640625" bestFit="1" customWidth="1"/>
    <col min="3" max="3" width="12.109375" bestFit="1" customWidth="1"/>
    <col min="4" max="4" width="20" bestFit="1" customWidth="1"/>
    <col min="5" max="5" width="9" bestFit="1" customWidth="1"/>
    <col min="6" max="6" width="14.109375" bestFit="1" customWidth="1"/>
    <col min="7" max="7" width="9.77734375" bestFit="1" customWidth="1"/>
  </cols>
  <sheetData>
    <row r="1" spans="1:7" x14ac:dyDescent="0.3">
      <c r="A1" s="172" t="s">
        <v>8634</v>
      </c>
      <c r="B1" s="173"/>
      <c r="C1" s="173"/>
      <c r="D1" s="173"/>
      <c r="E1" s="173"/>
      <c r="F1" s="173"/>
      <c r="G1" s="173"/>
    </row>
    <row r="2" spans="1:7" x14ac:dyDescent="0.3">
      <c r="A2" s="173"/>
      <c r="B2" s="173"/>
      <c r="C2" s="173"/>
      <c r="D2" s="173"/>
      <c r="E2" s="173"/>
      <c r="F2" s="173"/>
      <c r="G2" s="173"/>
    </row>
    <row r="4" spans="1:7" x14ac:dyDescent="0.3">
      <c r="A4" s="174" t="s">
        <v>43</v>
      </c>
      <c r="B4" s="174" t="s">
        <v>8635</v>
      </c>
      <c r="C4" s="174" t="s">
        <v>8636</v>
      </c>
      <c r="D4" s="174" t="s">
        <v>8637</v>
      </c>
      <c r="E4" s="174" t="s">
        <v>242</v>
      </c>
      <c r="F4" s="174" t="s">
        <v>8638</v>
      </c>
      <c r="G4" s="174" t="s">
        <v>8639</v>
      </c>
    </row>
    <row r="5" spans="1:7" ht="15.6" x14ac:dyDescent="0.3">
      <c r="A5" s="176">
        <f>DCF!D44</f>
        <v>1051</v>
      </c>
      <c r="B5" s="176">
        <f>DCF!D42</f>
        <v>644.68724030346777</v>
      </c>
      <c r="C5" s="178">
        <f>(B5-A5)/A5</f>
        <v>-0.38659634604808013</v>
      </c>
      <c r="D5" s="180" t="str">
        <f>IF(C5&gt;0.15,"UNDERVALUED / BUY",IF(C5&lt;-0.15,"OVERVALUED / SELL","FAIRLY VALUED / HOLD"))</f>
        <v>OVERVALUED / SELL</v>
      </c>
      <c r="E5" s="181">
        <f>DCF!D20</f>
        <v>0.13315807225738793</v>
      </c>
      <c r="F5" s="182">
        <f>'Altman''s Z Score'!I89</f>
        <v>7.9570103460230541</v>
      </c>
      <c r="G5" s="181">
        <f>'Dupont Analysis'!I78</f>
        <v>0.3214607515768273</v>
      </c>
    </row>
    <row r="7" spans="1:7" ht="15.6" x14ac:dyDescent="0.3">
      <c r="A7" s="179" t="s">
        <v>8640</v>
      </c>
    </row>
    <row r="8" spans="1:7" x14ac:dyDescent="0.3">
      <c r="A8" s="37" t="s">
        <v>8641</v>
      </c>
      <c r="B8" s="171" t="s">
        <v>8642</v>
      </c>
      <c r="C8" s="171"/>
      <c r="D8" s="171"/>
      <c r="E8" s="171"/>
      <c r="F8" s="171"/>
      <c r="G8" s="171"/>
    </row>
    <row r="9" spans="1:7" x14ac:dyDescent="0.3">
      <c r="A9" s="37" t="s">
        <v>8643</v>
      </c>
      <c r="B9" s="171" t="s">
        <v>8644</v>
      </c>
      <c r="C9" s="171"/>
      <c r="D9" s="171"/>
      <c r="E9" s="171"/>
      <c r="F9" s="171"/>
      <c r="G9" s="171"/>
    </row>
    <row r="10" spans="1:7" x14ac:dyDescent="0.3">
      <c r="A10" s="37" t="s">
        <v>8645</v>
      </c>
      <c r="B10" s="171" t="s">
        <v>8646</v>
      </c>
      <c r="C10" s="171"/>
      <c r="D10" s="171"/>
      <c r="E10" s="171"/>
      <c r="F10" s="171"/>
      <c r="G10" s="171"/>
    </row>
    <row r="11" spans="1:7" x14ac:dyDescent="0.3">
      <c r="A11" s="37" t="s">
        <v>8647</v>
      </c>
      <c r="B11" s="171" t="s">
        <v>8648</v>
      </c>
      <c r="C11" s="171"/>
      <c r="D11" s="171"/>
      <c r="E11" s="171"/>
      <c r="F11" s="171"/>
      <c r="G11" s="171"/>
    </row>
    <row r="13" spans="1:7" x14ac:dyDescent="0.3">
      <c r="A13" s="37" t="s">
        <v>8649</v>
      </c>
    </row>
    <row r="14" spans="1:7" x14ac:dyDescent="0.3">
      <c r="A14" s="183" t="s">
        <v>188</v>
      </c>
      <c r="B14" s="183" t="s">
        <v>106</v>
      </c>
      <c r="C14" s="183" t="s">
        <v>8650</v>
      </c>
      <c r="D14" s="183" t="s">
        <v>8651</v>
      </c>
      <c r="E14" s="183" t="s">
        <v>8652</v>
      </c>
      <c r="F14" s="183" t="s">
        <v>8653</v>
      </c>
      <c r="G14" s="183" t="s">
        <v>306</v>
      </c>
    </row>
    <row r="15" spans="1:7" x14ac:dyDescent="0.3">
      <c r="A15" s="160" t="s">
        <v>8654</v>
      </c>
      <c r="B15" s="184">
        <f>DCF!I8</f>
        <v>42512.372000000003</v>
      </c>
      <c r="C15" s="184">
        <f>DCF!I10</f>
        <v>29758.660400000001</v>
      </c>
      <c r="D15" s="46">
        <f>DCF!I11</f>
        <v>0.28501192814881582</v>
      </c>
      <c r="E15" s="184">
        <f>DCF!I12</f>
        <v>21277.08722027019</v>
      </c>
      <c r="F15" s="185">
        <f>DCF!I14</f>
        <v>0.93940907554432695</v>
      </c>
      <c r="G15" s="184">
        <f>DCF!I16</f>
        <v>19987.888835870031</v>
      </c>
    </row>
    <row r="16" spans="1:7" x14ac:dyDescent="0.3">
      <c r="A16" s="160" t="s">
        <v>8655</v>
      </c>
      <c r="B16" s="184">
        <f>DCF!J8</f>
        <v>44723.015344000007</v>
      </c>
      <c r="C16" s="184">
        <f>DCF!J10</f>
        <v>31306.110740800003</v>
      </c>
      <c r="D16" s="46">
        <f>DCF!J11</f>
        <v>0.28885766022239068</v>
      </c>
      <c r="E16" s="184">
        <f>DCF!J12</f>
        <v>22263.100841549462</v>
      </c>
      <c r="F16" s="185">
        <f>DCF!J14</f>
        <v>0.82901856196718482</v>
      </c>
      <c r="G16" s="184">
        <f>DCF!J16</f>
        <v>18456.523844591757</v>
      </c>
    </row>
    <row r="17" spans="1:7" x14ac:dyDescent="0.3">
      <c r="A17" s="160" t="s">
        <v>8656</v>
      </c>
      <c r="B17" s="184">
        <f>DCF!K8</f>
        <v>47048.612141888007</v>
      </c>
      <c r="C17" s="184">
        <f>DCF!K10</f>
        <v>32934.028499321605</v>
      </c>
      <c r="D17" s="46">
        <f>DCF!K11</f>
        <v>0.29270339229596548</v>
      </c>
      <c r="E17" s="184">
        <f>DCF!K12</f>
        <v>23294.126635598168</v>
      </c>
      <c r="F17" s="185">
        <f>DCF!K14</f>
        <v>0.73160010263676578</v>
      </c>
      <c r="G17" s="184">
        <f>DCF!K16</f>
        <v>17041.985437437441</v>
      </c>
    </row>
    <row r="18" spans="1:7" x14ac:dyDescent="0.3">
      <c r="A18" s="160" t="s">
        <v>8657</v>
      </c>
      <c r="B18" s="184">
        <f>DCF!L8</f>
        <v>49495.139973266188</v>
      </c>
      <c r="C18" s="184">
        <f>DCF!L10</f>
        <v>34646.59798128633</v>
      </c>
      <c r="D18" s="46">
        <f>DCF!L11</f>
        <v>0.29654912436954028</v>
      </c>
      <c r="E18" s="184">
        <f>DCF!L12</f>
        <v>24372.179687552387</v>
      </c>
      <c r="F18" s="185">
        <f>DCF!L14</f>
        <v>0.6456293438207874</v>
      </c>
      <c r="G18" s="184">
        <f>DCF!L16</f>
        <v>15735.394379156771</v>
      </c>
    </row>
    <row r="19" spans="1:7" x14ac:dyDescent="0.3">
      <c r="A19" s="160" t="s">
        <v>8658</v>
      </c>
      <c r="B19" s="184">
        <f>DCF!M8</f>
        <v>52068.887251876033</v>
      </c>
      <c r="C19" s="184">
        <f>DCF!M10</f>
        <v>36448.221076313217</v>
      </c>
      <c r="D19" s="46">
        <f>DCF!M11</f>
        <v>0.30039485644311514</v>
      </c>
      <c r="E19" s="184">
        <f>DCF!M12</f>
        <v>25499.362938487186</v>
      </c>
      <c r="F19" s="185">
        <f>DCF!M14</f>
        <v>0.56976105949156375</v>
      </c>
      <c r="G19" s="184">
        <f>DCF!M16</f>
        <v>14528.544044192373</v>
      </c>
    </row>
    <row r="21" spans="1:7" x14ac:dyDescent="0.3">
      <c r="A21" s="37" t="s">
        <v>8659</v>
      </c>
    </row>
    <row r="22" spans="1:7" x14ac:dyDescent="0.3">
      <c r="A22" s="37" t="s">
        <v>8660</v>
      </c>
      <c r="B22" s="184">
        <f>DCF!D33</f>
        <v>85750.336541248369</v>
      </c>
    </row>
    <row r="23" spans="1:7" x14ac:dyDescent="0.3">
      <c r="A23" s="37" t="s">
        <v>8661</v>
      </c>
      <c r="B23" s="184">
        <f>DCF!D29</f>
        <v>284670.3115834769</v>
      </c>
    </row>
    <row r="24" spans="1:7" x14ac:dyDescent="0.3">
      <c r="A24" s="37" t="s">
        <v>8662</v>
      </c>
      <c r="B24" s="184">
        <f>DCF!D34</f>
        <v>162194.05833359537</v>
      </c>
    </row>
    <row r="25" spans="1:7" x14ac:dyDescent="0.3">
      <c r="A25" s="37" t="s">
        <v>8663</v>
      </c>
      <c r="B25" s="184">
        <f>DCF!D35</f>
        <v>247944.39487484374</v>
      </c>
    </row>
    <row r="26" spans="1:7" x14ac:dyDescent="0.3">
      <c r="A26" s="37" t="s">
        <v>8664</v>
      </c>
      <c r="B26" s="184">
        <f>DCF!D37</f>
        <v>22201</v>
      </c>
    </row>
    <row r="27" spans="1:7" x14ac:dyDescent="0.3">
      <c r="A27" s="37" t="s">
        <v>8665</v>
      </c>
      <c r="B27" s="184">
        <f>DCF!D38</f>
        <v>9176</v>
      </c>
    </row>
    <row r="28" spans="1:7" x14ac:dyDescent="0.3">
      <c r="A28" s="37" t="s">
        <v>8666</v>
      </c>
      <c r="B28" s="184">
        <f>DCF!D39</f>
        <v>260969.39487484377</v>
      </c>
    </row>
    <row r="29" spans="1:7" x14ac:dyDescent="0.3">
      <c r="A29" s="37" t="s">
        <v>8667</v>
      </c>
      <c r="B29" s="184">
        <f>DCF!D40</f>
        <v>404.8</v>
      </c>
    </row>
    <row r="30" spans="1:7" x14ac:dyDescent="0.3">
      <c r="A30" s="37" t="s">
        <v>8668</v>
      </c>
      <c r="B30" s="175">
        <f>DCF!D42</f>
        <v>644.68724030346777</v>
      </c>
    </row>
    <row r="31" spans="1:7" x14ac:dyDescent="0.3">
      <c r="A31" s="37" t="s">
        <v>8669</v>
      </c>
      <c r="B31" s="175">
        <f>DCF!D44</f>
        <v>1051</v>
      </c>
    </row>
    <row r="32" spans="1:7" x14ac:dyDescent="0.3">
      <c r="A32" s="37" t="s">
        <v>8670</v>
      </c>
      <c r="B32" s="177">
        <f>(B5-A5)/A5</f>
        <v>-0.38659634604808013</v>
      </c>
    </row>
  </sheetData>
  <mergeCells count="5">
    <mergeCell ref="A1:G2"/>
    <mergeCell ref="B8:G8"/>
    <mergeCell ref="B9:G9"/>
    <mergeCell ref="B10:G10"/>
    <mergeCell ref="B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Infosys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43160</v>
      </c>
      <c r="C3" s="16">
        <f>'Data Sheet'!C16</f>
        <v>43525</v>
      </c>
      <c r="D3" s="16">
        <f>'Data Sheet'!D16</f>
        <v>43891</v>
      </c>
      <c r="E3" s="16">
        <f>'Data Sheet'!E16</f>
        <v>44256</v>
      </c>
      <c r="F3" s="16">
        <f>'Data Sheet'!F16</f>
        <v>44621</v>
      </c>
      <c r="G3" s="16">
        <f>'Data Sheet'!G16</f>
        <v>44986</v>
      </c>
      <c r="H3" s="16">
        <f>'Data Sheet'!H16</f>
        <v>45352</v>
      </c>
      <c r="I3" s="16">
        <f>'Data Sheet'!I16</f>
        <v>45717</v>
      </c>
      <c r="J3" s="16">
        <f>'Data Sheet'!J16</f>
        <v>46082</v>
      </c>
      <c r="K3" s="16" t="str">
        <f>'Data Sheet'!K16</f>
        <v>TTM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70522</v>
      </c>
      <c r="C4" s="1">
        <f>'Data Sheet'!C17</f>
        <v>82675</v>
      </c>
      <c r="D4" s="1">
        <f>'Data Sheet'!D17</f>
        <v>90791</v>
      </c>
      <c r="E4" s="1">
        <f>'Data Sheet'!E17</f>
        <v>100472</v>
      </c>
      <c r="F4" s="1">
        <f>'Data Sheet'!F17</f>
        <v>121641</v>
      </c>
      <c r="G4" s="1">
        <f>'Data Sheet'!G17</f>
        <v>146767</v>
      </c>
      <c r="H4" s="1">
        <f>'Data Sheet'!H17</f>
        <v>153670</v>
      </c>
      <c r="I4" s="1">
        <f>'Data Sheet'!I17</f>
        <v>162990</v>
      </c>
      <c r="J4" s="1">
        <f>'Data Sheet'!J17</f>
        <v>178650</v>
      </c>
      <c r="K4" s="1">
        <f>'Data Sheet'!K17</f>
        <v>184582</v>
      </c>
      <c r="L4" s="1">
        <f>SUM(Quarters!H4:K4)</f>
        <v>184582</v>
      </c>
      <c r="M4" s="1">
        <f>$K4+M23*K4</f>
        <v>196210.73565755718</v>
      </c>
      <c r="N4" s="1">
        <f>$K4+N23*L4</f>
        <v>190710.96962776378</v>
      </c>
    </row>
    <row r="5" spans="1:14" x14ac:dyDescent="0.3">
      <c r="A5" s="6" t="s">
        <v>7</v>
      </c>
      <c r="B5" s="9">
        <f>SUM('Data Sheet'!B18,'Data Sheet'!B20:B24, -1*'Data Sheet'!B19)</f>
        <v>51700</v>
      </c>
      <c r="C5" s="9">
        <f>SUM('Data Sheet'!C18,'Data Sheet'!C20:C24, -1*'Data Sheet'!C19)</f>
        <v>62505</v>
      </c>
      <c r="D5" s="9">
        <f>SUM('Data Sheet'!D18,'Data Sheet'!D20:D24, -1*'Data Sheet'!D19)</f>
        <v>68524</v>
      </c>
      <c r="E5" s="9">
        <f>SUM('Data Sheet'!E18,'Data Sheet'!E20:E24, -1*'Data Sheet'!E19)</f>
        <v>72583</v>
      </c>
      <c r="F5" s="9">
        <f>SUM('Data Sheet'!F18,'Data Sheet'!F20:F24, -1*'Data Sheet'!F19)</f>
        <v>90150</v>
      </c>
      <c r="G5" s="9">
        <f>SUM('Data Sheet'!G18,'Data Sheet'!G20:G24, -1*'Data Sheet'!G19)</f>
        <v>111637</v>
      </c>
      <c r="H5" s="9">
        <f>SUM('Data Sheet'!H18,'Data Sheet'!H20:H24, -1*'Data Sheet'!H19)</f>
        <v>117245</v>
      </c>
      <c r="I5" s="9">
        <f>SUM('Data Sheet'!I18,'Data Sheet'!I20:I24, -1*'Data Sheet'!I19)</f>
        <v>123754</v>
      </c>
      <c r="J5" s="9">
        <f>SUM('Data Sheet'!J18,'Data Sheet'!J20:J24, -1*'Data Sheet'!J19)</f>
        <v>136370</v>
      </c>
      <c r="K5" s="9">
        <f>SUM('Data Sheet'!K18,'Data Sheet'!K20:K24, -1*'Data Sheet'!K19)</f>
        <v>140837</v>
      </c>
      <c r="L5" s="9">
        <f>SUM(Quarters!H5:K5)</f>
        <v>140837</v>
      </c>
      <c r="M5" s="9">
        <f t="shared" ref="M5:N5" si="0">M4-M6</f>
        <v>149505.06208404395</v>
      </c>
      <c r="N5" s="9">
        <f t="shared" si="0"/>
        <v>145513.4348390708</v>
      </c>
    </row>
    <row r="6" spans="1:14" s="8" customFormat="1" x14ac:dyDescent="0.3">
      <c r="A6" s="8" t="s">
        <v>8</v>
      </c>
      <c r="B6" s="1">
        <f>B4-B5</f>
        <v>18822</v>
      </c>
      <c r="C6" s="1">
        <f t="shared" ref="C6:K6" si="1">C4-C5</f>
        <v>20170</v>
      </c>
      <c r="D6" s="1">
        <f t="shared" si="1"/>
        <v>22267</v>
      </c>
      <c r="E6" s="1">
        <f t="shared" si="1"/>
        <v>27889</v>
      </c>
      <c r="F6" s="1">
        <f t="shared" si="1"/>
        <v>31491</v>
      </c>
      <c r="G6" s="1">
        <f t="shared" si="1"/>
        <v>35130</v>
      </c>
      <c r="H6" s="1">
        <f t="shared" si="1"/>
        <v>36425</v>
      </c>
      <c r="I6" s="1">
        <f t="shared" si="1"/>
        <v>39236</v>
      </c>
      <c r="J6" s="1">
        <f t="shared" si="1"/>
        <v>42280</v>
      </c>
      <c r="K6" s="1">
        <f t="shared" si="1"/>
        <v>43745</v>
      </c>
      <c r="L6" s="1">
        <f>SUM(Quarters!H6:K6)</f>
        <v>43745</v>
      </c>
      <c r="M6" s="1">
        <f>M4*M24</f>
        <v>46705.673573513217</v>
      </c>
      <c r="N6" s="1">
        <f>N4*N24</f>
        <v>45197.534788692974</v>
      </c>
    </row>
    <row r="7" spans="1:14" x14ac:dyDescent="0.3">
      <c r="A7" s="6" t="s">
        <v>9</v>
      </c>
      <c r="B7" s="9">
        <f>'Data Sheet'!B25</f>
        <v>3311</v>
      </c>
      <c r="C7" s="9">
        <f>'Data Sheet'!C25</f>
        <v>2882</v>
      </c>
      <c r="D7" s="9">
        <f>'Data Sheet'!D25</f>
        <v>2803</v>
      </c>
      <c r="E7" s="9">
        <f>'Data Sheet'!E25</f>
        <v>2201</v>
      </c>
      <c r="F7" s="9">
        <f>'Data Sheet'!F25</f>
        <v>2295</v>
      </c>
      <c r="G7" s="9">
        <f>'Data Sheet'!G25</f>
        <v>2701</v>
      </c>
      <c r="H7" s="9">
        <f>'Data Sheet'!H25</f>
        <v>4711</v>
      </c>
      <c r="I7" s="9">
        <f>'Data Sheet'!I25</f>
        <v>3600</v>
      </c>
      <c r="J7" s="9">
        <f>'Data Sheet'!J25</f>
        <v>3033</v>
      </c>
      <c r="K7" s="9">
        <f>'Data Sheet'!K25</f>
        <v>2975</v>
      </c>
      <c r="L7" s="9">
        <f>SUM(Quarters!H7:K7)</f>
        <v>2975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1863</v>
      </c>
      <c r="C8" s="9">
        <f>'Data Sheet'!C26</f>
        <v>2011</v>
      </c>
      <c r="D8" s="9">
        <f>'Data Sheet'!D26</f>
        <v>2893</v>
      </c>
      <c r="E8" s="9">
        <f>'Data Sheet'!E26</f>
        <v>3267</v>
      </c>
      <c r="F8" s="9">
        <f>'Data Sheet'!F26</f>
        <v>3476</v>
      </c>
      <c r="G8" s="9">
        <f>'Data Sheet'!G26</f>
        <v>4225</v>
      </c>
      <c r="H8" s="9">
        <f>'Data Sheet'!H26</f>
        <v>4678</v>
      </c>
      <c r="I8" s="9">
        <f>'Data Sheet'!I26</f>
        <v>4812</v>
      </c>
      <c r="J8" s="9">
        <f>'Data Sheet'!J26</f>
        <v>4902</v>
      </c>
      <c r="K8" s="9">
        <f>'Data Sheet'!K26</f>
        <v>5007</v>
      </c>
      <c r="L8" s="9">
        <f>SUM(Quarters!H8:K8)</f>
        <v>5007</v>
      </c>
      <c r="M8" s="9">
        <f>+$L8</f>
        <v>5007</v>
      </c>
      <c r="N8" s="9">
        <f>+$L8</f>
        <v>5007</v>
      </c>
    </row>
    <row r="9" spans="1:14" x14ac:dyDescent="0.3">
      <c r="A9" s="6" t="s">
        <v>11</v>
      </c>
      <c r="B9" s="9">
        <f>'Data Sheet'!B27</f>
        <v>0</v>
      </c>
      <c r="C9" s="9">
        <f>'Data Sheet'!C27</f>
        <v>0</v>
      </c>
      <c r="D9" s="9">
        <f>'Data Sheet'!D27</f>
        <v>170</v>
      </c>
      <c r="E9" s="9">
        <f>'Data Sheet'!E27</f>
        <v>195</v>
      </c>
      <c r="F9" s="9">
        <f>'Data Sheet'!F27</f>
        <v>200</v>
      </c>
      <c r="G9" s="9">
        <f>'Data Sheet'!G27</f>
        <v>284</v>
      </c>
      <c r="H9" s="9">
        <f>'Data Sheet'!H27</f>
        <v>470</v>
      </c>
      <c r="I9" s="9">
        <f>'Data Sheet'!I27</f>
        <v>416</v>
      </c>
      <c r="J9" s="9">
        <f>'Data Sheet'!J27</f>
        <v>416</v>
      </c>
      <c r="K9" s="9">
        <f>'Data Sheet'!K27</f>
        <v>430</v>
      </c>
      <c r="L9" s="9">
        <f>SUM(Quarters!H9:K9)</f>
        <v>430</v>
      </c>
      <c r="M9" s="9">
        <f>+$L9</f>
        <v>430</v>
      </c>
      <c r="N9" s="9">
        <f>+$L9</f>
        <v>430</v>
      </c>
    </row>
    <row r="10" spans="1:14" x14ac:dyDescent="0.3">
      <c r="A10" s="6" t="s">
        <v>12</v>
      </c>
      <c r="B10" s="9">
        <f>'Data Sheet'!B28</f>
        <v>20270</v>
      </c>
      <c r="C10" s="9">
        <f>'Data Sheet'!C28</f>
        <v>21041</v>
      </c>
      <c r="D10" s="9">
        <f>'Data Sheet'!D28</f>
        <v>22007</v>
      </c>
      <c r="E10" s="9">
        <f>'Data Sheet'!E28</f>
        <v>26628</v>
      </c>
      <c r="F10" s="9">
        <f>'Data Sheet'!F28</f>
        <v>30110</v>
      </c>
      <c r="G10" s="9">
        <f>'Data Sheet'!G28</f>
        <v>33322</v>
      </c>
      <c r="H10" s="9">
        <f>'Data Sheet'!H28</f>
        <v>35988</v>
      </c>
      <c r="I10" s="9">
        <f>'Data Sheet'!I28</f>
        <v>37608</v>
      </c>
      <c r="J10" s="9">
        <f>'Data Sheet'!J28</f>
        <v>39995</v>
      </c>
      <c r="K10" s="9">
        <f>'Data Sheet'!K28</f>
        <v>41283</v>
      </c>
      <c r="L10" s="9">
        <f>SUM(Quarters!H10:K10)</f>
        <v>41283</v>
      </c>
      <c r="M10" s="9">
        <f>M6+M7-SUM(M8:M9)</f>
        <v>41268.673573513217</v>
      </c>
      <c r="N10" s="9">
        <f>N6+N7-SUM(N8:N9)</f>
        <v>39760.534788692974</v>
      </c>
    </row>
    <row r="11" spans="1:14" x14ac:dyDescent="0.3">
      <c r="A11" s="6" t="s">
        <v>13</v>
      </c>
      <c r="B11" s="9">
        <f>'Data Sheet'!B29</f>
        <v>20270</v>
      </c>
      <c r="C11" s="9">
        <f>'Data Sheet'!C29</f>
        <v>21041</v>
      </c>
      <c r="D11" s="9">
        <f>'Data Sheet'!D29</f>
        <v>22007</v>
      </c>
      <c r="E11" s="9">
        <f>'Data Sheet'!E29</f>
        <v>26628</v>
      </c>
      <c r="F11" s="9">
        <f>'Data Sheet'!F29</f>
        <v>30110</v>
      </c>
      <c r="G11" s="9">
        <f>'Data Sheet'!G29</f>
        <v>33322</v>
      </c>
      <c r="H11" s="9">
        <f>'Data Sheet'!H29</f>
        <v>35988</v>
      </c>
      <c r="I11" s="9">
        <f>'Data Sheet'!I29</f>
        <v>37608</v>
      </c>
      <c r="J11" s="9">
        <f>'Data Sheet'!J29</f>
        <v>39995</v>
      </c>
      <c r="K11" s="9">
        <f>'Data Sheet'!K29</f>
        <v>41283</v>
      </c>
      <c r="L11" s="9">
        <f>SUM(Quarters!H11:K11)</f>
        <v>41283</v>
      </c>
      <c r="M11" s="10">
        <f>IF($L10&gt;0,$L11/$L10,0)</f>
        <v>1</v>
      </c>
      <c r="N11" s="10">
        <f>IF($L10&gt;0,$L11/$L10,0)</f>
        <v>1</v>
      </c>
    </row>
    <row r="12" spans="1:14" s="8" customFormat="1" x14ac:dyDescent="0.3">
      <c r="A12" s="8" t="s">
        <v>14</v>
      </c>
      <c r="B12" s="1">
        <f>'Data Sheet'!B30</f>
        <v>16029</v>
      </c>
      <c r="C12" s="1">
        <f>'Data Sheet'!C30</f>
        <v>15410</v>
      </c>
      <c r="D12" s="1">
        <f>'Data Sheet'!D30</f>
        <v>16639</v>
      </c>
      <c r="E12" s="1">
        <f>'Data Sheet'!E30</f>
        <v>19423</v>
      </c>
      <c r="F12" s="1">
        <f>'Data Sheet'!F30</f>
        <v>22146</v>
      </c>
      <c r="G12" s="1">
        <f>'Data Sheet'!G30</f>
        <v>24108</v>
      </c>
      <c r="H12" s="1">
        <f>'Data Sheet'!H30</f>
        <v>26248</v>
      </c>
      <c r="I12" s="1">
        <f>'Data Sheet'!I30</f>
        <v>26750</v>
      </c>
      <c r="J12" s="1">
        <f>'Data Sheet'!J30</f>
        <v>29474</v>
      </c>
      <c r="K12" s="1">
        <f>'Data Sheet'!K30</f>
        <v>30325</v>
      </c>
      <c r="L12" s="1">
        <f>SUM(Quarters!H12:K12)</f>
        <v>30325</v>
      </c>
      <c r="M12" s="1">
        <f>M10-M11*M10</f>
        <v>0</v>
      </c>
      <c r="N12" s="1">
        <f>N10-N11*N10</f>
        <v>0</v>
      </c>
    </row>
    <row r="13" spans="1:14" x14ac:dyDescent="0.3">
      <c r="A13" s="11" t="s">
        <v>57</v>
      </c>
      <c r="B13" s="9">
        <f>IF('Data Sheet'!B93&gt;0,B12/'Data Sheet'!B93,0)</f>
        <v>34.890402908077753</v>
      </c>
      <c r="C13" s="9">
        <f>IF('Data Sheet'!C93&gt;0,C12/'Data Sheet'!C93,0)</f>
        <v>33.543022572429855</v>
      </c>
      <c r="D13" s="9">
        <f>IF('Data Sheet'!D93&gt;0,D12/'Data Sheet'!D93,0)</f>
        <v>36.218192899588601</v>
      </c>
      <c r="E13" s="9">
        <f>IF('Data Sheet'!E93&gt;0,E12/'Data Sheet'!E93,0)</f>
        <v>42.278139352647962</v>
      </c>
      <c r="F13" s="9">
        <f>IF('Data Sheet'!F93&gt;0,F12/'Data Sheet'!F93,0)</f>
        <v>48.20530680655623</v>
      </c>
      <c r="G13" s="9">
        <f>IF('Data Sheet'!G93&gt;0,G12/'Data Sheet'!G93,0)</f>
        <v>52.476001828432118</v>
      </c>
      <c r="H13" s="9">
        <f>IF('Data Sheet'!H93&gt;0,H12/'Data Sheet'!H93,0)</f>
        <v>57.134150323240675</v>
      </c>
      <c r="I13" s="9">
        <f>IF('Data Sheet'!I93&gt;0,I12/'Data Sheet'!I93,0)</f>
        <v>58.226856185106982</v>
      </c>
      <c r="J13" s="9">
        <f>IF('Data Sheet'!J93&gt;0,J12/'Data Sheet'!J93,0)</f>
        <v>64.156200343919366</v>
      </c>
      <c r="K13" s="9">
        <f>IF('Data Sheet'!K93&gt;0,K12/'Data Sheet'!K93,0)</f>
        <v>66.008576217322215</v>
      </c>
      <c r="L13" s="9">
        <f>IF('Data Sheet'!$B6&gt;0,'Profit &amp; Loss'!L12/'Data Sheet'!$B6,0)</f>
        <v>74.696144444470477</v>
      </c>
      <c r="M13" s="9">
        <f>IF('Data Sheet'!$B6&gt;0,'Profit &amp; Loss'!M12/'Data Sheet'!$B6,0)</f>
        <v>0</v>
      </c>
      <c r="N13" s="9">
        <f>IF('Data Sheet'!$B6&gt;0,'Profit &amp; Loss'!N12/'Data Sheet'!$B6,0)</f>
        <v>0</v>
      </c>
    </row>
    <row r="14" spans="1:14" x14ac:dyDescent="0.3">
      <c r="A14" s="6" t="s">
        <v>16</v>
      </c>
      <c r="B14" s="9">
        <f>IF(B15&gt;0,B15/B13,"")</f>
        <v>30.122896624867426</v>
      </c>
      <c r="C14" s="9">
        <f t="shared" ref="C14:K14" si="2">IF(C15&gt;0,C15/C13,"")</f>
        <v>31.332894873458795</v>
      </c>
      <c r="D14" s="9">
        <f t="shared" si="2"/>
        <v>29.018565418594868</v>
      </c>
      <c r="E14" s="9">
        <f t="shared" si="2"/>
        <v>24.859182927457137</v>
      </c>
      <c r="F14" s="9">
        <f t="shared" si="2"/>
        <v>21.80257879526777</v>
      </c>
      <c r="G14" s="9">
        <f t="shared" si="2"/>
        <v>20.028202671312428</v>
      </c>
      <c r="H14" s="9">
        <f t="shared" si="2"/>
        <v>18.395302880219447</v>
      </c>
      <c r="I14" s="9">
        <f t="shared" si="2"/>
        <v>18.050090093457946</v>
      </c>
      <c r="J14" s="9">
        <f t="shared" si="2"/>
        <v>16.381892854719418</v>
      </c>
      <c r="K14" s="9">
        <f t="shared" si="2"/>
        <v>15.922173454245673</v>
      </c>
      <c r="L14" s="9">
        <f t="shared" ref="L14" si="3">IF(L13&gt;0,L15/L13,0)</f>
        <v>14.070338004946416</v>
      </c>
      <c r="M14" s="9">
        <f>M25</f>
        <v>16.106123601842363</v>
      </c>
      <c r="N14" s="9">
        <f>N25</f>
        <v>14.070338004946416</v>
      </c>
    </row>
    <row r="15" spans="1:14" s="8" customFormat="1" x14ac:dyDescent="0.3">
      <c r="A15" s="8" t="s">
        <v>58</v>
      </c>
      <c r="B15" s="1">
        <f>'Data Sheet'!B90</f>
        <v>1051</v>
      </c>
      <c r="C15" s="1">
        <f>'Data Sheet'!C90</f>
        <v>1051</v>
      </c>
      <c r="D15" s="1">
        <f>'Data Sheet'!D90</f>
        <v>1051</v>
      </c>
      <c r="E15" s="1">
        <f>'Data Sheet'!E90</f>
        <v>1051</v>
      </c>
      <c r="F15" s="1">
        <f>'Data Sheet'!F90</f>
        <v>1051</v>
      </c>
      <c r="G15" s="1">
        <f>'Data Sheet'!G90</f>
        <v>1051</v>
      </c>
      <c r="H15" s="1">
        <f>'Data Sheet'!H90</f>
        <v>1051</v>
      </c>
      <c r="I15" s="1">
        <f>'Data Sheet'!I90</f>
        <v>1051</v>
      </c>
      <c r="J15" s="1">
        <f>'Data Sheet'!J90</f>
        <v>1051</v>
      </c>
      <c r="K15" s="1">
        <f>'Data Sheet'!K90</f>
        <v>1051</v>
      </c>
      <c r="L15" s="1">
        <f>'Data Sheet'!B8</f>
        <v>1051</v>
      </c>
      <c r="M15" s="12">
        <f>M13*M14</f>
        <v>0</v>
      </c>
      <c r="N15" s="13">
        <f>N13*N14</f>
        <v>0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0.59000000000000008</v>
      </c>
      <c r="C18" s="7">
        <f>IF('Data Sheet'!C30&gt;0, 'Data Sheet'!C31/'Data Sheet'!C30, 0)</f>
        <v>0.6</v>
      </c>
      <c r="D18" s="7">
        <f>IF('Data Sheet'!D30&gt;0, 'Data Sheet'!D31/'Data Sheet'!D30, 0)</f>
        <v>0.45</v>
      </c>
      <c r="E18" s="7">
        <f>IF('Data Sheet'!E30&gt;0, 'Data Sheet'!E31/'Data Sheet'!E30, 0)</f>
        <v>0.59</v>
      </c>
      <c r="F18" s="7">
        <f>IF('Data Sheet'!F30&gt;0, 'Data Sheet'!F31/'Data Sheet'!F30, 0)</f>
        <v>0.59</v>
      </c>
      <c r="G18" s="7">
        <f>IF('Data Sheet'!G30&gt;0, 'Data Sheet'!G31/'Data Sheet'!G30, 0)</f>
        <v>0.57999999999999996</v>
      </c>
      <c r="H18" s="7">
        <f>IF('Data Sheet'!H30&gt;0, 'Data Sheet'!H31/'Data Sheet'!H30, 0)</f>
        <v>0.73</v>
      </c>
      <c r="I18" s="7">
        <f>IF('Data Sheet'!I30&gt;0, 'Data Sheet'!I31/'Data Sheet'!I30, 0)</f>
        <v>0.67</v>
      </c>
      <c r="J18" s="7">
        <f>IF('Data Sheet'!J30&gt;0, 'Data Sheet'!J31/'Data Sheet'!J30, 0)</f>
        <v>0.66</v>
      </c>
      <c r="K18" s="7">
        <f>IF('Data Sheet'!K30&gt;0, 'Data Sheet'!K31/'Data Sheet'!K30, 0)</f>
        <v>2.1610882110469909</v>
      </c>
    </row>
    <row r="19" spans="1:14" x14ac:dyDescent="0.3">
      <c r="A19" s="6" t="s">
        <v>18</v>
      </c>
      <c r="B19" s="7">
        <f t="shared" ref="B19:L19" si="4">IF(B6&gt;0,B6/B4,0)</f>
        <v>0.26689543688494372</v>
      </c>
      <c r="C19" s="7">
        <f t="shared" ref="C19:K19" si="5">IF(C6&gt;0,C6/C4,0)</f>
        <v>0.24396734200181433</v>
      </c>
      <c r="D19" s="7">
        <f t="shared" si="5"/>
        <v>0.24525558700752279</v>
      </c>
      <c r="E19" s="7">
        <f t="shared" si="5"/>
        <v>0.27757982323433394</v>
      </c>
      <c r="F19" s="7">
        <f t="shared" si="5"/>
        <v>0.25888475102966929</v>
      </c>
      <c r="G19" s="7">
        <f t="shared" si="5"/>
        <v>0.23935898396778568</v>
      </c>
      <c r="H19" s="7">
        <f t="shared" si="5"/>
        <v>0.23703390381987374</v>
      </c>
      <c r="I19" s="7">
        <f t="shared" si="5"/>
        <v>0.24072642493404503</v>
      </c>
      <c r="J19" s="7">
        <f t="shared" si="5"/>
        <v>0.23666386789812482</v>
      </c>
      <c r="K19" s="7">
        <f t="shared" si="5"/>
        <v>0.23699493991830189</v>
      </c>
      <c r="L19" s="7">
        <f t="shared" si="4"/>
        <v>0.23699493991830189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0.11283150958442922</v>
      </c>
      <c r="I23" s="7">
        <f>IF(D4=0,"",POWER($K4/D4,1/7)-1)</f>
        <v>0.10667713066287776</v>
      </c>
      <c r="J23" s="7">
        <f>IF(F4=0,"",POWER($K4/F4,1/5)-1)</f>
        <v>8.6980800431641025E-2</v>
      </c>
      <c r="K23" s="7">
        <f>IF(H4=0,"",POWER($K4/H4, 1/3)-1)</f>
        <v>6.3000377380010963E-2</v>
      </c>
      <c r="L23" s="7">
        <f>IF(ISERROR(MAX(IF(J4=0,"",(K4-J4)/J4),IF(K4=0,"",(L4-K4)/K4))),"",MAX(IF(J4=0,"",(K4-J4)/J4),IF(K4=0,"",(L4-K4)/K4)))</f>
        <v>3.3204589980408622E-2</v>
      </c>
      <c r="M23" s="22">
        <f>MAX(K23:L23)</f>
        <v>6.3000377380010963E-2</v>
      </c>
      <c r="N23" s="22">
        <f>MIN(H23:L23)</f>
        <v>3.3204589980408622E-2</v>
      </c>
    </row>
    <row r="24" spans="1:14" x14ac:dyDescent="0.3">
      <c r="G24" s="6" t="s">
        <v>18</v>
      </c>
      <c r="H24" s="7">
        <f>IF(SUM(B4:$K$4)=0,"",SUMPRODUCT(B19:$K$19,B4:$K$4)/SUM(B4:$K$4))</f>
        <v>0.24556375506667905</v>
      </c>
      <c r="I24" s="7">
        <f>IF(SUM(E4:$K$4)=0,"",SUMPRODUCT(E19:$K$19,E4:$K$4)/SUM(E4:$K$4))</f>
        <v>0.24428188395571201</v>
      </c>
      <c r="J24" s="7">
        <f>IF(SUM(G4:$K$4)=0,"",SUMPRODUCT(G19:$K$19,G4:$K$4)/SUM(G4:$K$4))</f>
        <v>0.23808607902411999</v>
      </c>
      <c r="K24" s="7">
        <f>IF(SUM(I4:$K$4)=0, "", SUMPRODUCT(I19:$K$19,I4:$K$4)/SUM(I4:$K$4))</f>
        <v>0.23803831842834394</v>
      </c>
      <c r="L24" s="7">
        <f>L19</f>
        <v>0.23699493991830189</v>
      </c>
      <c r="M24" s="22">
        <f>MAX(K24:L24)</f>
        <v>0.23803831842834394</v>
      </c>
      <c r="N24" s="22">
        <f>MIN(H24:L24)</f>
        <v>0.23699493991830189</v>
      </c>
    </row>
    <row r="25" spans="1:14" x14ac:dyDescent="0.3">
      <c r="G25" s="6" t="s">
        <v>23</v>
      </c>
      <c r="H25" s="9">
        <f>IF(ISERROR(AVERAGEIF(B14:$L14,"&gt;0")),"",AVERAGEIF(B14:$L14,"&gt;0"))</f>
        <v>21.816738054413392</v>
      </c>
      <c r="I25" s="9">
        <f>IF(ISERROR(AVERAGEIF(E14:$L14,"&gt;0")),"",AVERAGEIF(E14:$L14,"&gt;0"))</f>
        <v>18.688720210203279</v>
      </c>
      <c r="J25" s="9">
        <f>IF(ISERROR(AVERAGEIF(G14:$L14,"&gt;0")),"",AVERAGEIF(G14:$L14,"&gt;0"))</f>
        <v>17.141333326483558</v>
      </c>
      <c r="K25" s="9">
        <f>IF(ISERROR(AVERAGEIF(I14:$L14,"&gt;0")),"",AVERAGEIF(I14:$L14,"&gt;0"))</f>
        <v>16.106123601842363</v>
      </c>
      <c r="L25" s="9">
        <f>L14</f>
        <v>14.070338004946416</v>
      </c>
      <c r="M25" s="1">
        <f>MAX(K25:L25)</f>
        <v>16.106123601842363</v>
      </c>
      <c r="N25" s="1">
        <f>MIN(H25:L25)</f>
        <v>14.070338004946416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Infosys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45352</v>
      </c>
      <c r="C3" s="16">
        <f>'Data Sheet'!C41</f>
        <v>45444</v>
      </c>
      <c r="D3" s="16">
        <f>'Data Sheet'!D41</f>
        <v>45536</v>
      </c>
      <c r="E3" s="16">
        <f>'Data Sheet'!E41</f>
        <v>45627</v>
      </c>
      <c r="F3" s="16">
        <f>'Data Sheet'!F41</f>
        <v>45717</v>
      </c>
      <c r="G3" s="16">
        <f>'Data Sheet'!G41</f>
        <v>45809</v>
      </c>
      <c r="H3" s="16">
        <f>'Data Sheet'!H41</f>
        <v>45901</v>
      </c>
      <c r="I3" s="16">
        <f>'Data Sheet'!I41</f>
        <v>45992</v>
      </c>
      <c r="J3" s="16">
        <f>'Data Sheet'!J41</f>
        <v>46082</v>
      </c>
      <c r="K3" s="16">
        <f>'Data Sheet'!K41</f>
        <v>46174</v>
      </c>
    </row>
    <row r="4" spans="1:11" s="8" customFormat="1" x14ac:dyDescent="0.3">
      <c r="A4" s="8" t="s">
        <v>6</v>
      </c>
      <c r="B4" s="1">
        <f>'Data Sheet'!B42</f>
        <v>37923</v>
      </c>
      <c r="C4" s="1">
        <f>'Data Sheet'!C42</f>
        <v>39315</v>
      </c>
      <c r="D4" s="1">
        <f>'Data Sheet'!D42</f>
        <v>40986</v>
      </c>
      <c r="E4" s="1">
        <f>'Data Sheet'!E42</f>
        <v>41764</v>
      </c>
      <c r="F4" s="1">
        <f>'Data Sheet'!F42</f>
        <v>40925</v>
      </c>
      <c r="G4" s="1">
        <f>'Data Sheet'!G42</f>
        <v>42279</v>
      </c>
      <c r="H4" s="1">
        <f>'Data Sheet'!H42</f>
        <v>44490</v>
      </c>
      <c r="I4" s="1">
        <f>'Data Sheet'!I42</f>
        <v>45479</v>
      </c>
      <c r="J4" s="1">
        <f>'Data Sheet'!J42</f>
        <v>46402</v>
      </c>
      <c r="K4" s="1">
        <f>'Data Sheet'!K42</f>
        <v>48211</v>
      </c>
    </row>
    <row r="5" spans="1:11" x14ac:dyDescent="0.3">
      <c r="A5" s="6" t="s">
        <v>7</v>
      </c>
      <c r="B5" s="9">
        <f>'Data Sheet'!B43</f>
        <v>29139</v>
      </c>
      <c r="C5" s="9">
        <f>'Data Sheet'!C43</f>
        <v>29878</v>
      </c>
      <c r="D5" s="9">
        <f>'Data Sheet'!D43</f>
        <v>31177</v>
      </c>
      <c r="E5" s="9">
        <f>'Data Sheet'!E43</f>
        <v>31649</v>
      </c>
      <c r="F5" s="9">
        <f>'Data Sheet'!F43</f>
        <v>31051</v>
      </c>
      <c r="G5" s="9">
        <f>'Data Sheet'!G43</f>
        <v>32336</v>
      </c>
      <c r="H5" s="9">
        <f>'Data Sheet'!H43</f>
        <v>33955</v>
      </c>
      <c r="I5" s="9">
        <f>'Data Sheet'!I43</f>
        <v>34845</v>
      </c>
      <c r="J5" s="9">
        <f>'Data Sheet'!J43</f>
        <v>35235</v>
      </c>
      <c r="K5" s="9">
        <f>'Data Sheet'!K43</f>
        <v>36802</v>
      </c>
    </row>
    <row r="6" spans="1:11" s="8" customFormat="1" x14ac:dyDescent="0.3">
      <c r="A6" s="8" t="s">
        <v>8</v>
      </c>
      <c r="B6" s="1">
        <f>'Data Sheet'!B50</f>
        <v>8784</v>
      </c>
      <c r="C6" s="1">
        <f>'Data Sheet'!C50</f>
        <v>9437</v>
      </c>
      <c r="D6" s="1">
        <f>'Data Sheet'!D50</f>
        <v>9809</v>
      </c>
      <c r="E6" s="1">
        <f>'Data Sheet'!E50</f>
        <v>10115</v>
      </c>
      <c r="F6" s="1">
        <f>'Data Sheet'!F50</f>
        <v>9874</v>
      </c>
      <c r="G6" s="1">
        <f>'Data Sheet'!G50</f>
        <v>9943</v>
      </c>
      <c r="H6" s="1">
        <f>'Data Sheet'!H50</f>
        <v>10535</v>
      </c>
      <c r="I6" s="1">
        <f>'Data Sheet'!I50</f>
        <v>10634</v>
      </c>
      <c r="J6" s="1">
        <f>'Data Sheet'!J50</f>
        <v>11167</v>
      </c>
      <c r="K6" s="1">
        <f>'Data Sheet'!K50</f>
        <v>11409</v>
      </c>
    </row>
    <row r="7" spans="1:11" x14ac:dyDescent="0.3">
      <c r="A7" s="6" t="s">
        <v>9</v>
      </c>
      <c r="B7" s="9">
        <f>'Data Sheet'!B44</f>
        <v>2729</v>
      </c>
      <c r="C7" s="9">
        <f>'Data Sheet'!C44</f>
        <v>838</v>
      </c>
      <c r="D7" s="9">
        <f>'Data Sheet'!D44</f>
        <v>712</v>
      </c>
      <c r="E7" s="9">
        <f>'Data Sheet'!E44</f>
        <v>859</v>
      </c>
      <c r="F7" s="9">
        <f>'Data Sheet'!F44</f>
        <v>1190</v>
      </c>
      <c r="G7" s="9">
        <f>'Data Sheet'!G44</f>
        <v>1042</v>
      </c>
      <c r="H7" s="9">
        <f>'Data Sheet'!H44</f>
        <v>982</v>
      </c>
      <c r="I7" s="9">
        <f>'Data Sheet'!I44</f>
        <v>-150</v>
      </c>
      <c r="J7" s="9">
        <f>'Data Sheet'!J44</f>
        <v>1159</v>
      </c>
      <c r="K7" s="9">
        <f>'Data Sheet'!K44</f>
        <v>984</v>
      </c>
    </row>
    <row r="8" spans="1:11" x14ac:dyDescent="0.3">
      <c r="A8" s="6" t="s">
        <v>10</v>
      </c>
      <c r="B8" s="9">
        <f>'Data Sheet'!B45</f>
        <v>1163</v>
      </c>
      <c r="C8" s="9">
        <f>'Data Sheet'!C45</f>
        <v>1149</v>
      </c>
      <c r="D8" s="9">
        <f>'Data Sheet'!D45</f>
        <v>1160</v>
      </c>
      <c r="E8" s="9">
        <f>'Data Sheet'!E45</f>
        <v>1203</v>
      </c>
      <c r="F8" s="9">
        <f>'Data Sheet'!F45</f>
        <v>1299</v>
      </c>
      <c r="G8" s="9">
        <f>'Data Sheet'!G45</f>
        <v>1140</v>
      </c>
      <c r="H8" s="9">
        <f>'Data Sheet'!H45</f>
        <v>1182</v>
      </c>
      <c r="I8" s="9">
        <f>'Data Sheet'!I45</f>
        <v>1155</v>
      </c>
      <c r="J8" s="9">
        <f>'Data Sheet'!J45</f>
        <v>1424</v>
      </c>
      <c r="K8" s="9">
        <f>'Data Sheet'!K45</f>
        <v>1246</v>
      </c>
    </row>
    <row r="9" spans="1:11" x14ac:dyDescent="0.3">
      <c r="A9" s="6" t="s">
        <v>11</v>
      </c>
      <c r="B9" s="9">
        <f>'Data Sheet'!B46</f>
        <v>110</v>
      </c>
      <c r="C9" s="9">
        <f>'Data Sheet'!C46</f>
        <v>105</v>
      </c>
      <c r="D9" s="9">
        <f>'Data Sheet'!D46</f>
        <v>108</v>
      </c>
      <c r="E9" s="9">
        <f>'Data Sheet'!E46</f>
        <v>101</v>
      </c>
      <c r="F9" s="9">
        <f>'Data Sheet'!F46</f>
        <v>102</v>
      </c>
      <c r="G9" s="9">
        <f>'Data Sheet'!G46</f>
        <v>105</v>
      </c>
      <c r="H9" s="9">
        <f>'Data Sheet'!H46</f>
        <v>106</v>
      </c>
      <c r="I9" s="9">
        <f>'Data Sheet'!I46</f>
        <v>100</v>
      </c>
      <c r="J9" s="9">
        <f>'Data Sheet'!J46</f>
        <v>105</v>
      </c>
      <c r="K9" s="9">
        <f>'Data Sheet'!K46</f>
        <v>119</v>
      </c>
    </row>
    <row r="10" spans="1:11" x14ac:dyDescent="0.3">
      <c r="A10" s="6" t="s">
        <v>12</v>
      </c>
      <c r="B10" s="9">
        <f>'Data Sheet'!B47</f>
        <v>10240</v>
      </c>
      <c r="C10" s="9">
        <f>'Data Sheet'!C47</f>
        <v>9021</v>
      </c>
      <c r="D10" s="9">
        <f>'Data Sheet'!D47</f>
        <v>9253</v>
      </c>
      <c r="E10" s="9">
        <f>'Data Sheet'!E47</f>
        <v>9670</v>
      </c>
      <c r="F10" s="9">
        <f>'Data Sheet'!F47</f>
        <v>9663</v>
      </c>
      <c r="G10" s="9">
        <f>'Data Sheet'!G47</f>
        <v>9740</v>
      </c>
      <c r="H10" s="9">
        <f>'Data Sheet'!H47</f>
        <v>10229</v>
      </c>
      <c r="I10" s="9">
        <f>'Data Sheet'!I47</f>
        <v>9229</v>
      </c>
      <c r="J10" s="9">
        <f>'Data Sheet'!J47</f>
        <v>10797</v>
      </c>
      <c r="K10" s="9">
        <f>'Data Sheet'!K47</f>
        <v>11028</v>
      </c>
    </row>
    <row r="11" spans="1:11" x14ac:dyDescent="0.3">
      <c r="A11" s="6" t="s">
        <v>13</v>
      </c>
      <c r="B11" s="9">
        <f>'Data Sheet'!B48</f>
        <v>10240</v>
      </c>
      <c r="C11" s="9">
        <f>'Data Sheet'!C48</f>
        <v>9021</v>
      </c>
      <c r="D11" s="9">
        <f>'Data Sheet'!D48</f>
        <v>9253</v>
      </c>
      <c r="E11" s="9">
        <f>'Data Sheet'!E48</f>
        <v>9670</v>
      </c>
      <c r="F11" s="9">
        <f>'Data Sheet'!F48</f>
        <v>9663</v>
      </c>
      <c r="G11" s="9">
        <f>'Data Sheet'!G48</f>
        <v>9740</v>
      </c>
      <c r="H11" s="9">
        <f>'Data Sheet'!H48</f>
        <v>10229</v>
      </c>
      <c r="I11" s="9">
        <f>'Data Sheet'!I48</f>
        <v>9229</v>
      </c>
      <c r="J11" s="9">
        <f>'Data Sheet'!J48</f>
        <v>10797</v>
      </c>
      <c r="K11" s="9">
        <f>'Data Sheet'!K48</f>
        <v>11028</v>
      </c>
    </row>
    <row r="12" spans="1:11" s="8" customFormat="1" x14ac:dyDescent="0.3">
      <c r="A12" s="8" t="s">
        <v>14</v>
      </c>
      <c r="B12" s="1">
        <f>'Data Sheet'!B49</f>
        <v>7975</v>
      </c>
      <c r="C12" s="1">
        <f>'Data Sheet'!C49</f>
        <v>6374</v>
      </c>
      <c r="D12" s="1">
        <f>'Data Sheet'!D49</f>
        <v>6516</v>
      </c>
      <c r="E12" s="1">
        <f>'Data Sheet'!E49</f>
        <v>6822</v>
      </c>
      <c r="F12" s="1">
        <f>'Data Sheet'!F49</f>
        <v>7038</v>
      </c>
      <c r="G12" s="1">
        <f>'Data Sheet'!G49</f>
        <v>6924</v>
      </c>
      <c r="H12" s="1">
        <f>'Data Sheet'!H49</f>
        <v>7375</v>
      </c>
      <c r="I12" s="1">
        <f>'Data Sheet'!I49</f>
        <v>6666</v>
      </c>
      <c r="J12" s="1">
        <f>'Data Sheet'!J49</f>
        <v>8509</v>
      </c>
      <c r="K12" s="1">
        <f>'Data Sheet'!K49</f>
        <v>7775</v>
      </c>
    </row>
    <row r="14" spans="1:11" s="8" customFormat="1" x14ac:dyDescent="0.3">
      <c r="A14" s="2" t="s">
        <v>18</v>
      </c>
      <c r="B14" s="14">
        <f>IF(B4&gt;0,B6/B4,"")</f>
        <v>0.2316272446800095</v>
      </c>
      <c r="C14" s="14">
        <f t="shared" ref="C14:K14" si="0">IF(C4&gt;0,C6/C4,"")</f>
        <v>0.24003560981813557</v>
      </c>
      <c r="D14" s="14">
        <f t="shared" si="0"/>
        <v>0.23932562338359439</v>
      </c>
      <c r="E14" s="14">
        <f t="shared" si="0"/>
        <v>0.2421942342687482</v>
      </c>
      <c r="F14" s="14">
        <f t="shared" si="0"/>
        <v>0.24127061698228466</v>
      </c>
      <c r="G14" s="14">
        <f t="shared" si="0"/>
        <v>0.23517585562572435</v>
      </c>
      <c r="H14" s="14">
        <f t="shared" si="0"/>
        <v>0.23679478534502135</v>
      </c>
      <c r="I14" s="14">
        <f t="shared" si="0"/>
        <v>0.2338222036544339</v>
      </c>
      <c r="J14" s="14">
        <f t="shared" si="0"/>
        <v>0.24065773027024698</v>
      </c>
      <c r="K14" s="14">
        <f t="shared" si="0"/>
        <v>0.2366472381821576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Infosys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42795</v>
      </c>
      <c r="C3" s="16">
        <f>'Data Sheet'!C56</f>
        <v>43160</v>
      </c>
      <c r="D3" s="16">
        <f>'Data Sheet'!D56</f>
        <v>43525</v>
      </c>
      <c r="E3" s="16">
        <f>'Data Sheet'!E56</f>
        <v>43891</v>
      </c>
      <c r="F3" s="16">
        <f>'Data Sheet'!F56</f>
        <v>44256</v>
      </c>
      <c r="G3" s="16">
        <f>'Data Sheet'!G56</f>
        <v>44621</v>
      </c>
      <c r="H3" s="16">
        <f>'Data Sheet'!H56</f>
        <v>44986</v>
      </c>
      <c r="I3" s="16">
        <f>'Data Sheet'!I56</f>
        <v>45352</v>
      </c>
      <c r="J3" s="16">
        <f>'Data Sheet'!J56</f>
        <v>45717</v>
      </c>
      <c r="K3" s="16">
        <f>'Data Sheet'!K56</f>
        <v>46082</v>
      </c>
    </row>
    <row r="4" spans="1:11" x14ac:dyDescent="0.3">
      <c r="A4" s="6" t="s">
        <v>24</v>
      </c>
      <c r="B4" s="19">
        <f>'Data Sheet'!B57</f>
        <v>1144</v>
      </c>
      <c r="C4" s="19">
        <f>'Data Sheet'!C57</f>
        <v>1088</v>
      </c>
      <c r="D4" s="19">
        <f>'Data Sheet'!D57</f>
        <v>2170</v>
      </c>
      <c r="E4" s="19">
        <f>'Data Sheet'!E57</f>
        <v>2122</v>
      </c>
      <c r="F4" s="19">
        <f>'Data Sheet'!F57</f>
        <v>2124</v>
      </c>
      <c r="G4" s="19">
        <f>'Data Sheet'!G57</f>
        <v>2098</v>
      </c>
      <c r="H4" s="19">
        <f>'Data Sheet'!H57</f>
        <v>2069</v>
      </c>
      <c r="I4" s="19">
        <f>'Data Sheet'!I57</f>
        <v>2071</v>
      </c>
      <c r="J4" s="19">
        <f>'Data Sheet'!J57</f>
        <v>2073</v>
      </c>
      <c r="K4" s="19">
        <f>'Data Sheet'!K57</f>
        <v>2024</v>
      </c>
    </row>
    <row r="5" spans="1:11" s="6" customFormat="1" x14ac:dyDescent="0.3">
      <c r="A5" s="6" t="s">
        <v>25</v>
      </c>
      <c r="B5" s="19">
        <f>'Data Sheet'!B58</f>
        <v>67838</v>
      </c>
      <c r="C5" s="19">
        <f>'Data Sheet'!C58</f>
        <v>63835</v>
      </c>
      <c r="D5" s="19">
        <f>'Data Sheet'!D58</f>
        <v>62778</v>
      </c>
      <c r="E5" s="19">
        <f>'Data Sheet'!E58</f>
        <v>63328</v>
      </c>
      <c r="F5" s="19">
        <f>'Data Sheet'!F58</f>
        <v>74227</v>
      </c>
      <c r="G5" s="19">
        <f>'Data Sheet'!G58</f>
        <v>73252</v>
      </c>
      <c r="H5" s="19">
        <f>'Data Sheet'!H58</f>
        <v>73338</v>
      </c>
      <c r="I5" s="19">
        <f>'Data Sheet'!I58</f>
        <v>86045</v>
      </c>
      <c r="J5" s="19">
        <f>'Data Sheet'!J58</f>
        <v>93745</v>
      </c>
      <c r="K5" s="19">
        <f>'Data Sheet'!K58</f>
        <v>90828</v>
      </c>
    </row>
    <row r="6" spans="1:11" x14ac:dyDescent="0.3">
      <c r="A6" s="11" t="s">
        <v>71</v>
      </c>
      <c r="B6" s="19">
        <f>'Data Sheet'!B59</f>
        <v>0</v>
      </c>
      <c r="C6" s="19">
        <f>'Data Sheet'!C59</f>
        <v>0</v>
      </c>
      <c r="D6" s="19">
        <f>'Data Sheet'!D59</f>
        <v>0</v>
      </c>
      <c r="E6" s="19">
        <f>'Data Sheet'!E59</f>
        <v>4633</v>
      </c>
      <c r="F6" s="19">
        <f>'Data Sheet'!F59</f>
        <v>5325</v>
      </c>
      <c r="G6" s="19">
        <f>'Data Sheet'!G59</f>
        <v>5474</v>
      </c>
      <c r="H6" s="19">
        <f>'Data Sheet'!H59</f>
        <v>8299</v>
      </c>
      <c r="I6" s="19">
        <f>'Data Sheet'!I59</f>
        <v>8359</v>
      </c>
      <c r="J6" s="19">
        <f>'Data Sheet'!J59</f>
        <v>8227</v>
      </c>
      <c r="K6" s="19">
        <f>'Data Sheet'!K59</f>
        <v>9176</v>
      </c>
    </row>
    <row r="7" spans="1:11" s="6" customFormat="1" x14ac:dyDescent="0.3">
      <c r="A7" s="11" t="s">
        <v>72</v>
      </c>
      <c r="B7" s="19">
        <f>'Data Sheet'!B60</f>
        <v>14166</v>
      </c>
      <c r="C7" s="19">
        <f>'Data Sheet'!C60</f>
        <v>14426</v>
      </c>
      <c r="D7" s="19">
        <f>'Data Sheet'!D60</f>
        <v>19118</v>
      </c>
      <c r="E7" s="19">
        <f>'Data Sheet'!E60</f>
        <v>21717</v>
      </c>
      <c r="F7" s="19">
        <f>'Data Sheet'!F60</f>
        <v>25835</v>
      </c>
      <c r="G7" s="19">
        <f>'Data Sheet'!G60</f>
        <v>35905</v>
      </c>
      <c r="H7" s="19">
        <f>'Data Sheet'!H60</f>
        <v>40890</v>
      </c>
      <c r="I7" s="19">
        <f>'Data Sheet'!I60</f>
        <v>39545</v>
      </c>
      <c r="J7" s="19">
        <f>'Data Sheet'!J60</f>
        <v>43750</v>
      </c>
      <c r="K7" s="19">
        <f>'Data Sheet'!K60</f>
        <v>52260</v>
      </c>
    </row>
    <row r="8" spans="1:11" s="8" customFormat="1" x14ac:dyDescent="0.3">
      <c r="A8" s="8" t="s">
        <v>26</v>
      </c>
      <c r="B8" s="20">
        <f>'Data Sheet'!B61</f>
        <v>83148</v>
      </c>
      <c r="C8" s="20">
        <f>'Data Sheet'!C61</f>
        <v>79349</v>
      </c>
      <c r="D8" s="20">
        <f>'Data Sheet'!D61</f>
        <v>84066</v>
      </c>
      <c r="E8" s="20">
        <f>'Data Sheet'!E61</f>
        <v>91800</v>
      </c>
      <c r="F8" s="20">
        <f>'Data Sheet'!F61</f>
        <v>107511</v>
      </c>
      <c r="G8" s="20">
        <f>'Data Sheet'!G61</f>
        <v>116729</v>
      </c>
      <c r="H8" s="20">
        <f>'Data Sheet'!H61</f>
        <v>124596</v>
      </c>
      <c r="I8" s="20">
        <f>'Data Sheet'!I61</f>
        <v>136020</v>
      </c>
      <c r="J8" s="20">
        <f>'Data Sheet'!J61</f>
        <v>147795</v>
      </c>
      <c r="K8" s="20">
        <f>'Data Sheet'!K61</f>
        <v>154288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14179</v>
      </c>
      <c r="C10" s="19">
        <f>'Data Sheet'!C62</f>
        <v>12574</v>
      </c>
      <c r="D10" s="19">
        <f>'Data Sheet'!D62</f>
        <v>15710</v>
      </c>
      <c r="E10" s="19">
        <f>'Data Sheet'!E62</f>
        <v>23789</v>
      </c>
      <c r="F10" s="19">
        <f>'Data Sheet'!F62</f>
        <v>25505</v>
      </c>
      <c r="G10" s="19">
        <f>'Data Sheet'!G62</f>
        <v>25800</v>
      </c>
      <c r="H10" s="19">
        <f>'Data Sheet'!H62</f>
        <v>29225</v>
      </c>
      <c r="I10" s="19">
        <f>'Data Sheet'!I62</f>
        <v>27622</v>
      </c>
      <c r="J10" s="19">
        <f>'Data Sheet'!J62</f>
        <v>30961</v>
      </c>
      <c r="K10" s="19">
        <f>'Data Sheet'!K62</f>
        <v>33770</v>
      </c>
    </row>
    <row r="11" spans="1:11" x14ac:dyDescent="0.3">
      <c r="A11" s="6" t="s">
        <v>28</v>
      </c>
      <c r="B11" s="19">
        <f>'Data Sheet'!B63</f>
        <v>1365</v>
      </c>
      <c r="C11" s="19">
        <f>'Data Sheet'!C63</f>
        <v>1606</v>
      </c>
      <c r="D11" s="19">
        <f>'Data Sheet'!D63</f>
        <v>1388</v>
      </c>
      <c r="E11" s="19">
        <f>'Data Sheet'!E63</f>
        <v>954</v>
      </c>
      <c r="F11" s="19">
        <f>'Data Sheet'!F63</f>
        <v>922</v>
      </c>
      <c r="G11" s="19">
        <f>'Data Sheet'!G63</f>
        <v>416</v>
      </c>
      <c r="H11" s="19">
        <f>'Data Sheet'!H63</f>
        <v>288</v>
      </c>
      <c r="I11" s="19">
        <f>'Data Sheet'!I63</f>
        <v>293</v>
      </c>
      <c r="J11" s="19">
        <f>'Data Sheet'!J63</f>
        <v>814</v>
      </c>
      <c r="K11" s="19">
        <f>'Data Sheet'!K63</f>
        <v>526</v>
      </c>
    </row>
    <row r="12" spans="1:11" x14ac:dyDescent="0.3">
      <c r="A12" s="6" t="s">
        <v>29</v>
      </c>
      <c r="B12" s="19">
        <f>'Data Sheet'!B64</f>
        <v>16423</v>
      </c>
      <c r="C12" s="19">
        <f>'Data Sheet'!C64</f>
        <v>12163</v>
      </c>
      <c r="D12" s="19">
        <f>'Data Sheet'!D64</f>
        <v>11261</v>
      </c>
      <c r="E12" s="19">
        <f>'Data Sheet'!E64</f>
        <v>8792</v>
      </c>
      <c r="F12" s="19">
        <f>'Data Sheet'!F64</f>
        <v>14205</v>
      </c>
      <c r="G12" s="19">
        <f>'Data Sheet'!G64</f>
        <v>20324</v>
      </c>
      <c r="H12" s="19">
        <f>'Data Sheet'!H64</f>
        <v>19478</v>
      </c>
      <c r="I12" s="19">
        <f>'Data Sheet'!I64</f>
        <v>24623</v>
      </c>
      <c r="J12" s="19">
        <f>'Data Sheet'!J64</f>
        <v>23541</v>
      </c>
      <c r="K12" s="19">
        <f>'Data Sheet'!K64</f>
        <v>21880</v>
      </c>
    </row>
    <row r="13" spans="1:11" x14ac:dyDescent="0.3">
      <c r="A13" s="11" t="s">
        <v>73</v>
      </c>
      <c r="B13" s="19">
        <f>'Data Sheet'!B65</f>
        <v>51181</v>
      </c>
      <c r="C13" s="19">
        <f>'Data Sheet'!C65</f>
        <v>53006</v>
      </c>
      <c r="D13" s="19">
        <f>'Data Sheet'!D65</f>
        <v>55707</v>
      </c>
      <c r="E13" s="19">
        <f>'Data Sheet'!E65</f>
        <v>58265</v>
      </c>
      <c r="F13" s="19">
        <f>'Data Sheet'!F65</f>
        <v>66879</v>
      </c>
      <c r="G13" s="19">
        <f>'Data Sheet'!G65</f>
        <v>70189</v>
      </c>
      <c r="H13" s="19">
        <f>'Data Sheet'!H65</f>
        <v>75605</v>
      </c>
      <c r="I13" s="19">
        <f>'Data Sheet'!I65</f>
        <v>83482</v>
      </c>
      <c r="J13" s="19">
        <f>'Data Sheet'!J65</f>
        <v>92479</v>
      </c>
      <c r="K13" s="19">
        <f>'Data Sheet'!K65</f>
        <v>98112</v>
      </c>
    </row>
    <row r="14" spans="1:11" s="8" customFormat="1" x14ac:dyDescent="0.3">
      <c r="A14" s="8" t="s">
        <v>26</v>
      </c>
      <c r="B14" s="19">
        <f>'Data Sheet'!B66</f>
        <v>83148</v>
      </c>
      <c r="C14" s="19">
        <f>'Data Sheet'!C66</f>
        <v>79349</v>
      </c>
      <c r="D14" s="19">
        <f>'Data Sheet'!D66</f>
        <v>84066</v>
      </c>
      <c r="E14" s="19">
        <f>'Data Sheet'!E66</f>
        <v>91800</v>
      </c>
      <c r="F14" s="19">
        <f>'Data Sheet'!F66</f>
        <v>107511</v>
      </c>
      <c r="G14" s="19">
        <f>'Data Sheet'!G66</f>
        <v>116729</v>
      </c>
      <c r="H14" s="19">
        <f>'Data Sheet'!H66</f>
        <v>124596</v>
      </c>
      <c r="I14" s="19">
        <f>'Data Sheet'!I66</f>
        <v>136020</v>
      </c>
      <c r="J14" s="19">
        <f>'Data Sheet'!J66</f>
        <v>147795</v>
      </c>
      <c r="K14" s="19">
        <f>'Data Sheet'!K66</f>
        <v>154288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37015</v>
      </c>
      <c r="C16" s="21">
        <f t="shared" ref="C16:K16" si="0">C13-C7</f>
        <v>38580</v>
      </c>
      <c r="D16" s="21">
        <f t="shared" si="0"/>
        <v>36589</v>
      </c>
      <c r="E16" s="21">
        <f t="shared" si="0"/>
        <v>36548</v>
      </c>
      <c r="F16" s="21">
        <f t="shared" si="0"/>
        <v>41044</v>
      </c>
      <c r="G16" s="21">
        <f t="shared" si="0"/>
        <v>34284</v>
      </c>
      <c r="H16" s="21">
        <f t="shared" si="0"/>
        <v>34715</v>
      </c>
      <c r="I16" s="21">
        <f t="shared" si="0"/>
        <v>43937</v>
      </c>
      <c r="J16" s="21">
        <f t="shared" si="0"/>
        <v>48729</v>
      </c>
      <c r="K16" s="21">
        <f t="shared" si="0"/>
        <v>45852</v>
      </c>
    </row>
    <row r="17" spans="1:11" x14ac:dyDescent="0.3">
      <c r="A17" s="11" t="s">
        <v>44</v>
      </c>
      <c r="B17" s="21">
        <f>'Data Sheet'!B67</f>
        <v>12322</v>
      </c>
      <c r="C17" s="21">
        <f>'Data Sheet'!C67</f>
        <v>13142</v>
      </c>
      <c r="D17" s="21">
        <f>'Data Sheet'!D67</f>
        <v>14827</v>
      </c>
      <c r="E17" s="21">
        <f>'Data Sheet'!E67</f>
        <v>18487</v>
      </c>
      <c r="F17" s="21">
        <f>'Data Sheet'!F67</f>
        <v>19294</v>
      </c>
      <c r="G17" s="21">
        <f>'Data Sheet'!G67</f>
        <v>22698</v>
      </c>
      <c r="H17" s="21">
        <f>'Data Sheet'!H67</f>
        <v>25424</v>
      </c>
      <c r="I17" s="21">
        <f>'Data Sheet'!I67</f>
        <v>30193</v>
      </c>
      <c r="J17" s="21">
        <f>'Data Sheet'!J67</f>
        <v>31158</v>
      </c>
      <c r="K17" s="21">
        <f>'Data Sheet'!K67</f>
        <v>35234</v>
      </c>
    </row>
    <row r="18" spans="1:11" x14ac:dyDescent="0.3">
      <c r="A18" s="11" t="s">
        <v>45</v>
      </c>
      <c r="B18" s="21">
        <f>'Data Sheet'!B68</f>
        <v>8116.1</v>
      </c>
      <c r="C18" s="21">
        <f>'Data Sheet'!C68</f>
        <v>7495.09</v>
      </c>
      <c r="D18" s="21">
        <f>'Data Sheet'!D68</f>
        <v>7859.56</v>
      </c>
      <c r="E18" s="21">
        <f>'Data Sheet'!E68</f>
        <v>8879.33</v>
      </c>
      <c r="F18" s="21">
        <f>'Data Sheet'!F68</f>
        <v>10397.16</v>
      </c>
      <c r="G18" s="21">
        <f>'Data Sheet'!G68</f>
        <v>10864.15</v>
      </c>
      <c r="H18" s="21">
        <f>'Data Sheet'!H68</f>
        <v>11771.16</v>
      </c>
      <c r="I18" s="21">
        <f>'Data Sheet'!I68</f>
        <v>14152.88</v>
      </c>
      <c r="J18" s="21">
        <f>'Data Sheet'!J68</f>
        <v>15637.56</v>
      </c>
      <c r="K18" s="21">
        <f>'Data Sheet'!K68</f>
        <v>18622.96</v>
      </c>
    </row>
    <row r="20" spans="1:11" x14ac:dyDescent="0.3">
      <c r="A20" s="11" t="s">
        <v>46</v>
      </c>
      <c r="B20" s="5">
        <f>IF('Profit &amp; Loss'!B4&gt;0,'Balance Sheet'!B17/('Profit &amp; Loss'!B4/365),0)</f>
        <v>63.774850401293214</v>
      </c>
      <c r="C20" s="5">
        <f>IF('Profit &amp; Loss'!C4&gt;0,'Balance Sheet'!C17/('Profit &amp; Loss'!C4/365),0)</f>
        <v>58.020320532204408</v>
      </c>
      <c r="D20" s="5">
        <f>IF('Profit &amp; Loss'!D4&gt;0,'Balance Sheet'!D17/('Profit &amp; Loss'!D4/365),0)</f>
        <v>59.607835578416363</v>
      </c>
      <c r="E20" s="5">
        <f>IF('Profit &amp; Loss'!E4&gt;0,'Balance Sheet'!E17/('Profit &amp; Loss'!E4/365),0)</f>
        <v>67.160552193645998</v>
      </c>
      <c r="F20" s="5">
        <f>IF('Profit &amp; Loss'!F4&gt;0,'Balance Sheet'!F17/('Profit &amp; Loss'!F4/365),0)</f>
        <v>57.894213299792014</v>
      </c>
      <c r="G20" s="5">
        <f>IF('Profit &amp; Loss'!G4&gt;0,'Balance Sheet'!G17/('Profit &amp; Loss'!G4/365),0)</f>
        <v>56.448452308761503</v>
      </c>
      <c r="H20" s="5">
        <f>IF('Profit &amp; Loss'!H4&gt;0,'Balance Sheet'!H17/('Profit &amp; Loss'!H4/365),0)</f>
        <v>60.387583783432028</v>
      </c>
      <c r="I20" s="5">
        <f>IF('Profit &amp; Loss'!I4&gt;0,'Balance Sheet'!I17/('Profit &amp; Loss'!I4/365),0)</f>
        <v>67.61424013743175</v>
      </c>
      <c r="J20" s="5">
        <f>IF('Profit &amp; Loss'!J4&gt;0,'Balance Sheet'!J17/('Profit &amp; Loss'!J4/365),0)</f>
        <v>63.658942065491182</v>
      </c>
      <c r="K20" s="5">
        <f>IF('Profit &amp; Loss'!K4&gt;0,'Balance Sheet'!K17/('Profit &amp; Loss'!K4/365),0)</f>
        <v>69.67315339523897</v>
      </c>
    </row>
    <row r="21" spans="1:11" x14ac:dyDescent="0.3">
      <c r="A21" s="11" t="s">
        <v>47</v>
      </c>
      <c r="B21" s="5">
        <f>IF('Balance Sheet'!B18&gt;0,'Profit &amp; Loss'!B4/'Balance Sheet'!B18,0)</f>
        <v>8.6891487290693803</v>
      </c>
      <c r="C21" s="5">
        <f>IF('Balance Sheet'!C18&gt;0,'Profit &amp; Loss'!C4/'Balance Sheet'!C18,0)</f>
        <v>11.03055466979049</v>
      </c>
      <c r="D21" s="5">
        <f>IF('Balance Sheet'!D18&gt;0,'Profit &amp; Loss'!D4/'Balance Sheet'!D18,0)</f>
        <v>11.551664469766754</v>
      </c>
      <c r="E21" s="5">
        <f>IF('Balance Sheet'!E18&gt;0,'Profit &amp; Loss'!E4/'Balance Sheet'!E18,0)</f>
        <v>11.31526815649379</v>
      </c>
      <c r="F21" s="5">
        <f>IF('Balance Sheet'!F18&gt;0,'Profit &amp; Loss'!F4/'Balance Sheet'!F18,0)</f>
        <v>11.69944484840091</v>
      </c>
      <c r="G21" s="5">
        <f>IF('Balance Sheet'!G18&gt;0,'Profit &amp; Loss'!G4/'Balance Sheet'!G18,0)</f>
        <v>13.509294330435424</v>
      </c>
      <c r="H21" s="5">
        <f>IF('Balance Sheet'!H18&gt;0,'Profit &amp; Loss'!H4/'Balance Sheet'!H18,0)</f>
        <v>13.054788143224627</v>
      </c>
      <c r="I21" s="5">
        <f>IF('Balance Sheet'!I18&gt;0,'Profit &amp; Loss'!I4/'Balance Sheet'!I18,0)</f>
        <v>11.516383944469254</v>
      </c>
      <c r="J21" s="5">
        <f>IF('Balance Sheet'!J18&gt;0,'Profit &amp; Loss'!J4/'Balance Sheet'!J18,0)</f>
        <v>11.424416596962699</v>
      </c>
      <c r="K21" s="5">
        <f>IF('Balance Sheet'!K18&gt;0,'Profit &amp; Loss'!K4/'Balance Sheet'!K18,0)</f>
        <v>9.9115285647394398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0.23236496477341914</v>
      </c>
      <c r="C23" s="14">
        <f>IF(SUM('Balance Sheet'!C4:C5)&gt;0,'Profit &amp; Loss'!C12/SUM('Balance Sheet'!C4:C5),"")</f>
        <v>0.23735810113519093</v>
      </c>
      <c r="D23" s="14">
        <f>IF(SUM('Balance Sheet'!D4:D5)&gt;0,'Profit &amp; Loss'!D12/SUM('Balance Sheet'!D4:D5),"")</f>
        <v>0.25618956703824597</v>
      </c>
      <c r="E23" s="14">
        <f>IF(SUM('Balance Sheet'!E4:E5)&gt;0,'Profit &amp; Loss'!E12/SUM('Balance Sheet'!E4:E5),"")</f>
        <v>0.2967608861726509</v>
      </c>
      <c r="F23" s="14">
        <f>IF(SUM('Balance Sheet'!F4:F5)&gt;0,'Profit &amp; Loss'!F12/SUM('Balance Sheet'!F4:F5),"")</f>
        <v>0.29005514007675082</v>
      </c>
      <c r="G23" s="14">
        <f>IF(SUM('Balance Sheet'!G4:G5)&gt;0,'Profit &amp; Loss'!G12/SUM('Balance Sheet'!G4:G5),"")</f>
        <v>0.31994691439946915</v>
      </c>
      <c r="H23" s="14">
        <f>IF(SUM('Balance Sheet'!H4:H5)&gt;0,'Profit &amp; Loss'!H12/SUM('Balance Sheet'!H4:H5),"")</f>
        <v>0.34808439534791202</v>
      </c>
      <c r="I23" s="14">
        <f>IF(SUM('Balance Sheet'!I4:I5)&gt;0,'Profit &amp; Loss'!I12/SUM('Balance Sheet'!I4:I5),"")</f>
        <v>0.30357710290980072</v>
      </c>
      <c r="J23" s="14">
        <f>IF(SUM('Balance Sheet'!J4:J5)&gt;0,'Profit &amp; Loss'!J12/SUM('Balance Sheet'!J4:J5),"")</f>
        <v>0.3076039992485754</v>
      </c>
      <c r="K23" s="14">
        <f>IF(SUM('Balance Sheet'!K4:K5)&gt;0,'Profit &amp; Loss'!K12/SUM('Balance Sheet'!K4:K5),"")</f>
        <v>0.32659501141601688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0.31426757776035247</v>
      </c>
      <c r="D24" s="14">
        <f>IF((C4+C5+C6+D4+D5+D6)&gt;0,('Profit &amp; Loss'!D10+'Profit &amp; Loss'!D9)*2/(C4+C5+C6+D4+D5+D6),"")</f>
        <v>0.34152351179247098</v>
      </c>
      <c r="E24" s="14">
        <f>IF((D4+D5+D6+E4+E5+E6)&gt;0,('Profit &amp; Loss'!E10+'Profit &amp; Loss'!E9)*2/(D4+D5+D6+E4+E5+E6),"")</f>
        <v>0.3972865490146707</v>
      </c>
      <c r="F24" s="14">
        <f>IF((E4+E5+E6+F4+F5+F6)&gt;0,('Profit &amp; Loss'!F10+'Profit &amp; Loss'!F9)*2/(E4+E5+E6+F4+F5+F6),"")</f>
        <v>0.3994491265756891</v>
      </c>
      <c r="G24" s="14">
        <f>IF((F4+F5+F6+G4+G5+G6)&gt;0,('Profit &amp; Loss'!G10+'Profit &amp; Loss'!G9)*2/(F4+F5+F6+G4+G5+G6),"")</f>
        <v>0.41361230769230767</v>
      </c>
      <c r="H24" s="14">
        <f>IF((G4+G5+G6+H4+H5+H6)&gt;0,('Profit &amp; Loss'!H10+'Profit &amp; Loss'!H9)*2/(G4+G5+G6+H4+H5+H6),"")</f>
        <v>0.44317753601166959</v>
      </c>
      <c r="I24" s="14">
        <f>IF((H4+H5+H6+I4+I5+I6)&gt;0,('Profit &amp; Loss'!I10+'Profit &amp; Loss'!I9)*2/(H4+H5+H6+I4+I5+I6),"")</f>
        <v>0.4220644796066178</v>
      </c>
      <c r="J24" s="14">
        <f>IF((I4+I5+I6+J4+J5+J6)&gt;0,('Profit &amp; Loss'!J10+'Profit &amp; Loss'!J9)*2/(I4+I5+I6+J4+J5+J6),"")</f>
        <v>0.40306203869938162</v>
      </c>
      <c r="K24" s="14">
        <f>IF((J4+J5+J6+K4+K5+K6)&gt;0,('Profit &amp; Loss'!K10+'Profit &amp; Loss'!K9)*2/(J4+J5+J6+K4+K5+K6),"")</f>
        <v>0.404837120826115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Infosys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42795</v>
      </c>
      <c r="C3" s="16">
        <f>'Data Sheet'!C81</f>
        <v>43160</v>
      </c>
      <c r="D3" s="16">
        <f>'Data Sheet'!D81</f>
        <v>43525</v>
      </c>
      <c r="E3" s="16">
        <f>'Data Sheet'!E81</f>
        <v>43891</v>
      </c>
      <c r="F3" s="16">
        <f>'Data Sheet'!F81</f>
        <v>44256</v>
      </c>
      <c r="G3" s="16">
        <f>'Data Sheet'!G81</f>
        <v>44621</v>
      </c>
      <c r="H3" s="16">
        <f>'Data Sheet'!H81</f>
        <v>44986</v>
      </c>
      <c r="I3" s="16">
        <f>'Data Sheet'!I81</f>
        <v>45352</v>
      </c>
      <c r="J3" s="16">
        <f>'Data Sheet'!J81</f>
        <v>45717</v>
      </c>
      <c r="K3" s="16">
        <f>'Data Sheet'!K81</f>
        <v>46082</v>
      </c>
    </row>
    <row r="4" spans="1:11" s="8" customFormat="1" x14ac:dyDescent="0.3">
      <c r="A4" s="8" t="s">
        <v>32</v>
      </c>
      <c r="B4" s="1">
        <f>'Data Sheet'!B82</f>
        <v>11531</v>
      </c>
      <c r="C4" s="1">
        <f>'Data Sheet'!C82</f>
        <v>13218</v>
      </c>
      <c r="D4" s="1">
        <f>'Data Sheet'!D82</f>
        <v>14841</v>
      </c>
      <c r="E4" s="1">
        <f>'Data Sheet'!E82</f>
        <v>17003</v>
      </c>
      <c r="F4" s="1">
        <f>'Data Sheet'!F82</f>
        <v>23224</v>
      </c>
      <c r="G4" s="1">
        <f>'Data Sheet'!G82</f>
        <v>23885</v>
      </c>
      <c r="H4" s="1">
        <f>'Data Sheet'!H82</f>
        <v>22467</v>
      </c>
      <c r="I4" s="1">
        <f>'Data Sheet'!I82</f>
        <v>25210</v>
      </c>
      <c r="J4" s="1">
        <f>'Data Sheet'!J82</f>
        <v>35694</v>
      </c>
      <c r="K4" s="1">
        <f>'Data Sheet'!K82</f>
        <v>33986</v>
      </c>
    </row>
    <row r="5" spans="1:11" x14ac:dyDescent="0.3">
      <c r="A5" s="6" t="s">
        <v>33</v>
      </c>
      <c r="B5" s="9">
        <f>'Data Sheet'!B83</f>
        <v>-14664</v>
      </c>
      <c r="C5" s="9">
        <f>'Data Sheet'!C83</f>
        <v>4533</v>
      </c>
      <c r="D5" s="9">
        <f>'Data Sheet'!D83</f>
        <v>-632</v>
      </c>
      <c r="E5" s="9">
        <f>'Data Sheet'!E83</f>
        <v>-331</v>
      </c>
      <c r="F5" s="9">
        <f>'Data Sheet'!F83</f>
        <v>-7373</v>
      </c>
      <c r="G5" s="9">
        <f>'Data Sheet'!G83</f>
        <v>-6485</v>
      </c>
      <c r="H5" s="9">
        <f>'Data Sheet'!H83</f>
        <v>-1071</v>
      </c>
      <c r="I5" s="9">
        <f>'Data Sheet'!I83</f>
        <v>-5093</v>
      </c>
      <c r="J5" s="9">
        <f>'Data Sheet'!J83</f>
        <v>-1864</v>
      </c>
      <c r="K5" s="9">
        <f>'Data Sheet'!K83</f>
        <v>3546</v>
      </c>
    </row>
    <row r="6" spans="1:11" x14ac:dyDescent="0.3">
      <c r="A6" s="6" t="s">
        <v>34</v>
      </c>
      <c r="B6" s="9">
        <f>'Data Sheet'!B84</f>
        <v>-6939</v>
      </c>
      <c r="C6" s="9">
        <f>'Data Sheet'!C84</f>
        <v>-20505</v>
      </c>
      <c r="D6" s="9">
        <f>'Data Sheet'!D84</f>
        <v>-14512</v>
      </c>
      <c r="E6" s="9">
        <f>'Data Sheet'!E84</f>
        <v>-17591</v>
      </c>
      <c r="F6" s="9">
        <f>'Data Sheet'!F84</f>
        <v>-9786</v>
      </c>
      <c r="G6" s="9">
        <f>'Data Sheet'!G84</f>
        <v>-24642</v>
      </c>
      <c r="H6" s="9">
        <f>'Data Sheet'!H84</f>
        <v>-26695</v>
      </c>
      <c r="I6" s="9">
        <f>'Data Sheet'!I84</f>
        <v>-17504</v>
      </c>
      <c r="J6" s="9">
        <f>'Data Sheet'!J84</f>
        <v>-24161</v>
      </c>
      <c r="K6" s="9">
        <f>'Data Sheet'!K84</f>
        <v>-39786</v>
      </c>
    </row>
    <row r="7" spans="1:11" s="8" customFormat="1" x14ac:dyDescent="0.3">
      <c r="A7" s="8" t="s">
        <v>35</v>
      </c>
      <c r="B7" s="1">
        <f>'Data Sheet'!B85</f>
        <v>-10072</v>
      </c>
      <c r="C7" s="1">
        <f>'Data Sheet'!C85</f>
        <v>-2754</v>
      </c>
      <c r="D7" s="1">
        <f>'Data Sheet'!D85</f>
        <v>-303</v>
      </c>
      <c r="E7" s="1">
        <f>'Data Sheet'!E85</f>
        <v>-919</v>
      </c>
      <c r="F7" s="1">
        <f>'Data Sheet'!F85</f>
        <v>6065</v>
      </c>
      <c r="G7" s="1">
        <f>'Data Sheet'!G85</f>
        <v>-7242</v>
      </c>
      <c r="H7" s="1">
        <f>'Data Sheet'!H85</f>
        <v>-5299</v>
      </c>
      <c r="I7" s="1">
        <f>'Data Sheet'!I85</f>
        <v>2613</v>
      </c>
      <c r="J7" s="1">
        <f>'Data Sheet'!J85</f>
        <v>9669</v>
      </c>
      <c r="K7" s="1">
        <f>'Data Sheet'!K85</f>
        <v>-2254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61" t="str">
        <f>"Common Size Statement - "&amp;'Data Sheet'!$B$1</f>
        <v>Common Size Statement - Infosys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</row>
    <row r="4" spans="2:12" x14ac:dyDescent="0.3">
      <c r="B4" s="37" t="s">
        <v>93</v>
      </c>
      <c r="C4" s="38">
        <f>'Data Sheet'!B$16</f>
        <v>43160</v>
      </c>
      <c r="D4" s="38">
        <f>'Data Sheet'!C$16</f>
        <v>43525</v>
      </c>
      <c r="E4" s="38">
        <f>'Data Sheet'!D$16</f>
        <v>43891</v>
      </c>
      <c r="F4" s="38">
        <f>'Data Sheet'!E$16</f>
        <v>44256</v>
      </c>
      <c r="G4" s="38">
        <f>'Data Sheet'!F$16</f>
        <v>44621</v>
      </c>
      <c r="H4" s="38">
        <f>'Data Sheet'!G$16</f>
        <v>44986</v>
      </c>
      <c r="I4" s="38">
        <f>'Data Sheet'!H$16</f>
        <v>45352</v>
      </c>
      <c r="J4" s="38">
        <f>'Data Sheet'!I$16</f>
        <v>45717</v>
      </c>
      <c r="K4" s="38">
        <f>'Data Sheet'!J$16</f>
        <v>46082</v>
      </c>
      <c r="L4" s="38" t="str">
        <f>'Data Sheet'!K$16</f>
        <v>TTM</v>
      </c>
    </row>
    <row r="5" spans="2:12" ht="6" customHeight="1" x14ac:dyDescent="0.3"/>
    <row r="6" spans="2:12" x14ac:dyDescent="0.3">
      <c r="B6" s="113" t="str">
        <f>'Data Sheet'!A17</f>
        <v>Sales</v>
      </c>
      <c r="C6" s="114">
        <f>'Data Sheet'!B17/'Data Sheet'!B$17</f>
        <v>1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>
        <f>'Data Sheet'!B18/'Data Sheet'!B$17</f>
        <v>0</v>
      </c>
      <c r="D7" s="36">
        <f>'Data Sheet'!C18/'Data Sheet'!C$17</f>
        <v>0</v>
      </c>
      <c r="E7" s="36">
        <f>'Data Sheet'!D18/'Data Sheet'!D$17</f>
        <v>0</v>
      </c>
      <c r="F7" s="36">
        <f>'Data Sheet'!E18/'Data Sheet'!E$17</f>
        <v>0</v>
      </c>
      <c r="G7" s="36">
        <f>'Data Sheet'!F18/'Data Sheet'!F$17</f>
        <v>0</v>
      </c>
      <c r="H7" s="36">
        <f>'Data Sheet'!G18/'Data Sheet'!G$17</f>
        <v>0</v>
      </c>
      <c r="I7" s="36">
        <f>'Data Sheet'!H18/'Data Sheet'!H$17</f>
        <v>0</v>
      </c>
      <c r="J7" s="36">
        <f>'Data Sheet'!I18/'Data Sheet'!I$17</f>
        <v>0</v>
      </c>
      <c r="K7" s="36">
        <f>'Data Sheet'!J18/'Data Sheet'!J$17</f>
        <v>0</v>
      </c>
      <c r="L7" s="36">
        <f>'Data Sheet'!K18/'Data Sheet'!K$17</f>
        <v>0</v>
      </c>
    </row>
    <row r="8" spans="2:12" x14ac:dyDescent="0.3">
      <c r="B8" s="33" t="str">
        <f>'Data Sheet'!A19</f>
        <v>Change in Inventory</v>
      </c>
      <c r="C8" s="36">
        <f>'Data Sheet'!B19/'Data Sheet'!B$17</f>
        <v>0</v>
      </c>
      <c r="D8" s="36">
        <f>'Data Sheet'!C19/'Data Sheet'!C$17</f>
        <v>0</v>
      </c>
      <c r="E8" s="36">
        <f>'Data Sheet'!D19/'Data Sheet'!D$17</f>
        <v>0</v>
      </c>
      <c r="F8" s="36">
        <f>'Data Sheet'!E19/'Data Sheet'!E$17</f>
        <v>0</v>
      </c>
      <c r="G8" s="36">
        <f>'Data Sheet'!F19/'Data Sheet'!F$17</f>
        <v>0</v>
      </c>
      <c r="H8" s="36">
        <f>'Data Sheet'!G19/'Data Sheet'!G$17</f>
        <v>0</v>
      </c>
      <c r="I8" s="36">
        <f>'Data Sheet'!H19/'Data Sheet'!H$17</f>
        <v>0</v>
      </c>
      <c r="J8" s="36">
        <f>'Data Sheet'!I19/'Data Sheet'!I$17</f>
        <v>0</v>
      </c>
      <c r="K8" s="36">
        <f>'Data Sheet'!J19/'Data Sheet'!J$17</f>
        <v>0</v>
      </c>
      <c r="L8" s="36">
        <f>'Data Sheet'!K19/'Data Sheet'!K$17</f>
        <v>0</v>
      </c>
    </row>
    <row r="9" spans="2:12" x14ac:dyDescent="0.3">
      <c r="B9" s="33" t="str">
        <f>'Data Sheet'!A20</f>
        <v>Power and Fuel</v>
      </c>
      <c r="C9" s="36">
        <f>'Data Sheet'!B20/'Data Sheet'!B$17</f>
        <v>0</v>
      </c>
      <c r="D9" s="36">
        <f>'Data Sheet'!C20/'Data Sheet'!C$17</f>
        <v>0</v>
      </c>
      <c r="E9" s="36">
        <f>'Data Sheet'!D20/'Data Sheet'!D$17</f>
        <v>0</v>
      </c>
      <c r="F9" s="36">
        <f>'Data Sheet'!E20/'Data Sheet'!E$17</f>
        <v>0</v>
      </c>
      <c r="G9" s="36">
        <f>'Data Sheet'!F20/'Data Sheet'!F$17</f>
        <v>0</v>
      </c>
      <c r="H9" s="36">
        <f>'Data Sheet'!G20/'Data Sheet'!G$17</f>
        <v>0</v>
      </c>
      <c r="I9" s="36">
        <f>'Data Sheet'!H20/'Data Sheet'!H$17</f>
        <v>0</v>
      </c>
      <c r="J9" s="36">
        <f>'Data Sheet'!I20/'Data Sheet'!I$17</f>
        <v>0</v>
      </c>
      <c r="K9" s="36">
        <f>'Data Sheet'!J20/'Data Sheet'!J$17</f>
        <v>0</v>
      </c>
      <c r="L9" s="36">
        <f>'Data Sheet'!K20/'Data Sheet'!K$17</f>
        <v>0</v>
      </c>
    </row>
    <row r="10" spans="2:12" x14ac:dyDescent="0.3">
      <c r="B10" s="33" t="str">
        <f>'Data Sheet'!A21</f>
        <v>Other Mfr. Exp</v>
      </c>
      <c r="C10" s="36">
        <f>'Data Sheet'!B21/'Data Sheet'!B$17</f>
        <v>0</v>
      </c>
      <c r="D10" s="36">
        <f>'Data Sheet'!C21/'Data Sheet'!C$17</f>
        <v>0</v>
      </c>
      <c r="E10" s="36">
        <f>'Data Sheet'!D21/'Data Sheet'!D$17</f>
        <v>0</v>
      </c>
      <c r="F10" s="36">
        <f>'Data Sheet'!E21/'Data Sheet'!E$17</f>
        <v>0</v>
      </c>
      <c r="G10" s="36">
        <f>'Data Sheet'!F21/'Data Sheet'!F$17</f>
        <v>0</v>
      </c>
      <c r="H10" s="36">
        <f>'Data Sheet'!G21/'Data Sheet'!G$17</f>
        <v>0</v>
      </c>
      <c r="I10" s="36">
        <f>'Data Sheet'!H21/'Data Sheet'!H$17</f>
        <v>0</v>
      </c>
      <c r="J10" s="36">
        <f>'Data Sheet'!I21/'Data Sheet'!I$17</f>
        <v>0</v>
      </c>
      <c r="K10" s="36">
        <f>'Data Sheet'!J21/'Data Sheet'!J$17</f>
        <v>0</v>
      </c>
      <c r="L10" s="36">
        <f>'Data Sheet'!K21/'Data Sheet'!K$17</f>
        <v>0</v>
      </c>
    </row>
    <row r="11" spans="2:12" x14ac:dyDescent="0.3">
      <c r="B11" s="33" t="str">
        <f>'Data Sheet'!A22</f>
        <v>Employee Cost</v>
      </c>
      <c r="C11" s="36">
        <f>'Data Sheet'!B22/'Data Sheet'!B$17</f>
        <v>0</v>
      </c>
      <c r="D11" s="36">
        <f>'Data Sheet'!C22/'Data Sheet'!C$17</f>
        <v>0</v>
      </c>
      <c r="E11" s="36">
        <f>'Data Sheet'!D22/'Data Sheet'!D$17</f>
        <v>0</v>
      </c>
      <c r="F11" s="36">
        <f>'Data Sheet'!E22/'Data Sheet'!E$17</f>
        <v>0</v>
      </c>
      <c r="G11" s="36">
        <f>'Data Sheet'!F22/'Data Sheet'!F$17</f>
        <v>0</v>
      </c>
      <c r="H11" s="36">
        <f>'Data Sheet'!G22/'Data Sheet'!G$17</f>
        <v>0</v>
      </c>
      <c r="I11" s="36">
        <f>'Data Sheet'!H22/'Data Sheet'!H$17</f>
        <v>0</v>
      </c>
      <c r="J11" s="36">
        <f>'Data Sheet'!I22/'Data Sheet'!I$17</f>
        <v>0</v>
      </c>
      <c r="K11" s="36">
        <f>'Data Sheet'!J22/'Data Sheet'!J$17</f>
        <v>0</v>
      </c>
      <c r="L11" s="36">
        <f>'Data Sheet'!K22/'Data Sheet'!K$17</f>
        <v>0</v>
      </c>
    </row>
    <row r="12" spans="2:12" x14ac:dyDescent="0.3">
      <c r="B12" s="33" t="str">
        <f>'Data Sheet'!A23</f>
        <v>Selling and admin</v>
      </c>
      <c r="C12" s="36">
        <f>'Data Sheet'!B23/'Data Sheet'!B$17</f>
        <v>0</v>
      </c>
      <c r="D12" s="36">
        <f>'Data Sheet'!C23/'Data Sheet'!C$17</f>
        <v>0</v>
      </c>
      <c r="E12" s="36">
        <f>'Data Sheet'!D23/'Data Sheet'!D$17</f>
        <v>0</v>
      </c>
      <c r="F12" s="36">
        <f>'Data Sheet'!E23/'Data Sheet'!E$17</f>
        <v>0</v>
      </c>
      <c r="G12" s="36">
        <f>'Data Sheet'!F23/'Data Sheet'!F$17</f>
        <v>0</v>
      </c>
      <c r="H12" s="36">
        <f>'Data Sheet'!G23/'Data Sheet'!G$17</f>
        <v>0</v>
      </c>
      <c r="I12" s="36">
        <f>'Data Sheet'!H23/'Data Sheet'!H$17</f>
        <v>0</v>
      </c>
      <c r="J12" s="36">
        <f>'Data Sheet'!I23/'Data Sheet'!I$17</f>
        <v>0</v>
      </c>
      <c r="K12" s="36">
        <f>'Data Sheet'!J23/'Data Sheet'!J$17</f>
        <v>0</v>
      </c>
      <c r="L12" s="36">
        <f>'Data Sheet'!K23/'Data Sheet'!K$17</f>
        <v>0</v>
      </c>
    </row>
    <row r="13" spans="2:12" x14ac:dyDescent="0.3">
      <c r="B13" s="33" t="str">
        <f>'Data Sheet'!A24</f>
        <v>Other Expenses</v>
      </c>
      <c r="C13" s="36">
        <f>'Data Sheet'!B24/'Data Sheet'!B$17</f>
        <v>0.73310456311505634</v>
      </c>
      <c r="D13" s="36">
        <f>'Data Sheet'!C24/'Data Sheet'!C$17</f>
        <v>0.75603265799818564</v>
      </c>
      <c r="E13" s="36">
        <f>'Data Sheet'!D24/'Data Sheet'!D$17</f>
        <v>0.75474441299247719</v>
      </c>
      <c r="F13" s="36">
        <f>'Data Sheet'!E24/'Data Sheet'!E$17</f>
        <v>0.72242017676566606</v>
      </c>
      <c r="G13" s="36">
        <f>'Data Sheet'!F24/'Data Sheet'!F$17</f>
        <v>0.74111524897033076</v>
      </c>
      <c r="H13" s="36">
        <f>'Data Sheet'!G24/'Data Sheet'!G$17</f>
        <v>0.76064101603221435</v>
      </c>
      <c r="I13" s="36">
        <f>'Data Sheet'!H24/'Data Sheet'!H$17</f>
        <v>0.76296609618012623</v>
      </c>
      <c r="J13" s="36">
        <f>'Data Sheet'!I24/'Data Sheet'!I$17</f>
        <v>0.75927357506595494</v>
      </c>
      <c r="K13" s="36">
        <f>'Data Sheet'!J24/'Data Sheet'!J$17</f>
        <v>0.76333613210187512</v>
      </c>
      <c r="L13" s="36">
        <f>'Data Sheet'!K24/'Data Sheet'!K$17</f>
        <v>0.76300506008169811</v>
      </c>
    </row>
    <row r="14" spans="2:12" x14ac:dyDescent="0.3">
      <c r="B14" s="33" t="str">
        <f>'Data Sheet'!A25</f>
        <v>Other Income</v>
      </c>
      <c r="C14" s="36">
        <f>'Data Sheet'!B25/'Data Sheet'!B$17</f>
        <v>4.6949887978219564E-2</v>
      </c>
      <c r="D14" s="36">
        <f>'Data Sheet'!C25/'Data Sheet'!C$17</f>
        <v>3.4859389174478381E-2</v>
      </c>
      <c r="E14" s="36">
        <f>'Data Sheet'!D25/'Data Sheet'!D$17</f>
        <v>3.0873104162306837E-2</v>
      </c>
      <c r="F14" s="36">
        <f>'Data Sheet'!E25/'Data Sheet'!E$17</f>
        <v>2.1906600844016244E-2</v>
      </c>
      <c r="G14" s="36">
        <f>'Data Sheet'!F25/'Data Sheet'!F$17</f>
        <v>1.886699385897847E-2</v>
      </c>
      <c r="H14" s="36">
        <f>'Data Sheet'!G25/'Data Sheet'!G$17</f>
        <v>1.8403319547309682E-2</v>
      </c>
      <c r="I14" s="36">
        <f>'Data Sheet'!H25/'Data Sheet'!H$17</f>
        <v>3.0656601809071388E-2</v>
      </c>
      <c r="J14" s="36">
        <f>'Data Sheet'!I25/'Data Sheet'!I$17</f>
        <v>2.2087244616234125E-2</v>
      </c>
      <c r="K14" s="36">
        <f>'Data Sheet'!J25/'Data Sheet'!J$17</f>
        <v>1.6977329974811082E-2</v>
      </c>
      <c r="L14" s="36">
        <f>'Data Sheet'!K25/'Data Sheet'!K$17</f>
        <v>1.6117497914206153E-2</v>
      </c>
    </row>
    <row r="15" spans="2:12" x14ac:dyDescent="0.3">
      <c r="B15" s="33" t="str">
        <f>'Data Sheet'!A26</f>
        <v>Depreciation</v>
      </c>
      <c r="C15" s="36">
        <f>'Data Sheet'!B26/'Data Sheet'!B$17</f>
        <v>2.6417288222115084E-2</v>
      </c>
      <c r="D15" s="36">
        <f>'Data Sheet'!C26/'Data Sheet'!C$17</f>
        <v>2.4324160870879952E-2</v>
      </c>
      <c r="E15" s="36">
        <f>'Data Sheet'!D26/'Data Sheet'!D$17</f>
        <v>3.1864391845006661E-2</v>
      </c>
      <c r="F15" s="36">
        <f>'Data Sheet'!E26/'Data Sheet'!E$17</f>
        <v>3.2516522016084085E-2</v>
      </c>
      <c r="G15" s="36">
        <f>'Data Sheet'!F26/'Data Sheet'!F$17</f>
        <v>2.8575891352422292E-2</v>
      </c>
      <c r="H15" s="36">
        <f>'Data Sheet'!G26/'Data Sheet'!G$17</f>
        <v>2.8787125171189708E-2</v>
      </c>
      <c r="I15" s="36">
        <f>'Data Sheet'!H26/'Data Sheet'!H$17</f>
        <v>3.0441855925034164E-2</v>
      </c>
      <c r="J15" s="36">
        <f>'Data Sheet'!I26/'Data Sheet'!I$17</f>
        <v>2.9523283637032948E-2</v>
      </c>
      <c r="K15" s="36">
        <f>'Data Sheet'!J26/'Data Sheet'!J$17</f>
        <v>2.7439126784214944E-2</v>
      </c>
      <c r="L15" s="36">
        <f>'Data Sheet'!K26/'Data Sheet'!K$17</f>
        <v>2.7126155313085782E-2</v>
      </c>
    </row>
    <row r="16" spans="2:12" x14ac:dyDescent="0.3">
      <c r="B16" s="33" t="str">
        <f>'Data Sheet'!A27</f>
        <v>Interest</v>
      </c>
      <c r="C16" s="36">
        <f>'Data Sheet'!B27/'Data Sheet'!B$17</f>
        <v>0</v>
      </c>
      <c r="D16" s="36">
        <f>'Data Sheet'!C27/'Data Sheet'!C$17</f>
        <v>0</v>
      </c>
      <c r="E16" s="36">
        <f>'Data Sheet'!D27/'Data Sheet'!D$17</f>
        <v>1.8724322895441179E-3</v>
      </c>
      <c r="F16" s="36">
        <f>'Data Sheet'!E27/'Data Sheet'!E$17</f>
        <v>1.9408392387928975E-3</v>
      </c>
      <c r="G16" s="36">
        <f>'Data Sheet'!F27/'Data Sheet'!F$17</f>
        <v>1.6441824713706726E-3</v>
      </c>
      <c r="H16" s="36">
        <f>'Data Sheet'!G27/'Data Sheet'!G$17</f>
        <v>1.9350398931639945E-3</v>
      </c>
      <c r="I16" s="36">
        <f>'Data Sheet'!H27/'Data Sheet'!H$17</f>
        <v>3.0585019847725646E-3</v>
      </c>
      <c r="J16" s="36">
        <f>'Data Sheet'!I27/'Data Sheet'!I$17</f>
        <v>2.5523038223203877E-3</v>
      </c>
      <c r="K16" s="36">
        <f>'Data Sheet'!J27/'Data Sheet'!J$17</f>
        <v>2.3285754268122026E-3</v>
      </c>
      <c r="L16" s="36">
        <f>'Data Sheet'!K27/'Data Sheet'!K$17</f>
        <v>2.3295879338180322E-3</v>
      </c>
    </row>
    <row r="17" spans="2:12" x14ac:dyDescent="0.3">
      <c r="B17" s="33" t="str">
        <f>'Data Sheet'!A28</f>
        <v>Profit before tax</v>
      </c>
      <c r="C17" s="36">
        <f>'Data Sheet'!B28/'Data Sheet'!B$17</f>
        <v>0.28742803664104816</v>
      </c>
      <c r="D17" s="36">
        <f>'Data Sheet'!C28/'Data Sheet'!C$17</f>
        <v>0.25450257030541273</v>
      </c>
      <c r="E17" s="36">
        <f>'Data Sheet'!D28/'Data Sheet'!D$17</f>
        <v>0.24239186703527882</v>
      </c>
      <c r="F17" s="36">
        <f>'Data Sheet'!E28/'Data Sheet'!E$17</f>
        <v>0.26502906282347322</v>
      </c>
      <c r="G17" s="36">
        <f>'Data Sheet'!F28/'Data Sheet'!F$17</f>
        <v>0.24753167106485477</v>
      </c>
      <c r="H17" s="36">
        <f>'Data Sheet'!G28/'Data Sheet'!G$17</f>
        <v>0.22704013845074164</v>
      </c>
      <c r="I17" s="36">
        <f>'Data Sheet'!H28/'Data Sheet'!H$17</f>
        <v>0.2341901477191384</v>
      </c>
      <c r="J17" s="36">
        <f>'Data Sheet'!I28/'Data Sheet'!I$17</f>
        <v>0.23073808209092583</v>
      </c>
      <c r="K17" s="36">
        <f>'Data Sheet'!J28/'Data Sheet'!J$17</f>
        <v>0.22387349566190876</v>
      </c>
      <c r="L17" s="36">
        <f>'Data Sheet'!K28/'Data Sheet'!K$17</f>
        <v>0.22365669458560422</v>
      </c>
    </row>
    <row r="18" spans="2:12" x14ac:dyDescent="0.3">
      <c r="B18" s="33" t="str">
        <f>'Data Sheet'!A29</f>
        <v>Tax</v>
      </c>
      <c r="C18" s="36">
        <f>'Data Sheet'!B29/'Data Sheet'!B$17</f>
        <v>0.28742803664104816</v>
      </c>
      <c r="D18" s="36">
        <f>'Data Sheet'!C29/'Data Sheet'!C$17</f>
        <v>0.25450257030541273</v>
      </c>
      <c r="E18" s="36">
        <f>'Data Sheet'!D29/'Data Sheet'!D$17</f>
        <v>0.24239186703527882</v>
      </c>
      <c r="F18" s="36">
        <f>'Data Sheet'!E29/'Data Sheet'!E$17</f>
        <v>0.26502906282347322</v>
      </c>
      <c r="G18" s="36">
        <f>'Data Sheet'!F29/'Data Sheet'!F$17</f>
        <v>0.24753167106485477</v>
      </c>
      <c r="H18" s="36">
        <f>'Data Sheet'!G29/'Data Sheet'!G$17</f>
        <v>0.22704013845074164</v>
      </c>
      <c r="I18" s="36">
        <f>'Data Sheet'!H29/'Data Sheet'!H$17</f>
        <v>0.2341901477191384</v>
      </c>
      <c r="J18" s="36">
        <f>'Data Sheet'!I29/'Data Sheet'!I$17</f>
        <v>0.23073808209092583</v>
      </c>
      <c r="K18" s="36">
        <f>'Data Sheet'!J29/'Data Sheet'!J$17</f>
        <v>0.22387349566190876</v>
      </c>
      <c r="L18" s="36">
        <f>'Data Sheet'!K29/'Data Sheet'!K$17</f>
        <v>0.22365669458560422</v>
      </c>
    </row>
    <row r="19" spans="2:12" x14ac:dyDescent="0.3">
      <c r="B19" s="33" t="str">
        <f>'Data Sheet'!A30</f>
        <v>Net profit</v>
      </c>
      <c r="C19" s="36">
        <f>'Data Sheet'!B30/'Data Sheet'!B$17</f>
        <v>0.22729077451008195</v>
      </c>
      <c r="D19" s="36">
        <f>'Data Sheet'!C30/'Data Sheet'!C$17</f>
        <v>0.18639250075597219</v>
      </c>
      <c r="E19" s="36">
        <f>'Data Sheet'!D30/'Data Sheet'!D$17</f>
        <v>0.18326706391602693</v>
      </c>
      <c r="F19" s="36">
        <f>'Data Sheet'!E30/'Data Sheet'!E$17</f>
        <v>0.19331754120550998</v>
      </c>
      <c r="G19" s="36">
        <f>'Data Sheet'!F30/'Data Sheet'!F$17</f>
        <v>0.1820603250548746</v>
      </c>
      <c r="H19" s="36">
        <f>'Data Sheet'!G30/'Data Sheet'!G$17</f>
        <v>0.16426035825492105</v>
      </c>
      <c r="I19" s="36">
        <f>'Data Sheet'!H30/'Data Sheet'!H$17</f>
        <v>0.17080757467300059</v>
      </c>
      <c r="J19" s="36">
        <f>'Data Sheet'!I30/'Data Sheet'!I$17</f>
        <v>0.16412049819007302</v>
      </c>
      <c r="K19" s="36">
        <f>'Data Sheet'!J30/'Data Sheet'!J$17</f>
        <v>0.16498180800447804</v>
      </c>
      <c r="L19" s="36">
        <f>'Data Sheet'!K30/'Data Sheet'!K$17</f>
        <v>0.16429012579774843</v>
      </c>
    </row>
    <row r="20" spans="2:12" x14ac:dyDescent="0.3">
      <c r="B20" s="33" t="str">
        <f>'Data Sheet'!A31</f>
        <v>Dividend Amount</v>
      </c>
      <c r="C20" s="36">
        <f>'Data Sheet'!B31/'Data Sheet'!B$17</f>
        <v>0.13410155696094836</v>
      </c>
      <c r="D20" s="36">
        <f>'Data Sheet'!C31/'Data Sheet'!C$17</f>
        <v>0.11183550045358331</v>
      </c>
      <c r="E20" s="36">
        <f>'Data Sheet'!D31/'Data Sheet'!D$17</f>
        <v>8.2470178762212118E-2</v>
      </c>
      <c r="F20" s="36">
        <f>'Data Sheet'!E31/'Data Sheet'!E$17</f>
        <v>0.11405734931125089</v>
      </c>
      <c r="G20" s="36">
        <f>'Data Sheet'!F31/'Data Sheet'!F$17</f>
        <v>0.107415591782376</v>
      </c>
      <c r="H20" s="36">
        <f>'Data Sheet'!G31/'Data Sheet'!G$17</f>
        <v>9.5271007787854217E-2</v>
      </c>
      <c r="I20" s="36">
        <f>'Data Sheet'!H31/'Data Sheet'!H$17</f>
        <v>0.12468952951129043</v>
      </c>
      <c r="J20" s="36">
        <f>'Data Sheet'!I31/'Data Sheet'!I$17</f>
        <v>0.10996073378734891</v>
      </c>
      <c r="K20" s="36">
        <f>'Data Sheet'!J31/'Data Sheet'!J$17</f>
        <v>0.10888799328295549</v>
      </c>
      <c r="L20" s="36">
        <f>'Data Sheet'!K31/'Data Sheet'!K$17</f>
        <v>0.35504545405294125</v>
      </c>
    </row>
    <row r="21" spans="2:12" x14ac:dyDescent="0.3">
      <c r="B21" s="33" t="str">
        <f>'Data Sheet'!A32</f>
        <v>EBITDA</v>
      </c>
      <c r="C21" s="36">
        <f>'Data Sheet'!B32/'Data Sheet'!B$17</f>
        <v>0.31384532486316324</v>
      </c>
      <c r="D21" s="36">
        <f>'Data Sheet'!C32/'Data Sheet'!C$17</f>
        <v>0.2788267311762927</v>
      </c>
      <c r="E21" s="36">
        <f>'Data Sheet'!D32/'Data Sheet'!D$17</f>
        <v>0.27612869116982963</v>
      </c>
      <c r="F21" s="36">
        <f>'Data Sheet'!E32/'Data Sheet'!E$17</f>
        <v>0.29948642407835019</v>
      </c>
      <c r="G21" s="36">
        <f>'Data Sheet'!F32/'Data Sheet'!F$17</f>
        <v>0.27775174488864773</v>
      </c>
      <c r="H21" s="36">
        <f>'Data Sheet'!G32/'Data Sheet'!G$17</f>
        <v>0.25776230351509538</v>
      </c>
      <c r="I21" s="36">
        <f>'Data Sheet'!H32/'Data Sheet'!H$17</f>
        <v>0.26769050562894514</v>
      </c>
      <c r="J21" s="36">
        <f>'Data Sheet'!I32/'Data Sheet'!I$17</f>
        <v>0.26281366955027918</v>
      </c>
      <c r="K21" s="36">
        <f>'Data Sheet'!J32/'Data Sheet'!J$17</f>
        <v>0.25364119787293593</v>
      </c>
      <c r="L21" s="36">
        <f>'Data Sheet'!K32/'Data Sheet'!K$17</f>
        <v>0.25311243783250803</v>
      </c>
    </row>
    <row r="23" spans="2:12" x14ac:dyDescent="0.3">
      <c r="B23" s="161" t="str">
        <f>"Common Size Balance Sheet - "&amp;'Data Sheet'!$B$1</f>
        <v>Common Size Balance Sheet - Infosys Ltd</v>
      </c>
      <c r="C23" s="161"/>
      <c r="D23" s="161"/>
      <c r="E23" s="161"/>
      <c r="F23" s="161"/>
      <c r="G23" s="161"/>
      <c r="H23" s="161"/>
      <c r="I23" s="161"/>
      <c r="J23" s="161"/>
      <c r="K23" s="161"/>
      <c r="L23" s="161"/>
    </row>
    <row r="25" spans="2:12" x14ac:dyDescent="0.3">
      <c r="B25" s="37" t="s">
        <v>93</v>
      </c>
      <c r="C25" s="38">
        <f>'Data Sheet'!B$16</f>
        <v>43160</v>
      </c>
      <c r="D25" s="38">
        <f>'Data Sheet'!C$16</f>
        <v>43525</v>
      </c>
      <c r="E25" s="38">
        <f>'Data Sheet'!D$16</f>
        <v>43891</v>
      </c>
      <c r="F25" s="38">
        <f>'Data Sheet'!E$16</f>
        <v>44256</v>
      </c>
      <c r="G25" s="38">
        <f>'Data Sheet'!F$16</f>
        <v>44621</v>
      </c>
      <c r="H25" s="38">
        <f>'Data Sheet'!G$16</f>
        <v>44986</v>
      </c>
      <c r="I25" s="38">
        <f>'Data Sheet'!H$16</f>
        <v>45352</v>
      </c>
      <c r="J25" s="38">
        <f>'Data Sheet'!I$16</f>
        <v>45717</v>
      </c>
      <c r="K25" s="38">
        <f>'Data Sheet'!J$16</f>
        <v>46082</v>
      </c>
      <c r="L25" s="38" t="str">
        <f>'Data Sheet'!K$16</f>
        <v>TTM</v>
      </c>
    </row>
    <row r="26" spans="2:12" ht="6.6" customHeight="1" x14ac:dyDescent="0.3"/>
    <row r="27" spans="2:12" x14ac:dyDescent="0.3">
      <c r="B27" s="113" t="s">
        <v>95</v>
      </c>
      <c r="C27" s="114">
        <f>'Data Sheet'!B61/'Data Sheet'!B$61</f>
        <v>1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>
        <f>'Data Sheet'!B57/'Data Sheet'!B$61</f>
        <v>1.3758599124452783E-2</v>
      </c>
      <c r="D28" s="36">
        <f>'Data Sheet'!C57/'Data Sheet'!C$61</f>
        <v>1.3711577965695851E-2</v>
      </c>
      <c r="E28" s="36">
        <f>'Data Sheet'!D57/'Data Sheet'!D$61</f>
        <v>2.5813051649894132E-2</v>
      </c>
      <c r="F28" s="36">
        <f>'Data Sheet'!E57/'Data Sheet'!E$61</f>
        <v>2.3115468409586056E-2</v>
      </c>
      <c r="G28" s="36">
        <f>'Data Sheet'!F57/'Data Sheet'!F$61</f>
        <v>1.9756117978625445E-2</v>
      </c>
      <c r="H28" s="36">
        <f>'Data Sheet'!G57/'Data Sheet'!G$61</f>
        <v>1.7973254289850853E-2</v>
      </c>
      <c r="I28" s="36">
        <f>'Data Sheet'!H57/'Data Sheet'!H$61</f>
        <v>1.6605669523901249E-2</v>
      </c>
      <c r="J28" s="36">
        <f>'Data Sheet'!I57/'Data Sheet'!I$61</f>
        <v>1.5225702102631966E-2</v>
      </c>
      <c r="K28" s="36">
        <f>'Data Sheet'!J57/'Data Sheet'!J$61</f>
        <v>1.4026184918298995E-2</v>
      </c>
      <c r="L28" s="36">
        <f>'Data Sheet'!K57/'Data Sheet'!K$61</f>
        <v>1.3118324172975215E-2</v>
      </c>
    </row>
    <row r="29" spans="2:12" x14ac:dyDescent="0.3">
      <c r="B29" s="33" t="str">
        <f>'Data Sheet'!A58</f>
        <v>Reserves</v>
      </c>
      <c r="C29" s="36">
        <f>'Data Sheet'!B58/'Data Sheet'!B$61</f>
        <v>0.81587049598306638</v>
      </c>
      <c r="D29" s="36">
        <f>'Data Sheet'!C58/'Data Sheet'!C$61</f>
        <v>0.80448398845606117</v>
      </c>
      <c r="E29" s="36">
        <f>'Data Sheet'!D58/'Data Sheet'!D$61</f>
        <v>0.74677039468988649</v>
      </c>
      <c r="F29" s="36">
        <f>'Data Sheet'!E58/'Data Sheet'!E$61</f>
        <v>0.68984749455337691</v>
      </c>
      <c r="G29" s="36">
        <f>'Data Sheet'!F58/'Data Sheet'!F$61</f>
        <v>0.69041307401103147</v>
      </c>
      <c r="H29" s="36">
        <f>'Data Sheet'!G58/'Data Sheet'!G$61</f>
        <v>0.62753900059111278</v>
      </c>
      <c r="I29" s="36">
        <f>'Data Sheet'!H58/'Data Sheet'!H$61</f>
        <v>0.58860637580660691</v>
      </c>
      <c r="J29" s="36">
        <f>'Data Sheet'!I58/'Data Sheet'!I$61</f>
        <v>0.63259079547125419</v>
      </c>
      <c r="K29" s="36">
        <f>'Data Sheet'!J58/'Data Sheet'!J$61</f>
        <v>0.63429074055279266</v>
      </c>
      <c r="L29" s="36">
        <f>'Data Sheet'!K58/'Data Sheet'!K$61</f>
        <v>0.58869127864772375</v>
      </c>
    </row>
    <row r="30" spans="2:12" x14ac:dyDescent="0.3">
      <c r="B30" s="33" t="str">
        <f>'Data Sheet'!A59</f>
        <v>Borrowings</v>
      </c>
      <c r="C30" s="36">
        <f>'Data Sheet'!B59/'Data Sheet'!B$61</f>
        <v>0</v>
      </c>
      <c r="D30" s="36">
        <f>'Data Sheet'!C59/'Data Sheet'!C$61</f>
        <v>0</v>
      </c>
      <c r="E30" s="36">
        <f>'Data Sheet'!D59/'Data Sheet'!D$61</f>
        <v>0</v>
      </c>
      <c r="F30" s="36">
        <f>'Data Sheet'!E59/'Data Sheet'!E$61</f>
        <v>5.0468409586056646E-2</v>
      </c>
      <c r="G30" s="36">
        <f>'Data Sheet'!F59/'Data Sheet'!F$61</f>
        <v>4.9529815553757288E-2</v>
      </c>
      <c r="H30" s="36">
        <f>'Data Sheet'!G59/'Data Sheet'!G$61</f>
        <v>4.6894944700974051E-2</v>
      </c>
      <c r="I30" s="36">
        <f>'Data Sheet'!H59/'Data Sheet'!H$61</f>
        <v>6.6607274711868766E-2</v>
      </c>
      <c r="J30" s="36">
        <f>'Data Sheet'!I59/'Data Sheet'!I$61</f>
        <v>6.1454197912071754E-2</v>
      </c>
      <c r="K30" s="36">
        <f>'Data Sheet'!J59/'Data Sheet'!J$61</f>
        <v>5.566494130383301E-2</v>
      </c>
      <c r="L30" s="36">
        <f>'Data Sheet'!K59/'Data Sheet'!K$61</f>
        <v>5.9473192989733484E-2</v>
      </c>
    </row>
    <row r="31" spans="2:12" x14ac:dyDescent="0.3">
      <c r="B31" s="33" t="str">
        <f>'Data Sheet'!A60</f>
        <v>Other Liabilities</v>
      </c>
      <c r="C31" s="36">
        <f>'Data Sheet'!B60/'Data Sheet'!B$61</f>
        <v>0.17037090489248088</v>
      </c>
      <c r="D31" s="36">
        <f>'Data Sheet'!C60/'Data Sheet'!C$61</f>
        <v>0.18180443357824294</v>
      </c>
      <c r="E31" s="36">
        <f>'Data Sheet'!D60/'Data Sheet'!D$61</f>
        <v>0.22741655366021934</v>
      </c>
      <c r="F31" s="36">
        <f>'Data Sheet'!E60/'Data Sheet'!E$61</f>
        <v>0.2365686274509804</v>
      </c>
      <c r="G31" s="36">
        <f>'Data Sheet'!F60/'Data Sheet'!F$61</f>
        <v>0.24030099245658584</v>
      </c>
      <c r="H31" s="36">
        <f>'Data Sheet'!G60/'Data Sheet'!G$61</f>
        <v>0.30759280041806236</v>
      </c>
      <c r="I31" s="36">
        <f>'Data Sheet'!H60/'Data Sheet'!H$61</f>
        <v>0.32818067995762301</v>
      </c>
      <c r="J31" s="36">
        <f>'Data Sheet'!I60/'Data Sheet'!I$61</f>
        <v>0.29072930451404205</v>
      </c>
      <c r="K31" s="36">
        <f>'Data Sheet'!J60/'Data Sheet'!J$61</f>
        <v>0.29601813322507525</v>
      </c>
      <c r="L31" s="36">
        <f>'Data Sheet'!K60/'Data Sheet'!K$61</f>
        <v>0.33871720418956758</v>
      </c>
    </row>
    <row r="33" spans="2:12" x14ac:dyDescent="0.3">
      <c r="B33" s="113" t="s">
        <v>96</v>
      </c>
      <c r="C33" s="114">
        <f>'Data Sheet'!B66/'Data Sheet'!B$66</f>
        <v>1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>
        <f>'Data Sheet'!B62/'Data Sheet'!B$66</f>
        <v>0.1705272526098042</v>
      </c>
      <c r="D34" s="36">
        <f>'Data Sheet'!C62/'Data Sheet'!C$66</f>
        <v>0.15846450490869451</v>
      </c>
      <c r="E34" s="36">
        <f>'Data Sheet'!D62/'Data Sheet'!D$66</f>
        <v>0.18687697761282801</v>
      </c>
      <c r="F34" s="36">
        <f>'Data Sheet'!E62/'Data Sheet'!E$66</f>
        <v>0.25913943355119828</v>
      </c>
      <c r="G34" s="36">
        <f>'Data Sheet'!F62/'Data Sheet'!F$66</f>
        <v>0.23723153909832481</v>
      </c>
      <c r="H34" s="36">
        <f>'Data Sheet'!G62/'Data Sheet'!G$66</f>
        <v>0.22102476676746996</v>
      </c>
      <c r="I34" s="36">
        <f>'Data Sheet'!H62/'Data Sheet'!H$66</f>
        <v>0.23455809175254422</v>
      </c>
      <c r="J34" s="36">
        <f>'Data Sheet'!I62/'Data Sheet'!I$66</f>
        <v>0.20307307748860462</v>
      </c>
      <c r="K34" s="36">
        <f>'Data Sheet'!J62/'Data Sheet'!J$66</f>
        <v>0.20948611252072127</v>
      </c>
      <c r="L34" s="36">
        <f>'Data Sheet'!K62/'Data Sheet'!K$66</f>
        <v>0.21887638701648865</v>
      </c>
    </row>
    <row r="35" spans="2:12" x14ac:dyDescent="0.3">
      <c r="B35" s="33" t="str">
        <f>'Data Sheet'!A63</f>
        <v>Capital Work in Progress</v>
      </c>
      <c r="C35" s="36">
        <f>'Data Sheet'!B63/'Data Sheet'!B$66</f>
        <v>1.6416510318949345E-2</v>
      </c>
      <c r="D35" s="36">
        <f>'Data Sheet'!C63/'Data Sheet'!C$66</f>
        <v>2.0239700563334132E-2</v>
      </c>
      <c r="E35" s="36">
        <f>'Data Sheet'!D63/'Data Sheet'!D$66</f>
        <v>1.6510836723526753E-2</v>
      </c>
      <c r="F35" s="36">
        <f>'Data Sheet'!E63/'Data Sheet'!E$66</f>
        <v>1.0392156862745097E-2</v>
      </c>
      <c r="G35" s="36">
        <f>'Data Sheet'!F63/'Data Sheet'!F$66</f>
        <v>8.575866655505018E-3</v>
      </c>
      <c r="H35" s="36">
        <f>'Data Sheet'!G63/'Data Sheet'!G$66</f>
        <v>3.5638101928398254E-3</v>
      </c>
      <c r="I35" s="36">
        <f>'Data Sheet'!H63/'Data Sheet'!H$66</f>
        <v>2.3114706732158337E-3</v>
      </c>
      <c r="J35" s="36">
        <f>'Data Sheet'!I63/'Data Sheet'!I$66</f>
        <v>2.1540949860314662E-3</v>
      </c>
      <c r="K35" s="36">
        <f>'Data Sheet'!J63/'Data Sheet'!J$66</f>
        <v>5.5076288101762573E-3</v>
      </c>
      <c r="L35" s="36">
        <f>'Data Sheet'!K63/'Data Sheet'!K$66</f>
        <v>3.4092087524629265E-3</v>
      </c>
    </row>
    <row r="36" spans="2:12" x14ac:dyDescent="0.3">
      <c r="B36" s="33" t="str">
        <f>'Data Sheet'!A64</f>
        <v>Investments</v>
      </c>
      <c r="C36" s="36">
        <f>'Data Sheet'!B64/'Data Sheet'!B$66</f>
        <v>0.19751527396930774</v>
      </c>
      <c r="D36" s="36">
        <f>'Data Sheet'!C64/'Data Sheet'!C$66</f>
        <v>0.15328485551172669</v>
      </c>
      <c r="E36" s="36">
        <f>'Data Sheet'!D64/'Data Sheet'!D$66</f>
        <v>0.13395427402279161</v>
      </c>
      <c r="F36" s="36">
        <f>'Data Sheet'!E64/'Data Sheet'!E$66</f>
        <v>9.5773420479302832E-2</v>
      </c>
      <c r="G36" s="36">
        <f>'Data Sheet'!F64/'Data Sheet'!F$66</f>
        <v>0.13212601501241733</v>
      </c>
      <c r="H36" s="36">
        <f>'Data Sheet'!G64/'Data Sheet'!G$66</f>
        <v>0.17411268836364571</v>
      </c>
      <c r="I36" s="36">
        <f>'Data Sheet'!H64/'Data Sheet'!H$66</f>
        <v>0.15632925615589585</v>
      </c>
      <c r="J36" s="36">
        <f>'Data Sheet'!I64/'Data Sheet'!I$66</f>
        <v>0.18102484928686957</v>
      </c>
      <c r="K36" s="36">
        <f>'Data Sheet'!J64/'Data Sheet'!J$66</f>
        <v>0.15928143712574849</v>
      </c>
      <c r="L36" s="36">
        <f>'Data Sheet'!K64/'Data Sheet'!K$66</f>
        <v>0.1418127138857202</v>
      </c>
    </row>
    <row r="37" spans="2:12" x14ac:dyDescent="0.3">
      <c r="B37" s="33" t="str">
        <f>'Data Sheet'!A65</f>
        <v>Other Assets</v>
      </c>
      <c r="C37" s="36">
        <f>'Data Sheet'!B74/'Data Sheet'!B66</f>
        <v>9.7631933419925931E-2</v>
      </c>
      <c r="D37" s="36">
        <f>'Data Sheet'!C74/'Data Sheet'!C66</f>
        <v>0.15817351195352183</v>
      </c>
      <c r="E37" s="36">
        <f>'Data Sheet'!D74/'Data Sheet'!D66</f>
        <v>0.16002236338115294</v>
      </c>
      <c r="F37" s="36">
        <f>'Data Sheet'!E74/'Data Sheet'!E66</f>
        <v>0.13343867102396512</v>
      </c>
      <c r="G37" s="36">
        <f>'Data Sheet'!F74/'Data Sheet'!F66</f>
        <v>0.11602384872245627</v>
      </c>
      <c r="H37" s="36">
        <f>'Data Sheet'!G74/'Data Sheet'!G66</f>
        <v>0.16409675401999502</v>
      </c>
      <c r="I37" s="36">
        <f>'Data Sheet'!H74/'Data Sheet'!H66</f>
        <v>0.21057529936755592</v>
      </c>
      <c r="J37" s="36">
        <f>'Data Sheet'!I74/'Data Sheet'!I66</f>
        <v>0.17901867372445229</v>
      </c>
      <c r="K37" s="36">
        <f>'Data Sheet'!J74/'Data Sheet'!J66</f>
        <v>0.14363435840184041</v>
      </c>
      <c r="L37" s="36">
        <f>'Data Sheet'!K74/'Data Sheet'!K66</f>
        <v>0.14294073421134507</v>
      </c>
    </row>
    <row r="38" spans="2:12" x14ac:dyDescent="0.3">
      <c r="B38" s="33" t="str">
        <f>'Data Sheet'!A67</f>
        <v>Receivables</v>
      </c>
      <c r="C38" s="36">
        <f>'Data Sheet'!B67/'Data Sheet'!B$66</f>
        <v>0.14819358252754125</v>
      </c>
      <c r="D38" s="36">
        <f>'Data Sheet'!C67/'Data Sheet'!C$66</f>
        <v>0.16562275517019748</v>
      </c>
      <c r="E38" s="36">
        <f>'Data Sheet'!D67/'Data Sheet'!D$66</f>
        <v>0.1763733257202674</v>
      </c>
      <c r="F38" s="36">
        <f>'Data Sheet'!E67/'Data Sheet'!E$66</f>
        <v>0.20138344226579522</v>
      </c>
      <c r="G38" s="36">
        <f>'Data Sheet'!F67/'Data Sheet'!F$66</f>
        <v>0.17946070634632735</v>
      </c>
      <c r="H38" s="36">
        <f>'Data Sheet'!G67/'Data Sheet'!G$66</f>
        <v>0.19445039364682298</v>
      </c>
      <c r="I38" s="36">
        <f>'Data Sheet'!H67/'Data Sheet'!H$66</f>
        <v>0.20405149442999776</v>
      </c>
      <c r="J38" s="36">
        <f>'Data Sheet'!I67/'Data Sheet'!I$66</f>
        <v>0.22197470960152918</v>
      </c>
      <c r="K38" s="36">
        <f>'Data Sheet'!J67/'Data Sheet'!J$66</f>
        <v>0.21081903988632902</v>
      </c>
      <c r="L38" s="36">
        <f>'Data Sheet'!K67/'Data Sheet'!K$66</f>
        <v>0.22836513533132843</v>
      </c>
    </row>
    <row r="39" spans="2:12" x14ac:dyDescent="0.3">
      <c r="B39" s="33" t="str">
        <f>'Data Sheet'!A68</f>
        <v>Inventory</v>
      </c>
      <c r="C39" s="36">
        <f>'Data Sheet'!B68/'Data Sheet'!B$66</f>
        <v>9.7610285274450384E-2</v>
      </c>
      <c r="D39" s="36">
        <f>'Data Sheet'!C68/'Data Sheet'!C$66</f>
        <v>9.4457271043113342E-2</v>
      </c>
      <c r="E39" s="36">
        <f>'Data Sheet'!D68/'Data Sheet'!D$66</f>
        <v>9.3492731901125309E-2</v>
      </c>
      <c r="F39" s="36">
        <f>'Data Sheet'!E68/'Data Sheet'!E$66</f>
        <v>9.6724727668845309E-2</v>
      </c>
      <c r="G39" s="36">
        <f>'Data Sheet'!F68/'Data Sheet'!F$66</f>
        <v>9.6707871752657867E-2</v>
      </c>
      <c r="H39" s="36">
        <f>'Data Sheet'!G68/'Data Sheet'!G$66</f>
        <v>9.3071558909953819E-2</v>
      </c>
      <c r="I39" s="36">
        <f>'Data Sheet'!H68/'Data Sheet'!H$66</f>
        <v>9.4474621978233655E-2</v>
      </c>
      <c r="J39" s="36">
        <f>'Data Sheet'!I68/'Data Sheet'!I$66</f>
        <v>0.10404999264813998</v>
      </c>
      <c r="K39" s="36">
        <f>'Data Sheet'!J68/'Data Sheet'!J$66</f>
        <v>0.10580574444331675</v>
      </c>
      <c r="L39" s="36">
        <f>'Data Sheet'!K68/'Data Sheet'!K$66</f>
        <v>0.12070258218396764</v>
      </c>
    </row>
    <row r="40" spans="2:12" x14ac:dyDescent="0.3">
      <c r="B40" s="33" t="str">
        <f>'Data Sheet'!A69</f>
        <v>Cash &amp; Bank</v>
      </c>
      <c r="C40" s="36">
        <f>'Data Sheet'!B69/'Data Sheet'!B$66</f>
        <v>0.27210516188002115</v>
      </c>
      <c r="D40" s="36">
        <f>'Data Sheet'!C69/'Data Sheet'!C$66</f>
        <v>0.24975740084941209</v>
      </c>
      <c r="E40" s="36">
        <f>'Data Sheet'!D69/'Data Sheet'!D$66</f>
        <v>0.23276949063830799</v>
      </c>
      <c r="F40" s="36">
        <f>'Data Sheet'!E69/'Data Sheet'!E$66</f>
        <v>0.20314814814814816</v>
      </c>
      <c r="G40" s="36">
        <f>'Data Sheet'!F69/'Data Sheet'!F$66</f>
        <v>0.22987415241231129</v>
      </c>
      <c r="H40" s="36">
        <f>'Data Sheet'!G69/'Data Sheet'!G$66</f>
        <v>0.14968002809927267</v>
      </c>
      <c r="I40" s="36">
        <f>'Data Sheet'!H69/'Data Sheet'!H$66</f>
        <v>9.7699765642556738E-2</v>
      </c>
      <c r="J40" s="36">
        <f>'Data Sheet'!I69/'Data Sheet'!I$66</f>
        <v>0.10870460226437288</v>
      </c>
      <c r="K40" s="36">
        <f>'Data Sheet'!J69/'Data Sheet'!J$66</f>
        <v>0.1654656788118678</v>
      </c>
      <c r="L40" s="36">
        <f>'Data Sheet'!K69/'Data Sheet'!K$66</f>
        <v>0.14389323861868714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8616</v>
      </c>
      <c r="E1" s="162" t="str">
        <f>IF(B2&lt;&gt;B3, "A NEW VERSION OF THE WORKSHEET IS AVAILABLE", "")</f>
        <v/>
      </c>
      <c r="F1" s="162"/>
      <c r="G1" s="162"/>
      <c r="H1" s="162"/>
      <c r="I1" s="162"/>
      <c r="J1" s="162"/>
      <c r="K1" s="162"/>
    </row>
    <row r="2" spans="1:11" x14ac:dyDescent="0.3">
      <c r="A2" s="1" t="s">
        <v>61</v>
      </c>
      <c r="B2" s="5">
        <v>2.1</v>
      </c>
      <c r="E2" s="163" t="s">
        <v>36</v>
      </c>
      <c r="F2" s="163"/>
      <c r="G2" s="163"/>
      <c r="H2" s="163"/>
      <c r="I2" s="163"/>
      <c r="J2" s="163"/>
      <c r="K2" s="163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405.97811607992389</v>
      </c>
    </row>
    <row r="7" spans="1:11" x14ac:dyDescent="0.3">
      <c r="A7" s="5" t="s">
        <v>31</v>
      </c>
      <c r="B7">
        <v>5</v>
      </c>
    </row>
    <row r="8" spans="1:11" x14ac:dyDescent="0.3">
      <c r="A8" s="5" t="s">
        <v>43</v>
      </c>
      <c r="B8">
        <v>1051</v>
      </c>
    </row>
    <row r="9" spans="1:11" x14ac:dyDescent="0.3">
      <c r="A9" s="5" t="s">
        <v>79</v>
      </c>
      <c r="B9">
        <v>426683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43160</v>
      </c>
      <c r="C16" s="16">
        <v>43525</v>
      </c>
      <c r="D16" s="16">
        <v>43891</v>
      </c>
      <c r="E16" s="16">
        <v>44256</v>
      </c>
      <c r="F16" s="16">
        <v>44621</v>
      </c>
      <c r="G16" s="16">
        <v>44986</v>
      </c>
      <c r="H16" s="16">
        <v>45352</v>
      </c>
      <c r="I16" s="16">
        <v>45717</v>
      </c>
      <c r="J16" s="16">
        <v>46082</v>
      </c>
      <c r="K16" s="16" t="s">
        <v>284</v>
      </c>
    </row>
    <row r="17" spans="1:11" s="9" customFormat="1" x14ac:dyDescent="0.3">
      <c r="A17" s="9" t="s">
        <v>6</v>
      </c>
      <c r="B17">
        <v>70522</v>
      </c>
      <c r="C17">
        <v>82675</v>
      </c>
      <c r="D17">
        <v>90791</v>
      </c>
      <c r="E17">
        <v>100472</v>
      </c>
      <c r="F17">
        <v>121641</v>
      </c>
      <c r="G17">
        <v>146767</v>
      </c>
      <c r="H17">
        <v>153670</v>
      </c>
      <c r="I17">
        <v>162990</v>
      </c>
      <c r="J17">
        <v>178650</v>
      </c>
      <c r="K17">
        <v>184582</v>
      </c>
    </row>
    <row r="18" spans="1:11" s="9" customFormat="1" x14ac:dyDescent="0.3">
      <c r="A18" s="5" t="s">
        <v>80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s="9" customFormat="1" x14ac:dyDescent="0.3">
      <c r="A19" s="5" t="s">
        <v>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s="9" customFormat="1" x14ac:dyDescent="0.3">
      <c r="A20" s="5" t="s">
        <v>82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s="9" customFormat="1" x14ac:dyDescent="0.3">
      <c r="A21" s="5" t="s">
        <v>83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s="9" customFormat="1" x14ac:dyDescent="0.3">
      <c r="A22" s="5" t="s">
        <v>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s="9" customFormat="1" x14ac:dyDescent="0.3">
      <c r="A23" s="5" t="s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s="9" customFormat="1" x14ac:dyDescent="0.3">
      <c r="A24" s="5" t="s">
        <v>86</v>
      </c>
      <c r="B24">
        <v>51700</v>
      </c>
      <c r="C24">
        <v>62505</v>
      </c>
      <c r="D24">
        <v>68524</v>
      </c>
      <c r="E24">
        <v>72583</v>
      </c>
      <c r="F24">
        <v>90150</v>
      </c>
      <c r="G24">
        <v>111637</v>
      </c>
      <c r="H24">
        <v>117245</v>
      </c>
      <c r="I24">
        <v>123754</v>
      </c>
      <c r="J24">
        <v>136370</v>
      </c>
      <c r="K24">
        <v>140837</v>
      </c>
    </row>
    <row r="25" spans="1:11" s="9" customFormat="1" x14ac:dyDescent="0.3">
      <c r="A25" s="9" t="s">
        <v>9</v>
      </c>
      <c r="B25">
        <v>3311</v>
      </c>
      <c r="C25">
        <v>2882</v>
      </c>
      <c r="D25">
        <v>2803</v>
      </c>
      <c r="E25">
        <v>2201</v>
      </c>
      <c r="F25">
        <v>2295</v>
      </c>
      <c r="G25">
        <v>2701</v>
      </c>
      <c r="H25">
        <v>4711</v>
      </c>
      <c r="I25">
        <v>3600</v>
      </c>
      <c r="J25">
        <v>3033</v>
      </c>
      <c r="K25">
        <v>2975</v>
      </c>
    </row>
    <row r="26" spans="1:11" s="9" customFormat="1" x14ac:dyDescent="0.3">
      <c r="A26" s="9" t="s">
        <v>10</v>
      </c>
      <c r="B26">
        <v>1863</v>
      </c>
      <c r="C26">
        <v>2011</v>
      </c>
      <c r="D26">
        <v>2893</v>
      </c>
      <c r="E26">
        <v>3267</v>
      </c>
      <c r="F26">
        <v>3476</v>
      </c>
      <c r="G26">
        <v>4225</v>
      </c>
      <c r="H26">
        <v>4678</v>
      </c>
      <c r="I26">
        <v>4812</v>
      </c>
      <c r="J26">
        <v>4902</v>
      </c>
      <c r="K26">
        <v>5007</v>
      </c>
    </row>
    <row r="27" spans="1:11" s="9" customFormat="1" x14ac:dyDescent="0.3">
      <c r="A27" s="9" t="s">
        <v>11</v>
      </c>
      <c r="B27">
        <v>0</v>
      </c>
      <c r="C27">
        <v>0</v>
      </c>
      <c r="D27">
        <v>170</v>
      </c>
      <c r="E27">
        <v>195</v>
      </c>
      <c r="F27">
        <v>200</v>
      </c>
      <c r="G27">
        <v>284</v>
      </c>
      <c r="H27">
        <v>470</v>
      </c>
      <c r="I27">
        <v>416</v>
      </c>
      <c r="J27">
        <v>416</v>
      </c>
      <c r="K27">
        <v>430</v>
      </c>
    </row>
    <row r="28" spans="1:11" s="9" customFormat="1" x14ac:dyDescent="0.3">
      <c r="A28" s="9" t="s">
        <v>12</v>
      </c>
      <c r="B28">
        <v>20270</v>
      </c>
      <c r="C28">
        <v>21041</v>
      </c>
      <c r="D28">
        <v>22007</v>
      </c>
      <c r="E28">
        <v>26628</v>
      </c>
      <c r="F28">
        <v>30110</v>
      </c>
      <c r="G28">
        <v>33322</v>
      </c>
      <c r="H28">
        <v>35988</v>
      </c>
      <c r="I28">
        <v>37608</v>
      </c>
      <c r="J28">
        <v>39995</v>
      </c>
      <c r="K28">
        <v>41283</v>
      </c>
    </row>
    <row r="29" spans="1:11" s="9" customFormat="1" x14ac:dyDescent="0.3">
      <c r="A29" s="9" t="s">
        <v>13</v>
      </c>
      <c r="B29">
        <v>20270</v>
      </c>
      <c r="C29">
        <v>21041</v>
      </c>
      <c r="D29">
        <v>22007</v>
      </c>
      <c r="E29">
        <v>26628</v>
      </c>
      <c r="F29">
        <v>30110</v>
      </c>
      <c r="G29">
        <v>33322</v>
      </c>
      <c r="H29">
        <v>35988</v>
      </c>
      <c r="I29">
        <v>37608</v>
      </c>
      <c r="J29">
        <v>39995</v>
      </c>
      <c r="K29">
        <v>41283</v>
      </c>
    </row>
    <row r="30" spans="1:11" s="9" customFormat="1" x14ac:dyDescent="0.3">
      <c r="A30" s="9" t="s">
        <v>14</v>
      </c>
      <c r="B30">
        <v>16029</v>
      </c>
      <c r="C30">
        <v>15410</v>
      </c>
      <c r="D30">
        <v>16639</v>
      </c>
      <c r="E30">
        <v>19423</v>
      </c>
      <c r="F30">
        <v>22146</v>
      </c>
      <c r="G30">
        <v>24108</v>
      </c>
      <c r="H30">
        <v>26248</v>
      </c>
      <c r="I30">
        <v>26750</v>
      </c>
      <c r="J30">
        <v>29474</v>
      </c>
      <c r="K30">
        <v>30325</v>
      </c>
    </row>
    <row r="31" spans="1:11" s="9" customFormat="1" x14ac:dyDescent="0.3">
      <c r="A31" s="9" t="s">
        <v>70</v>
      </c>
      <c r="B31">
        <v>9457.11</v>
      </c>
      <c r="C31">
        <v>9246</v>
      </c>
      <c r="D31">
        <v>7487.55</v>
      </c>
      <c r="E31">
        <v>11459.57</v>
      </c>
      <c r="F31">
        <v>13066.14</v>
      </c>
      <c r="G31">
        <v>13982.64</v>
      </c>
      <c r="H31">
        <v>19161.04</v>
      </c>
      <c r="I31">
        <v>17922.5</v>
      </c>
      <c r="J31">
        <v>19452.84</v>
      </c>
      <c r="K31">
        <v>65535</v>
      </c>
    </row>
    <row r="32" spans="1:11" s="9" customFormat="1" x14ac:dyDescent="0.3">
      <c r="A32" s="9" t="s">
        <v>94</v>
      </c>
      <c r="B32" s="9">
        <f>SUM(B26:B28)</f>
        <v>22133</v>
      </c>
      <c r="C32" s="9">
        <f t="shared" ref="C32:K32" si="0">SUM(C26:C28)</f>
        <v>23052</v>
      </c>
      <c r="D32" s="9">
        <f t="shared" si="0"/>
        <v>25070</v>
      </c>
      <c r="E32" s="9">
        <f t="shared" si="0"/>
        <v>30090</v>
      </c>
      <c r="F32" s="9">
        <f t="shared" si="0"/>
        <v>33786</v>
      </c>
      <c r="G32" s="9">
        <f t="shared" si="0"/>
        <v>37831</v>
      </c>
      <c r="H32" s="9">
        <f t="shared" si="0"/>
        <v>41136</v>
      </c>
      <c r="I32" s="9">
        <f t="shared" si="0"/>
        <v>42836</v>
      </c>
      <c r="J32" s="9">
        <f t="shared" si="0"/>
        <v>45313</v>
      </c>
      <c r="K32" s="9">
        <f t="shared" si="0"/>
        <v>46720</v>
      </c>
    </row>
    <row r="33" spans="1:11" x14ac:dyDescent="0.3">
      <c r="A33" s="9"/>
      <c r="B33" s="5">
        <f>B30+B29+B27+B26</f>
        <v>38162</v>
      </c>
      <c r="C33" s="5">
        <f>C30+C29+C27+C26</f>
        <v>38462</v>
      </c>
      <c r="D33" s="5">
        <f>D30+D29+D27+D26</f>
        <v>41709</v>
      </c>
      <c r="E33" s="5">
        <f>E30+E29+E27+E26</f>
        <v>49513</v>
      </c>
      <c r="F33" s="5">
        <f>F30+F29+F27+F26</f>
        <v>55932</v>
      </c>
      <c r="G33" s="5">
        <f>G30+G29+G27+G26</f>
        <v>61939</v>
      </c>
      <c r="H33" s="5">
        <f>H30+H29+H27+H26</f>
        <v>67384</v>
      </c>
      <c r="I33" s="5">
        <f>I30+I29+I27+I26</f>
        <v>69586</v>
      </c>
      <c r="J33" s="5">
        <f>J30+J29+J27+J26</f>
        <v>74787</v>
      </c>
      <c r="K33" s="5">
        <f>K30+K29+K27+K26</f>
        <v>77045</v>
      </c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45352</v>
      </c>
      <c r="C41" s="16">
        <v>45444</v>
      </c>
      <c r="D41" s="16">
        <v>45536</v>
      </c>
      <c r="E41" s="16">
        <v>45627</v>
      </c>
      <c r="F41" s="16">
        <v>45717</v>
      </c>
      <c r="G41" s="16">
        <v>45809</v>
      </c>
      <c r="H41" s="16">
        <v>45901</v>
      </c>
      <c r="I41" s="16">
        <v>45992</v>
      </c>
      <c r="J41" s="16">
        <v>46082</v>
      </c>
      <c r="K41" s="16">
        <v>46174</v>
      </c>
    </row>
    <row r="42" spans="1:11" s="9" customFormat="1" x14ac:dyDescent="0.3">
      <c r="A42" s="9" t="s">
        <v>6</v>
      </c>
      <c r="B42">
        <v>37923</v>
      </c>
      <c r="C42">
        <v>39315</v>
      </c>
      <c r="D42">
        <v>40986</v>
      </c>
      <c r="E42">
        <v>41764</v>
      </c>
      <c r="F42">
        <v>40925</v>
      </c>
      <c r="G42">
        <v>42279</v>
      </c>
      <c r="H42">
        <v>44490</v>
      </c>
      <c r="I42">
        <v>45479</v>
      </c>
      <c r="J42">
        <v>46402</v>
      </c>
      <c r="K42">
        <v>48211</v>
      </c>
    </row>
    <row r="43" spans="1:11" s="9" customFormat="1" x14ac:dyDescent="0.3">
      <c r="A43" s="9" t="s">
        <v>7</v>
      </c>
      <c r="B43">
        <v>29139</v>
      </c>
      <c r="C43">
        <v>29878</v>
      </c>
      <c r="D43">
        <v>31177</v>
      </c>
      <c r="E43">
        <v>31649</v>
      </c>
      <c r="F43">
        <v>31051</v>
      </c>
      <c r="G43">
        <v>32336</v>
      </c>
      <c r="H43">
        <v>33955</v>
      </c>
      <c r="I43">
        <v>34845</v>
      </c>
      <c r="J43">
        <v>35235</v>
      </c>
      <c r="K43">
        <v>36802</v>
      </c>
    </row>
    <row r="44" spans="1:11" s="9" customFormat="1" x14ac:dyDescent="0.3">
      <c r="A44" s="9" t="s">
        <v>9</v>
      </c>
      <c r="B44">
        <v>2729</v>
      </c>
      <c r="C44">
        <v>838</v>
      </c>
      <c r="D44">
        <v>712</v>
      </c>
      <c r="E44">
        <v>859</v>
      </c>
      <c r="F44">
        <v>1190</v>
      </c>
      <c r="G44">
        <v>1042</v>
      </c>
      <c r="H44">
        <v>982</v>
      </c>
      <c r="I44">
        <v>-150</v>
      </c>
      <c r="J44">
        <v>1159</v>
      </c>
      <c r="K44">
        <v>984</v>
      </c>
    </row>
    <row r="45" spans="1:11" s="9" customFormat="1" x14ac:dyDescent="0.3">
      <c r="A45" s="9" t="s">
        <v>10</v>
      </c>
      <c r="B45">
        <v>1163</v>
      </c>
      <c r="C45">
        <v>1149</v>
      </c>
      <c r="D45">
        <v>1160</v>
      </c>
      <c r="E45">
        <v>1203</v>
      </c>
      <c r="F45">
        <v>1299</v>
      </c>
      <c r="G45">
        <v>1140</v>
      </c>
      <c r="H45">
        <v>1182</v>
      </c>
      <c r="I45">
        <v>1155</v>
      </c>
      <c r="J45">
        <v>1424</v>
      </c>
      <c r="K45">
        <v>1246</v>
      </c>
    </row>
    <row r="46" spans="1:11" s="9" customFormat="1" x14ac:dyDescent="0.3">
      <c r="A46" s="9" t="s">
        <v>11</v>
      </c>
      <c r="B46">
        <v>110</v>
      </c>
      <c r="C46">
        <v>105</v>
      </c>
      <c r="D46">
        <v>108</v>
      </c>
      <c r="E46">
        <v>101</v>
      </c>
      <c r="F46">
        <v>102</v>
      </c>
      <c r="G46">
        <v>105</v>
      </c>
      <c r="H46">
        <v>106</v>
      </c>
      <c r="I46">
        <v>100</v>
      </c>
      <c r="J46">
        <v>105</v>
      </c>
      <c r="K46">
        <v>119</v>
      </c>
    </row>
    <row r="47" spans="1:11" s="9" customFormat="1" x14ac:dyDescent="0.3">
      <c r="A47" s="9" t="s">
        <v>12</v>
      </c>
      <c r="B47">
        <v>10240</v>
      </c>
      <c r="C47">
        <v>9021</v>
      </c>
      <c r="D47">
        <v>9253</v>
      </c>
      <c r="E47">
        <v>9670</v>
      </c>
      <c r="F47">
        <v>9663</v>
      </c>
      <c r="G47">
        <v>9740</v>
      </c>
      <c r="H47">
        <v>10229</v>
      </c>
      <c r="I47">
        <v>9229</v>
      </c>
      <c r="J47">
        <v>10797</v>
      </c>
      <c r="K47">
        <v>11028</v>
      </c>
    </row>
    <row r="48" spans="1:11" s="9" customFormat="1" x14ac:dyDescent="0.3">
      <c r="A48" s="9" t="s">
        <v>13</v>
      </c>
      <c r="B48">
        <v>10240</v>
      </c>
      <c r="C48">
        <v>9021</v>
      </c>
      <c r="D48">
        <v>9253</v>
      </c>
      <c r="E48">
        <v>9670</v>
      </c>
      <c r="F48">
        <v>9663</v>
      </c>
      <c r="G48">
        <v>9740</v>
      </c>
      <c r="H48">
        <v>10229</v>
      </c>
      <c r="I48">
        <v>9229</v>
      </c>
      <c r="J48">
        <v>10797</v>
      </c>
      <c r="K48">
        <v>11028</v>
      </c>
    </row>
    <row r="49" spans="1:11" s="9" customFormat="1" x14ac:dyDescent="0.3">
      <c r="A49" s="9" t="s">
        <v>14</v>
      </c>
      <c r="B49">
        <v>7975</v>
      </c>
      <c r="C49">
        <v>6374</v>
      </c>
      <c r="D49">
        <v>6516</v>
      </c>
      <c r="E49">
        <v>6822</v>
      </c>
      <c r="F49">
        <v>7038</v>
      </c>
      <c r="G49">
        <v>6924</v>
      </c>
      <c r="H49">
        <v>7375</v>
      </c>
      <c r="I49">
        <v>6666</v>
      </c>
      <c r="J49">
        <v>8509</v>
      </c>
      <c r="K49">
        <v>7775</v>
      </c>
    </row>
    <row r="50" spans="1:11" x14ac:dyDescent="0.3">
      <c r="A50" s="9" t="s">
        <v>8</v>
      </c>
      <c r="B50">
        <v>8784</v>
      </c>
      <c r="C50">
        <v>9437</v>
      </c>
      <c r="D50">
        <v>9809</v>
      </c>
      <c r="E50">
        <v>10115</v>
      </c>
      <c r="F50">
        <v>9874</v>
      </c>
      <c r="G50">
        <v>9943</v>
      </c>
      <c r="H50">
        <v>10535</v>
      </c>
      <c r="I50">
        <v>10634</v>
      </c>
      <c r="J50">
        <v>11167</v>
      </c>
      <c r="K50">
        <v>11409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42795</v>
      </c>
      <c r="C56" s="16">
        <v>43160</v>
      </c>
      <c r="D56" s="16">
        <v>43525</v>
      </c>
      <c r="E56" s="16">
        <v>43891</v>
      </c>
      <c r="F56" s="16">
        <v>44256</v>
      </c>
      <c r="G56" s="16">
        <v>44621</v>
      </c>
      <c r="H56" s="16">
        <v>44986</v>
      </c>
      <c r="I56" s="16">
        <v>45352</v>
      </c>
      <c r="J56" s="16">
        <v>45717</v>
      </c>
      <c r="K56" s="16">
        <v>46082</v>
      </c>
    </row>
    <row r="57" spans="1:11" x14ac:dyDescent="0.3">
      <c r="A57" s="9" t="s">
        <v>24</v>
      </c>
      <c r="B57">
        <v>1144</v>
      </c>
      <c r="C57">
        <v>1088</v>
      </c>
      <c r="D57">
        <v>2170</v>
      </c>
      <c r="E57">
        <v>2122</v>
      </c>
      <c r="F57">
        <v>2124</v>
      </c>
      <c r="G57">
        <v>2098</v>
      </c>
      <c r="H57">
        <v>2069</v>
      </c>
      <c r="I57">
        <v>2071</v>
      </c>
      <c r="J57">
        <v>2073</v>
      </c>
      <c r="K57">
        <v>2024</v>
      </c>
    </row>
    <row r="58" spans="1:11" x14ac:dyDescent="0.3">
      <c r="A58" s="9" t="s">
        <v>25</v>
      </c>
      <c r="B58">
        <v>67838</v>
      </c>
      <c r="C58">
        <v>63835</v>
      </c>
      <c r="D58">
        <v>62778</v>
      </c>
      <c r="E58">
        <v>63328</v>
      </c>
      <c r="F58">
        <v>74227</v>
      </c>
      <c r="G58">
        <v>73252</v>
      </c>
      <c r="H58">
        <v>73338</v>
      </c>
      <c r="I58">
        <v>86045</v>
      </c>
      <c r="J58">
        <v>93745</v>
      </c>
      <c r="K58">
        <v>90828</v>
      </c>
    </row>
    <row r="59" spans="1:11" x14ac:dyDescent="0.3">
      <c r="A59" s="9" t="s">
        <v>71</v>
      </c>
      <c r="B59">
        <v>0</v>
      </c>
      <c r="C59">
        <v>0</v>
      </c>
      <c r="D59">
        <v>0</v>
      </c>
      <c r="E59">
        <v>4633</v>
      </c>
      <c r="F59">
        <v>5325</v>
      </c>
      <c r="G59">
        <v>5474</v>
      </c>
      <c r="H59">
        <v>8299</v>
      </c>
      <c r="I59">
        <v>8359</v>
      </c>
      <c r="J59">
        <v>8227</v>
      </c>
      <c r="K59">
        <v>9176</v>
      </c>
    </row>
    <row r="60" spans="1:11" x14ac:dyDescent="0.3">
      <c r="A60" s="9" t="s">
        <v>72</v>
      </c>
      <c r="B60">
        <v>14166</v>
      </c>
      <c r="C60">
        <v>14426</v>
      </c>
      <c r="D60">
        <v>19118</v>
      </c>
      <c r="E60">
        <v>21717</v>
      </c>
      <c r="F60">
        <v>25835</v>
      </c>
      <c r="G60">
        <v>35905</v>
      </c>
      <c r="H60">
        <v>40890</v>
      </c>
      <c r="I60">
        <v>39545</v>
      </c>
      <c r="J60">
        <v>43750</v>
      </c>
      <c r="K60">
        <v>52260</v>
      </c>
    </row>
    <row r="61" spans="1:11" s="1" customFormat="1" x14ac:dyDescent="0.3">
      <c r="A61" s="1" t="s">
        <v>26</v>
      </c>
      <c r="B61">
        <v>83148</v>
      </c>
      <c r="C61">
        <v>79349</v>
      </c>
      <c r="D61">
        <v>84066</v>
      </c>
      <c r="E61">
        <v>91800</v>
      </c>
      <c r="F61">
        <v>107511</v>
      </c>
      <c r="G61">
        <v>116729</v>
      </c>
      <c r="H61">
        <v>124596</v>
      </c>
      <c r="I61">
        <v>136020</v>
      </c>
      <c r="J61">
        <v>147795</v>
      </c>
      <c r="K61">
        <v>154288</v>
      </c>
    </row>
    <row r="62" spans="1:11" x14ac:dyDescent="0.3">
      <c r="A62" s="9" t="s">
        <v>27</v>
      </c>
      <c r="B62">
        <v>14179</v>
      </c>
      <c r="C62">
        <v>12574</v>
      </c>
      <c r="D62">
        <v>15710</v>
      </c>
      <c r="E62">
        <v>23789</v>
      </c>
      <c r="F62">
        <v>25505</v>
      </c>
      <c r="G62">
        <v>25800</v>
      </c>
      <c r="H62">
        <v>29225</v>
      </c>
      <c r="I62">
        <v>27622</v>
      </c>
      <c r="J62">
        <v>30961</v>
      </c>
      <c r="K62">
        <v>33770</v>
      </c>
    </row>
    <row r="63" spans="1:11" x14ac:dyDescent="0.3">
      <c r="A63" s="9" t="s">
        <v>28</v>
      </c>
      <c r="B63">
        <v>1365</v>
      </c>
      <c r="C63">
        <v>1606</v>
      </c>
      <c r="D63">
        <v>1388</v>
      </c>
      <c r="E63">
        <v>954</v>
      </c>
      <c r="F63">
        <v>922</v>
      </c>
      <c r="G63">
        <v>416</v>
      </c>
      <c r="H63">
        <v>288</v>
      </c>
      <c r="I63">
        <v>293</v>
      </c>
      <c r="J63">
        <v>814</v>
      </c>
      <c r="K63">
        <v>526</v>
      </c>
    </row>
    <row r="64" spans="1:11" x14ac:dyDescent="0.3">
      <c r="A64" s="9" t="s">
        <v>29</v>
      </c>
      <c r="B64">
        <v>16423</v>
      </c>
      <c r="C64">
        <v>12163</v>
      </c>
      <c r="D64">
        <v>11261</v>
      </c>
      <c r="E64">
        <v>8792</v>
      </c>
      <c r="F64">
        <v>14205</v>
      </c>
      <c r="G64">
        <v>20324</v>
      </c>
      <c r="H64">
        <v>19478</v>
      </c>
      <c r="I64">
        <v>24623</v>
      </c>
      <c r="J64">
        <v>23541</v>
      </c>
      <c r="K64">
        <v>21880</v>
      </c>
    </row>
    <row r="65" spans="1:11" x14ac:dyDescent="0.3">
      <c r="A65" s="9" t="s">
        <v>73</v>
      </c>
      <c r="B65">
        <v>51181</v>
      </c>
      <c r="C65">
        <v>53006</v>
      </c>
      <c r="D65">
        <v>55707</v>
      </c>
      <c r="E65">
        <v>58265</v>
      </c>
      <c r="F65">
        <v>66879</v>
      </c>
      <c r="G65">
        <v>70189</v>
      </c>
      <c r="H65">
        <v>75605</v>
      </c>
      <c r="I65">
        <v>83482</v>
      </c>
      <c r="J65">
        <v>92479</v>
      </c>
      <c r="K65">
        <v>98112</v>
      </c>
    </row>
    <row r="66" spans="1:11" s="1" customFormat="1" x14ac:dyDescent="0.3">
      <c r="A66" s="1" t="s">
        <v>26</v>
      </c>
      <c r="B66">
        <v>83148</v>
      </c>
      <c r="C66">
        <v>79349</v>
      </c>
      <c r="D66">
        <v>84066</v>
      </c>
      <c r="E66">
        <v>91800</v>
      </c>
      <c r="F66">
        <v>107511</v>
      </c>
      <c r="G66">
        <v>116729</v>
      </c>
      <c r="H66">
        <v>124596</v>
      </c>
      <c r="I66">
        <v>136020</v>
      </c>
      <c r="J66">
        <v>147795</v>
      </c>
      <c r="K66">
        <v>154288</v>
      </c>
    </row>
    <row r="67" spans="1:11" s="9" customFormat="1" x14ac:dyDescent="0.3">
      <c r="A67" s="9" t="s">
        <v>78</v>
      </c>
      <c r="B67">
        <v>12322</v>
      </c>
      <c r="C67">
        <v>13142</v>
      </c>
      <c r="D67">
        <v>14827</v>
      </c>
      <c r="E67">
        <v>18487</v>
      </c>
      <c r="F67">
        <v>19294</v>
      </c>
      <c r="G67">
        <v>22698</v>
      </c>
      <c r="H67">
        <v>25424</v>
      </c>
      <c r="I67">
        <v>30193</v>
      </c>
      <c r="J67">
        <v>31158</v>
      </c>
      <c r="K67">
        <v>35234</v>
      </c>
    </row>
    <row r="68" spans="1:11" x14ac:dyDescent="0.3">
      <c r="A68" s="9" t="s">
        <v>45</v>
      </c>
      <c r="B68">
        <v>8116.1</v>
      </c>
      <c r="C68">
        <v>7495.09</v>
      </c>
      <c r="D68">
        <v>7859.56</v>
      </c>
      <c r="E68">
        <v>8879.33</v>
      </c>
      <c r="F68">
        <v>10397.16</v>
      </c>
      <c r="G68">
        <v>10864.15</v>
      </c>
      <c r="H68">
        <v>11771.16</v>
      </c>
      <c r="I68">
        <v>14152.88</v>
      </c>
      <c r="J68">
        <v>15637.56</v>
      </c>
      <c r="K68">
        <v>18622.96</v>
      </c>
    </row>
    <row r="69" spans="1:11" x14ac:dyDescent="0.3">
      <c r="A69" s="5" t="s">
        <v>87</v>
      </c>
      <c r="B69">
        <v>22625</v>
      </c>
      <c r="C69">
        <v>19818</v>
      </c>
      <c r="D69">
        <v>19568</v>
      </c>
      <c r="E69">
        <v>18649</v>
      </c>
      <c r="F69">
        <v>24714</v>
      </c>
      <c r="G69">
        <v>17472</v>
      </c>
      <c r="H69">
        <v>12173</v>
      </c>
      <c r="I69">
        <v>14786</v>
      </c>
      <c r="J69">
        <v>24455</v>
      </c>
      <c r="K69">
        <v>22201</v>
      </c>
    </row>
    <row r="70" spans="1:11" x14ac:dyDescent="0.3">
      <c r="A70" s="5" t="s">
        <v>74</v>
      </c>
      <c r="B70">
        <v>2288000000</v>
      </c>
      <c r="C70">
        <v>2176000000</v>
      </c>
      <c r="D70">
        <v>4340000000</v>
      </c>
      <c r="E70">
        <v>4244000000</v>
      </c>
      <c r="F70">
        <v>4248000000</v>
      </c>
      <c r="G70">
        <v>4196000000</v>
      </c>
      <c r="H70">
        <v>4138000000</v>
      </c>
      <c r="I70">
        <v>4142000000</v>
      </c>
      <c r="J70">
        <v>4146000000</v>
      </c>
      <c r="K70">
        <v>4048000000</v>
      </c>
    </row>
    <row r="71" spans="1:11" x14ac:dyDescent="0.3">
      <c r="A71" s="5" t="s">
        <v>75</v>
      </c>
      <c r="B71"/>
    </row>
    <row r="72" spans="1:11" x14ac:dyDescent="0.3">
      <c r="A72" s="5" t="s">
        <v>88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3">
      <c r="A74" s="9"/>
      <c r="B74" s="5">
        <f>B65-SUM(B67:B69)</f>
        <v>8117.9000000000015</v>
      </c>
      <c r="C74" s="5">
        <f t="shared" ref="C74:K74" si="1">C65-SUM(C67:C69)</f>
        <v>12550.910000000003</v>
      </c>
      <c r="D74" s="5">
        <f t="shared" si="1"/>
        <v>13452.440000000002</v>
      </c>
      <c r="E74" s="5">
        <f t="shared" si="1"/>
        <v>12249.669999999998</v>
      </c>
      <c r="F74" s="5">
        <f t="shared" si="1"/>
        <v>12473.839999999997</v>
      </c>
      <c r="G74" s="5">
        <f t="shared" si="1"/>
        <v>19154.849999999999</v>
      </c>
      <c r="H74" s="5">
        <f t="shared" si="1"/>
        <v>26236.839999999997</v>
      </c>
      <c r="I74" s="5">
        <f t="shared" si="1"/>
        <v>24350.120000000003</v>
      </c>
      <c r="J74" s="5">
        <f t="shared" si="1"/>
        <v>21228.440000000002</v>
      </c>
      <c r="K74" s="5">
        <f t="shared" si="1"/>
        <v>22054.040000000008</v>
      </c>
    </row>
    <row r="75" spans="1:11" x14ac:dyDescent="0.3">
      <c r="A75" s="9" t="s">
        <v>73</v>
      </c>
      <c r="B75" s="5">
        <f>B65-SUM(B67:B69)</f>
        <v>8117.9000000000015</v>
      </c>
      <c r="C75" s="5">
        <f>C65-SUM(C67:C69)</f>
        <v>12550.910000000003</v>
      </c>
      <c r="D75" s="5">
        <f>D65-SUM(D67:D69)</f>
        <v>13452.440000000002</v>
      </c>
      <c r="E75" s="5">
        <f>E65-SUM(E67:E69)</f>
        <v>12249.669999999998</v>
      </c>
      <c r="F75" s="5">
        <f>F65-SUM(F67:F69)</f>
        <v>12473.839999999997</v>
      </c>
      <c r="G75" s="5">
        <f>G65-SUM(G67:G69)</f>
        <v>19154.849999999999</v>
      </c>
      <c r="H75" s="5">
        <f>H65-SUM(H67:H69)</f>
        <v>26236.839999999997</v>
      </c>
      <c r="I75" s="5">
        <f>I65-SUM(I67:I69)</f>
        <v>24350.120000000003</v>
      </c>
      <c r="J75" s="5">
        <f>J65-SUM(J67:J69)</f>
        <v>21228.440000000002</v>
      </c>
      <c r="K75" s="5">
        <f>K65-SUM(K67:K69)</f>
        <v>22054.040000000008</v>
      </c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42795</v>
      </c>
      <c r="C81" s="16">
        <v>43160</v>
      </c>
      <c r="D81" s="16">
        <v>43525</v>
      </c>
      <c r="E81" s="16">
        <v>43891</v>
      </c>
      <c r="F81" s="16">
        <v>44256</v>
      </c>
      <c r="G81" s="16">
        <v>44621</v>
      </c>
      <c r="H81" s="16">
        <v>44986</v>
      </c>
      <c r="I81" s="16">
        <v>45352</v>
      </c>
      <c r="J81" s="16">
        <v>45717</v>
      </c>
      <c r="K81" s="16">
        <v>46082</v>
      </c>
    </row>
    <row r="82" spans="1:11" s="1" customFormat="1" x14ac:dyDescent="0.3">
      <c r="A82" s="9" t="s">
        <v>32</v>
      </c>
      <c r="B82">
        <v>11531</v>
      </c>
      <c r="C82">
        <v>13218</v>
      </c>
      <c r="D82">
        <v>14841</v>
      </c>
      <c r="E82">
        <v>17003</v>
      </c>
      <c r="F82">
        <v>23224</v>
      </c>
      <c r="G82">
        <v>23885</v>
      </c>
      <c r="H82">
        <v>22467</v>
      </c>
      <c r="I82">
        <v>25210</v>
      </c>
      <c r="J82">
        <v>35694</v>
      </c>
      <c r="K82">
        <v>33986</v>
      </c>
    </row>
    <row r="83" spans="1:11" s="9" customFormat="1" x14ac:dyDescent="0.3">
      <c r="A83" s="9" t="s">
        <v>33</v>
      </c>
      <c r="B83">
        <v>-14664</v>
      </c>
      <c r="C83">
        <v>4533</v>
      </c>
      <c r="D83">
        <v>-632</v>
      </c>
      <c r="E83">
        <v>-331</v>
      </c>
      <c r="F83">
        <v>-7373</v>
      </c>
      <c r="G83">
        <v>-6485</v>
      </c>
      <c r="H83">
        <v>-1071</v>
      </c>
      <c r="I83">
        <v>-5093</v>
      </c>
      <c r="J83">
        <v>-1864</v>
      </c>
      <c r="K83">
        <v>3546</v>
      </c>
    </row>
    <row r="84" spans="1:11" s="9" customFormat="1" x14ac:dyDescent="0.3">
      <c r="A84" s="9" t="s">
        <v>34</v>
      </c>
      <c r="B84">
        <v>-6939</v>
      </c>
      <c r="C84">
        <v>-20505</v>
      </c>
      <c r="D84">
        <v>-14512</v>
      </c>
      <c r="E84">
        <v>-17591</v>
      </c>
      <c r="F84">
        <v>-9786</v>
      </c>
      <c r="G84">
        <v>-24642</v>
      </c>
      <c r="H84">
        <v>-26695</v>
      </c>
      <c r="I84">
        <v>-17504</v>
      </c>
      <c r="J84">
        <v>-24161</v>
      </c>
      <c r="K84">
        <v>-39786</v>
      </c>
    </row>
    <row r="85" spans="1:11" s="1" customFormat="1" x14ac:dyDescent="0.3">
      <c r="A85" s="9" t="s">
        <v>35</v>
      </c>
      <c r="B85">
        <v>-10072</v>
      </c>
      <c r="C85">
        <v>-2754</v>
      </c>
      <c r="D85">
        <v>-303</v>
      </c>
      <c r="E85">
        <v>-919</v>
      </c>
      <c r="F85">
        <v>6065</v>
      </c>
      <c r="G85">
        <v>-7242</v>
      </c>
      <c r="H85">
        <v>-5299</v>
      </c>
      <c r="I85">
        <v>2613</v>
      </c>
      <c r="J85">
        <v>9669</v>
      </c>
      <c r="K85">
        <v>-2254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1051</v>
      </c>
      <c r="C90">
        <v>1051</v>
      </c>
      <c r="D90">
        <v>1051</v>
      </c>
      <c r="E90">
        <v>1051</v>
      </c>
      <c r="F90">
        <v>1051</v>
      </c>
      <c r="G90">
        <v>1051</v>
      </c>
      <c r="H90">
        <v>1051</v>
      </c>
      <c r="I90">
        <v>1051</v>
      </c>
      <c r="J90">
        <v>1051</v>
      </c>
      <c r="K90">
        <v>1051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459.41</v>
      </c>
      <c r="C93" s="31">
        <v>459.41</v>
      </c>
      <c r="D93" s="31">
        <v>459.41</v>
      </c>
      <c r="E93" s="31">
        <v>459.41</v>
      </c>
      <c r="F93" s="31">
        <v>459.41</v>
      </c>
      <c r="G93" s="31">
        <v>459.41</v>
      </c>
      <c r="H93" s="31">
        <v>459.41</v>
      </c>
      <c r="I93" s="31">
        <v>459.41</v>
      </c>
      <c r="J93" s="31">
        <v>459.41</v>
      </c>
      <c r="K93" s="31">
        <v>459.41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  <ignoredErrors>
    <ignoredError sqref="B32:K32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61" t="s">
        <v>8625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</row>
    <row r="4" spans="2:28" x14ac:dyDescent="0.3">
      <c r="B4" s="49" t="s">
        <v>93</v>
      </c>
      <c r="C4" s="50">
        <v>42064</v>
      </c>
      <c r="D4" s="50">
        <v>42430</v>
      </c>
      <c r="E4" s="50">
        <v>42795</v>
      </c>
      <c r="F4" s="50">
        <v>43160</v>
      </c>
      <c r="G4" s="50">
        <v>43525</v>
      </c>
      <c r="H4" s="50">
        <v>43891</v>
      </c>
      <c r="I4" s="50">
        <v>44256</v>
      </c>
      <c r="J4" s="50">
        <v>44621</v>
      </c>
      <c r="K4" s="50">
        <v>44986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8353</v>
      </c>
      <c r="D6" s="48">
        <v>10028</v>
      </c>
      <c r="E6" s="48">
        <v>11531</v>
      </c>
      <c r="F6" s="48">
        <v>13218</v>
      </c>
      <c r="G6" s="48">
        <v>14841</v>
      </c>
      <c r="H6" s="48">
        <v>17003</v>
      </c>
      <c r="I6" s="48">
        <v>23224</v>
      </c>
      <c r="J6" s="48">
        <v>23885</v>
      </c>
      <c r="K6" s="48">
        <v>22467</v>
      </c>
      <c r="L6" s="48">
        <v>25210</v>
      </c>
      <c r="M6" s="48">
        <v>35694</v>
      </c>
      <c r="N6" s="48">
        <v>33986</v>
      </c>
    </row>
    <row r="7" spans="2:28" x14ac:dyDescent="0.3">
      <c r="B7" t="s">
        <v>130</v>
      </c>
      <c r="C7" s="48">
        <v>15946</v>
      </c>
      <c r="D7" s="48">
        <v>17839</v>
      </c>
      <c r="E7" s="48">
        <v>19340</v>
      </c>
      <c r="F7" s="48">
        <v>19963</v>
      </c>
      <c r="G7" s="48">
        <v>22126</v>
      </c>
      <c r="H7" s="48">
        <v>23920</v>
      </c>
      <c r="I7" s="48">
        <v>28845</v>
      </c>
      <c r="J7" s="48">
        <v>32921</v>
      </c>
      <c r="K7" s="48">
        <v>37605</v>
      </c>
      <c r="L7" s="48">
        <v>39523</v>
      </c>
      <c r="M7" s="48">
        <v>41591</v>
      </c>
      <c r="N7" s="48">
        <v>45273</v>
      </c>
    </row>
    <row r="8" spans="2:28" x14ac:dyDescent="0.3">
      <c r="B8" t="s">
        <v>78</v>
      </c>
      <c r="C8">
        <v>-1475</v>
      </c>
      <c r="D8">
        <v>-1654</v>
      </c>
      <c r="E8">
        <v>-1743</v>
      </c>
      <c r="F8">
        <v>-1523</v>
      </c>
      <c r="G8">
        <v>-2881</v>
      </c>
      <c r="H8" s="48">
        <v>-3861</v>
      </c>
      <c r="I8">
        <v>-1835</v>
      </c>
      <c r="J8">
        <v>-7937</v>
      </c>
      <c r="K8">
        <v>-7076</v>
      </c>
      <c r="L8">
        <v>-2667</v>
      </c>
      <c r="M8" s="48">
        <v>-1769</v>
      </c>
      <c r="N8">
        <v>-5177</v>
      </c>
    </row>
    <row r="9" spans="2:28" x14ac:dyDescent="0.3">
      <c r="B9" t="s">
        <v>45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48">
        <v>0</v>
      </c>
      <c r="J9">
        <v>0</v>
      </c>
      <c r="K9" s="48">
        <v>0</v>
      </c>
      <c r="L9" s="48">
        <v>0</v>
      </c>
      <c r="M9" s="48">
        <v>0</v>
      </c>
      <c r="N9" s="48">
        <v>0</v>
      </c>
    </row>
    <row r="10" spans="2:28" x14ac:dyDescent="0.3">
      <c r="B10" t="s">
        <v>131</v>
      </c>
      <c r="C10">
        <v>0</v>
      </c>
      <c r="D10">
        <v>242</v>
      </c>
      <c r="E10">
        <v>-19</v>
      </c>
      <c r="F10" s="48">
        <v>328</v>
      </c>
      <c r="G10">
        <v>916</v>
      </c>
      <c r="H10">
        <v>-373</v>
      </c>
      <c r="I10" s="48">
        <v>-245</v>
      </c>
      <c r="J10" s="48">
        <v>1489</v>
      </c>
      <c r="K10" s="48">
        <v>-279</v>
      </c>
      <c r="L10">
        <v>91</v>
      </c>
      <c r="M10" s="48">
        <v>176</v>
      </c>
      <c r="N10">
        <v>-26</v>
      </c>
    </row>
    <row r="11" spans="2:28" x14ac:dyDescent="0.3">
      <c r="B11" t="s">
        <v>132</v>
      </c>
      <c r="C11">
        <v>-842</v>
      </c>
      <c r="D11">
        <v>-1946</v>
      </c>
      <c r="E11">
        <v>-2156</v>
      </c>
      <c r="F11" s="48">
        <v>84</v>
      </c>
      <c r="G11">
        <v>-453</v>
      </c>
      <c r="H11">
        <v>-2367</v>
      </c>
      <c r="I11">
        <v>768</v>
      </c>
      <c r="J11">
        <v>-1424</v>
      </c>
      <c r="K11">
        <v>-6344</v>
      </c>
      <c r="L11" s="48">
        <v>-5082</v>
      </c>
      <c r="M11" s="48">
        <v>-295</v>
      </c>
      <c r="N11" s="48">
        <v>-2639</v>
      </c>
    </row>
    <row r="12" spans="2:28" x14ac:dyDescent="0.3">
      <c r="B12" t="s">
        <v>133</v>
      </c>
      <c r="C12" s="48">
        <v>-6751</v>
      </c>
      <c r="D12" s="48">
        <v>-5865</v>
      </c>
      <c r="E12" s="48">
        <v>-5653</v>
      </c>
      <c r="F12" s="48">
        <v>-6829</v>
      </c>
      <c r="G12" s="48">
        <v>-6832</v>
      </c>
      <c r="H12" s="48">
        <v>-4550</v>
      </c>
      <c r="I12" s="48">
        <v>-6389</v>
      </c>
      <c r="J12" s="48">
        <v>-7612</v>
      </c>
      <c r="K12" s="48">
        <v>-8794</v>
      </c>
      <c r="L12" s="48">
        <v>-9231</v>
      </c>
      <c r="M12" s="48">
        <v>-5602</v>
      </c>
      <c r="N12" s="48">
        <v>-8648</v>
      </c>
    </row>
    <row r="13" spans="2:28" x14ac:dyDescent="0.3">
      <c r="B13" t="s">
        <v>134</v>
      </c>
      <c r="C13" s="48">
        <v>999</v>
      </c>
      <c r="D13" s="48">
        <v>-885</v>
      </c>
      <c r="E13" s="48">
        <v>-14664</v>
      </c>
      <c r="F13" s="48">
        <v>4533</v>
      </c>
      <c r="G13" s="48">
        <v>-632</v>
      </c>
      <c r="H13" s="48">
        <v>-331</v>
      </c>
      <c r="I13" s="48">
        <v>-7373</v>
      </c>
      <c r="J13" s="48">
        <v>-6485</v>
      </c>
      <c r="K13" s="48">
        <v>-1071</v>
      </c>
      <c r="L13" s="48">
        <v>-5093</v>
      </c>
      <c r="M13">
        <v>-1864</v>
      </c>
      <c r="N13" s="48">
        <v>3546</v>
      </c>
    </row>
    <row r="14" spans="2:28" x14ac:dyDescent="0.3">
      <c r="B14" t="s">
        <v>135</v>
      </c>
      <c r="C14" s="48">
        <v>-2247</v>
      </c>
      <c r="D14" s="48">
        <v>-2723</v>
      </c>
      <c r="E14" s="48">
        <v>-2760</v>
      </c>
      <c r="F14" s="48">
        <v>-1998</v>
      </c>
      <c r="G14" s="48">
        <v>-2445</v>
      </c>
      <c r="H14" s="48">
        <v>-3307</v>
      </c>
      <c r="I14" s="48">
        <v>-2107</v>
      </c>
      <c r="J14" s="48">
        <v>-2161</v>
      </c>
      <c r="K14" s="48">
        <v>-2579</v>
      </c>
      <c r="L14" s="48">
        <v>-2201</v>
      </c>
      <c r="M14" s="48">
        <v>-2237</v>
      </c>
      <c r="N14" s="48">
        <v>-2727</v>
      </c>
    </row>
    <row r="15" spans="2:28" x14ac:dyDescent="0.3">
      <c r="B15" t="s">
        <v>136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2:28" x14ac:dyDescent="0.3">
      <c r="B16" t="s">
        <v>137</v>
      </c>
      <c r="C16" s="48">
        <v>-23923</v>
      </c>
      <c r="D16" s="48">
        <v>-24577</v>
      </c>
      <c r="E16" s="48">
        <v>-66410</v>
      </c>
      <c r="F16" s="48">
        <v>-69159</v>
      </c>
      <c r="G16" s="48">
        <v>-79410</v>
      </c>
      <c r="H16" s="48">
        <v>-37482</v>
      </c>
      <c r="I16" s="48">
        <v>-46738</v>
      </c>
      <c r="J16" s="48">
        <v>-59951</v>
      </c>
      <c r="K16" s="48">
        <v>-75800</v>
      </c>
      <c r="L16" s="48">
        <v>-78092</v>
      </c>
      <c r="M16" s="48">
        <v>-82742</v>
      </c>
      <c r="N16" s="48">
        <v>-82617</v>
      </c>
    </row>
    <row r="17" spans="2:14" x14ac:dyDescent="0.3">
      <c r="B17" t="s">
        <v>138</v>
      </c>
      <c r="C17" s="48">
        <v>25253</v>
      </c>
      <c r="D17" s="48">
        <v>24980</v>
      </c>
      <c r="E17" s="48">
        <v>52048</v>
      </c>
      <c r="F17" s="48">
        <v>74003</v>
      </c>
      <c r="G17" s="48">
        <v>78098</v>
      </c>
      <c r="H17" s="48">
        <v>38861</v>
      </c>
      <c r="I17" s="48">
        <v>40381</v>
      </c>
      <c r="J17" s="48">
        <v>57356</v>
      </c>
      <c r="K17" s="48">
        <v>76722</v>
      </c>
      <c r="L17" s="48">
        <v>72930</v>
      </c>
      <c r="M17" s="48">
        <v>84877</v>
      </c>
      <c r="N17" s="48">
        <v>89699</v>
      </c>
    </row>
    <row r="18" spans="2:14" x14ac:dyDescent="0.3">
      <c r="B18" t="s">
        <v>139</v>
      </c>
      <c r="C18">
        <v>2551</v>
      </c>
      <c r="D18">
        <v>2383</v>
      </c>
      <c r="E18">
        <v>0</v>
      </c>
      <c r="F1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8">
        <v>0</v>
      </c>
      <c r="M18" s="48">
        <v>0</v>
      </c>
      <c r="N18">
        <v>0</v>
      </c>
    </row>
    <row r="19" spans="2:14" x14ac:dyDescent="0.3">
      <c r="B19" t="s">
        <v>140</v>
      </c>
      <c r="C19">
        <v>0</v>
      </c>
      <c r="D19">
        <v>0</v>
      </c>
      <c r="E19">
        <v>2753</v>
      </c>
      <c r="F19">
        <v>1768</v>
      </c>
      <c r="G19">
        <v>1557</v>
      </c>
      <c r="H19">
        <v>1929</v>
      </c>
      <c r="I19">
        <v>1418</v>
      </c>
      <c r="J19">
        <v>1898</v>
      </c>
      <c r="K19">
        <v>1525</v>
      </c>
      <c r="L19">
        <v>1768</v>
      </c>
      <c r="M19">
        <v>2040</v>
      </c>
      <c r="N19">
        <v>2713</v>
      </c>
    </row>
    <row r="20" spans="2:14" x14ac:dyDescent="0.3">
      <c r="B20" t="s">
        <v>8603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8604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2:14" x14ac:dyDescent="0.3">
      <c r="B22" t="s">
        <v>141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2:14" x14ac:dyDescent="0.3">
      <c r="B23" t="s">
        <v>142</v>
      </c>
      <c r="C23" s="48">
        <v>741</v>
      </c>
      <c r="D23" s="48">
        <v>-59</v>
      </c>
      <c r="E23" s="48">
        <v>-131</v>
      </c>
      <c r="F23" s="48">
        <v>49</v>
      </c>
      <c r="G23" s="48">
        <v>1592</v>
      </c>
      <c r="H23" s="48">
        <v>-224</v>
      </c>
      <c r="I23" s="48">
        <v>-327</v>
      </c>
      <c r="J23" s="48">
        <v>-3627</v>
      </c>
      <c r="K23">
        <v>-939</v>
      </c>
      <c r="L23" s="48">
        <v>502</v>
      </c>
      <c r="M23">
        <v>-3802</v>
      </c>
      <c r="N23" s="48">
        <v>-3522</v>
      </c>
    </row>
    <row r="24" spans="2:14" x14ac:dyDescent="0.3">
      <c r="B24" t="s">
        <v>143</v>
      </c>
      <c r="C24" s="48">
        <v>-4935</v>
      </c>
      <c r="D24" s="48">
        <v>-6813</v>
      </c>
      <c r="E24" s="48">
        <v>-6939</v>
      </c>
      <c r="F24" s="48">
        <v>-20505</v>
      </c>
      <c r="G24" s="48">
        <v>-14512</v>
      </c>
      <c r="H24" s="48">
        <v>-17591</v>
      </c>
      <c r="I24" s="48">
        <v>-9786</v>
      </c>
      <c r="J24" s="48">
        <v>-24642</v>
      </c>
      <c r="K24" s="48">
        <v>-26695</v>
      </c>
      <c r="L24" s="48">
        <v>-17504</v>
      </c>
      <c r="M24" s="48">
        <v>-24161</v>
      </c>
      <c r="N24" s="48">
        <v>-39786</v>
      </c>
    </row>
    <row r="25" spans="2:14" x14ac:dyDescent="0.3">
      <c r="B25" t="s">
        <v>144</v>
      </c>
      <c r="C25">
        <v>0</v>
      </c>
      <c r="D25">
        <v>0</v>
      </c>
      <c r="E25" s="48">
        <v>0</v>
      </c>
      <c r="F25">
        <v>5</v>
      </c>
      <c r="G25">
        <v>6</v>
      </c>
      <c r="H25">
        <v>6</v>
      </c>
      <c r="I25">
        <v>15</v>
      </c>
      <c r="J25">
        <v>21</v>
      </c>
      <c r="K25" s="48">
        <v>35</v>
      </c>
      <c r="L25" s="48">
        <v>5</v>
      </c>
      <c r="M25">
        <v>6</v>
      </c>
      <c r="N25">
        <v>2</v>
      </c>
    </row>
    <row r="26" spans="2:14" x14ac:dyDescent="0.3">
      <c r="B26" t="s">
        <v>145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s="48">
        <v>0</v>
      </c>
    </row>
    <row r="27" spans="2:14" x14ac:dyDescent="0.3">
      <c r="B27" t="s">
        <v>146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-985</v>
      </c>
      <c r="N27">
        <v>0</v>
      </c>
    </row>
    <row r="28" spans="2:14" x14ac:dyDescent="0.3">
      <c r="B28" t="s">
        <v>147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2:14" x14ac:dyDescent="0.3">
      <c r="B29" t="s">
        <v>148</v>
      </c>
      <c r="C29" s="48">
        <v>-4935</v>
      </c>
      <c r="D29" s="48">
        <v>-6813</v>
      </c>
      <c r="E29" s="48">
        <v>-6939</v>
      </c>
      <c r="F29" s="48">
        <v>-7464</v>
      </c>
      <c r="G29" s="48">
        <v>-13705</v>
      </c>
      <c r="H29" s="48">
        <v>-9548</v>
      </c>
      <c r="I29" s="48">
        <v>-9137</v>
      </c>
      <c r="J29" s="48">
        <v>-12731</v>
      </c>
      <c r="K29" s="48">
        <v>-13653</v>
      </c>
      <c r="L29" s="48">
        <v>-14731</v>
      </c>
      <c r="M29" s="48">
        <v>-20289</v>
      </c>
      <c r="N29" s="48">
        <v>-18656</v>
      </c>
    </row>
    <row r="30" spans="2:14" x14ac:dyDescent="0.3">
      <c r="B30" t="s">
        <v>149</v>
      </c>
      <c r="C30">
        <v>0</v>
      </c>
      <c r="D30">
        <v>0</v>
      </c>
      <c r="E30">
        <v>0</v>
      </c>
      <c r="F30">
        <v>0</v>
      </c>
      <c r="G30">
        <v>0</v>
      </c>
      <c r="H30">
        <v>-571</v>
      </c>
      <c r="I30">
        <v>-698</v>
      </c>
      <c r="J30">
        <v>-915</v>
      </c>
      <c r="K30">
        <v>-1231</v>
      </c>
      <c r="L30">
        <v>-2024</v>
      </c>
      <c r="M30">
        <v>-2355</v>
      </c>
      <c r="N30">
        <v>-2824</v>
      </c>
    </row>
    <row r="31" spans="2:14" x14ac:dyDescent="0.3">
      <c r="B31" t="s">
        <v>150</v>
      </c>
      <c r="C31">
        <v>0</v>
      </c>
      <c r="D31">
        <v>0</v>
      </c>
      <c r="E31" s="48">
        <v>0</v>
      </c>
      <c r="F31" s="48">
        <v>-13046</v>
      </c>
      <c r="G31" s="48">
        <v>-813</v>
      </c>
      <c r="H31" s="48">
        <v>-7478</v>
      </c>
      <c r="I31">
        <v>34</v>
      </c>
      <c r="J31">
        <v>-11017</v>
      </c>
      <c r="K31">
        <v>-11846</v>
      </c>
      <c r="L31">
        <v>-754</v>
      </c>
      <c r="M31">
        <v>-538</v>
      </c>
      <c r="N31">
        <v>-18308</v>
      </c>
    </row>
    <row r="32" spans="2:14" x14ac:dyDescent="0.3">
      <c r="B32" t="s">
        <v>35</v>
      </c>
      <c r="C32">
        <v>4417</v>
      </c>
      <c r="D32">
        <v>2330</v>
      </c>
      <c r="E32">
        <v>-10072</v>
      </c>
      <c r="F32">
        <v>-2754</v>
      </c>
      <c r="G32">
        <v>-303</v>
      </c>
      <c r="H32">
        <v>-919</v>
      </c>
      <c r="I32">
        <v>6065</v>
      </c>
      <c r="J32">
        <v>-7242</v>
      </c>
      <c r="K32">
        <v>-5299</v>
      </c>
      <c r="L32">
        <v>2613</v>
      </c>
      <c r="M32">
        <v>9669</v>
      </c>
      <c r="N32">
        <v>-2254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4" x14ac:dyDescent="0.3">
      <c r="B2" s="161" t="str">
        <f>"Historical Financial Statement - "&amp;'Data Sheet'!$B$1</f>
        <v>Historical Financial Statement - Infosys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42"/>
    </row>
    <row r="3" spans="1:14" x14ac:dyDescent="0.3">
      <c r="B3" s="32" t="s">
        <v>93</v>
      </c>
      <c r="C3" s="40">
        <f>'Data Sheet'!B56</f>
        <v>42795</v>
      </c>
      <c r="D3" s="40">
        <f>'Data Sheet'!C56</f>
        <v>43160</v>
      </c>
      <c r="E3" s="40">
        <f>'Data Sheet'!D56</f>
        <v>43525</v>
      </c>
      <c r="F3" s="40">
        <f>'Data Sheet'!E56</f>
        <v>43891</v>
      </c>
      <c r="G3" s="40">
        <f>'Data Sheet'!F56</f>
        <v>44256</v>
      </c>
      <c r="H3" s="40">
        <f>'Data Sheet'!G56</f>
        <v>44621</v>
      </c>
      <c r="I3" s="40">
        <f>'Data Sheet'!H56</f>
        <v>44986</v>
      </c>
      <c r="J3" s="40">
        <f>'Data Sheet'!I56</f>
        <v>45352</v>
      </c>
      <c r="K3" s="40">
        <f>'Data Sheet'!J56</f>
        <v>45717</v>
      </c>
      <c r="L3" s="40">
        <f>'Data Sheet'!K56</f>
        <v>46082</v>
      </c>
      <c r="M3" s="32" t="s">
        <v>118</v>
      </c>
      <c r="N3" s="43"/>
    </row>
    <row r="5" spans="1:14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4" x14ac:dyDescent="0.3">
      <c r="B7" t="s">
        <v>6</v>
      </c>
      <c r="C7" s="106">
        <f>'Data Sheet'!B17</f>
        <v>70522</v>
      </c>
      <c r="D7" s="106">
        <f>'Data Sheet'!C17</f>
        <v>82675</v>
      </c>
      <c r="E7" s="106">
        <f>'Data Sheet'!D17</f>
        <v>90791</v>
      </c>
      <c r="F7" s="106">
        <f>'Data Sheet'!E17</f>
        <v>100472</v>
      </c>
      <c r="G7" s="106">
        <f>'Data Sheet'!F17</f>
        <v>121641</v>
      </c>
      <c r="H7" s="106">
        <f>'Data Sheet'!G17</f>
        <v>146767</v>
      </c>
      <c r="I7" s="106">
        <f>'Data Sheet'!H17</f>
        <v>153670</v>
      </c>
      <c r="J7" s="106">
        <f>'Data Sheet'!I17</f>
        <v>162990</v>
      </c>
      <c r="K7" s="106">
        <f>'Data Sheet'!J17</f>
        <v>178650</v>
      </c>
      <c r="L7" s="106">
        <f>'Data Sheet'!K17</f>
        <v>184582</v>
      </c>
    </row>
    <row r="8" spans="1:14" x14ac:dyDescent="0.3">
      <c r="B8" t="s">
        <v>22</v>
      </c>
      <c r="C8" s="110" t="s">
        <v>120</v>
      </c>
      <c r="D8" s="111">
        <f>D7/C7-1</f>
        <v>0.17232920223476356</v>
      </c>
      <c r="E8" s="111">
        <f t="shared" ref="E8:L8" si="0">E7/D7-1</f>
        <v>9.8167523435137571E-2</v>
      </c>
      <c r="F8" s="111">
        <f t="shared" si="0"/>
        <v>0.10662951173574475</v>
      </c>
      <c r="G8" s="111">
        <f t="shared" si="0"/>
        <v>0.21069551715900947</v>
      </c>
      <c r="H8" s="111">
        <f t="shared" si="0"/>
        <v>0.20655864387829759</v>
      </c>
      <c r="I8" s="111">
        <f t="shared" si="0"/>
        <v>4.7033733741236095E-2</v>
      </c>
      <c r="J8" s="111">
        <f t="shared" si="0"/>
        <v>6.0649443612936782E-2</v>
      </c>
      <c r="K8" s="111">
        <f t="shared" si="0"/>
        <v>9.6079514080618544E-2</v>
      </c>
      <c r="L8" s="111">
        <f t="shared" si="0"/>
        <v>3.3204589980408539E-2</v>
      </c>
    </row>
    <row r="10" spans="1:14" x14ac:dyDescent="0.3">
      <c r="B10" t="s">
        <v>99</v>
      </c>
      <c r="C10" s="106">
        <f>SUM('Data Sheet'!B18,'Data Sheet'!B20:B22)-'Data Sheet'!B19</f>
        <v>0</v>
      </c>
      <c r="D10" s="106">
        <f>SUM('Data Sheet'!C18,'Data Sheet'!C20:C22)-'Data Sheet'!C19</f>
        <v>0</v>
      </c>
      <c r="E10" s="106">
        <f>SUM('Data Sheet'!D18,'Data Sheet'!D20:D22)-'Data Sheet'!D19</f>
        <v>0</v>
      </c>
      <c r="F10" s="106">
        <f>SUM('Data Sheet'!E18,'Data Sheet'!E20:E22)-'Data Sheet'!E19</f>
        <v>0</v>
      </c>
      <c r="G10" s="106">
        <f>SUM('Data Sheet'!F18,'Data Sheet'!F20:F22)-'Data Sheet'!F19</f>
        <v>0</v>
      </c>
      <c r="H10" s="106">
        <f>SUM('Data Sheet'!G18,'Data Sheet'!G20:G22)-'Data Sheet'!G19</f>
        <v>0</v>
      </c>
      <c r="I10" s="106">
        <f>SUM('Data Sheet'!H18,'Data Sheet'!H20:H22)-'Data Sheet'!H19</f>
        <v>0</v>
      </c>
      <c r="J10" s="106">
        <f>SUM('Data Sheet'!I18,'Data Sheet'!I20:I22)-'Data Sheet'!I19</f>
        <v>0</v>
      </c>
      <c r="K10" s="106">
        <f>SUM('Data Sheet'!J18,'Data Sheet'!J20:J22)-'Data Sheet'!J19</f>
        <v>0</v>
      </c>
      <c r="L10" s="106">
        <f>SUM('Data Sheet'!K18,'Data Sheet'!K20:K22)-'Data Sheet'!K19</f>
        <v>0</v>
      </c>
    </row>
    <row r="11" spans="1:14" x14ac:dyDescent="0.3">
      <c r="B11" t="s">
        <v>98</v>
      </c>
      <c r="C11" s="112">
        <f>C10/C7</f>
        <v>0</v>
      </c>
      <c r="D11" s="112">
        <f t="shared" ref="D11:L11" si="1">D10/D7</f>
        <v>0</v>
      </c>
      <c r="E11" s="112">
        <f t="shared" si="1"/>
        <v>0</v>
      </c>
      <c r="F11" s="112">
        <f t="shared" si="1"/>
        <v>0</v>
      </c>
      <c r="G11" s="112">
        <f t="shared" si="1"/>
        <v>0</v>
      </c>
      <c r="H11" s="112">
        <f t="shared" si="1"/>
        <v>0</v>
      </c>
      <c r="I11" s="112">
        <f t="shared" si="1"/>
        <v>0</v>
      </c>
      <c r="J11" s="112">
        <f t="shared" si="1"/>
        <v>0</v>
      </c>
      <c r="K11" s="112">
        <f t="shared" si="1"/>
        <v>0</v>
      </c>
      <c r="L11" s="112">
        <f t="shared" si="1"/>
        <v>0</v>
      </c>
    </row>
    <row r="13" spans="1:14" x14ac:dyDescent="0.3">
      <c r="B13" t="s">
        <v>100</v>
      </c>
      <c r="C13" s="106">
        <f>C7-C10</f>
        <v>70522</v>
      </c>
      <c r="D13" s="106">
        <f t="shared" ref="D13:L13" si="2">D7-D10</f>
        <v>82675</v>
      </c>
      <c r="E13" s="106">
        <f t="shared" si="2"/>
        <v>90791</v>
      </c>
      <c r="F13" s="106">
        <f t="shared" si="2"/>
        <v>100472</v>
      </c>
      <c r="G13" s="106">
        <f t="shared" si="2"/>
        <v>121641</v>
      </c>
      <c r="H13" s="106">
        <f t="shared" si="2"/>
        <v>146767</v>
      </c>
      <c r="I13" s="106">
        <f t="shared" si="2"/>
        <v>153670</v>
      </c>
      <c r="J13" s="106">
        <f t="shared" si="2"/>
        <v>162990</v>
      </c>
      <c r="K13" s="106">
        <f t="shared" si="2"/>
        <v>178650</v>
      </c>
      <c r="L13" s="106">
        <f t="shared" si="2"/>
        <v>184582</v>
      </c>
    </row>
    <row r="14" spans="1:14" x14ac:dyDescent="0.3">
      <c r="B14" t="s">
        <v>101</v>
      </c>
      <c r="C14" s="112">
        <f>C13/C7</f>
        <v>1</v>
      </c>
      <c r="D14" s="112">
        <f t="shared" ref="D14:L14" si="3">D13/D7</f>
        <v>1</v>
      </c>
      <c r="E14" s="112">
        <f t="shared" si="3"/>
        <v>1</v>
      </c>
      <c r="F14" s="112">
        <f t="shared" si="3"/>
        <v>1</v>
      </c>
      <c r="G14" s="112">
        <f t="shared" si="3"/>
        <v>1</v>
      </c>
      <c r="H14" s="112">
        <f t="shared" si="3"/>
        <v>1</v>
      </c>
      <c r="I14" s="112">
        <f t="shared" si="3"/>
        <v>1</v>
      </c>
      <c r="J14" s="112">
        <f t="shared" si="3"/>
        <v>1</v>
      </c>
      <c r="K14" s="112">
        <f t="shared" si="3"/>
        <v>1</v>
      </c>
      <c r="L14" s="112">
        <f t="shared" si="3"/>
        <v>1</v>
      </c>
    </row>
    <row r="16" spans="1:14" x14ac:dyDescent="0.3">
      <c r="B16" t="s">
        <v>102</v>
      </c>
      <c r="C16" s="106">
        <f>'Data Sheet'!B23</f>
        <v>0</v>
      </c>
      <c r="D16" s="106">
        <f>'Data Sheet'!C23</f>
        <v>0</v>
      </c>
      <c r="E16" s="106">
        <f>'Data Sheet'!D23</f>
        <v>0</v>
      </c>
      <c r="F16" s="106">
        <f>'Data Sheet'!E23</f>
        <v>0</v>
      </c>
      <c r="G16" s="106">
        <f>'Data Sheet'!F23</f>
        <v>0</v>
      </c>
      <c r="H16" s="106">
        <f>'Data Sheet'!G23</f>
        <v>0</v>
      </c>
      <c r="I16" s="106">
        <f>'Data Sheet'!H23</f>
        <v>0</v>
      </c>
      <c r="J16" s="106">
        <f>'Data Sheet'!I23</f>
        <v>0</v>
      </c>
      <c r="K16" s="106">
        <f>'Data Sheet'!J23</f>
        <v>0</v>
      </c>
      <c r="L16" s="106">
        <f>'Data Sheet'!K23</f>
        <v>0</v>
      </c>
    </row>
    <row r="17" spans="2:12" x14ac:dyDescent="0.3">
      <c r="B17" t="s">
        <v>103</v>
      </c>
      <c r="C17" s="112">
        <f>C16/C7</f>
        <v>0</v>
      </c>
      <c r="D17" s="112">
        <f t="shared" ref="D17:L17" si="4">D16/D7</f>
        <v>0</v>
      </c>
      <c r="E17" s="112">
        <f t="shared" si="4"/>
        <v>0</v>
      </c>
      <c r="F17" s="112">
        <f t="shared" si="4"/>
        <v>0</v>
      </c>
      <c r="G17" s="112">
        <f t="shared" si="4"/>
        <v>0</v>
      </c>
      <c r="H17" s="112">
        <f t="shared" si="4"/>
        <v>0</v>
      </c>
      <c r="I17" s="112">
        <f t="shared" si="4"/>
        <v>0</v>
      </c>
      <c r="J17" s="112">
        <f t="shared" si="4"/>
        <v>0</v>
      </c>
      <c r="K17" s="112">
        <f t="shared" si="4"/>
        <v>0</v>
      </c>
      <c r="L17" s="112">
        <f t="shared" si="4"/>
        <v>0</v>
      </c>
    </row>
    <row r="19" spans="2:12" x14ac:dyDescent="0.3">
      <c r="B19" t="s">
        <v>94</v>
      </c>
      <c r="C19" s="106">
        <f>C13-C16</f>
        <v>70522</v>
      </c>
      <c r="D19" s="106">
        <f t="shared" ref="D19:L19" si="5">D13-D16</f>
        <v>82675</v>
      </c>
      <c r="E19" s="106">
        <f t="shared" si="5"/>
        <v>90791</v>
      </c>
      <c r="F19" s="106">
        <f t="shared" si="5"/>
        <v>100472</v>
      </c>
      <c r="G19" s="106">
        <f t="shared" si="5"/>
        <v>121641</v>
      </c>
      <c r="H19" s="106">
        <f t="shared" si="5"/>
        <v>146767</v>
      </c>
      <c r="I19" s="106">
        <f t="shared" si="5"/>
        <v>153670</v>
      </c>
      <c r="J19" s="106">
        <f t="shared" si="5"/>
        <v>162990</v>
      </c>
      <c r="K19" s="106">
        <f t="shared" si="5"/>
        <v>178650</v>
      </c>
      <c r="L19" s="106">
        <f t="shared" si="5"/>
        <v>184582</v>
      </c>
    </row>
    <row r="20" spans="2:12" x14ac:dyDescent="0.3">
      <c r="B20" t="s">
        <v>104</v>
      </c>
      <c r="C20" s="112">
        <f>C19/C7</f>
        <v>1</v>
      </c>
      <c r="D20" s="112">
        <f t="shared" ref="D20:L20" si="6">D19/D7</f>
        <v>1</v>
      </c>
      <c r="E20" s="112">
        <f t="shared" si="6"/>
        <v>1</v>
      </c>
      <c r="F20" s="112">
        <f t="shared" si="6"/>
        <v>1</v>
      </c>
      <c r="G20" s="112">
        <f t="shared" si="6"/>
        <v>1</v>
      </c>
      <c r="H20" s="112">
        <f t="shared" si="6"/>
        <v>1</v>
      </c>
      <c r="I20" s="112">
        <f t="shared" si="6"/>
        <v>1</v>
      </c>
      <c r="J20" s="112">
        <f t="shared" si="6"/>
        <v>1</v>
      </c>
      <c r="K20" s="112">
        <f t="shared" si="6"/>
        <v>1</v>
      </c>
      <c r="L20" s="112">
        <f t="shared" si="6"/>
        <v>1</v>
      </c>
    </row>
    <row r="22" spans="2:12" x14ac:dyDescent="0.3">
      <c r="B22" t="s">
        <v>10</v>
      </c>
      <c r="C22" s="106">
        <f>'Data Sheet'!B26</f>
        <v>1863</v>
      </c>
      <c r="D22" s="106">
        <f>'Data Sheet'!C26</f>
        <v>2011</v>
      </c>
      <c r="E22" s="106">
        <f>'Data Sheet'!D26</f>
        <v>2893</v>
      </c>
      <c r="F22" s="106">
        <f>'Data Sheet'!E26</f>
        <v>3267</v>
      </c>
      <c r="G22" s="106">
        <f>'Data Sheet'!F26</f>
        <v>3476</v>
      </c>
      <c r="H22" s="106">
        <f>'Data Sheet'!G26</f>
        <v>4225</v>
      </c>
      <c r="I22" s="106">
        <f>'Data Sheet'!H26</f>
        <v>4678</v>
      </c>
      <c r="J22" s="106">
        <f>'Data Sheet'!I26</f>
        <v>4812</v>
      </c>
      <c r="K22" s="106">
        <f>'Data Sheet'!J26</f>
        <v>4902</v>
      </c>
      <c r="L22" s="106">
        <f>'Data Sheet'!K26</f>
        <v>5007</v>
      </c>
    </row>
    <row r="23" spans="2:12" x14ac:dyDescent="0.3">
      <c r="B23" t="s">
        <v>105</v>
      </c>
      <c r="C23" s="112">
        <f>C22/C7</f>
        <v>2.6417288222115084E-2</v>
      </c>
      <c r="D23" s="112">
        <f t="shared" ref="D23:L23" si="7">D22/D7</f>
        <v>2.4324160870879952E-2</v>
      </c>
      <c r="E23" s="112">
        <f t="shared" si="7"/>
        <v>3.1864391845006661E-2</v>
      </c>
      <c r="F23" s="112">
        <f t="shared" si="7"/>
        <v>3.2516522016084085E-2</v>
      </c>
      <c r="G23" s="112">
        <f t="shared" si="7"/>
        <v>2.8575891352422292E-2</v>
      </c>
      <c r="H23" s="112">
        <f t="shared" si="7"/>
        <v>2.8787125171189708E-2</v>
      </c>
      <c r="I23" s="112">
        <f t="shared" si="7"/>
        <v>3.0441855925034164E-2</v>
      </c>
      <c r="J23" s="112">
        <f t="shared" si="7"/>
        <v>2.9523283637032948E-2</v>
      </c>
      <c r="K23" s="112">
        <f t="shared" si="7"/>
        <v>2.7439126784214944E-2</v>
      </c>
      <c r="L23" s="112">
        <f t="shared" si="7"/>
        <v>2.7126155313085782E-2</v>
      </c>
    </row>
    <row r="25" spans="2:12" x14ac:dyDescent="0.3">
      <c r="B25" t="s">
        <v>106</v>
      </c>
      <c r="C25" s="106">
        <f>C19-C22</f>
        <v>68659</v>
      </c>
      <c r="D25" s="106">
        <f t="shared" ref="D25:L25" si="8">D19-D22</f>
        <v>80664</v>
      </c>
      <c r="E25" s="106">
        <f t="shared" si="8"/>
        <v>87898</v>
      </c>
      <c r="F25" s="106">
        <f t="shared" si="8"/>
        <v>97205</v>
      </c>
      <c r="G25" s="106">
        <f t="shared" si="8"/>
        <v>118165</v>
      </c>
      <c r="H25" s="106">
        <f t="shared" si="8"/>
        <v>142542</v>
      </c>
      <c r="I25" s="106">
        <f t="shared" si="8"/>
        <v>148992</v>
      </c>
      <c r="J25" s="106">
        <f t="shared" si="8"/>
        <v>158178</v>
      </c>
      <c r="K25" s="106">
        <f t="shared" si="8"/>
        <v>173748</v>
      </c>
      <c r="L25" s="106">
        <f t="shared" si="8"/>
        <v>179575</v>
      </c>
    </row>
    <row r="26" spans="2:12" x14ac:dyDescent="0.3">
      <c r="B26" t="s">
        <v>107</v>
      </c>
      <c r="C26" s="112">
        <f>C25/C7</f>
        <v>0.97358271177788491</v>
      </c>
      <c r="D26" s="112">
        <f t="shared" ref="D26:L26" si="9">D25/D7</f>
        <v>0.97567583912912004</v>
      </c>
      <c r="E26" s="112">
        <f t="shared" si="9"/>
        <v>0.96813560815499333</v>
      </c>
      <c r="F26" s="112">
        <f t="shared" si="9"/>
        <v>0.96748347798391587</v>
      </c>
      <c r="G26" s="112">
        <f t="shared" si="9"/>
        <v>0.97142410864757767</v>
      </c>
      <c r="H26" s="112">
        <f t="shared" si="9"/>
        <v>0.97121287482881025</v>
      </c>
      <c r="I26" s="112">
        <f t="shared" si="9"/>
        <v>0.96955814407496588</v>
      </c>
      <c r="J26" s="112">
        <f t="shared" si="9"/>
        <v>0.97047671636296706</v>
      </c>
      <c r="K26" s="112">
        <f t="shared" si="9"/>
        <v>0.9725608732157851</v>
      </c>
      <c r="L26" s="112">
        <f t="shared" si="9"/>
        <v>0.97287384468691418</v>
      </c>
    </row>
    <row r="28" spans="2:12" x14ac:dyDescent="0.3">
      <c r="B28" t="s">
        <v>11</v>
      </c>
      <c r="C28" s="106">
        <f>'Data Sheet'!B27</f>
        <v>0</v>
      </c>
      <c r="D28" s="106">
        <f>'Data Sheet'!C27</f>
        <v>0</v>
      </c>
      <c r="E28" s="106">
        <f>'Data Sheet'!D27</f>
        <v>170</v>
      </c>
      <c r="F28" s="106">
        <f>'Data Sheet'!E27</f>
        <v>195</v>
      </c>
      <c r="G28" s="106">
        <f>'Data Sheet'!F27</f>
        <v>200</v>
      </c>
      <c r="H28" s="106">
        <f>'Data Sheet'!G27</f>
        <v>284</v>
      </c>
      <c r="I28" s="106">
        <f>'Data Sheet'!H27</f>
        <v>470</v>
      </c>
      <c r="J28" s="106">
        <f>'Data Sheet'!I27</f>
        <v>416</v>
      </c>
      <c r="K28" s="106">
        <f>'Data Sheet'!J27</f>
        <v>416</v>
      </c>
      <c r="L28" s="106">
        <f>'Data Sheet'!K27</f>
        <v>430</v>
      </c>
    </row>
    <row r="29" spans="2:12" x14ac:dyDescent="0.3">
      <c r="B29" t="s">
        <v>108</v>
      </c>
      <c r="C29" s="112">
        <f>C28/C7</f>
        <v>0</v>
      </c>
      <c r="D29" s="112">
        <f t="shared" ref="D29:L29" si="10">D28/D7</f>
        <v>0</v>
      </c>
      <c r="E29" s="112">
        <f t="shared" si="10"/>
        <v>1.8724322895441179E-3</v>
      </c>
      <c r="F29" s="112">
        <f t="shared" si="10"/>
        <v>1.9408392387928975E-3</v>
      </c>
      <c r="G29" s="112">
        <f t="shared" si="10"/>
        <v>1.6441824713706726E-3</v>
      </c>
      <c r="H29" s="112">
        <f t="shared" si="10"/>
        <v>1.9350398931639945E-3</v>
      </c>
      <c r="I29" s="112">
        <f t="shared" si="10"/>
        <v>3.0585019847725646E-3</v>
      </c>
      <c r="J29" s="112">
        <f t="shared" si="10"/>
        <v>2.5523038223203877E-3</v>
      </c>
      <c r="K29" s="112">
        <f t="shared" si="10"/>
        <v>2.3285754268122026E-3</v>
      </c>
      <c r="L29" s="112">
        <f t="shared" si="10"/>
        <v>2.3295879338180322E-3</v>
      </c>
    </row>
    <row r="31" spans="2:12" x14ac:dyDescent="0.3">
      <c r="B31" t="s">
        <v>109</v>
      </c>
      <c r="C31" s="106">
        <f>C25-C28</f>
        <v>68659</v>
      </c>
      <c r="D31" s="106">
        <f t="shared" ref="D31:L31" si="11">D25-D28</f>
        <v>80664</v>
      </c>
      <c r="E31" s="106">
        <f t="shared" si="11"/>
        <v>87728</v>
      </c>
      <c r="F31" s="106">
        <f t="shared" si="11"/>
        <v>97010</v>
      </c>
      <c r="G31" s="106">
        <f t="shared" si="11"/>
        <v>117965</v>
      </c>
      <c r="H31" s="106">
        <f t="shared" si="11"/>
        <v>142258</v>
      </c>
      <c r="I31" s="106">
        <f t="shared" si="11"/>
        <v>148522</v>
      </c>
      <c r="J31" s="106">
        <f t="shared" si="11"/>
        <v>157762</v>
      </c>
      <c r="K31" s="106">
        <f t="shared" si="11"/>
        <v>173332</v>
      </c>
      <c r="L31" s="106">
        <f t="shared" si="11"/>
        <v>179145</v>
      </c>
    </row>
    <row r="32" spans="2:12" x14ac:dyDescent="0.3">
      <c r="B32" t="s">
        <v>110</v>
      </c>
      <c r="C32" s="112">
        <f>C31/C7</f>
        <v>0.97358271177788491</v>
      </c>
      <c r="D32" s="112">
        <f t="shared" ref="D32:L32" si="12">D31/D7</f>
        <v>0.97567583912912004</v>
      </c>
      <c r="E32" s="112">
        <f t="shared" si="12"/>
        <v>0.96626317586544919</v>
      </c>
      <c r="F32" s="112">
        <f t="shared" si="12"/>
        <v>0.96554263874512303</v>
      </c>
      <c r="G32" s="112">
        <f t="shared" si="12"/>
        <v>0.96977992617620701</v>
      </c>
      <c r="H32" s="112">
        <f t="shared" si="12"/>
        <v>0.96927783493564634</v>
      </c>
      <c r="I32" s="112">
        <f t="shared" si="12"/>
        <v>0.96649964209019323</v>
      </c>
      <c r="J32" s="112">
        <f t="shared" si="12"/>
        <v>0.96792441254064665</v>
      </c>
      <c r="K32" s="112">
        <f t="shared" si="12"/>
        <v>0.9702322977889728</v>
      </c>
      <c r="L32" s="112">
        <f t="shared" si="12"/>
        <v>0.97054425675309619</v>
      </c>
    </row>
    <row r="34" spans="2:12" x14ac:dyDescent="0.3">
      <c r="B34" t="s">
        <v>111</v>
      </c>
      <c r="C34" s="107">
        <f>'Data Sheet'!B29</f>
        <v>20270</v>
      </c>
      <c r="D34" s="107">
        <f>'Data Sheet'!C29</f>
        <v>21041</v>
      </c>
      <c r="E34" s="107">
        <f>'Data Sheet'!D29</f>
        <v>22007</v>
      </c>
      <c r="F34" s="107">
        <f>'Data Sheet'!E29</f>
        <v>26628</v>
      </c>
      <c r="G34" s="107">
        <f>'Data Sheet'!F29</f>
        <v>30110</v>
      </c>
      <c r="H34" s="107">
        <f>'Data Sheet'!G29</f>
        <v>33322</v>
      </c>
      <c r="I34" s="107">
        <f>'Data Sheet'!H29</f>
        <v>35988</v>
      </c>
      <c r="J34" s="107">
        <f>'Data Sheet'!I29</f>
        <v>37608</v>
      </c>
      <c r="K34" s="107">
        <f>'Data Sheet'!J29</f>
        <v>39995</v>
      </c>
      <c r="L34" s="107">
        <f>'Data Sheet'!K29</f>
        <v>41283</v>
      </c>
    </row>
    <row r="35" spans="2:12" x14ac:dyDescent="0.3">
      <c r="B35" t="s">
        <v>112</v>
      </c>
      <c r="C35" s="112">
        <f>C34/C31</f>
        <v>0.2952271370104429</v>
      </c>
      <c r="D35" s="112">
        <f t="shared" ref="D35:L35" si="13">D34/D31</f>
        <v>0.26084746603193493</v>
      </c>
      <c r="E35" s="112">
        <f t="shared" si="13"/>
        <v>0.25085491519241293</v>
      </c>
      <c r="F35" s="112">
        <f t="shared" si="13"/>
        <v>0.27448716627151842</v>
      </c>
      <c r="G35" s="112">
        <f t="shared" si="13"/>
        <v>0.25524519984741234</v>
      </c>
      <c r="H35" s="112">
        <f t="shared" si="13"/>
        <v>0.23423638740879246</v>
      </c>
      <c r="I35" s="112">
        <f t="shared" si="13"/>
        <v>0.24230753693055573</v>
      </c>
      <c r="J35" s="112">
        <f t="shared" si="13"/>
        <v>0.23838440182046375</v>
      </c>
      <c r="K35" s="112">
        <f t="shared" si="13"/>
        <v>0.23074215955507349</v>
      </c>
      <c r="L35" s="112">
        <f t="shared" si="13"/>
        <v>0.23044461190655613</v>
      </c>
    </row>
    <row r="37" spans="2:12" x14ac:dyDescent="0.3">
      <c r="B37" t="s">
        <v>123</v>
      </c>
      <c r="C37" s="106">
        <f>C31-C34</f>
        <v>48389</v>
      </c>
      <c r="D37" s="106">
        <f t="shared" ref="D37:L37" si="14">D31-D34</f>
        <v>59623</v>
      </c>
      <c r="E37" s="106">
        <f t="shared" si="14"/>
        <v>65721</v>
      </c>
      <c r="F37" s="106">
        <f t="shared" si="14"/>
        <v>70382</v>
      </c>
      <c r="G37" s="106">
        <f t="shared" si="14"/>
        <v>87855</v>
      </c>
      <c r="H37" s="106">
        <f t="shared" si="14"/>
        <v>108936</v>
      </c>
      <c r="I37" s="106">
        <f t="shared" si="14"/>
        <v>112534</v>
      </c>
      <c r="J37" s="106">
        <f t="shared" si="14"/>
        <v>120154</v>
      </c>
      <c r="K37" s="106">
        <f t="shared" si="14"/>
        <v>133337</v>
      </c>
      <c r="L37" s="106">
        <f t="shared" si="14"/>
        <v>137862</v>
      </c>
    </row>
    <row r="38" spans="2:12" x14ac:dyDescent="0.3">
      <c r="B38" t="s">
        <v>124</v>
      </c>
      <c r="C38" s="112">
        <f>C37/C7</f>
        <v>0.6861546751368367</v>
      </c>
      <c r="D38" s="112">
        <f t="shared" ref="D38:L38" si="15">D37/D7</f>
        <v>0.72117326882370725</v>
      </c>
      <c r="E38" s="112">
        <f t="shared" si="15"/>
        <v>0.72387130883017037</v>
      </c>
      <c r="F38" s="112">
        <f t="shared" si="15"/>
        <v>0.70051357592164987</v>
      </c>
      <c r="G38" s="112">
        <f t="shared" si="15"/>
        <v>0.72224825511135227</v>
      </c>
      <c r="H38" s="112">
        <f t="shared" si="15"/>
        <v>0.74223769648490467</v>
      </c>
      <c r="I38" s="112">
        <f t="shared" si="15"/>
        <v>0.73230949437105486</v>
      </c>
      <c r="J38" s="112">
        <f t="shared" si="15"/>
        <v>0.73718633044972082</v>
      </c>
      <c r="K38" s="112">
        <f t="shared" si="15"/>
        <v>0.74635880212706407</v>
      </c>
      <c r="L38" s="112">
        <f t="shared" si="15"/>
        <v>0.74688756216749197</v>
      </c>
    </row>
    <row r="40" spans="2:12" x14ac:dyDescent="0.3">
      <c r="B40" t="s">
        <v>74</v>
      </c>
      <c r="C40">
        <f>'Data Sheet'!B93</f>
        <v>459.41</v>
      </c>
      <c r="D40">
        <f>'Data Sheet'!C93</f>
        <v>459.41</v>
      </c>
      <c r="E40">
        <f>'Data Sheet'!D93</f>
        <v>459.41</v>
      </c>
      <c r="F40">
        <f>'Data Sheet'!E93</f>
        <v>459.41</v>
      </c>
      <c r="G40">
        <f>'Data Sheet'!F93</f>
        <v>459.41</v>
      </c>
      <c r="H40">
        <f>'Data Sheet'!G93</f>
        <v>459.41</v>
      </c>
      <c r="I40">
        <f>'Data Sheet'!H93</f>
        <v>459.41</v>
      </c>
      <c r="J40">
        <f>'Data Sheet'!I93</f>
        <v>459.41</v>
      </c>
      <c r="K40">
        <f>'Data Sheet'!J93</f>
        <v>459.41</v>
      </c>
      <c r="L40">
        <f>'Data Sheet'!K93</f>
        <v>459.41</v>
      </c>
    </row>
    <row r="42" spans="2:12" x14ac:dyDescent="0.3">
      <c r="B42" t="s">
        <v>113</v>
      </c>
      <c r="C42" s="106">
        <f>C37/C40</f>
        <v>105.32857360527633</v>
      </c>
      <c r="D42" s="106">
        <f t="shared" ref="D42:L42" si="16">D37/D40</f>
        <v>129.78167649811715</v>
      </c>
      <c r="E42" s="106">
        <f t="shared" si="16"/>
        <v>143.05522300341741</v>
      </c>
      <c r="F42" s="106">
        <f t="shared" si="16"/>
        <v>153.20084456150278</v>
      </c>
      <c r="G42" s="106">
        <f t="shared" si="16"/>
        <v>191.23440935112427</v>
      </c>
      <c r="H42" s="106">
        <f t="shared" si="16"/>
        <v>237.12152543479678</v>
      </c>
      <c r="I42" s="106">
        <f t="shared" si="16"/>
        <v>244.95330967980669</v>
      </c>
      <c r="J42" s="106">
        <f t="shared" si="16"/>
        <v>261.53980104917173</v>
      </c>
      <c r="K42" s="106">
        <f t="shared" si="16"/>
        <v>290.23530180013495</v>
      </c>
      <c r="L42" s="106">
        <f t="shared" si="16"/>
        <v>300.08489149126052</v>
      </c>
    </row>
    <row r="43" spans="2:12" x14ac:dyDescent="0.3">
      <c r="B43" t="s">
        <v>114</v>
      </c>
      <c r="C43" s="111" t="s">
        <v>120</v>
      </c>
      <c r="D43" s="111">
        <f>D42/C42-1</f>
        <v>0.23216020169873319</v>
      </c>
      <c r="E43" s="111">
        <f t="shared" ref="E43:L43" si="17">E42/D42-1</f>
        <v>0.10227596732804445</v>
      </c>
      <c r="F43" s="111">
        <f t="shared" si="17"/>
        <v>7.0921014591987408E-2</v>
      </c>
      <c r="G43" s="111">
        <f t="shared" si="17"/>
        <v>0.2482594981671451</v>
      </c>
      <c r="H43" s="111">
        <f t="shared" si="17"/>
        <v>0.23995219395594991</v>
      </c>
      <c r="I43" s="111">
        <f t="shared" si="17"/>
        <v>3.302856723213643E-2</v>
      </c>
      <c r="J43" s="111">
        <f t="shared" si="17"/>
        <v>6.7712868999591169E-2</v>
      </c>
      <c r="K43" s="111">
        <f t="shared" si="17"/>
        <v>0.10971752917089739</v>
      </c>
      <c r="L43" s="111">
        <f t="shared" si="17"/>
        <v>3.3936566744414476E-2</v>
      </c>
    </row>
    <row r="45" spans="2:12" x14ac:dyDescent="0.3">
      <c r="B45" t="s">
        <v>115</v>
      </c>
      <c r="C45" s="106">
        <f>'Data Sheet'!B31/'Historical FS'!C40</f>
        <v>20.585337715765874</v>
      </c>
      <c r="D45" s="106">
        <f>'Data Sheet'!C31/'Historical FS'!D40</f>
        <v>20.125813543457912</v>
      </c>
      <c r="E45" s="106">
        <f>'Data Sheet'!D31/'Historical FS'!E40</f>
        <v>16.298186804814872</v>
      </c>
      <c r="F45" s="106">
        <f>'Data Sheet'!E31/'Historical FS'!F40</f>
        <v>24.944102218062294</v>
      </c>
      <c r="G45" s="106">
        <f>'Data Sheet'!F31/'Historical FS'!G40</f>
        <v>28.441131015868176</v>
      </c>
      <c r="H45" s="106">
        <f>'Data Sheet'!G31/'Historical FS'!H40</f>
        <v>30.436081060490626</v>
      </c>
      <c r="I45" s="106">
        <f>'Data Sheet'!H31/'Historical FS'!I40</f>
        <v>41.707929735965692</v>
      </c>
      <c r="J45" s="106">
        <f>'Data Sheet'!I31/'Historical FS'!J40</f>
        <v>39.011993644021679</v>
      </c>
      <c r="K45" s="106">
        <f>'Data Sheet'!J31/'Historical FS'!K40</f>
        <v>42.343092226986784</v>
      </c>
      <c r="L45" s="106">
        <f>'Data Sheet'!K31/'Historical FS'!L40</f>
        <v>142.65035589125182</v>
      </c>
    </row>
    <row r="46" spans="2:12" x14ac:dyDescent="0.3">
      <c r="B46" t="s">
        <v>116</v>
      </c>
      <c r="C46" s="112">
        <f>C45/C42</f>
        <v>0.19543925272272625</v>
      </c>
      <c r="D46" s="112">
        <f t="shared" ref="D46:L46" si="18">D45/D42</f>
        <v>0.15507438404642504</v>
      </c>
      <c r="E46" s="112">
        <f t="shared" si="18"/>
        <v>0.11392933765463095</v>
      </c>
      <c r="F46" s="112">
        <f t="shared" si="18"/>
        <v>0.16281961296922509</v>
      </c>
      <c r="G46" s="112">
        <f t="shared" si="18"/>
        <v>0.14872392009561208</v>
      </c>
      <c r="H46" s="112">
        <f t="shared" si="18"/>
        <v>0.12835646618197841</v>
      </c>
      <c r="I46" s="112">
        <f t="shared" si="18"/>
        <v>0.17026889651127658</v>
      </c>
      <c r="J46" s="112">
        <f t="shared" si="18"/>
        <v>0.14916274114885897</v>
      </c>
      <c r="K46" s="112">
        <f t="shared" si="18"/>
        <v>0.14589228796208104</v>
      </c>
      <c r="L46" s="112">
        <f t="shared" si="18"/>
        <v>0.47536667101884494</v>
      </c>
    </row>
    <row r="48" spans="2:12" x14ac:dyDescent="0.3">
      <c r="B48" t="s">
        <v>117</v>
      </c>
      <c r="C48" s="36">
        <f>(1-C46)</f>
        <v>0.80456074727727378</v>
      </c>
      <c r="D48" s="36">
        <f t="shared" ref="D48:L48" si="19">(1-D46)</f>
        <v>0.84492561595357496</v>
      </c>
      <c r="E48" s="36">
        <f t="shared" si="19"/>
        <v>0.88607066234536902</v>
      </c>
      <c r="F48" s="36">
        <f t="shared" si="19"/>
        <v>0.83718038703077491</v>
      </c>
      <c r="G48" s="36">
        <f t="shared" si="19"/>
        <v>0.85127607990438792</v>
      </c>
      <c r="H48" s="36">
        <f t="shared" si="19"/>
        <v>0.87164353381802162</v>
      </c>
      <c r="I48" s="36">
        <f t="shared" si="19"/>
        <v>0.82973110348872336</v>
      </c>
      <c r="J48" s="36">
        <f t="shared" si="19"/>
        <v>0.85083725885114103</v>
      </c>
      <c r="K48" s="36">
        <f t="shared" si="19"/>
        <v>0.85410771203791902</v>
      </c>
      <c r="L48" s="36">
        <f t="shared" si="19"/>
        <v>0.52463332898115511</v>
      </c>
    </row>
    <row r="50" spans="2:15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5" x14ac:dyDescent="0.3">
      <c r="B51" s="33" t="str">
        <f>'Data Sheet'!A57</f>
        <v>Equity Share Capital</v>
      </c>
      <c r="C51" s="106">
        <f>'Data Sheet'!B57</f>
        <v>1144</v>
      </c>
      <c r="D51" s="106">
        <f>'Data Sheet'!C57</f>
        <v>1088</v>
      </c>
      <c r="E51" s="106">
        <f>'Data Sheet'!D57</f>
        <v>2170</v>
      </c>
      <c r="F51" s="106">
        <f>'Data Sheet'!E57</f>
        <v>2122</v>
      </c>
      <c r="G51" s="106">
        <f>'Data Sheet'!F57</f>
        <v>2124</v>
      </c>
      <c r="H51" s="106">
        <f>'Data Sheet'!G57</f>
        <v>2098</v>
      </c>
      <c r="I51" s="106">
        <f>'Data Sheet'!H57</f>
        <v>2069</v>
      </c>
      <c r="J51" s="106">
        <f>'Data Sheet'!I57</f>
        <v>2071</v>
      </c>
      <c r="K51" s="106">
        <f>'Data Sheet'!J57</f>
        <v>2073</v>
      </c>
      <c r="L51" s="106">
        <f>'Data Sheet'!K57</f>
        <v>2024</v>
      </c>
    </row>
    <row r="52" spans="2:15" x14ac:dyDescent="0.3">
      <c r="B52" s="33" t="str">
        <f>'Data Sheet'!A58</f>
        <v>Reserves</v>
      </c>
      <c r="C52" s="106">
        <f>'Data Sheet'!B58</f>
        <v>67838</v>
      </c>
      <c r="D52" s="106">
        <f>'Data Sheet'!C58</f>
        <v>63835</v>
      </c>
      <c r="E52" s="106">
        <f>'Data Sheet'!D58</f>
        <v>62778</v>
      </c>
      <c r="F52" s="106">
        <f>'Data Sheet'!E58</f>
        <v>63328</v>
      </c>
      <c r="G52" s="106">
        <f>'Data Sheet'!F58</f>
        <v>74227</v>
      </c>
      <c r="H52" s="106">
        <f>'Data Sheet'!G58</f>
        <v>73252</v>
      </c>
      <c r="I52" s="106">
        <f>'Data Sheet'!H58</f>
        <v>73338</v>
      </c>
      <c r="J52" s="106">
        <f>'Data Sheet'!I58</f>
        <v>86045</v>
      </c>
      <c r="K52" s="106">
        <f>'Data Sheet'!J58</f>
        <v>93745</v>
      </c>
      <c r="L52" s="106">
        <f>'Data Sheet'!K58</f>
        <v>90828</v>
      </c>
    </row>
    <row r="53" spans="2:15" x14ac:dyDescent="0.3">
      <c r="B53" s="33" t="str">
        <f>'Data Sheet'!A59</f>
        <v>Borrowings</v>
      </c>
      <c r="C53" s="106">
        <f>'Data Sheet'!B59</f>
        <v>0</v>
      </c>
      <c r="D53" s="106">
        <f>'Data Sheet'!C59</f>
        <v>0</v>
      </c>
      <c r="E53" s="106">
        <f>'Data Sheet'!D59</f>
        <v>0</v>
      </c>
      <c r="F53" s="106">
        <f>'Data Sheet'!E59</f>
        <v>4633</v>
      </c>
      <c r="G53" s="106">
        <f>'Data Sheet'!F59</f>
        <v>5325</v>
      </c>
      <c r="H53" s="106">
        <f>'Data Sheet'!G59</f>
        <v>5474</v>
      </c>
      <c r="I53" s="106">
        <f>'Data Sheet'!H59</f>
        <v>8299</v>
      </c>
      <c r="J53" s="106">
        <f>'Data Sheet'!I59</f>
        <v>8359</v>
      </c>
      <c r="K53" s="106">
        <f>'Data Sheet'!J59</f>
        <v>8227</v>
      </c>
      <c r="L53" s="106">
        <f>'Data Sheet'!K59</f>
        <v>9176</v>
      </c>
    </row>
    <row r="54" spans="2:15" x14ac:dyDescent="0.3">
      <c r="B54" s="33" t="str">
        <f>'Data Sheet'!A60</f>
        <v>Other Liabilities</v>
      </c>
      <c r="C54" s="106">
        <f>'Data Sheet'!B60</f>
        <v>14166</v>
      </c>
      <c r="D54" s="106">
        <f>'Data Sheet'!C60</f>
        <v>14426</v>
      </c>
      <c r="E54" s="106">
        <f>'Data Sheet'!D60</f>
        <v>19118</v>
      </c>
      <c r="F54" s="106">
        <f>'Data Sheet'!E60</f>
        <v>21717</v>
      </c>
      <c r="G54" s="106">
        <f>'Data Sheet'!F60</f>
        <v>25835</v>
      </c>
      <c r="H54" s="106">
        <f>'Data Sheet'!G60</f>
        <v>35905</v>
      </c>
      <c r="I54" s="106">
        <f>'Data Sheet'!H60</f>
        <v>40890</v>
      </c>
      <c r="J54" s="106">
        <f>'Data Sheet'!I60</f>
        <v>39545</v>
      </c>
      <c r="K54" s="106">
        <f>'Data Sheet'!J60</f>
        <v>43750</v>
      </c>
      <c r="L54" s="106">
        <f>'Data Sheet'!K60</f>
        <v>52260</v>
      </c>
    </row>
    <row r="55" spans="2:15" x14ac:dyDescent="0.3">
      <c r="B55" s="33" t="s">
        <v>95</v>
      </c>
      <c r="C55" s="106">
        <f>SUM(C51:C54)</f>
        <v>83148</v>
      </c>
      <c r="D55" s="106">
        <f t="shared" ref="D55:L55" si="20">SUM(D51:D54)</f>
        <v>79349</v>
      </c>
      <c r="E55" s="106">
        <f t="shared" si="20"/>
        <v>84066</v>
      </c>
      <c r="F55" s="106">
        <f t="shared" si="20"/>
        <v>91800</v>
      </c>
      <c r="G55" s="106">
        <f t="shared" si="20"/>
        <v>107511</v>
      </c>
      <c r="H55" s="106">
        <f t="shared" si="20"/>
        <v>116729</v>
      </c>
      <c r="I55" s="106">
        <f t="shared" si="20"/>
        <v>124596</v>
      </c>
      <c r="J55" s="106">
        <f t="shared" si="20"/>
        <v>136020</v>
      </c>
      <c r="K55" s="106">
        <f t="shared" si="20"/>
        <v>147795</v>
      </c>
      <c r="L55" s="106">
        <f t="shared" si="20"/>
        <v>154288</v>
      </c>
    </row>
    <row r="56" spans="2:15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5" x14ac:dyDescent="0.3">
      <c r="B57" s="33" t="s">
        <v>302</v>
      </c>
      <c r="C57" s="106">
        <f>'Data Sheet'!B62</f>
        <v>14179</v>
      </c>
      <c r="D57" s="106">
        <f>'Data Sheet'!C62</f>
        <v>12574</v>
      </c>
      <c r="E57" s="106">
        <f>'Data Sheet'!D62</f>
        <v>15710</v>
      </c>
      <c r="F57" s="106">
        <f>'Data Sheet'!E62</f>
        <v>23789</v>
      </c>
      <c r="G57" s="106">
        <f>'Data Sheet'!F62</f>
        <v>25505</v>
      </c>
      <c r="H57" s="106">
        <f>'Data Sheet'!G62</f>
        <v>25800</v>
      </c>
      <c r="I57" s="106">
        <f>'Data Sheet'!H62</f>
        <v>29225</v>
      </c>
      <c r="J57" s="106">
        <f>'Data Sheet'!I62</f>
        <v>27622</v>
      </c>
      <c r="K57" s="106">
        <f>'Data Sheet'!J62</f>
        <v>30961</v>
      </c>
      <c r="L57" s="106">
        <f>'Data Sheet'!K62</f>
        <v>33770</v>
      </c>
    </row>
    <row r="58" spans="2:15" x14ac:dyDescent="0.3">
      <c r="B58" s="33" t="str">
        <f>'Data Sheet'!A63</f>
        <v>Capital Work in Progress</v>
      </c>
      <c r="C58" s="106">
        <f>'Data Sheet'!B63</f>
        <v>1365</v>
      </c>
      <c r="D58" s="106">
        <f>'Data Sheet'!C63</f>
        <v>1606</v>
      </c>
      <c r="E58" s="106">
        <f>'Data Sheet'!D63</f>
        <v>1388</v>
      </c>
      <c r="F58" s="106">
        <f>'Data Sheet'!E63</f>
        <v>954</v>
      </c>
      <c r="G58" s="106">
        <f>'Data Sheet'!F63</f>
        <v>922</v>
      </c>
      <c r="H58" s="106">
        <f>'Data Sheet'!G63</f>
        <v>416</v>
      </c>
      <c r="I58" s="106">
        <f>'Data Sheet'!H63</f>
        <v>288</v>
      </c>
      <c r="J58" s="106">
        <f>'Data Sheet'!I63</f>
        <v>293</v>
      </c>
      <c r="K58" s="106">
        <f>'Data Sheet'!J63</f>
        <v>814</v>
      </c>
      <c r="L58" s="106">
        <f>'Data Sheet'!K63</f>
        <v>526</v>
      </c>
    </row>
    <row r="59" spans="2:15" x14ac:dyDescent="0.3">
      <c r="B59" s="33" t="str">
        <f>'Data Sheet'!A64</f>
        <v>Investments</v>
      </c>
      <c r="C59" s="106">
        <f>'Data Sheet'!B64</f>
        <v>16423</v>
      </c>
      <c r="D59" s="106">
        <f>'Data Sheet'!C64</f>
        <v>12163</v>
      </c>
      <c r="E59" s="106">
        <f>'Data Sheet'!D64</f>
        <v>11261</v>
      </c>
      <c r="F59" s="106">
        <f>'Data Sheet'!E64</f>
        <v>8792</v>
      </c>
      <c r="G59" s="106">
        <f>'Data Sheet'!F64</f>
        <v>14205</v>
      </c>
      <c r="H59" s="106">
        <f>'Data Sheet'!G64</f>
        <v>20324</v>
      </c>
      <c r="I59" s="106">
        <f>'Data Sheet'!H64</f>
        <v>19478</v>
      </c>
      <c r="J59" s="106">
        <f>'Data Sheet'!I64</f>
        <v>24623</v>
      </c>
      <c r="K59" s="106">
        <f>'Data Sheet'!J64</f>
        <v>23541</v>
      </c>
      <c r="L59" s="106">
        <f>'Data Sheet'!K64</f>
        <v>21880</v>
      </c>
    </row>
    <row r="60" spans="2:15" x14ac:dyDescent="0.3">
      <c r="B60" s="33" t="str">
        <f>'Data Sheet'!A65</f>
        <v>Other Assets</v>
      </c>
      <c r="C60" s="106">
        <f>'Data Sheet'!B75</f>
        <v>8117.9000000000015</v>
      </c>
      <c r="D60" s="106">
        <f>'Data Sheet'!C75</f>
        <v>12550.910000000003</v>
      </c>
      <c r="E60" s="106">
        <f>'Data Sheet'!D75</f>
        <v>13452.440000000002</v>
      </c>
      <c r="F60" s="106">
        <f>'Data Sheet'!E75</f>
        <v>12249.669999999998</v>
      </c>
      <c r="G60" s="106">
        <f>'Data Sheet'!F75</f>
        <v>12473.839999999997</v>
      </c>
      <c r="H60" s="106">
        <f>'Data Sheet'!G75</f>
        <v>19154.849999999999</v>
      </c>
      <c r="I60" s="106">
        <f>'Data Sheet'!H75</f>
        <v>26236.839999999997</v>
      </c>
      <c r="J60" s="106">
        <f>'Data Sheet'!I75</f>
        <v>24350.120000000003</v>
      </c>
      <c r="K60" s="106">
        <f>'Data Sheet'!J75</f>
        <v>21228.440000000002</v>
      </c>
      <c r="L60" s="106">
        <f>'Data Sheet'!K75</f>
        <v>22054.040000000008</v>
      </c>
      <c r="M60" s="33">
        <f>'Data Sheet'!L75</f>
        <v>0</v>
      </c>
      <c r="N60" s="33">
        <f>'Data Sheet'!M75</f>
        <v>0</v>
      </c>
      <c r="O60" s="33">
        <f>'Data Sheet'!N75</f>
        <v>0</v>
      </c>
    </row>
    <row r="61" spans="2:15" x14ac:dyDescent="0.3">
      <c r="B61" s="33" t="s">
        <v>125</v>
      </c>
      <c r="C61" s="106">
        <f>SUM(C57:C60)</f>
        <v>40084.9</v>
      </c>
      <c r="D61" s="106">
        <f>SUM(D57:D60)</f>
        <v>38893.910000000003</v>
      </c>
      <c r="E61" s="106">
        <f t="shared" ref="E61:L61" si="21">SUM(E57:E60)</f>
        <v>41811.440000000002</v>
      </c>
      <c r="F61" s="106">
        <f t="shared" si="21"/>
        <v>45784.67</v>
      </c>
      <c r="G61" s="106">
        <f t="shared" si="21"/>
        <v>53105.84</v>
      </c>
      <c r="H61" s="106">
        <f t="shared" si="21"/>
        <v>65694.850000000006</v>
      </c>
      <c r="I61" s="106">
        <f t="shared" si="21"/>
        <v>75227.839999999997</v>
      </c>
      <c r="J61" s="106">
        <f t="shared" si="21"/>
        <v>76888.12</v>
      </c>
      <c r="K61" s="106">
        <f t="shared" si="21"/>
        <v>76544.44</v>
      </c>
      <c r="L61" s="106">
        <f t="shared" si="21"/>
        <v>78230.040000000008</v>
      </c>
    </row>
    <row r="62" spans="2:15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5" x14ac:dyDescent="0.3">
      <c r="B63" s="33" t="str">
        <f>'Data Sheet'!A67</f>
        <v>Receivables</v>
      </c>
      <c r="C63" s="106">
        <f>'Data Sheet'!B67</f>
        <v>12322</v>
      </c>
      <c r="D63" s="106">
        <f>'Data Sheet'!C67</f>
        <v>13142</v>
      </c>
      <c r="E63" s="106">
        <f>'Data Sheet'!D67</f>
        <v>14827</v>
      </c>
      <c r="F63" s="106">
        <f>'Data Sheet'!E67</f>
        <v>18487</v>
      </c>
      <c r="G63" s="106">
        <f>'Data Sheet'!F67</f>
        <v>19294</v>
      </c>
      <c r="H63" s="106">
        <f>'Data Sheet'!G67</f>
        <v>22698</v>
      </c>
      <c r="I63" s="106">
        <f>'Data Sheet'!H67</f>
        <v>25424</v>
      </c>
      <c r="J63" s="106">
        <f>'Data Sheet'!I67</f>
        <v>30193</v>
      </c>
      <c r="K63" s="106">
        <f>'Data Sheet'!J67</f>
        <v>31158</v>
      </c>
      <c r="L63" s="106">
        <f>'Data Sheet'!K67</f>
        <v>35234</v>
      </c>
    </row>
    <row r="64" spans="2:15" x14ac:dyDescent="0.3">
      <c r="B64" s="33" t="str">
        <f>'Data Sheet'!A68</f>
        <v>Inventory</v>
      </c>
      <c r="C64" s="106">
        <f>'Data Sheet'!B68</f>
        <v>8116.1</v>
      </c>
      <c r="D64" s="106">
        <f>'Data Sheet'!C68</f>
        <v>7495.09</v>
      </c>
      <c r="E64" s="106">
        <f>'Data Sheet'!D68</f>
        <v>7859.56</v>
      </c>
      <c r="F64" s="106">
        <f>'Data Sheet'!E68</f>
        <v>8879.33</v>
      </c>
      <c r="G64" s="106">
        <f>'Data Sheet'!F68</f>
        <v>10397.16</v>
      </c>
      <c r="H64" s="106">
        <f>'Data Sheet'!G68</f>
        <v>10864.15</v>
      </c>
      <c r="I64" s="106">
        <f>'Data Sheet'!H68</f>
        <v>11771.16</v>
      </c>
      <c r="J64" s="106">
        <f>'Data Sheet'!I68</f>
        <v>14152.88</v>
      </c>
      <c r="K64" s="106">
        <f>'Data Sheet'!J68</f>
        <v>15637.56</v>
      </c>
      <c r="L64" s="106">
        <f>'Data Sheet'!K68</f>
        <v>18622.96</v>
      </c>
    </row>
    <row r="65" spans="2:13" x14ac:dyDescent="0.3">
      <c r="B65" s="33" t="str">
        <f>'Data Sheet'!A69</f>
        <v>Cash &amp; Bank</v>
      </c>
      <c r="C65" s="106">
        <f>'Data Sheet'!B69</f>
        <v>22625</v>
      </c>
      <c r="D65" s="106">
        <f>'Data Sheet'!C69</f>
        <v>19818</v>
      </c>
      <c r="E65" s="106">
        <f>'Data Sheet'!D69</f>
        <v>19568</v>
      </c>
      <c r="F65" s="106">
        <f>'Data Sheet'!E69</f>
        <v>18649</v>
      </c>
      <c r="G65" s="106">
        <f>'Data Sheet'!F69</f>
        <v>24714</v>
      </c>
      <c r="H65" s="106">
        <f>'Data Sheet'!G69</f>
        <v>17472</v>
      </c>
      <c r="I65" s="106">
        <f>'Data Sheet'!H69</f>
        <v>12173</v>
      </c>
      <c r="J65" s="106">
        <f>'Data Sheet'!I69</f>
        <v>14786</v>
      </c>
      <c r="K65" s="106">
        <f>'Data Sheet'!J69</f>
        <v>24455</v>
      </c>
      <c r="L65" s="106">
        <f>'Data Sheet'!K69</f>
        <v>22201</v>
      </c>
    </row>
    <row r="66" spans="2:13" x14ac:dyDescent="0.3">
      <c r="B66" s="33" t="s">
        <v>126</v>
      </c>
      <c r="C66" s="106">
        <f>SUM(C63:C65)</f>
        <v>43063.1</v>
      </c>
      <c r="D66" s="106">
        <f t="shared" ref="D66:L66" si="22">SUM(D63:D65)</f>
        <v>40455.089999999997</v>
      </c>
      <c r="E66" s="106">
        <f t="shared" si="22"/>
        <v>42254.559999999998</v>
      </c>
      <c r="F66" s="106">
        <f t="shared" si="22"/>
        <v>46015.33</v>
      </c>
      <c r="G66" s="106">
        <f t="shared" si="22"/>
        <v>54405.16</v>
      </c>
      <c r="H66" s="106">
        <f t="shared" si="22"/>
        <v>51034.15</v>
      </c>
      <c r="I66" s="106">
        <f t="shared" si="22"/>
        <v>49368.160000000003</v>
      </c>
      <c r="J66" s="106">
        <f t="shared" si="22"/>
        <v>59131.88</v>
      </c>
      <c r="K66" s="106">
        <f t="shared" si="22"/>
        <v>71250.559999999998</v>
      </c>
      <c r="L66" s="106">
        <f t="shared" si="22"/>
        <v>76057.959999999992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83148</v>
      </c>
      <c r="D68" s="106">
        <f t="shared" ref="D68:L68" si="23">D61+D66</f>
        <v>79349</v>
      </c>
      <c r="E68" s="106">
        <f t="shared" si="23"/>
        <v>84066</v>
      </c>
      <c r="F68" s="106">
        <f t="shared" si="23"/>
        <v>91800</v>
      </c>
      <c r="G68" s="106">
        <f t="shared" si="23"/>
        <v>107511</v>
      </c>
      <c r="H68" s="106">
        <f t="shared" si="23"/>
        <v>116729</v>
      </c>
      <c r="I68" s="106">
        <f t="shared" si="23"/>
        <v>124596</v>
      </c>
      <c r="J68" s="106">
        <f t="shared" si="23"/>
        <v>136020</v>
      </c>
      <c r="K68" s="106">
        <f t="shared" si="23"/>
        <v>147795</v>
      </c>
      <c r="L68" s="106">
        <f t="shared" si="23"/>
        <v>154288</v>
      </c>
    </row>
    <row r="70" spans="2:13" x14ac:dyDescent="0.3">
      <c r="B70" t="s">
        <v>127</v>
      </c>
      <c r="C70" t="b">
        <f>C68=C55</f>
        <v>1</v>
      </c>
      <c r="D70" t="b">
        <f t="shared" ref="D70:L70" si="24">D68=D55</f>
        <v>1</v>
      </c>
      <c r="E70" t="b">
        <f t="shared" si="24"/>
        <v>1</v>
      </c>
      <c r="F70" t="b">
        <f t="shared" si="24"/>
        <v>1</v>
      </c>
      <c r="G70" t="b">
        <f t="shared" si="24"/>
        <v>1</v>
      </c>
      <c r="H70" t="b">
        <f t="shared" si="24"/>
        <v>1</v>
      </c>
      <c r="I70" t="b">
        <f t="shared" si="24"/>
        <v>1</v>
      </c>
      <c r="J70" t="b">
        <f t="shared" si="24"/>
        <v>1</v>
      </c>
      <c r="K70" t="b">
        <f t="shared" si="24"/>
        <v>1</v>
      </c>
      <c r="L70" t="b">
        <f t="shared" si="24"/>
        <v>1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19340</v>
      </c>
      <c r="D74" s="106">
        <f>'Cash Flow Statement'!F7</f>
        <v>19963</v>
      </c>
      <c r="E74" s="106">
        <f>'Cash Flow Statement'!G7</f>
        <v>22126</v>
      </c>
      <c r="F74" s="106">
        <f>'Cash Flow Statement'!H7</f>
        <v>23920</v>
      </c>
      <c r="G74" s="106">
        <f>'Cash Flow Statement'!I7</f>
        <v>28845</v>
      </c>
      <c r="H74" s="106">
        <f>'Cash Flow Statement'!J7</f>
        <v>32921</v>
      </c>
      <c r="I74" s="106">
        <f>'Cash Flow Statement'!K7</f>
        <v>37605</v>
      </c>
      <c r="J74" s="106">
        <f>'Cash Flow Statement'!L7</f>
        <v>39523</v>
      </c>
      <c r="K74" s="106">
        <f>'Cash Flow Statement'!M7</f>
        <v>41591</v>
      </c>
      <c r="L74" s="106">
        <f>'Cash Flow Statement'!N7</f>
        <v>45273</v>
      </c>
    </row>
    <row r="75" spans="2:13" x14ac:dyDescent="0.3">
      <c r="B75" t="str">
        <f>'Cash Flow Statement'!B8</f>
        <v>Receivables</v>
      </c>
      <c r="C75" s="106">
        <f>'Cash Flow Statement'!E8</f>
        <v>-1743</v>
      </c>
      <c r="D75" s="106">
        <f>'Cash Flow Statement'!F8</f>
        <v>-1523</v>
      </c>
      <c r="E75" s="106">
        <f>'Cash Flow Statement'!G8</f>
        <v>-2881</v>
      </c>
      <c r="F75" s="106">
        <f>'Cash Flow Statement'!H8</f>
        <v>-3861</v>
      </c>
      <c r="G75" s="106">
        <f>'Cash Flow Statement'!I8</f>
        <v>-1835</v>
      </c>
      <c r="H75" s="106">
        <f>'Cash Flow Statement'!J8</f>
        <v>-7937</v>
      </c>
      <c r="I75" s="106">
        <f>'Cash Flow Statement'!K8</f>
        <v>-7076</v>
      </c>
      <c r="J75" s="106">
        <f>'Cash Flow Statement'!L8</f>
        <v>-2667</v>
      </c>
      <c r="K75" s="106">
        <f>'Cash Flow Statement'!M8</f>
        <v>-1769</v>
      </c>
      <c r="L75" s="106">
        <f>'Cash Flow Statement'!N8</f>
        <v>-5177</v>
      </c>
    </row>
    <row r="76" spans="2:13" x14ac:dyDescent="0.3">
      <c r="B76" t="str">
        <f>'Cash Flow Statement'!B9</f>
        <v>Inventory</v>
      </c>
      <c r="C76" s="106">
        <f>'Cash Flow Statement'!E9</f>
        <v>0</v>
      </c>
      <c r="D76" s="106">
        <f>'Cash Flow Statement'!F9</f>
        <v>0</v>
      </c>
      <c r="E76" s="106">
        <f>'Cash Flow Statement'!G9</f>
        <v>0</v>
      </c>
      <c r="F76" s="106">
        <f>'Cash Flow Statement'!H9</f>
        <v>0</v>
      </c>
      <c r="G76" s="106">
        <f>'Cash Flow Statement'!I9</f>
        <v>0</v>
      </c>
      <c r="H76" s="106">
        <f>'Cash Flow Statement'!J9</f>
        <v>0</v>
      </c>
      <c r="I76" s="106">
        <f>'Cash Flow Statement'!K9</f>
        <v>0</v>
      </c>
      <c r="J76" s="106">
        <f>'Cash Flow Statement'!L9</f>
        <v>0</v>
      </c>
      <c r="K76" s="106">
        <f>'Cash Flow Statement'!M9</f>
        <v>0</v>
      </c>
      <c r="L76" s="106">
        <f>'Cash Flow Statement'!N9</f>
        <v>0</v>
      </c>
    </row>
    <row r="77" spans="2:13" x14ac:dyDescent="0.3">
      <c r="B77" t="str">
        <f>'Cash Flow Statement'!B10</f>
        <v>Payables</v>
      </c>
      <c r="C77" s="106">
        <f>'Cash Flow Statement'!E10</f>
        <v>-19</v>
      </c>
      <c r="D77" s="106">
        <f>'Cash Flow Statement'!F10</f>
        <v>328</v>
      </c>
      <c r="E77" s="106">
        <f>'Cash Flow Statement'!G10</f>
        <v>916</v>
      </c>
      <c r="F77" s="106">
        <f>'Cash Flow Statement'!H10</f>
        <v>-373</v>
      </c>
      <c r="G77" s="106">
        <f>'Cash Flow Statement'!I10</f>
        <v>-245</v>
      </c>
      <c r="H77" s="106">
        <f>'Cash Flow Statement'!J10</f>
        <v>1489</v>
      </c>
      <c r="I77" s="106">
        <f>'Cash Flow Statement'!K10</f>
        <v>-279</v>
      </c>
      <c r="J77" s="106">
        <f>'Cash Flow Statement'!L10</f>
        <v>91</v>
      </c>
      <c r="K77" s="106">
        <f>'Cash Flow Statement'!M10</f>
        <v>176</v>
      </c>
      <c r="L77" s="106">
        <f>'Cash Flow Statement'!N10</f>
        <v>-26</v>
      </c>
    </row>
    <row r="78" spans="2:13" x14ac:dyDescent="0.3">
      <c r="B78" t="str">
        <f>'Cash Flow Statement'!B11</f>
        <v>Working capital changes</v>
      </c>
      <c r="C78" s="106">
        <f>'Cash Flow Statement'!E11</f>
        <v>-2156</v>
      </c>
      <c r="D78" s="106">
        <f>'Cash Flow Statement'!F11</f>
        <v>84</v>
      </c>
      <c r="E78" s="106">
        <f>'Cash Flow Statement'!G11</f>
        <v>-453</v>
      </c>
      <c r="F78" s="106">
        <f>'Cash Flow Statement'!H11</f>
        <v>-2367</v>
      </c>
      <c r="G78" s="106">
        <f>'Cash Flow Statement'!I11</f>
        <v>768</v>
      </c>
      <c r="H78" s="106">
        <f>'Cash Flow Statement'!J11</f>
        <v>-1424</v>
      </c>
      <c r="I78" s="106">
        <f>'Cash Flow Statement'!K11</f>
        <v>-6344</v>
      </c>
      <c r="J78" s="106">
        <f>'Cash Flow Statement'!L11</f>
        <v>-5082</v>
      </c>
      <c r="K78" s="106">
        <f>'Cash Flow Statement'!M11</f>
        <v>-295</v>
      </c>
      <c r="L78" s="106">
        <f>'Cash Flow Statement'!N11</f>
        <v>-2639</v>
      </c>
    </row>
    <row r="79" spans="2:13" x14ac:dyDescent="0.3">
      <c r="B79" t="str">
        <f>'Cash Flow Statement'!B12</f>
        <v>Direct taxes</v>
      </c>
      <c r="C79" s="106">
        <f>'Cash Flow Statement'!E12</f>
        <v>-5653</v>
      </c>
      <c r="D79" s="106">
        <f>'Cash Flow Statement'!F12</f>
        <v>-6829</v>
      </c>
      <c r="E79" s="106">
        <f>'Cash Flow Statement'!G12</f>
        <v>-6832</v>
      </c>
      <c r="F79" s="106">
        <f>'Cash Flow Statement'!H12</f>
        <v>-4550</v>
      </c>
      <c r="G79" s="106">
        <f>'Cash Flow Statement'!I12</f>
        <v>-6389</v>
      </c>
      <c r="H79" s="106">
        <f>'Cash Flow Statement'!J12</f>
        <v>-7612</v>
      </c>
      <c r="I79" s="106">
        <f>'Cash Flow Statement'!K12</f>
        <v>-8794</v>
      </c>
      <c r="J79" s="106">
        <f>'Cash Flow Statement'!L12</f>
        <v>-9231</v>
      </c>
      <c r="K79" s="106">
        <f>'Cash Flow Statement'!M12</f>
        <v>-5602</v>
      </c>
      <c r="L79" s="106">
        <f>'Cash Flow Statement'!N12</f>
        <v>-8648</v>
      </c>
    </row>
    <row r="80" spans="2:13" x14ac:dyDescent="0.3">
      <c r="B80" t="s">
        <v>152</v>
      </c>
      <c r="C80" s="106">
        <f t="shared" ref="C80:L80" si="25">SUM(C74:C79)</f>
        <v>9769</v>
      </c>
      <c r="D80" s="106">
        <f t="shared" si="25"/>
        <v>12023</v>
      </c>
      <c r="E80" s="106">
        <f t="shared" si="25"/>
        <v>12876</v>
      </c>
      <c r="F80" s="106">
        <f>SUM(F74:F79)</f>
        <v>12769</v>
      </c>
      <c r="G80" s="106">
        <f t="shared" si="25"/>
        <v>21144</v>
      </c>
      <c r="H80" s="106">
        <f t="shared" si="25"/>
        <v>17437</v>
      </c>
      <c r="I80" s="106">
        <f t="shared" si="25"/>
        <v>15112</v>
      </c>
      <c r="J80" s="106">
        <f t="shared" si="25"/>
        <v>22634</v>
      </c>
      <c r="K80" s="106">
        <f t="shared" si="25"/>
        <v>34101</v>
      </c>
      <c r="L80" s="106">
        <f t="shared" si="25"/>
        <v>28783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-2760</v>
      </c>
      <c r="D83" s="106">
        <f>'Cash Flow Statement'!F14</f>
        <v>-1998</v>
      </c>
      <c r="E83" s="106">
        <f>'Cash Flow Statement'!G14</f>
        <v>-2445</v>
      </c>
      <c r="F83" s="106">
        <f>'Cash Flow Statement'!H14</f>
        <v>-3307</v>
      </c>
      <c r="G83" s="106">
        <f>'Cash Flow Statement'!I14</f>
        <v>-2107</v>
      </c>
      <c r="H83" s="106">
        <f>'Cash Flow Statement'!J14</f>
        <v>-2161</v>
      </c>
      <c r="I83" s="106">
        <f>'Cash Flow Statement'!K14</f>
        <v>-2579</v>
      </c>
      <c r="J83" s="106">
        <f>'Cash Flow Statement'!L14</f>
        <v>-2201</v>
      </c>
      <c r="K83" s="106">
        <f>'Cash Flow Statement'!M14</f>
        <v>-2237</v>
      </c>
      <c r="L83" s="106">
        <f>'Cash Flow Statement'!N14</f>
        <v>-2727</v>
      </c>
    </row>
    <row r="84" spans="2:12" x14ac:dyDescent="0.3">
      <c r="B84" t="str">
        <f>'Cash Flow Statement'!B15</f>
        <v>Fixed assets sold</v>
      </c>
      <c r="C84" s="106">
        <f>'Cash Flow Statement'!E15</f>
        <v>0</v>
      </c>
      <c r="D84" s="106">
        <f>'Cash Flow Statement'!F15</f>
        <v>0</v>
      </c>
      <c r="E84" s="106">
        <f>'Cash Flow Statement'!G15</f>
        <v>0</v>
      </c>
      <c r="F84" s="106">
        <f>'Cash Flow Statement'!H15</f>
        <v>0</v>
      </c>
      <c r="G84" s="106">
        <f>'Cash Flow Statement'!I15</f>
        <v>0</v>
      </c>
      <c r="H84" s="106">
        <f>'Cash Flow Statement'!J15</f>
        <v>0</v>
      </c>
      <c r="I84" s="106">
        <f>'Cash Flow Statement'!K15</f>
        <v>0</v>
      </c>
      <c r="J84" s="106">
        <f>'Cash Flow Statement'!L15</f>
        <v>0</v>
      </c>
      <c r="K84" s="106">
        <f>'Cash Flow Statement'!M15</f>
        <v>0</v>
      </c>
      <c r="L84" s="106">
        <f>'Cash Flow Statement'!N15</f>
        <v>0</v>
      </c>
    </row>
    <row r="85" spans="2:12" x14ac:dyDescent="0.3">
      <c r="B85" t="str">
        <f>'Cash Flow Statement'!B16</f>
        <v>Investments purchased</v>
      </c>
      <c r="C85" s="106">
        <f>'Cash Flow Statement'!E16</f>
        <v>-66410</v>
      </c>
      <c r="D85" s="106">
        <f>'Cash Flow Statement'!F16</f>
        <v>-69159</v>
      </c>
      <c r="E85" s="106">
        <f>'Cash Flow Statement'!G16</f>
        <v>-79410</v>
      </c>
      <c r="F85" s="106">
        <f>'Cash Flow Statement'!H16</f>
        <v>-37482</v>
      </c>
      <c r="G85" s="106">
        <f>'Cash Flow Statement'!I16</f>
        <v>-46738</v>
      </c>
      <c r="H85" s="106">
        <f>'Cash Flow Statement'!J16</f>
        <v>-59951</v>
      </c>
      <c r="I85" s="106">
        <f>'Cash Flow Statement'!K16</f>
        <v>-75800</v>
      </c>
      <c r="J85" s="106">
        <f>'Cash Flow Statement'!L16</f>
        <v>-78092</v>
      </c>
      <c r="K85" s="106">
        <f>'Cash Flow Statement'!M16</f>
        <v>-82742</v>
      </c>
      <c r="L85" s="106">
        <f>'Cash Flow Statement'!N16</f>
        <v>-82617</v>
      </c>
    </row>
    <row r="86" spans="2:12" x14ac:dyDescent="0.3">
      <c r="B86" t="str">
        <f>'Cash Flow Statement'!B17</f>
        <v>Investments sold</v>
      </c>
      <c r="C86" s="106">
        <f>'Cash Flow Statement'!E17</f>
        <v>52048</v>
      </c>
      <c r="D86" s="106">
        <f>'Cash Flow Statement'!F17</f>
        <v>74003</v>
      </c>
      <c r="E86" s="106">
        <f>'Cash Flow Statement'!G17</f>
        <v>78098</v>
      </c>
      <c r="F86" s="106">
        <f>'Cash Flow Statement'!H17</f>
        <v>38861</v>
      </c>
      <c r="G86" s="106">
        <f>'Cash Flow Statement'!I17</f>
        <v>40381</v>
      </c>
      <c r="H86" s="106">
        <f>'Cash Flow Statement'!J17</f>
        <v>57356</v>
      </c>
      <c r="I86" s="106">
        <f>'Cash Flow Statement'!K17</f>
        <v>76722</v>
      </c>
      <c r="J86" s="106">
        <f>'Cash Flow Statement'!L17</f>
        <v>72930</v>
      </c>
      <c r="K86" s="106">
        <f>'Cash Flow Statement'!M17</f>
        <v>84877</v>
      </c>
      <c r="L86" s="106">
        <f>'Cash Flow Statement'!N17</f>
        <v>89699</v>
      </c>
    </row>
    <row r="87" spans="2:12" x14ac:dyDescent="0.3">
      <c r="B87" t="str">
        <f>'Cash Flow Statement'!B18</f>
        <v>Interest received</v>
      </c>
      <c r="C87" s="106">
        <f>'Cash Flow Statement'!E18</f>
        <v>0</v>
      </c>
      <c r="D87" s="106">
        <f>'Cash Flow Statement'!F18</f>
        <v>0</v>
      </c>
      <c r="E87" s="106">
        <f>'Cash Flow Statement'!G18</f>
        <v>0</v>
      </c>
      <c r="F87" s="106">
        <f>'Cash Flow Statement'!H18</f>
        <v>0</v>
      </c>
      <c r="G87" s="106">
        <f>'Cash Flow Statement'!I18</f>
        <v>0</v>
      </c>
      <c r="H87" s="106">
        <f>'Cash Flow Statement'!J18</f>
        <v>0</v>
      </c>
      <c r="I87" s="106">
        <f>'Cash Flow Statement'!K18</f>
        <v>0</v>
      </c>
      <c r="J87" s="106">
        <f>'Cash Flow Statement'!L18</f>
        <v>0</v>
      </c>
      <c r="K87" s="106">
        <f>'Cash Flow Statement'!M18</f>
        <v>0</v>
      </c>
      <c r="L87" s="106">
        <f>'Cash Flow Statement'!N18</f>
        <v>0</v>
      </c>
    </row>
    <row r="88" spans="2:12" x14ac:dyDescent="0.3">
      <c r="B88" t="str">
        <f>'Cash Flow Statement'!B19</f>
        <v>Dividends received</v>
      </c>
      <c r="C88" s="106">
        <f>'Cash Flow Statement'!E19</f>
        <v>2753</v>
      </c>
      <c r="D88" s="106">
        <f>'Cash Flow Statement'!F19</f>
        <v>1768</v>
      </c>
      <c r="E88" s="106">
        <f>'Cash Flow Statement'!G19</f>
        <v>1557</v>
      </c>
      <c r="F88" s="106">
        <f>'Cash Flow Statement'!H19</f>
        <v>1929</v>
      </c>
      <c r="G88" s="106">
        <f>'Cash Flow Statement'!I19</f>
        <v>1418</v>
      </c>
      <c r="H88" s="106">
        <f>'Cash Flow Statement'!J19</f>
        <v>1898</v>
      </c>
      <c r="I88" s="106">
        <f>'Cash Flow Statement'!K19</f>
        <v>1525</v>
      </c>
      <c r="J88" s="106">
        <f>'Cash Flow Statement'!L19</f>
        <v>1768</v>
      </c>
      <c r="K88" s="106">
        <f>'Cash Flow Statement'!M19</f>
        <v>2040</v>
      </c>
      <c r="L88" s="106">
        <f>'Cash Flow Statement'!N19</f>
        <v>2713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0</v>
      </c>
      <c r="D90" s="106">
        <f>'Cash Flow Statement'!F21</f>
        <v>0</v>
      </c>
      <c r="E90" s="106">
        <f>'Cash Flow Statement'!G21</f>
        <v>0</v>
      </c>
      <c r="F90" s="106">
        <f>'Cash Flow Statement'!H21</f>
        <v>0</v>
      </c>
      <c r="G90" s="106">
        <f>'Cash Flow Statement'!I21</f>
        <v>0</v>
      </c>
      <c r="H90" s="106">
        <f>'Cash Flow Statement'!J21</f>
        <v>0</v>
      </c>
      <c r="I90" s="106">
        <f>'Cash Flow Statement'!K21</f>
        <v>0</v>
      </c>
      <c r="J90" s="106">
        <f>'Cash Flow Statement'!L21</f>
        <v>0</v>
      </c>
      <c r="K90" s="106">
        <f>'Cash Flow Statement'!M21</f>
        <v>0</v>
      </c>
      <c r="L90" s="106">
        <f>'Cash Flow Statement'!N21</f>
        <v>0</v>
      </c>
    </row>
    <row r="91" spans="2:12" x14ac:dyDescent="0.3">
      <c r="B91" t="str">
        <f>'Cash Flow Statement'!B22</f>
        <v>Redemp n Canc of Shares</v>
      </c>
      <c r="C91" s="106">
        <f>'Cash Flow Statement'!E22</f>
        <v>0</v>
      </c>
      <c r="D91" s="106">
        <f>'Cash Flow Statement'!F22</f>
        <v>0</v>
      </c>
      <c r="E91" s="106">
        <f>'Cash Flow Statement'!G22</f>
        <v>0</v>
      </c>
      <c r="F91" s="106">
        <f>'Cash Flow Statement'!H22</f>
        <v>0</v>
      </c>
      <c r="G91" s="106">
        <f>'Cash Flow Statement'!I22</f>
        <v>0</v>
      </c>
      <c r="H91" s="106">
        <f>'Cash Flow Statement'!J22</f>
        <v>0</v>
      </c>
      <c r="I91" s="106">
        <f>'Cash Flow Statement'!K22</f>
        <v>0</v>
      </c>
      <c r="J91" s="106">
        <f>'Cash Flow Statement'!L22</f>
        <v>0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-131</v>
      </c>
      <c r="D92" s="106">
        <f>'Cash Flow Statement'!F23</f>
        <v>49</v>
      </c>
      <c r="E92" s="106">
        <f>'Cash Flow Statement'!G23</f>
        <v>1592</v>
      </c>
      <c r="F92" s="106">
        <f>'Cash Flow Statement'!H23</f>
        <v>-224</v>
      </c>
      <c r="G92" s="106">
        <f>'Cash Flow Statement'!I23</f>
        <v>-327</v>
      </c>
      <c r="H92" s="106">
        <f>'Cash Flow Statement'!J23</f>
        <v>-3627</v>
      </c>
      <c r="I92" s="106">
        <f>'Cash Flow Statement'!K23</f>
        <v>-939</v>
      </c>
      <c r="J92" s="106">
        <f>'Cash Flow Statement'!L23</f>
        <v>502</v>
      </c>
      <c r="K92" s="106">
        <f>'Cash Flow Statement'!M23</f>
        <v>-3802</v>
      </c>
      <c r="L92" s="106">
        <f>'Cash Flow Statement'!N23</f>
        <v>-3522</v>
      </c>
    </row>
    <row r="93" spans="2:12" x14ac:dyDescent="0.3">
      <c r="B93" t="s">
        <v>154</v>
      </c>
      <c r="C93" s="106">
        <f>SUM(C83:C92)</f>
        <v>-14500</v>
      </c>
      <c r="D93" s="106">
        <f t="shared" ref="D93:K93" si="26">SUM(D83:D92)</f>
        <v>4663</v>
      </c>
      <c r="E93" s="106">
        <f t="shared" si="26"/>
        <v>-608</v>
      </c>
      <c r="F93" s="106">
        <f t="shared" si="26"/>
        <v>-223</v>
      </c>
      <c r="G93" s="106">
        <f t="shared" si="26"/>
        <v>-7373</v>
      </c>
      <c r="H93" s="106">
        <f t="shared" si="26"/>
        <v>-6485</v>
      </c>
      <c r="I93" s="106">
        <f t="shared" si="26"/>
        <v>-1071</v>
      </c>
      <c r="J93" s="106">
        <f t="shared" si="26"/>
        <v>-5093</v>
      </c>
      <c r="K93" s="106">
        <f t="shared" si="26"/>
        <v>-1864</v>
      </c>
      <c r="L93" s="106">
        <f>SUM(L83:L92)</f>
        <v>3546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0</v>
      </c>
      <c r="D96" s="106">
        <f>'Cash Flow Statement'!F25</f>
        <v>5</v>
      </c>
      <c r="E96" s="106">
        <f>'Cash Flow Statement'!G25</f>
        <v>6</v>
      </c>
      <c r="F96" s="106">
        <f>'Cash Flow Statement'!H25</f>
        <v>6</v>
      </c>
      <c r="G96" s="106">
        <f>'Cash Flow Statement'!I25</f>
        <v>15</v>
      </c>
      <c r="H96" s="106">
        <f>'Cash Flow Statement'!J25</f>
        <v>21</v>
      </c>
      <c r="I96" s="106">
        <f>'Cash Flow Statement'!K25</f>
        <v>35</v>
      </c>
      <c r="J96" s="106">
        <f>'Cash Flow Statement'!L25</f>
        <v>5</v>
      </c>
      <c r="K96" s="106">
        <f>'Cash Flow Statement'!M25</f>
        <v>6</v>
      </c>
      <c r="L96" s="106">
        <f>'Cash Flow Statement'!N25</f>
        <v>2</v>
      </c>
    </row>
    <row r="97" spans="2:12" x14ac:dyDescent="0.3">
      <c r="B97" t="str">
        <f>'Cash Flow Statement'!B26</f>
        <v>Proceeds from borrowings</v>
      </c>
      <c r="C97" s="106">
        <f>'Cash Flow Statement'!E26</f>
        <v>0</v>
      </c>
      <c r="D97" s="106">
        <f>'Cash Flow Statement'!F26</f>
        <v>0</v>
      </c>
      <c r="E97" s="106">
        <f>'Cash Flow Statement'!G26</f>
        <v>0</v>
      </c>
      <c r="F97" s="106">
        <f>'Cash Flow Statement'!H26</f>
        <v>0</v>
      </c>
      <c r="G97" s="106">
        <f>'Cash Flow Statement'!I26</f>
        <v>0</v>
      </c>
      <c r="H97" s="106">
        <f>'Cash Flow Statement'!J26</f>
        <v>0</v>
      </c>
      <c r="I97" s="106">
        <f>'Cash Flow Statement'!K26</f>
        <v>0</v>
      </c>
      <c r="J97" s="106">
        <f>'Cash Flow Statement'!L26</f>
        <v>0</v>
      </c>
      <c r="K97" s="106">
        <f>'Cash Flow Statement'!M26</f>
        <v>0</v>
      </c>
      <c r="L97" s="106">
        <f>'Cash Flow Statement'!N26</f>
        <v>0</v>
      </c>
    </row>
    <row r="98" spans="2:12" x14ac:dyDescent="0.3">
      <c r="B98" t="str">
        <f>'Cash Flow Statement'!B27</f>
        <v>Repayment of borrowings</v>
      </c>
      <c r="C98" s="106">
        <f>'Cash Flow Statement'!E27</f>
        <v>0</v>
      </c>
      <c r="D98" s="106">
        <f>'Cash Flow Statement'!F27</f>
        <v>0</v>
      </c>
      <c r="E98" s="106">
        <f>'Cash Flow Statement'!G27</f>
        <v>0</v>
      </c>
      <c r="F98" s="106">
        <f>'Cash Flow Statement'!H27</f>
        <v>0</v>
      </c>
      <c r="G98" s="106">
        <f>'Cash Flow Statement'!I27</f>
        <v>0</v>
      </c>
      <c r="H98" s="106">
        <f>'Cash Flow Statement'!J27</f>
        <v>0</v>
      </c>
      <c r="I98" s="106">
        <f>'Cash Flow Statement'!K27</f>
        <v>0</v>
      </c>
      <c r="J98" s="106">
        <f>'Cash Flow Statement'!L27</f>
        <v>0</v>
      </c>
      <c r="K98" s="106">
        <f>'Cash Flow Statement'!M27</f>
        <v>-985</v>
      </c>
      <c r="L98" s="106">
        <f>'Cash Flow Statement'!N27</f>
        <v>0</v>
      </c>
    </row>
    <row r="99" spans="2:12" x14ac:dyDescent="0.3">
      <c r="B99" t="str">
        <f>'Cash Flow Statement'!B28</f>
        <v>Interest paid fin</v>
      </c>
      <c r="C99" s="106">
        <f>'Cash Flow Statement'!E28</f>
        <v>0</v>
      </c>
      <c r="D99" s="106">
        <f>'Cash Flow Statement'!F28</f>
        <v>0</v>
      </c>
      <c r="E99" s="106">
        <f>'Cash Flow Statement'!G28</f>
        <v>0</v>
      </c>
      <c r="F99" s="106">
        <f>'Cash Flow Statement'!H28</f>
        <v>0</v>
      </c>
      <c r="G99" s="106">
        <f>'Cash Flow Statement'!I28</f>
        <v>0</v>
      </c>
      <c r="H99" s="106">
        <f>'Cash Flow Statement'!J28</f>
        <v>0</v>
      </c>
      <c r="I99" s="106">
        <f>'Cash Flow Statement'!K28</f>
        <v>0</v>
      </c>
      <c r="J99" s="106">
        <f>'Cash Flow Statement'!L28</f>
        <v>0</v>
      </c>
      <c r="K99" s="106">
        <f>'Cash Flow Statement'!M28</f>
        <v>0</v>
      </c>
      <c r="L99" s="106">
        <f>'Cash Flow Statement'!N28</f>
        <v>0</v>
      </c>
    </row>
    <row r="100" spans="2:12" x14ac:dyDescent="0.3">
      <c r="B100" t="str">
        <f>'Cash Flow Statement'!B29</f>
        <v>Dividends paid</v>
      </c>
      <c r="C100" s="106">
        <f>'Cash Flow Statement'!E29</f>
        <v>-6939</v>
      </c>
      <c r="D100" s="106">
        <f>'Cash Flow Statement'!F29</f>
        <v>-7464</v>
      </c>
      <c r="E100" s="106">
        <f>'Cash Flow Statement'!G29</f>
        <v>-13705</v>
      </c>
      <c r="F100" s="106">
        <f>'Cash Flow Statement'!H29</f>
        <v>-9548</v>
      </c>
      <c r="G100" s="106">
        <f>'Cash Flow Statement'!I29</f>
        <v>-9137</v>
      </c>
      <c r="H100" s="106">
        <f>'Cash Flow Statement'!J29</f>
        <v>-12731</v>
      </c>
      <c r="I100" s="106">
        <f>'Cash Flow Statement'!K29</f>
        <v>-13653</v>
      </c>
      <c r="J100" s="106">
        <f>'Cash Flow Statement'!L29</f>
        <v>-14731</v>
      </c>
      <c r="K100" s="106">
        <f>'Cash Flow Statement'!M29</f>
        <v>-20289</v>
      </c>
      <c r="L100" s="106">
        <f>'Cash Flow Statement'!N29</f>
        <v>-18656</v>
      </c>
    </row>
    <row r="101" spans="2:12" x14ac:dyDescent="0.3">
      <c r="B101" t="str">
        <f>'Cash Flow Statement'!B30</f>
        <v>Financial liabilities</v>
      </c>
      <c r="C101" s="106">
        <f>'Cash Flow Statement'!E30</f>
        <v>0</v>
      </c>
      <c r="D101" s="106">
        <f>'Cash Flow Statement'!F30</f>
        <v>0</v>
      </c>
      <c r="E101" s="106">
        <f>'Cash Flow Statement'!G30</f>
        <v>0</v>
      </c>
      <c r="F101" s="106">
        <f>'Cash Flow Statement'!H30</f>
        <v>-571</v>
      </c>
      <c r="G101" s="106">
        <f>'Cash Flow Statement'!I30</f>
        <v>-698</v>
      </c>
      <c r="H101" s="106">
        <f>'Cash Flow Statement'!J30</f>
        <v>-915</v>
      </c>
      <c r="I101" s="106">
        <f>'Cash Flow Statement'!K30</f>
        <v>-1231</v>
      </c>
      <c r="J101" s="106">
        <f>'Cash Flow Statement'!L30</f>
        <v>-2024</v>
      </c>
      <c r="K101" s="106">
        <f>'Cash Flow Statement'!M30</f>
        <v>-2355</v>
      </c>
      <c r="L101" s="106">
        <f>'Cash Flow Statement'!N30</f>
        <v>-2824</v>
      </c>
    </row>
    <row r="102" spans="2:12" x14ac:dyDescent="0.3">
      <c r="B102" t="str">
        <f>'Cash Flow Statement'!B31</f>
        <v>Other financing items</v>
      </c>
      <c r="C102" s="106">
        <f>'Cash Flow Statement'!E31</f>
        <v>0</v>
      </c>
      <c r="D102" s="106">
        <f>'Cash Flow Statement'!F31</f>
        <v>-13046</v>
      </c>
      <c r="E102" s="106">
        <f>'Cash Flow Statement'!G31</f>
        <v>-813</v>
      </c>
      <c r="F102" s="106">
        <f>'Cash Flow Statement'!H31</f>
        <v>-7478</v>
      </c>
      <c r="G102" s="106">
        <f>'Cash Flow Statement'!I31</f>
        <v>34</v>
      </c>
      <c r="H102" s="106">
        <f>'Cash Flow Statement'!J31</f>
        <v>-11017</v>
      </c>
      <c r="I102" s="106">
        <f>'Cash Flow Statement'!K31</f>
        <v>-11846</v>
      </c>
      <c r="J102" s="106">
        <f>'Cash Flow Statement'!L31</f>
        <v>-754</v>
      </c>
      <c r="K102" s="106">
        <f>'Cash Flow Statement'!M31</f>
        <v>-538</v>
      </c>
      <c r="L102" s="106">
        <f>'Cash Flow Statement'!N31</f>
        <v>-18308</v>
      </c>
    </row>
    <row r="103" spans="2:12" x14ac:dyDescent="0.3">
      <c r="B103" t="s">
        <v>156</v>
      </c>
      <c r="C103" s="106">
        <f>SUM(C96:C102)</f>
        <v>-6939</v>
      </c>
      <c r="D103" s="106">
        <f t="shared" ref="D103:L103" si="27">SUM(D96:D102)</f>
        <v>-20505</v>
      </c>
      <c r="E103" s="106">
        <f t="shared" si="27"/>
        <v>-14512</v>
      </c>
      <c r="F103" s="106">
        <f t="shared" si="27"/>
        <v>-17591</v>
      </c>
      <c r="G103" s="106">
        <f t="shared" si="27"/>
        <v>-9786</v>
      </c>
      <c r="H103" s="106">
        <f t="shared" si="27"/>
        <v>-24642</v>
      </c>
      <c r="I103" s="106">
        <f t="shared" si="27"/>
        <v>-26695</v>
      </c>
      <c r="J103" s="106">
        <f t="shared" si="27"/>
        <v>-17504</v>
      </c>
      <c r="K103" s="106">
        <f t="shared" si="27"/>
        <v>-24161</v>
      </c>
      <c r="L103" s="106">
        <f t="shared" si="27"/>
        <v>-39786</v>
      </c>
    </row>
    <row r="105" spans="2:12" x14ac:dyDescent="0.3">
      <c r="B105" t="s">
        <v>35</v>
      </c>
      <c r="C105" s="106">
        <f>C80+C93+C103</f>
        <v>-11670</v>
      </c>
      <c r="D105" s="106">
        <f t="shared" ref="D105:L105" si="28">D80+D93+D103</f>
        <v>-3819</v>
      </c>
      <c r="E105" s="106">
        <f t="shared" si="28"/>
        <v>-2244</v>
      </c>
      <c r="F105" s="106">
        <f t="shared" si="28"/>
        <v>-5045</v>
      </c>
      <c r="G105" s="106">
        <f t="shared" si="28"/>
        <v>3985</v>
      </c>
      <c r="H105" s="106">
        <f t="shared" si="28"/>
        <v>-13690</v>
      </c>
      <c r="I105" s="106">
        <f t="shared" si="28"/>
        <v>-12654</v>
      </c>
      <c r="J105" s="106">
        <f t="shared" si="28"/>
        <v>37</v>
      </c>
      <c r="K105" s="106">
        <f t="shared" si="28"/>
        <v>8076</v>
      </c>
      <c r="L105" s="106">
        <f t="shared" si="28"/>
        <v>-7457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  <col min="3" max="5" width="10" bestFit="1" customWidth="1"/>
    <col min="14" max="14" width="10" bestFit="1" customWidth="1"/>
  </cols>
  <sheetData>
    <row r="2" spans="2:15" x14ac:dyDescent="0.3">
      <c r="B2" s="161" t="str">
        <f>"Ratio Analysis - "&amp;'Data Sheet'!$B$1</f>
        <v>Ratio Analysis - Infosys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41"/>
      <c r="N2" s="32"/>
      <c r="O2" s="32"/>
    </row>
    <row r="3" spans="2:15" x14ac:dyDescent="0.3">
      <c r="B3" s="32" t="s">
        <v>8608</v>
      </c>
      <c r="C3" s="40">
        <f>'Data Sheet'!B56</f>
        <v>42795</v>
      </c>
      <c r="D3" s="40">
        <f>'Data Sheet'!C56</f>
        <v>43160</v>
      </c>
      <c r="E3" s="40">
        <f>'Data Sheet'!D56</f>
        <v>43525</v>
      </c>
      <c r="F3" s="40">
        <f>'Data Sheet'!E56</f>
        <v>43891</v>
      </c>
      <c r="G3" s="40">
        <f>'Data Sheet'!F56</f>
        <v>44256</v>
      </c>
      <c r="H3" s="40">
        <f>'Data Sheet'!G56</f>
        <v>44621</v>
      </c>
      <c r="I3" s="40">
        <f>'Data Sheet'!H56</f>
        <v>44986</v>
      </c>
      <c r="J3" s="40">
        <f>'Data Sheet'!I56</f>
        <v>45352</v>
      </c>
      <c r="K3" s="40">
        <f>'Data Sheet'!J56</f>
        <v>45717</v>
      </c>
      <c r="L3" s="40">
        <f>'Data Sheet'!K56</f>
        <v>46082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8609</v>
      </c>
      <c r="C5" s="36"/>
      <c r="D5" s="36">
        <f>IFERROR('Historical FS'!D8,0)</f>
        <v>0.17232920223476356</v>
      </c>
      <c r="E5" s="36">
        <f>IFERROR('Historical FS'!E8,0)</f>
        <v>9.8167523435137571E-2</v>
      </c>
      <c r="F5" s="36">
        <f>IFERROR('Historical FS'!F8,0)</f>
        <v>0.10662951173574475</v>
      </c>
      <c r="G5" s="36">
        <f>IFERROR('Historical FS'!G8,0)</f>
        <v>0.21069551715900947</v>
      </c>
      <c r="H5" s="36">
        <f>IFERROR('Historical FS'!H8,0)</f>
        <v>0.20655864387829759</v>
      </c>
      <c r="I5" s="36">
        <f>IFERROR('Historical FS'!I8,0)</f>
        <v>4.7033733741236095E-2</v>
      </c>
      <c r="J5" s="36">
        <f>IFERROR('Historical FS'!J8,0)</f>
        <v>6.0649443612936782E-2</v>
      </c>
      <c r="K5" s="36">
        <f>IFERROR('Historical FS'!K8,0)</f>
        <v>9.6079514080618544E-2</v>
      </c>
      <c r="L5" s="36">
        <f>IFERROR('Historical FS'!L8,0)</f>
        <v>3.3204589980408539E-2</v>
      </c>
      <c r="N5" s="46">
        <f>IFERROR(AVERAGE(D5:L5),0)</f>
        <v>0.11459418665090587</v>
      </c>
      <c r="O5" s="46">
        <f>IFERROR(MEDIAN(D5:L5),0)</f>
        <v>9.8167523435137571E-2</v>
      </c>
    </row>
    <row r="6" spans="2:15" x14ac:dyDescent="0.3">
      <c r="B6" t="s">
        <v>166</v>
      </c>
      <c r="C6" s="36"/>
      <c r="D6" s="36">
        <f>IFERROR(('Historical FS'!D19/'Historical FS'!C19-1),0)</f>
        <v>0.17232920223476356</v>
      </c>
      <c r="E6" s="36">
        <f>IFERROR(('Historical FS'!E19/'Historical FS'!D19-1),0)</f>
        <v>9.8167523435137571E-2</v>
      </c>
      <c r="F6" s="36">
        <f>IFERROR(('Historical FS'!F19/'Historical FS'!E19-1),0)</f>
        <v>0.10662951173574475</v>
      </c>
      <c r="G6" s="36">
        <f>IFERROR(('Historical FS'!G19/'Historical FS'!F19-1),0)</f>
        <v>0.21069551715900947</v>
      </c>
      <c r="H6" s="36">
        <f>IFERROR(('Historical FS'!H19/'Historical FS'!G19-1),0)</f>
        <v>0.20655864387829759</v>
      </c>
      <c r="I6" s="36">
        <f>IFERROR(('Historical FS'!I19/'Historical FS'!H19-1),0)</f>
        <v>4.7033733741236095E-2</v>
      </c>
      <c r="J6" s="36">
        <f>IFERROR(('Historical FS'!J19/'Historical FS'!I19-1),0)</f>
        <v>6.0649443612936782E-2</v>
      </c>
      <c r="K6" s="36">
        <f>IFERROR(('Historical FS'!K19/'Historical FS'!J19-1),0)</f>
        <v>9.6079514080618544E-2</v>
      </c>
      <c r="L6" s="36">
        <f>IFERROR(('Historical FS'!L19/'Historical FS'!K19-1),0)</f>
        <v>3.3204589980408539E-2</v>
      </c>
      <c r="N6" s="46">
        <f>IFERROR(AVERAGE(D6:L6),0)</f>
        <v>0.11459418665090587</v>
      </c>
      <c r="O6" s="46">
        <f>IFERROR(MEDIAN(D6:L6),0)</f>
        <v>9.8167523435137571E-2</v>
      </c>
    </row>
    <row r="7" spans="2:15" x14ac:dyDescent="0.3">
      <c r="B7" t="s">
        <v>165</v>
      </c>
      <c r="C7" s="36"/>
      <c r="D7" s="36">
        <f>IFERROR(('Historical FS'!D25/'Historical FS'!C25-1),0)</f>
        <v>0.17484961913223329</v>
      </c>
      <c r="E7" s="36">
        <f>IFERROR(('Historical FS'!E25/'Historical FS'!D25-1),0)</f>
        <v>8.968065060001984E-2</v>
      </c>
      <c r="F7" s="36">
        <f>IFERROR(('Historical FS'!F25/'Historical FS'!E25-1),0)</f>
        <v>0.10588409292589129</v>
      </c>
      <c r="G7" s="36">
        <f>IFERROR(('Historical FS'!G25/'Historical FS'!F25-1),0)</f>
        <v>0.21562676817036164</v>
      </c>
      <c r="H7" s="36">
        <f>IFERROR(('Historical FS'!H25/'Historical FS'!G25-1),0)</f>
        <v>0.20629628062455052</v>
      </c>
      <c r="I7" s="36">
        <f>IFERROR(('Historical FS'!I25/'Historical FS'!H25-1),0)</f>
        <v>4.5249821105358468E-2</v>
      </c>
      <c r="J7" s="36">
        <f>IFERROR(('Historical FS'!J25/'Historical FS'!I25-1),0)</f>
        <v>6.1654317010309212E-2</v>
      </c>
      <c r="K7" s="36">
        <f>IFERROR(('Historical FS'!K25/'Historical FS'!J25-1),0)</f>
        <v>9.8433410461631787E-2</v>
      </c>
      <c r="L7" s="36">
        <f>IFERROR(('Historical FS'!L25/'Historical FS'!K25-1),0)</f>
        <v>3.3537076685774769E-2</v>
      </c>
      <c r="N7" s="46">
        <f>IFERROR(AVERAGE(D7:L7),0)</f>
        <v>0.1145791151906812</v>
      </c>
      <c r="O7" s="46">
        <f>IFERROR(MEDIAN(D7:L7),0)</f>
        <v>9.8433410461631787E-2</v>
      </c>
    </row>
    <row r="8" spans="2:15" x14ac:dyDescent="0.3">
      <c r="B8" t="s">
        <v>189</v>
      </c>
      <c r="C8" s="36"/>
      <c r="D8" s="36">
        <f>IFERROR(('Historical FS'!D37/'Historical FS'!C37-1),0)</f>
        <v>0.23216020169873319</v>
      </c>
      <c r="E8" s="36">
        <f>IFERROR(('Historical FS'!E37/'Historical FS'!D37-1),0)</f>
        <v>0.10227596732804445</v>
      </c>
      <c r="F8" s="36">
        <f>IFERROR(('Historical FS'!F37/'Historical FS'!E37-1),0)</f>
        <v>7.0921014591987408E-2</v>
      </c>
      <c r="G8" s="36">
        <f>IFERROR(('Historical FS'!G37/'Historical FS'!F37-1),0)</f>
        <v>0.2482594981671451</v>
      </c>
      <c r="H8" s="36">
        <f>IFERROR(('Historical FS'!H37/'Historical FS'!G37-1),0)</f>
        <v>0.23995219395595013</v>
      </c>
      <c r="I8" s="36">
        <f>IFERROR(('Historical FS'!I37/'Historical FS'!H37-1),0)</f>
        <v>3.3028567232136208E-2</v>
      </c>
      <c r="J8" s="36">
        <f>IFERROR(('Historical FS'!J37/'Historical FS'!I37-1),0)</f>
        <v>6.7712868999591169E-2</v>
      </c>
      <c r="K8" s="36">
        <f>IFERROR(('Historical FS'!K37/'Historical FS'!J37-1),0)</f>
        <v>0.10971752917089739</v>
      </c>
      <c r="L8" s="36">
        <f>IFERROR(('Historical FS'!L37/'Historical FS'!K37-1),0)</f>
        <v>3.3936566744414476E-2</v>
      </c>
      <c r="N8" s="46">
        <f>IFERROR(AVERAGE(D8:L8),0)</f>
        <v>0.12644048976543329</v>
      </c>
      <c r="O8" s="46">
        <f>IFERROR(MEDIAN(D8:L8),0)</f>
        <v>0.10227596732804445</v>
      </c>
    </row>
    <row r="9" spans="2:15" x14ac:dyDescent="0.3">
      <c r="B9" t="s">
        <v>164</v>
      </c>
      <c r="C9" s="36"/>
      <c r="D9" s="36">
        <f>IFERROR(('Historical FS'!D45/'Historical FS'!C45-1),0)</f>
        <v>-2.2322887224532684E-2</v>
      </c>
      <c r="E9" s="36">
        <f>IFERROR(('Historical FS'!E45/'Historical FS'!D45-1),0)</f>
        <v>-0.19018494484101223</v>
      </c>
      <c r="F9" s="36">
        <f>IFERROR(('Historical FS'!F45/'Historical FS'!E45-1),0)</f>
        <v>0.53048326889302877</v>
      </c>
      <c r="G9" s="36">
        <f>IFERROR(('Historical FS'!G45/'Historical FS'!F45-1),0)</f>
        <v>0.14019461463213712</v>
      </c>
      <c r="H9" s="36">
        <f>IFERROR(('Historical FS'!H45/'Historical FS'!G45-1),0)</f>
        <v>7.0143133320169415E-2</v>
      </c>
      <c r="I9" s="36">
        <f>IFERROR(('Historical FS'!I45/'Historical FS'!H45-1),0)</f>
        <v>0.37034494201381141</v>
      </c>
      <c r="J9" s="36">
        <f>IFERROR(('Historical FS'!J45/'Historical FS'!I45-1),0)</f>
        <v>-6.4638453862629563E-2</v>
      </c>
      <c r="K9" s="36">
        <f>IFERROR(('Historical FS'!K45/'Historical FS'!J45-1),0)</f>
        <v>8.538652531733848E-2</v>
      </c>
      <c r="L9" s="36">
        <f>IFERROR(('Historical FS'!L45/'Historical FS'!K45-1),0)</f>
        <v>2.3689168265404952</v>
      </c>
      <c r="N9" s="46">
        <f>IFERROR(AVERAGE(D9:L9),0)</f>
        <v>0.36536922497653396</v>
      </c>
      <c r="O9" s="46">
        <f>IFERROR(MEDIAN(D9:L9),0)</f>
        <v>8.538652531733848E-2</v>
      </c>
    </row>
    <row r="11" spans="2:15" x14ac:dyDescent="0.3">
      <c r="B11" t="s">
        <v>157</v>
      </c>
      <c r="C11" s="36">
        <f>IFERROR('Historical FS'!C14,0)</f>
        <v>1</v>
      </c>
      <c r="D11" s="36">
        <f>IFERROR('Historical FS'!D14,0)</f>
        <v>1</v>
      </c>
      <c r="E11" s="36">
        <f>IFERROR('Historical FS'!E14,0)</f>
        <v>1</v>
      </c>
      <c r="F11" s="36">
        <f>IFERROR('Historical FS'!F14,0)</f>
        <v>1</v>
      </c>
      <c r="G11" s="36">
        <f>IFERROR('Historical FS'!G14,0)</f>
        <v>1</v>
      </c>
      <c r="H11" s="36">
        <f>IFERROR('Historical FS'!H14,0)</f>
        <v>1</v>
      </c>
      <c r="I11" s="36">
        <f>IFERROR('Historical FS'!I14,0)</f>
        <v>1</v>
      </c>
      <c r="J11" s="36">
        <f>IFERROR('Historical FS'!J14,0)</f>
        <v>1</v>
      </c>
      <c r="K11" s="36">
        <f>IFERROR('Historical FS'!K14,0)</f>
        <v>1</v>
      </c>
      <c r="L11" s="36">
        <f>IFERROR('Historical FS'!L14,0)</f>
        <v>1</v>
      </c>
      <c r="N11" s="46">
        <f>IFERROR(AVERAGE(C11:L11),0)</f>
        <v>1</v>
      </c>
      <c r="O11" s="46">
        <f>IFERROR(MEDIAN(C11:L11),0)</f>
        <v>1</v>
      </c>
    </row>
    <row r="12" spans="2:15" x14ac:dyDescent="0.3">
      <c r="B12" t="s">
        <v>161</v>
      </c>
      <c r="C12" s="36">
        <f>IFERROR('Historical FS'!C20,0)</f>
        <v>1</v>
      </c>
      <c r="D12" s="36">
        <f>IFERROR('Historical FS'!D20,0)</f>
        <v>1</v>
      </c>
      <c r="E12" s="36">
        <f>IFERROR('Historical FS'!E20,0)</f>
        <v>1</v>
      </c>
      <c r="F12" s="36">
        <f>IFERROR('Historical FS'!F20,0)</f>
        <v>1</v>
      </c>
      <c r="G12" s="36">
        <f>IFERROR('Historical FS'!G20,0)</f>
        <v>1</v>
      </c>
      <c r="H12" s="36">
        <f>IFERROR('Historical FS'!H20,0)</f>
        <v>1</v>
      </c>
      <c r="I12" s="36">
        <f>IFERROR('Historical FS'!I20,0)</f>
        <v>1</v>
      </c>
      <c r="J12" s="36">
        <f>IFERROR('Historical FS'!J20,0)</f>
        <v>1</v>
      </c>
      <c r="K12" s="36">
        <f>IFERROR('Historical FS'!K20,0)</f>
        <v>1</v>
      </c>
      <c r="L12" s="36">
        <f>IFERROR('Historical FS'!L20,0)</f>
        <v>1</v>
      </c>
      <c r="N12" s="46">
        <f>IFERROR(AVERAGE(C12:L12),0)</f>
        <v>1</v>
      </c>
      <c r="O12" s="46">
        <f>IFERROR(MEDIAN(C12:L12),0)</f>
        <v>1</v>
      </c>
    </row>
    <row r="13" spans="2:15" x14ac:dyDescent="0.3">
      <c r="B13" t="s">
        <v>162</v>
      </c>
      <c r="C13" s="36">
        <f>IFERROR('Historical FS'!C26,0)</f>
        <v>0.97358271177788491</v>
      </c>
      <c r="D13" s="36">
        <f>IFERROR('Historical FS'!D26,0)</f>
        <v>0.97567583912912004</v>
      </c>
      <c r="E13" s="36">
        <f>IFERROR('Historical FS'!E26,0)</f>
        <v>0.96813560815499333</v>
      </c>
      <c r="F13" s="36">
        <f>IFERROR('Historical FS'!F26,0)</f>
        <v>0.96748347798391587</v>
      </c>
      <c r="G13" s="36">
        <f>IFERROR('Historical FS'!G26,0)</f>
        <v>0.97142410864757767</v>
      </c>
      <c r="H13" s="36">
        <f>IFERROR('Historical FS'!H26,0)</f>
        <v>0.97121287482881025</v>
      </c>
      <c r="I13" s="36">
        <f>IFERROR('Historical FS'!I26,0)</f>
        <v>0.96955814407496588</v>
      </c>
      <c r="J13" s="36">
        <f>IFERROR('Historical FS'!J26,0)</f>
        <v>0.97047671636296706</v>
      </c>
      <c r="K13" s="36">
        <f>IFERROR('Historical FS'!K26,0)</f>
        <v>0.9725608732157851</v>
      </c>
      <c r="L13" s="36">
        <f>IFERROR('Historical FS'!L26,0)</f>
        <v>0.97287384468691418</v>
      </c>
      <c r="N13" s="46">
        <f>IFERROR(AVERAGE(C13:L13),0)</f>
        <v>0.97129841988629351</v>
      </c>
      <c r="O13" s="46">
        <f>IFERROR(MEDIAN(C13:L13),0)</f>
        <v>0.97131849173819396</v>
      </c>
    </row>
    <row r="14" spans="2:15" x14ac:dyDescent="0.3">
      <c r="B14" t="s">
        <v>167</v>
      </c>
      <c r="C14" s="36">
        <f>IFERROR('Historical FS'!C32,0)</f>
        <v>0.97358271177788491</v>
      </c>
      <c r="D14" s="36">
        <f>IFERROR('Historical FS'!D32,0)</f>
        <v>0.97567583912912004</v>
      </c>
      <c r="E14" s="36">
        <f>IFERROR('Historical FS'!E32,0)</f>
        <v>0.96626317586544919</v>
      </c>
      <c r="F14" s="36">
        <f>IFERROR('Historical FS'!F32,0)</f>
        <v>0.96554263874512303</v>
      </c>
      <c r="G14" s="36">
        <f>IFERROR('Historical FS'!G32,0)</f>
        <v>0.96977992617620701</v>
      </c>
      <c r="H14" s="36">
        <f>IFERROR('Historical FS'!H32,0)</f>
        <v>0.96927783493564634</v>
      </c>
      <c r="I14" s="36">
        <f>IFERROR('Historical FS'!I32,0)</f>
        <v>0.96649964209019323</v>
      </c>
      <c r="J14" s="36">
        <f>IFERROR('Historical FS'!J32,0)</f>
        <v>0.96792441254064665</v>
      </c>
      <c r="K14" s="36">
        <f>IFERROR('Historical FS'!K32,0)</f>
        <v>0.9702322977889728</v>
      </c>
      <c r="L14" s="36">
        <f>IFERROR('Historical FS'!L32,0)</f>
        <v>0.97054425675309619</v>
      </c>
      <c r="N14" s="46">
        <f>IFERROR(AVERAGE(C14:L14),0)</f>
        <v>0.96953227358023386</v>
      </c>
      <c r="O14" s="46">
        <f>IFERROR(MEDIAN(C14:L14),0)</f>
        <v>0.96952888055592668</v>
      </c>
    </row>
    <row r="15" spans="2:15" x14ac:dyDescent="0.3">
      <c r="B15" t="s">
        <v>163</v>
      </c>
      <c r="C15" s="36">
        <f>IFERROR('Historical FS'!C38,0)</f>
        <v>0.6861546751368367</v>
      </c>
      <c r="D15" s="36">
        <f>IFERROR('Historical FS'!D38,0)</f>
        <v>0.72117326882370725</v>
      </c>
      <c r="E15" s="36">
        <f>IFERROR('Historical FS'!E38,0)</f>
        <v>0.72387130883017037</v>
      </c>
      <c r="F15" s="36">
        <f>IFERROR('Historical FS'!F38,0)</f>
        <v>0.70051357592164987</v>
      </c>
      <c r="G15" s="36">
        <f>IFERROR('Historical FS'!G38,0)</f>
        <v>0.72224825511135227</v>
      </c>
      <c r="H15" s="36">
        <f>IFERROR('Historical FS'!H38,0)</f>
        <v>0.74223769648490467</v>
      </c>
      <c r="I15" s="36">
        <f>IFERROR('Historical FS'!I38,0)</f>
        <v>0.73230949437105486</v>
      </c>
      <c r="J15" s="36">
        <f>IFERROR('Historical FS'!J38,0)</f>
        <v>0.73718633044972082</v>
      </c>
      <c r="K15" s="36">
        <f>IFERROR('Historical FS'!K38,0)</f>
        <v>0.74635880212706407</v>
      </c>
      <c r="L15" s="36">
        <f>IFERROR('Historical FS'!L38,0)</f>
        <v>0.74688756216749197</v>
      </c>
      <c r="N15" s="46">
        <f>IFERROR(AVERAGE(C15:L15),0)</f>
        <v>0.72589409694239537</v>
      </c>
      <c r="O15" s="46">
        <f>IFERROR(MEDIAN(C15:L15),0)</f>
        <v>0.72809040160061267</v>
      </c>
    </row>
    <row r="17" spans="2:15" x14ac:dyDescent="0.3">
      <c r="B17" t="s">
        <v>8610</v>
      </c>
      <c r="C17" s="36">
        <f>IFERROR('Historical FS'!C17,0)</f>
        <v>0</v>
      </c>
      <c r="D17" s="36">
        <f>IFERROR('Historical FS'!D17,0)</f>
        <v>0</v>
      </c>
      <c r="E17" s="36">
        <f>IFERROR('Historical FS'!E17,0)</f>
        <v>0</v>
      </c>
      <c r="F17" s="36">
        <f>IFERROR('Historical FS'!F17,0)</f>
        <v>0</v>
      </c>
      <c r="G17" s="36">
        <f>IFERROR('Historical FS'!G17,0)</f>
        <v>0</v>
      </c>
      <c r="H17" s="36">
        <f>IFERROR('Historical FS'!H17,0)</f>
        <v>0</v>
      </c>
      <c r="I17" s="36">
        <f>IFERROR('Historical FS'!I17,0)</f>
        <v>0</v>
      </c>
      <c r="J17" s="36">
        <f>IFERROR('Historical FS'!J17,0)</f>
        <v>0</v>
      </c>
      <c r="K17" s="36">
        <f>IFERROR('Historical FS'!K17,0)</f>
        <v>0</v>
      </c>
      <c r="L17" s="36">
        <f>IFERROR('Historical FS'!L17,0)</f>
        <v>0</v>
      </c>
      <c r="N17" s="46">
        <f>IFERROR(AVERAGE(C17:L17),0)</f>
        <v>0</v>
      </c>
      <c r="O17" s="46">
        <f>IFERROR(MEDIAN(C17:L17),0)</f>
        <v>0</v>
      </c>
    </row>
    <row r="18" spans="2:15" x14ac:dyDescent="0.3">
      <c r="B18" t="s">
        <v>168</v>
      </c>
      <c r="C18" s="36">
        <f>IFERROR('Historical FS'!C23,0)</f>
        <v>2.6417288222115084E-2</v>
      </c>
      <c r="D18" s="36">
        <f>IFERROR('Historical FS'!D23,0)</f>
        <v>2.4324160870879952E-2</v>
      </c>
      <c r="E18" s="36">
        <f>IFERROR('Historical FS'!E23,0)</f>
        <v>3.1864391845006661E-2</v>
      </c>
      <c r="F18" s="36">
        <f>IFERROR('Historical FS'!F23,0)</f>
        <v>3.2516522016084085E-2</v>
      </c>
      <c r="G18" s="36">
        <f>IFERROR('Historical FS'!G23,0)</f>
        <v>2.8575891352422292E-2</v>
      </c>
      <c r="H18" s="36">
        <f>IFERROR('Historical FS'!H23,0)</f>
        <v>2.8787125171189708E-2</v>
      </c>
      <c r="I18" s="36">
        <f>IFERROR('Historical FS'!I23,0)</f>
        <v>3.0441855925034164E-2</v>
      </c>
      <c r="J18" s="36">
        <f>IFERROR('Historical FS'!J23,0)</f>
        <v>2.9523283637032948E-2</v>
      </c>
      <c r="K18" s="36">
        <f>IFERROR('Historical FS'!K23,0)</f>
        <v>2.7439126784214944E-2</v>
      </c>
      <c r="L18" s="36">
        <f>IFERROR('Historical FS'!L23,0)</f>
        <v>2.7126155313085782E-2</v>
      </c>
      <c r="N18" s="46">
        <f>IFERROR(AVERAGE(C18:L18),0)</f>
        <v>2.8701580113706559E-2</v>
      </c>
      <c r="O18" s="46">
        <f>IFERROR(MEDIAN(C18:L18),0)</f>
        <v>2.8681508261806002E-2</v>
      </c>
    </row>
    <row r="19" spans="2:15" x14ac:dyDescent="0.3">
      <c r="B19" t="s">
        <v>8611</v>
      </c>
      <c r="C19" s="36">
        <f t="shared" ref="C19:L19" si="0">C13</f>
        <v>0.97358271177788491</v>
      </c>
      <c r="D19" s="36">
        <f t="shared" si="0"/>
        <v>0.97567583912912004</v>
      </c>
      <c r="E19" s="36">
        <f t="shared" si="0"/>
        <v>0.96813560815499333</v>
      </c>
      <c r="F19" s="36">
        <f t="shared" si="0"/>
        <v>0.96748347798391587</v>
      </c>
      <c r="G19" s="36">
        <f t="shared" si="0"/>
        <v>0.97142410864757767</v>
      </c>
      <c r="H19" s="36">
        <f t="shared" si="0"/>
        <v>0.97121287482881025</v>
      </c>
      <c r="I19" s="36">
        <f t="shared" si="0"/>
        <v>0.96955814407496588</v>
      </c>
      <c r="J19" s="36">
        <f t="shared" si="0"/>
        <v>0.97047671636296706</v>
      </c>
      <c r="K19" s="36">
        <f t="shared" si="0"/>
        <v>0.9725608732157851</v>
      </c>
      <c r="L19" s="36">
        <f t="shared" si="0"/>
        <v>0.97287384468691418</v>
      </c>
      <c r="N19" s="46">
        <f>IFERROR(AVERAGE(C19:L19),0)</f>
        <v>0.97129841988629351</v>
      </c>
      <c r="O19" s="46">
        <f>IFERROR(MEDIAN(C19:L19),0)</f>
        <v>0.97131849173819396</v>
      </c>
    </row>
    <row r="21" spans="2:15" x14ac:dyDescent="0.3">
      <c r="B21" t="s">
        <v>169</v>
      </c>
      <c r="C21" s="46">
        <f>IFERROR('Historical FS'!C25/SUM('Historical FS'!C51:'Historical FS'!C53),0)</f>
        <v>0.99531761908903771</v>
      </c>
      <c r="D21" s="46">
        <f>IFERROR('Historical FS'!D25/SUM('Historical FS'!D51:'Historical FS'!D53),0)</f>
        <v>1.2424564484081142</v>
      </c>
      <c r="E21" s="46">
        <f>IFERROR('Historical FS'!E25/SUM('Historical FS'!E51:'Historical FS'!E53),0)</f>
        <v>1.3533596107655355</v>
      </c>
      <c r="F21" s="46">
        <f>IFERROR('Historical FS'!F25/SUM('Historical FS'!F51:'Historical FS'!F53),0)</f>
        <v>1.386998273475736</v>
      </c>
      <c r="G21" s="46">
        <f>IFERROR('Historical FS'!G25/SUM('Historical FS'!G51:'Historical FS'!G53),0)</f>
        <v>1.4467530241441795</v>
      </c>
      <c r="H21" s="46">
        <f>IFERROR('Historical FS'!H25/SUM('Historical FS'!H51:'Historical FS'!H53),0)</f>
        <v>1.7636098188656835</v>
      </c>
      <c r="I21" s="46">
        <f>IFERROR('Historical FS'!I25/SUM('Historical FS'!I51:'Historical FS'!I53),0)</f>
        <v>1.7799440900293886</v>
      </c>
      <c r="J21" s="46">
        <f>IFERROR('Historical FS'!J25/SUM('Historical FS'!J51:'Historical FS'!J53),0)</f>
        <v>1.6395750194350869</v>
      </c>
      <c r="K21" s="46">
        <f>IFERROR('Historical FS'!K25/SUM('Historical FS'!K51:'Historical FS'!K53),0)</f>
        <v>1.6699312797347301</v>
      </c>
      <c r="L21" s="46">
        <f>IFERROR('Historical FS'!L25/SUM('Historical FS'!L51:'Historical FS'!L53),0)</f>
        <v>1.7600560630415181</v>
      </c>
      <c r="N21" s="46">
        <f>IFERROR(AVERAGE(C21:L21),0)</f>
        <v>1.5038001246989008</v>
      </c>
      <c r="O21" s="46">
        <f>IFERROR(MEDIAN(C21:L21),0)</f>
        <v>1.5431640217896332</v>
      </c>
    </row>
    <row r="22" spans="2:15" x14ac:dyDescent="0.3">
      <c r="B22" t="s">
        <v>170</v>
      </c>
      <c r="C22" s="46">
        <f>IFERROR('Historical FS'!C48,0)</f>
        <v>0.80456074727727378</v>
      </c>
      <c r="D22" s="46">
        <f>IFERROR('Historical FS'!D48,0)</f>
        <v>0.84492561595357496</v>
      </c>
      <c r="E22" s="46">
        <f>IFERROR('Historical FS'!E48,0)</f>
        <v>0.88607066234536902</v>
      </c>
      <c r="F22" s="46">
        <f>IFERROR('Historical FS'!F48,0)</f>
        <v>0.83718038703077491</v>
      </c>
      <c r="G22" s="46">
        <f>IFERROR('Historical FS'!G48,0)</f>
        <v>0.85127607990438792</v>
      </c>
      <c r="H22" s="46">
        <f>IFERROR('Historical FS'!H48,0)</f>
        <v>0.87164353381802162</v>
      </c>
      <c r="I22" s="46">
        <f>IFERROR('Historical FS'!I48,0)</f>
        <v>0.82973110348872336</v>
      </c>
      <c r="J22" s="46">
        <f>IFERROR('Historical FS'!J48,0)</f>
        <v>0.85083725885114103</v>
      </c>
      <c r="K22" s="46">
        <f>IFERROR('Historical FS'!K48,0)</f>
        <v>0.85410771203791902</v>
      </c>
      <c r="L22" s="46">
        <f>IFERROR('Historical FS'!L48,0)</f>
        <v>0.52463332898115511</v>
      </c>
      <c r="N22" s="46">
        <f>IFERROR(AVERAGE(C22:L22),0)</f>
        <v>0.81549664296883395</v>
      </c>
      <c r="O22" s="46">
        <f>IFERROR(MEDIAN(C22:L22),0)</f>
        <v>0.847881437402358</v>
      </c>
    </row>
    <row r="23" spans="2:15" x14ac:dyDescent="0.3">
      <c r="B23" t="s">
        <v>171</v>
      </c>
      <c r="C23" s="46">
        <f>IFERROR('Historical FS'!C37/SUM('Historical FS'!C51:'Historical FS'!C52),0)</f>
        <v>0.70147284798933052</v>
      </c>
      <c r="D23" s="46">
        <f>IFERROR('Historical FS'!D37/SUM('Historical FS'!D51:'Historical FS'!D52),0)</f>
        <v>0.9183648321858201</v>
      </c>
      <c r="E23" s="46">
        <f>IFERROR('Historical FS'!E37/SUM('Historical FS'!E51:'Historical FS'!E52),0)</f>
        <v>1.0119018291556321</v>
      </c>
      <c r="F23" s="46">
        <f>IFERROR('Historical FS'!F37/SUM('Historical FS'!F51:'Historical FS'!F52),0)</f>
        <v>1.0753552330022917</v>
      </c>
      <c r="G23" s="46">
        <f>IFERROR('Historical FS'!G37/SUM('Historical FS'!G51:'Historical FS'!G52),0)</f>
        <v>1.1506725517674949</v>
      </c>
      <c r="H23" s="46">
        <f>IFERROR('Historical FS'!H37/SUM('Historical FS'!H51:'Historical FS'!H52),0)</f>
        <v>1.4457332448573323</v>
      </c>
      <c r="I23" s="46">
        <f>IFERROR('Historical FS'!I37/SUM('Historical FS'!I51:'Historical FS'!I52),0)</f>
        <v>1.4923548211704483</v>
      </c>
      <c r="J23" s="46">
        <f>IFERROR('Historical FS'!J37/SUM('Historical FS'!J51:'Historical FS'!J52),0)</f>
        <v>1.3635889055336148</v>
      </c>
      <c r="K23" s="46">
        <f>IFERROR('Historical FS'!K37/SUM('Historical FS'!K51:'Historical FS'!K52),0)</f>
        <v>1.3915652591371142</v>
      </c>
      <c r="L23" s="46">
        <f>IFERROR('Historical FS'!L37/SUM('Historical FS'!L51:'Historical FS'!L52),0)</f>
        <v>1.4847499246112092</v>
      </c>
      <c r="N23" s="46">
        <f>IFERROR(AVERAGE(C23:L23),0)</f>
        <v>1.2035759449410288</v>
      </c>
      <c r="O23" s="46">
        <f>IFERROR(MEDIAN(C23:L23),0)</f>
        <v>1.2571307286505549</v>
      </c>
    </row>
    <row r="24" spans="2:15" x14ac:dyDescent="0.3">
      <c r="B24" t="s">
        <v>172</v>
      </c>
      <c r="C24" s="46">
        <f t="shared" ref="C24:L24" si="1">IFERROR(C22*C23,0)</f>
        <v>0.56437751877301323</v>
      </c>
      <c r="D24" s="46">
        <f t="shared" si="1"/>
        <v>0.77594997150470557</v>
      </c>
      <c r="E24" s="46">
        <f t="shared" si="1"/>
        <v>0.8966165239884214</v>
      </c>
      <c r="F24" s="46">
        <f t="shared" si="1"/>
        <v>0.90026631016042769</v>
      </c>
      <c r="G24" s="46">
        <f t="shared" si="1"/>
        <v>0.979540019122212</v>
      </c>
      <c r="H24" s="46">
        <f t="shared" si="1"/>
        <v>1.2601640345056404</v>
      </c>
      <c r="I24" s="46">
        <f t="shared" si="1"/>
        <v>1.2382532125664725</v>
      </c>
      <c r="J24" s="46">
        <f t="shared" si="1"/>
        <v>1.1601922465840484</v>
      </c>
      <c r="K24" s="46">
        <f t="shared" si="1"/>
        <v>1.1885466196330545</v>
      </c>
      <c r="L24" s="46">
        <f t="shared" si="1"/>
        <v>0.77894929565329785</v>
      </c>
      <c r="N24" s="46">
        <f>IFERROR(AVERAGE(C24:L24),0)</f>
        <v>0.97428557524912951</v>
      </c>
      <c r="O24" s="46">
        <f>IFERROR(MEDIAN(C24:L24),0)</f>
        <v>0.93990316464131984</v>
      </c>
    </row>
    <row r="25" spans="2:15" x14ac:dyDescent="0.3">
      <c r="B25" t="s">
        <v>173</v>
      </c>
      <c r="C25" s="158">
        <f>IFERROR('Historical FS'!C25/'Historical FS'!C28,0)</f>
        <v>0</v>
      </c>
      <c r="D25" s="158">
        <f>IFERROR('Historical FS'!D25/'Historical FS'!D28,0)</f>
        <v>0</v>
      </c>
      <c r="E25" s="158">
        <f>IFERROR('Historical FS'!E25/'Historical FS'!E28,0)</f>
        <v>517.04705882352937</v>
      </c>
      <c r="F25" s="158">
        <f>IFERROR('Historical FS'!F25/'Historical FS'!F28,0)</f>
        <v>498.4871794871795</v>
      </c>
      <c r="G25" s="158">
        <f>IFERROR('Historical FS'!G25/'Historical FS'!G28,0)</f>
        <v>590.82500000000005</v>
      </c>
      <c r="H25" s="158">
        <f>IFERROR('Historical FS'!H25/'Historical FS'!H28,0)</f>
        <v>501.90845070422534</v>
      </c>
      <c r="I25" s="158">
        <f>IFERROR('Historical FS'!I25/'Historical FS'!I28,0)</f>
        <v>317.00425531914891</v>
      </c>
      <c r="J25" s="158">
        <f>IFERROR('Historical FS'!J25/'Historical FS'!J28,0)</f>
        <v>380.23557692307691</v>
      </c>
      <c r="K25" s="158">
        <f>IFERROR('Historical FS'!K25/'Historical FS'!K28,0)</f>
        <v>417.66346153846155</v>
      </c>
      <c r="L25" s="158">
        <f>IFERROR('Historical FS'!L25/'Historical FS'!L28,0)</f>
        <v>417.61627906976742</v>
      </c>
      <c r="N25" s="158">
        <f>IFERROR(AVERAGE(C25:L25),0)</f>
        <v>364.07872618653892</v>
      </c>
      <c r="O25" s="158">
        <f>IFERROR(MEDIAN(C25:L25),0)</f>
        <v>417.63987030411448</v>
      </c>
    </row>
    <row r="27" spans="2:15" x14ac:dyDescent="0.3">
      <c r="B27" t="s">
        <v>174</v>
      </c>
      <c r="C27" s="158">
        <f>IFERROR('Historical FS'!C7/'Historical FS'!C63,0)</f>
        <v>5.7232592111670186</v>
      </c>
      <c r="D27" s="158">
        <f>IFERROR('Historical FS'!D7/'Historical FS'!D63,0)</f>
        <v>6.2908994064830317</v>
      </c>
      <c r="E27" s="158">
        <f>IFERROR('Historical FS'!E7/'Historical FS'!E63,0)</f>
        <v>6.1233560396573816</v>
      </c>
      <c r="F27" s="158">
        <f>IFERROR('Historical FS'!F7/'Historical FS'!F63,0)</f>
        <v>5.4347379239465567</v>
      </c>
      <c r="G27" s="158">
        <f>IFERROR('Historical FS'!G7/'Historical FS'!G63,0)</f>
        <v>6.3046024670882144</v>
      </c>
      <c r="H27" s="158">
        <f>IFERROR('Historical FS'!H7/'Historical FS'!H63,0)</f>
        <v>6.466076306282492</v>
      </c>
      <c r="I27" s="158">
        <f>IFERROR('Historical FS'!I7/'Historical FS'!I63,0)</f>
        <v>6.044288860918817</v>
      </c>
      <c r="J27" s="158">
        <f>IFERROR('Historical FS'!J7/'Historical FS'!J63,0)</f>
        <v>5.3982711224455997</v>
      </c>
      <c r="K27" s="158">
        <f>IFERROR('Historical FS'!K7/'Historical FS'!K63,0)</f>
        <v>5.7336799537839402</v>
      </c>
      <c r="L27" s="158">
        <f>IFERROR('Historical FS'!L7/'Historical FS'!L63,0)</f>
        <v>5.238746665152977</v>
      </c>
      <c r="N27" s="158">
        <f>IFERROR(AVERAGE(C27:L27),0)</f>
        <v>5.8757917956926038</v>
      </c>
      <c r="O27" s="158">
        <f>IFERROR(MEDIAN(C27:L27),0)</f>
        <v>5.8889844073513782</v>
      </c>
    </row>
    <row r="28" spans="2:15" x14ac:dyDescent="0.3">
      <c r="B28" t="s">
        <v>175</v>
      </c>
      <c r="C28" s="158">
        <f>IFERROR('Historical FS'!C7/'Historical FS'!C54,0)</f>
        <v>4.9782578003670759</v>
      </c>
      <c r="D28" s="158">
        <f>IFERROR('Historical FS'!D7/'Historical FS'!D54,0)</f>
        <v>5.7309718563704424</v>
      </c>
      <c r="E28" s="158">
        <f>IFERROR('Historical FS'!E7/'Historical FS'!E54,0)</f>
        <v>4.7489800188304212</v>
      </c>
      <c r="F28" s="158">
        <f>IFERROR('Historical FS'!F7/'Historical FS'!F54,0)</f>
        <v>4.6264216972878387</v>
      </c>
      <c r="G28" s="158">
        <f>IFERROR('Historical FS'!G7/'Historical FS'!G54,0)</f>
        <v>4.7083801045093869</v>
      </c>
      <c r="H28" s="158">
        <f>IFERROR('Historical FS'!H7/'Historical FS'!H54,0)</f>
        <v>4.0876479598941655</v>
      </c>
      <c r="I28" s="158">
        <f>IFERROR('Historical FS'!I7/'Historical FS'!I54,0)</f>
        <v>3.7581315725116164</v>
      </c>
      <c r="J28" s="158">
        <f>IFERROR('Historical FS'!J7/'Historical FS'!J54,0)</f>
        <v>4.1216335819951953</v>
      </c>
      <c r="K28" s="158">
        <f>IFERROR('Historical FS'!K7/'Historical FS'!K54,0)</f>
        <v>4.0834285714285716</v>
      </c>
      <c r="L28" s="158">
        <f>IFERROR('Historical FS'!L7/'Historical FS'!L54,0)</f>
        <v>3.5319938767699961</v>
      </c>
      <c r="N28" s="158">
        <f>IFERROR(AVERAGE(C28:L28),0)</f>
        <v>4.4375847039964711</v>
      </c>
      <c r="O28" s="158">
        <f>IFERROR(MEDIAN(C28:L28),0)</f>
        <v>4.3740276396415165</v>
      </c>
    </row>
    <row r="29" spans="2:15" x14ac:dyDescent="0.3">
      <c r="B29" t="s">
        <v>47</v>
      </c>
      <c r="C29" s="158">
        <f>IFERROR('Historical FS'!C7/'Historical FS'!C64,0)</f>
        <v>8.6891487290693803</v>
      </c>
      <c r="D29" s="158">
        <f>IFERROR('Historical FS'!D7/'Historical FS'!D64,0)</f>
        <v>11.03055466979049</v>
      </c>
      <c r="E29" s="158">
        <f>IFERROR('Historical FS'!E7/'Historical FS'!E64,0)</f>
        <v>11.551664469766754</v>
      </c>
      <c r="F29" s="158">
        <f>IFERROR('Historical FS'!F7/'Historical FS'!F64,0)</f>
        <v>11.31526815649379</v>
      </c>
      <c r="G29" s="158">
        <f>IFERROR('Historical FS'!G7/'Historical FS'!G64,0)</f>
        <v>11.69944484840091</v>
      </c>
      <c r="H29" s="158">
        <f>IFERROR('Historical FS'!H7/'Historical FS'!H64,0)</f>
        <v>13.509294330435424</v>
      </c>
      <c r="I29" s="158">
        <f>IFERROR('Historical FS'!I7/'Historical FS'!I64,0)</f>
        <v>13.054788143224627</v>
      </c>
      <c r="J29" s="158">
        <f>IFERROR('Historical FS'!J7/'Historical FS'!J64,0)</f>
        <v>11.516383944469254</v>
      </c>
      <c r="K29" s="158">
        <f>IFERROR('Historical FS'!K7/'Historical FS'!K64,0)</f>
        <v>11.424416596962699</v>
      </c>
      <c r="L29" s="158">
        <f>IFERROR('Historical FS'!L7/'Historical FS'!L64,0)</f>
        <v>9.9115285647394398</v>
      </c>
      <c r="N29" s="158">
        <f>IFERROR(AVERAGE(C29:L29),0)</f>
        <v>11.370249245335277</v>
      </c>
      <c r="O29" s="158">
        <f>IFERROR(MEDIAN(C29:L29),0)</f>
        <v>11.470400270715977</v>
      </c>
    </row>
    <row r="30" spans="2:15" x14ac:dyDescent="0.3">
      <c r="B30" t="s">
        <v>8612</v>
      </c>
      <c r="C30" s="158">
        <f>IFERROR('Historical FS'!C7/'Historical FS'!C57,0)</f>
        <v>4.9736934903730869</v>
      </c>
      <c r="D30" s="158">
        <f>IFERROR('Historical FS'!D7/'Historical FS'!D57,0)</f>
        <v>6.575075552727851</v>
      </c>
      <c r="E30" s="158">
        <f>IFERROR('Historical FS'!E7/'Historical FS'!E57,0)</f>
        <v>5.7791852323360917</v>
      </c>
      <c r="F30" s="158">
        <f>IFERROR('Historical FS'!F7/'Historical FS'!F57,0)</f>
        <v>4.2234646265080498</v>
      </c>
      <c r="G30" s="158">
        <f>IFERROR('Historical FS'!G7/'Historical FS'!G57,0)</f>
        <v>4.7693001372279946</v>
      </c>
      <c r="H30" s="158">
        <f>IFERROR('Historical FS'!H7/'Historical FS'!H57,0)</f>
        <v>5.6886434108527135</v>
      </c>
      <c r="I30" s="158">
        <f>IFERROR('Historical FS'!I7/'Historical FS'!I57,0)</f>
        <v>5.2581693755346448</v>
      </c>
      <c r="J30" s="158">
        <f>IFERROR('Historical FS'!J7/'Historical FS'!J57,0)</f>
        <v>5.9007313011367755</v>
      </c>
      <c r="K30" s="158">
        <f>IFERROR('Historical FS'!K7/'Historical FS'!K57,0)</f>
        <v>5.7701624624527632</v>
      </c>
      <c r="L30" s="158">
        <f>IFERROR('Historical FS'!L7/'Historical FS'!L57,0)</f>
        <v>5.4658572697660643</v>
      </c>
      <c r="N30" s="158">
        <f>IFERROR(AVERAGE(C30:L30),0)</f>
        <v>5.4404282858916035</v>
      </c>
      <c r="O30" s="158">
        <f>IFERROR(MEDIAN(C30:L30),0)</f>
        <v>5.5772503403093889</v>
      </c>
    </row>
    <row r="31" spans="2:15" x14ac:dyDescent="0.3">
      <c r="B31" t="s">
        <v>176</v>
      </c>
      <c r="C31" s="158">
        <f>IFERROR('Historical FS'!C7/SUM('Historical FS'!C51:'Historical FS'!C52),0)</f>
        <v>1.0223246644052071</v>
      </c>
      <c r="D31" s="158">
        <f>IFERROR('Historical FS'!D7/SUM('Historical FS'!D51:'Historical FS'!D52),0)</f>
        <v>1.2734316035919473</v>
      </c>
      <c r="E31" s="158">
        <f>IFERROR('Historical FS'!E7/SUM('Historical FS'!E51:'Historical FS'!E52),0)</f>
        <v>1.3979029377348031</v>
      </c>
      <c r="F31" s="158">
        <f>IFERROR('Historical FS'!F7/SUM('Historical FS'!F51:'Historical FS'!F52),0)</f>
        <v>1.5350954927425515</v>
      </c>
      <c r="G31" s="158">
        <f>IFERROR('Historical FS'!G7/SUM('Historical FS'!G51:'Historical FS'!G52),0)</f>
        <v>1.593181490746683</v>
      </c>
      <c r="H31" s="158">
        <f>IFERROR('Historical FS'!H7/SUM('Historical FS'!H51:'Historical FS'!H52),0)</f>
        <v>1.9478035832780358</v>
      </c>
      <c r="I31" s="158">
        <f>IFERROR('Historical FS'!I7/SUM('Historical FS'!I51:'Historical FS'!I52),0)</f>
        <v>2.0378744678875966</v>
      </c>
      <c r="J31" s="158">
        <f>IFERROR('Historical FS'!J7/SUM('Historical FS'!J51:'Historical FS'!J52),0)</f>
        <v>1.8497208225520905</v>
      </c>
      <c r="K31" s="158">
        <f>IFERROR('Historical FS'!K7/SUM('Historical FS'!K51:'Historical FS'!K52),0)</f>
        <v>1.8644722286000543</v>
      </c>
      <c r="L31" s="158">
        <f>IFERROR('Historical FS'!L7/SUM('Historical FS'!L51:'Historical FS'!L52),0)</f>
        <v>1.9879162538232886</v>
      </c>
      <c r="N31" s="158">
        <f>IFERROR(AVERAGE(C31:L31),0)</f>
        <v>1.6509723545362256</v>
      </c>
      <c r="O31" s="158">
        <f>IFERROR(MEDIAN(C31:L31),0)</f>
        <v>1.7214511566493869</v>
      </c>
    </row>
    <row r="33" spans="2:15" x14ac:dyDescent="0.3">
      <c r="B33" s="52" t="s">
        <v>180</v>
      </c>
    </row>
    <row r="34" spans="2:15" x14ac:dyDescent="0.3">
      <c r="B34" t="s">
        <v>46</v>
      </c>
      <c r="C34" s="159">
        <f t="shared" ref="C34:L34" si="2">IFERROR(365/C27,0)</f>
        <v>63.774850401293207</v>
      </c>
      <c r="D34" s="159">
        <f t="shared" si="2"/>
        <v>58.020320532204416</v>
      </c>
      <c r="E34" s="159">
        <f t="shared" si="2"/>
        <v>59.607835578416363</v>
      </c>
      <c r="F34" s="159">
        <f t="shared" si="2"/>
        <v>67.160552193645998</v>
      </c>
      <c r="G34" s="159">
        <f t="shared" si="2"/>
        <v>57.894213299792007</v>
      </c>
      <c r="H34" s="159">
        <f t="shared" si="2"/>
        <v>56.448452308761503</v>
      </c>
      <c r="I34" s="159">
        <f t="shared" si="2"/>
        <v>60.387583783432028</v>
      </c>
      <c r="J34" s="159">
        <f t="shared" si="2"/>
        <v>67.61424013743175</v>
      </c>
      <c r="K34" s="159">
        <f t="shared" si="2"/>
        <v>63.658942065491182</v>
      </c>
      <c r="L34" s="159">
        <f t="shared" si="2"/>
        <v>69.67315339523897</v>
      </c>
      <c r="N34" s="159">
        <f>IFERROR(AVERAGE(C34:L34),0)</f>
        <v>62.424014369570742</v>
      </c>
      <c r="O34" s="159">
        <f>IFERROR(MEDIAN(C34:L34),0)</f>
        <v>62.023262924461605</v>
      </c>
    </row>
    <row r="35" spans="2:15" x14ac:dyDescent="0.3">
      <c r="B35" t="s">
        <v>177</v>
      </c>
      <c r="C35" s="159">
        <f t="shared" ref="C35:L35" si="3">IFERROR(365/C28,0)</f>
        <v>73.318822495107909</v>
      </c>
      <c r="D35" s="159">
        <f t="shared" si="3"/>
        <v>63.68902328394315</v>
      </c>
      <c r="E35" s="159">
        <f t="shared" si="3"/>
        <v>76.858609333524257</v>
      </c>
      <c r="F35" s="159">
        <f t="shared" si="3"/>
        <v>78.894667170953113</v>
      </c>
      <c r="G35" s="159">
        <f t="shared" si="3"/>
        <v>77.521353819846922</v>
      </c>
      <c r="H35" s="159">
        <f t="shared" si="3"/>
        <v>89.29340383056136</v>
      </c>
      <c r="I35" s="159">
        <f t="shared" si="3"/>
        <v>97.122730526452784</v>
      </c>
      <c r="J35" s="159">
        <f t="shared" si="3"/>
        <v>88.557120068715875</v>
      </c>
      <c r="K35" s="159">
        <f t="shared" si="3"/>
        <v>89.385670305065773</v>
      </c>
      <c r="L35" s="159">
        <f t="shared" si="3"/>
        <v>103.34106250880367</v>
      </c>
      <c r="N35" s="159">
        <f>IFERROR(AVERAGE(C35:L35),0)</f>
        <v>83.798246334297488</v>
      </c>
      <c r="O35" s="159">
        <f>IFERROR(MEDIAN(C35:L35),0)</f>
        <v>83.725893619834494</v>
      </c>
    </row>
    <row r="36" spans="2:15" x14ac:dyDescent="0.3">
      <c r="B36" t="s">
        <v>178</v>
      </c>
      <c r="C36" s="159">
        <f t="shared" ref="C36:L36" si="4">IFERROR(365/C29,0)</f>
        <v>42.006416437423788</v>
      </c>
      <c r="D36" s="159">
        <f t="shared" si="4"/>
        <v>33.089904445116417</v>
      </c>
      <c r="E36" s="159">
        <f t="shared" si="4"/>
        <v>31.597178134396586</v>
      </c>
      <c r="F36" s="159">
        <f t="shared" si="4"/>
        <v>32.257300043793293</v>
      </c>
      <c r="G36" s="159">
        <f t="shared" si="4"/>
        <v>31.198061508866253</v>
      </c>
      <c r="H36" s="159">
        <f t="shared" si="4"/>
        <v>27.018435683770875</v>
      </c>
      <c r="I36" s="159">
        <f t="shared" si="4"/>
        <v>27.959090258345807</v>
      </c>
      <c r="J36" s="159">
        <f t="shared" si="4"/>
        <v>31.69397631756549</v>
      </c>
      <c r="K36" s="159">
        <f t="shared" si="4"/>
        <v>31.949115029387066</v>
      </c>
      <c r="L36" s="159">
        <f t="shared" si="4"/>
        <v>36.825803166072532</v>
      </c>
      <c r="N36" s="159">
        <f>IFERROR(AVERAGE(C36:L36),0)</f>
        <v>32.559528102473813</v>
      </c>
      <c r="O36" s="159">
        <f>IFERROR(MEDIAN(C36:L36),0)</f>
        <v>31.82154567347628</v>
      </c>
    </row>
    <row r="37" spans="2:15" x14ac:dyDescent="0.3">
      <c r="B37" t="s">
        <v>179</v>
      </c>
      <c r="C37" s="159">
        <f t="shared" ref="C37:L37" si="5">SUM(C34,C36)-C35</f>
        <v>32.462444343609079</v>
      </c>
      <c r="D37" s="159">
        <f t="shared" si="5"/>
        <v>27.421201693377675</v>
      </c>
      <c r="E37" s="159">
        <f t="shared" si="5"/>
        <v>14.3464043792887</v>
      </c>
      <c r="F37" s="159">
        <f t="shared" si="5"/>
        <v>20.523185066486178</v>
      </c>
      <c r="G37" s="159">
        <f t="shared" si="5"/>
        <v>11.570920988811338</v>
      </c>
      <c r="H37" s="159">
        <f t="shared" si="5"/>
        <v>-5.8265158380289819</v>
      </c>
      <c r="I37" s="159">
        <f t="shared" si="5"/>
        <v>-8.7760564846749531</v>
      </c>
      <c r="J37" s="159">
        <f t="shared" si="5"/>
        <v>10.751096386281361</v>
      </c>
      <c r="K37" s="159">
        <f t="shared" si="5"/>
        <v>6.2223867898124752</v>
      </c>
      <c r="L37" s="159">
        <f t="shared" si="5"/>
        <v>3.1578940525078281</v>
      </c>
      <c r="N37" s="159">
        <f>IFERROR(AVERAGE(C37:L37),0)</f>
        <v>11.18529613774707</v>
      </c>
      <c r="O37" s="159">
        <f>IFERROR(MEDIAN(C37:L37),0)</f>
        <v>11.161008687546349</v>
      </c>
    </row>
    <row r="39" spans="2:15" x14ac:dyDescent="0.3">
      <c r="B39" t="s">
        <v>8613</v>
      </c>
      <c r="C39" s="46">
        <f>IFERROR('Historical FS'!C80/'Historical FS'!C7,0)</f>
        <v>0.13852414849266895</v>
      </c>
      <c r="D39" s="46">
        <f>IFERROR('Historical FS'!D80/'Historical FS'!D7,0)</f>
        <v>0.14542485636528577</v>
      </c>
      <c r="E39" s="46">
        <f>IFERROR('Historical FS'!E80/'Historical FS'!E7,0)</f>
        <v>0.1418202244715886</v>
      </c>
      <c r="F39" s="46">
        <f>IFERROR('Historical FS'!F80/'Historical FS'!F7,0)</f>
        <v>0.12709013456485388</v>
      </c>
      <c r="G39" s="46">
        <f>IFERROR('Historical FS'!G80/'Historical FS'!G7,0)</f>
        <v>0.17382297087330753</v>
      </c>
      <c r="H39" s="46">
        <f>IFERROR('Historical FS'!H80/'Historical FS'!H7,0)</f>
        <v>0.11880736132781893</v>
      </c>
      <c r="I39" s="46">
        <f>IFERROR('Historical FS'!I80/'Historical FS'!I7,0)</f>
        <v>9.8340599986985092E-2</v>
      </c>
      <c r="J39" s="46">
        <f>IFERROR('Historical FS'!J80/'Historical FS'!J7,0)</f>
        <v>0.13886741517884532</v>
      </c>
      <c r="K39" s="46">
        <f>IFERROR('Historical FS'!K80/'Historical FS'!K7,0)</f>
        <v>0.19088161209068011</v>
      </c>
      <c r="L39" s="46">
        <f>IFERROR('Historical FS'!L80/'Historical FS'!L7,0)</f>
        <v>0.15593611511414981</v>
      </c>
      <c r="N39" s="46">
        <f>IFERROR(AVERAGE(C39:L39),0)</f>
        <v>0.1429515438466184</v>
      </c>
      <c r="O39" s="46">
        <f>IFERROR(MEDIAN(C39:L39),0)</f>
        <v>0.14034381982521696</v>
      </c>
    </row>
    <row r="40" spans="2:15" x14ac:dyDescent="0.3">
      <c r="B40" t="s">
        <v>8614</v>
      </c>
      <c r="C40" s="46">
        <f>IFERROR('Historical FS'!C80/'Historical FS'!C68,0)</f>
        <v>0.11748929619473709</v>
      </c>
      <c r="D40" s="46">
        <f>IFERROR('Historical FS'!D80/'Historical FS'!D68,0)</f>
        <v>0.15152049805290552</v>
      </c>
      <c r="E40" s="46">
        <f>IFERROR('Historical FS'!E80/'Historical FS'!E68,0)</f>
        <v>0.15316537006637643</v>
      </c>
      <c r="F40" s="46">
        <f>IFERROR('Historical FS'!F80/'Historical FS'!F68,0)</f>
        <v>0.13909586056644879</v>
      </c>
      <c r="G40" s="46">
        <f>IFERROR('Historical FS'!G80/'Historical FS'!G68,0)</f>
        <v>0.19666824790021487</v>
      </c>
      <c r="H40" s="46">
        <f>IFERROR('Historical FS'!H80/'Historical FS'!H68,0)</f>
        <v>0.14938018829939431</v>
      </c>
      <c r="I40" s="46">
        <f>IFERROR('Historical FS'!I80/'Historical FS'!I68,0)</f>
        <v>0.12128800282513082</v>
      </c>
      <c r="J40" s="46">
        <f>IFERROR('Historical FS'!J80/'Historical FS'!J68,0)</f>
        <v>0.16640199970592559</v>
      </c>
      <c r="K40" s="46">
        <f>IFERROR('Historical FS'!K80/'Historical FS'!K68,0)</f>
        <v>0.2307317568253324</v>
      </c>
      <c r="L40" s="46">
        <f>IFERROR('Historical FS'!L80/'Historical FS'!L68,0)</f>
        <v>0.18655371772270041</v>
      </c>
      <c r="N40" s="46">
        <f>IFERROR(AVERAGE(C40:L40),0)</f>
        <v>0.16122949381591661</v>
      </c>
      <c r="O40" s="46">
        <f>IFERROR(MEDIAN(C40:L40),0)</f>
        <v>0.15234293405964097</v>
      </c>
    </row>
    <row r="41" spans="2:15" x14ac:dyDescent="0.3">
      <c r="B41" t="s">
        <v>8615</v>
      </c>
      <c r="C41" s="46">
        <f>IFERROR('Historical FS'!C80/'Historical FS'!C53,0)</f>
        <v>0</v>
      </c>
      <c r="D41" s="46">
        <f>IFERROR('Historical FS'!D80/'Historical FS'!D53,0)</f>
        <v>0</v>
      </c>
      <c r="E41" s="46">
        <f>IFERROR('Historical FS'!E80/'Historical FS'!E53,0)</f>
        <v>0</v>
      </c>
      <c r="F41" s="46">
        <f>IFERROR('Historical FS'!F80/'Historical FS'!F53,0)</f>
        <v>2.7560975609756095</v>
      </c>
      <c r="G41" s="46">
        <f>IFERROR('Historical FS'!G80/'Historical FS'!G53,0)</f>
        <v>3.9707042253521125</v>
      </c>
      <c r="H41" s="46">
        <f>IFERROR('Historical FS'!H80/'Historical FS'!H53,0)</f>
        <v>3.1854219948849103</v>
      </c>
      <c r="I41" s="46">
        <f>IFERROR('Historical FS'!I80/'Historical FS'!I53,0)</f>
        <v>1.8209422822026751</v>
      </c>
      <c r="J41" s="46">
        <f>IFERROR('Historical FS'!J80/'Historical FS'!J53,0)</f>
        <v>2.7077401603062565</v>
      </c>
      <c r="K41" s="46">
        <f>IFERROR('Historical FS'!K80/'Historical FS'!K53,0)</f>
        <v>4.1450103318342046</v>
      </c>
      <c r="L41" s="46">
        <f>IFERROR('Historical FS'!L80/'Historical FS'!L53,0)</f>
        <v>3.1367698343504795</v>
      </c>
      <c r="N41" s="46">
        <f>IFERROR(AVERAGE(C41:L41),0)</f>
        <v>2.1722686389906252</v>
      </c>
      <c r="O41" s="46">
        <f>IFERROR(MEDIAN(C41:L41),0)</f>
        <v>2.731918860640933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64" t="str">
        <f>'Data Sheet'!$B$1&amp;" -"&amp;'Data Sheet'!A17&amp;" Forecasting"</f>
        <v>Infosys Ltd -Sales Forecasting</v>
      </c>
      <c r="C2" s="164"/>
      <c r="D2" s="164"/>
      <c r="E2" s="164"/>
      <c r="G2" s="164" t="str">
        <f>'Data Sheet'!$B$1&amp;" -"&amp;'Historical FS'!B19&amp;" Forecasting"</f>
        <v>Infosys Ltd -EBITDA Forecasting</v>
      </c>
      <c r="H2" s="164"/>
      <c r="I2" s="164"/>
      <c r="J2" s="164"/>
      <c r="L2" s="164" t="str">
        <f>'Data Sheet'!$B$1&amp;" -"&amp;'Historical FS'!B37&amp;" Forecasting"</f>
        <v>Infosys Ltd -Net Profit Forecasting</v>
      </c>
      <c r="M2" s="164"/>
      <c r="N2" s="164"/>
      <c r="O2" s="164"/>
    </row>
    <row r="3" spans="2:15" x14ac:dyDescent="0.3">
      <c r="B3" s="32" t="s">
        <v>187</v>
      </c>
      <c r="C3" s="32" t="s">
        <v>188</v>
      </c>
      <c r="D3" s="32" t="s">
        <v>6</v>
      </c>
      <c r="E3" s="32" t="s">
        <v>22</v>
      </c>
      <c r="G3" s="32" t="s">
        <v>187</v>
      </c>
      <c r="H3" s="32" t="s">
        <v>188</v>
      </c>
      <c r="I3" s="32" t="s">
        <v>94</v>
      </c>
      <c r="J3" s="32" t="s">
        <v>166</v>
      </c>
      <c r="L3" s="32" t="s">
        <v>187</v>
      </c>
      <c r="M3" s="32" t="s">
        <v>188</v>
      </c>
      <c r="N3" s="32" t="s">
        <v>123</v>
      </c>
      <c r="O3" s="32" t="s">
        <v>189</v>
      </c>
    </row>
    <row r="5" spans="2:15" x14ac:dyDescent="0.3">
      <c r="B5">
        <v>1</v>
      </c>
      <c r="C5" s="54">
        <f t="array" ref="C5:C13">TRANSPOSE('Data Sheet'!B16:J16)</f>
        <v>43160</v>
      </c>
      <c r="D5" s="106">
        <f t="array" ref="D5:D14">TRANSPOSE('Data Sheet'!B17:K17)</f>
        <v>70522</v>
      </c>
      <c r="E5" s="56" t="s">
        <v>120</v>
      </c>
      <c r="G5">
        <v>1</v>
      </c>
      <c r="H5" s="54">
        <f t="array" ref="H5:H13">TRANSPOSE('Data Sheet'!B16:J16)</f>
        <v>43160</v>
      </c>
      <c r="I5" s="106" cm="1">
        <f t="array" ref="I5:I14">TRANSPOSE('Historical FS'!C19:L19)</f>
        <v>70522</v>
      </c>
      <c r="J5" s="45" t="s">
        <v>120</v>
      </c>
      <c r="L5">
        <v>1</v>
      </c>
      <c r="M5" s="54">
        <f t="array" ref="M5:M13">TRANSPOSE('Data Sheet'!B16:J16)</f>
        <v>43160</v>
      </c>
      <c r="N5" s="106">
        <f t="array" ref="N5:N14">TRANSPOSE('Historical FS'!C37:L37)</f>
        <v>48389</v>
      </c>
      <c r="O5" s="56" t="s">
        <v>120</v>
      </c>
    </row>
    <row r="6" spans="2:15" x14ac:dyDescent="0.3">
      <c r="B6">
        <f>B5+1</f>
        <v>2</v>
      </c>
      <c r="C6" s="54">
        <v>43525</v>
      </c>
      <c r="D6" s="106">
        <v>82675</v>
      </c>
      <c r="E6" s="36">
        <f>D6/D5-1</f>
        <v>0.17232920223476356</v>
      </c>
      <c r="G6">
        <f>G5+1</f>
        <v>2</v>
      </c>
      <c r="H6" s="54">
        <v>43525</v>
      </c>
      <c r="I6" s="106">
        <v>82675</v>
      </c>
      <c r="J6" s="36">
        <f>I6/I5-1</f>
        <v>0.17232920223476356</v>
      </c>
      <c r="L6">
        <f>L5+1</f>
        <v>2</v>
      </c>
      <c r="M6" s="54">
        <v>43525</v>
      </c>
      <c r="N6" s="106">
        <v>59623</v>
      </c>
      <c r="O6" s="36">
        <f>N6/N5-1</f>
        <v>0.23216020169873319</v>
      </c>
    </row>
    <row r="7" spans="2:15" x14ac:dyDescent="0.3">
      <c r="B7">
        <f t="shared" ref="B7:B19" si="0">B6+1</f>
        <v>3</v>
      </c>
      <c r="C7" s="54">
        <v>43891</v>
      </c>
      <c r="D7" s="106">
        <v>90791</v>
      </c>
      <c r="E7" s="36">
        <f t="shared" ref="E7:E19" si="1">D7/D6-1</f>
        <v>9.8167523435137571E-2</v>
      </c>
      <c r="G7">
        <f t="shared" ref="G7:G19" si="2">G6+1</f>
        <v>3</v>
      </c>
      <c r="H7" s="54">
        <v>43891</v>
      </c>
      <c r="I7" s="106">
        <v>90791</v>
      </c>
      <c r="J7" s="36">
        <f t="shared" ref="J7:J19" si="3">I7/I6-1</f>
        <v>9.8167523435137571E-2</v>
      </c>
      <c r="L7">
        <f t="shared" ref="L7:L19" si="4">L6+1</f>
        <v>3</v>
      </c>
      <c r="M7" s="54">
        <v>43891</v>
      </c>
      <c r="N7" s="106">
        <v>65721</v>
      </c>
      <c r="O7" s="36">
        <f t="shared" ref="O7:O19" si="5">N7/N6-1</f>
        <v>0.10227596732804445</v>
      </c>
    </row>
    <row r="8" spans="2:15" x14ac:dyDescent="0.3">
      <c r="B8">
        <f t="shared" si="0"/>
        <v>4</v>
      </c>
      <c r="C8" s="54">
        <v>44256</v>
      </c>
      <c r="D8" s="106">
        <v>100472</v>
      </c>
      <c r="E8" s="36">
        <f t="shared" si="1"/>
        <v>0.10662951173574475</v>
      </c>
      <c r="G8">
        <f t="shared" si="2"/>
        <v>4</v>
      </c>
      <c r="H8" s="54">
        <v>44256</v>
      </c>
      <c r="I8" s="106">
        <v>100472</v>
      </c>
      <c r="J8" s="36">
        <f t="shared" si="3"/>
        <v>0.10662951173574475</v>
      </c>
      <c r="L8">
        <f t="shared" si="4"/>
        <v>4</v>
      </c>
      <c r="M8" s="54">
        <v>44256</v>
      </c>
      <c r="N8" s="106">
        <v>70382</v>
      </c>
      <c r="O8" s="36">
        <f t="shared" si="5"/>
        <v>7.0921014591987408E-2</v>
      </c>
    </row>
    <row r="9" spans="2:15" x14ac:dyDescent="0.3">
      <c r="B9">
        <f t="shared" si="0"/>
        <v>5</v>
      </c>
      <c r="C9" s="54">
        <v>44621</v>
      </c>
      <c r="D9" s="106">
        <v>121641</v>
      </c>
      <c r="E9" s="36">
        <f t="shared" si="1"/>
        <v>0.21069551715900947</v>
      </c>
      <c r="G9">
        <f t="shared" si="2"/>
        <v>5</v>
      </c>
      <c r="H9" s="54">
        <v>44621</v>
      </c>
      <c r="I9" s="106">
        <v>121641</v>
      </c>
      <c r="J9" s="36">
        <f t="shared" si="3"/>
        <v>0.21069551715900947</v>
      </c>
      <c r="L9">
        <f t="shared" si="4"/>
        <v>5</v>
      </c>
      <c r="M9" s="54">
        <v>44621</v>
      </c>
      <c r="N9" s="106">
        <v>87855</v>
      </c>
      <c r="O9" s="36">
        <f t="shared" si="5"/>
        <v>0.2482594981671451</v>
      </c>
    </row>
    <row r="10" spans="2:15" x14ac:dyDescent="0.3">
      <c r="B10">
        <f t="shared" si="0"/>
        <v>6</v>
      </c>
      <c r="C10" s="54">
        <v>44986</v>
      </c>
      <c r="D10" s="106">
        <v>146767</v>
      </c>
      <c r="E10" s="36">
        <f t="shared" si="1"/>
        <v>0.20655864387829759</v>
      </c>
      <c r="G10">
        <f t="shared" si="2"/>
        <v>6</v>
      </c>
      <c r="H10" s="54">
        <v>44986</v>
      </c>
      <c r="I10" s="106">
        <v>146767</v>
      </c>
      <c r="J10" s="36">
        <f t="shared" si="3"/>
        <v>0.20655864387829759</v>
      </c>
      <c r="L10">
        <f t="shared" si="4"/>
        <v>6</v>
      </c>
      <c r="M10" s="54">
        <v>44986</v>
      </c>
      <c r="N10" s="106">
        <v>108936</v>
      </c>
      <c r="O10" s="36">
        <f t="shared" si="5"/>
        <v>0.23995219395595013</v>
      </c>
    </row>
    <row r="11" spans="2:15" x14ac:dyDescent="0.3">
      <c r="B11">
        <f t="shared" si="0"/>
        <v>7</v>
      </c>
      <c r="C11" s="54">
        <v>45352</v>
      </c>
      <c r="D11" s="106">
        <v>153670</v>
      </c>
      <c r="E11" s="36">
        <f t="shared" si="1"/>
        <v>4.7033733741236095E-2</v>
      </c>
      <c r="G11">
        <f t="shared" si="2"/>
        <v>7</v>
      </c>
      <c r="H11" s="54">
        <v>45352</v>
      </c>
      <c r="I11" s="106">
        <v>153670</v>
      </c>
      <c r="J11" s="36">
        <f t="shared" si="3"/>
        <v>4.7033733741236095E-2</v>
      </c>
      <c r="L11">
        <f t="shared" si="4"/>
        <v>7</v>
      </c>
      <c r="M11" s="54">
        <v>45352</v>
      </c>
      <c r="N11" s="106">
        <v>112534</v>
      </c>
      <c r="O11" s="36">
        <f t="shared" si="5"/>
        <v>3.3028567232136208E-2</v>
      </c>
    </row>
    <row r="12" spans="2:15" x14ac:dyDescent="0.3">
      <c r="B12">
        <f t="shared" si="0"/>
        <v>8</v>
      </c>
      <c r="C12" s="54">
        <v>45717</v>
      </c>
      <c r="D12" s="106">
        <v>162990</v>
      </c>
      <c r="E12" s="36">
        <f t="shared" si="1"/>
        <v>6.0649443612936782E-2</v>
      </c>
      <c r="G12">
        <f t="shared" si="2"/>
        <v>8</v>
      </c>
      <c r="H12" s="54">
        <v>45717</v>
      </c>
      <c r="I12" s="106">
        <v>162990</v>
      </c>
      <c r="J12" s="36">
        <f t="shared" si="3"/>
        <v>6.0649443612936782E-2</v>
      </c>
      <c r="L12">
        <f t="shared" si="4"/>
        <v>8</v>
      </c>
      <c r="M12" s="54">
        <v>45717</v>
      </c>
      <c r="N12" s="106">
        <v>120154</v>
      </c>
      <c r="O12" s="36">
        <f t="shared" si="5"/>
        <v>6.7712868999591169E-2</v>
      </c>
    </row>
    <row r="13" spans="2:15" x14ac:dyDescent="0.3">
      <c r="B13">
        <f t="shared" si="0"/>
        <v>9</v>
      </c>
      <c r="C13" s="54">
        <v>46082</v>
      </c>
      <c r="D13" s="106">
        <v>178650</v>
      </c>
      <c r="E13" s="36">
        <f t="shared" si="1"/>
        <v>9.6079514080618544E-2</v>
      </c>
      <c r="G13">
        <f t="shared" si="2"/>
        <v>9</v>
      </c>
      <c r="H13" s="54">
        <v>46082</v>
      </c>
      <c r="I13" s="106">
        <v>178650</v>
      </c>
      <c r="J13" s="36">
        <f t="shared" si="3"/>
        <v>9.6079514080618544E-2</v>
      </c>
      <c r="L13">
        <f t="shared" si="4"/>
        <v>9</v>
      </c>
      <c r="M13" s="54">
        <v>46082</v>
      </c>
      <c r="N13" s="106">
        <v>133337</v>
      </c>
      <c r="O13" s="36">
        <f t="shared" si="5"/>
        <v>0.10971752917089739</v>
      </c>
    </row>
    <row r="14" spans="2:15" x14ac:dyDescent="0.3">
      <c r="B14">
        <f t="shared" si="0"/>
        <v>10</v>
      </c>
      <c r="C14" s="54">
        <f>C13+365</f>
        <v>46447</v>
      </c>
      <c r="D14" s="106">
        <v>184582</v>
      </c>
      <c r="E14" s="36">
        <f t="shared" si="1"/>
        <v>3.3204589980408539E-2</v>
      </c>
      <c r="G14">
        <f t="shared" si="2"/>
        <v>10</v>
      </c>
      <c r="H14" s="54">
        <f>H13+365</f>
        <v>46447</v>
      </c>
      <c r="I14" s="106">
        <v>184582</v>
      </c>
      <c r="J14" s="36">
        <f t="shared" si="3"/>
        <v>3.3204589980408539E-2</v>
      </c>
      <c r="L14">
        <f t="shared" si="4"/>
        <v>10</v>
      </c>
      <c r="M14" s="54">
        <f>M13+365</f>
        <v>46447</v>
      </c>
      <c r="N14" s="106">
        <v>137862</v>
      </c>
      <c r="O14" s="36">
        <f t="shared" si="5"/>
        <v>3.3936566744414476E-2</v>
      </c>
    </row>
    <row r="15" spans="2:15" x14ac:dyDescent="0.3">
      <c r="B15">
        <f t="shared" si="0"/>
        <v>11</v>
      </c>
      <c r="C15" s="55">
        <f>C14+365</f>
        <v>46812</v>
      </c>
      <c r="D15" s="106">
        <f>FORECAST(B15,$D$5:$D$14,$B$5:$B$14)</f>
        <v>204078.66666666666</v>
      </c>
      <c r="E15" s="36">
        <f t="shared" si="1"/>
        <v>0.10562604515427654</v>
      </c>
      <c r="G15">
        <f t="shared" si="2"/>
        <v>11</v>
      </c>
      <c r="H15" s="55">
        <f>H14+365</f>
        <v>46812</v>
      </c>
      <c r="I15" s="106">
        <f>FORECAST(G15,$I$5:$I$14,$G$5:$G$14)</f>
        <v>204078.66666666666</v>
      </c>
      <c r="J15" s="36">
        <f t="shared" si="3"/>
        <v>0.10562604515427654</v>
      </c>
      <c r="L15">
        <f t="shared" si="4"/>
        <v>11</v>
      </c>
      <c r="M15" s="55">
        <f>M14+365</f>
        <v>46812</v>
      </c>
      <c r="N15" s="106">
        <f>FORECAST(L15,$N$5:$N$14,$L$5:$L$14)</f>
        <v>152511.20000000001</v>
      </c>
      <c r="O15" s="36">
        <f t="shared" si="5"/>
        <v>0.10625988307147738</v>
      </c>
    </row>
    <row r="16" spans="2:15" x14ac:dyDescent="0.3">
      <c r="B16">
        <f t="shared" si="0"/>
        <v>12</v>
      </c>
      <c r="C16" s="55">
        <f>C15+365</f>
        <v>47177</v>
      </c>
      <c r="D16" s="106">
        <f t="shared" ref="D16:D19" si="6">FORECAST(B16,$D$5:$D$14,$B$5:$B$14)</f>
        <v>217679.15151515152</v>
      </c>
      <c r="E16" s="36">
        <f t="shared" si="1"/>
        <v>6.6643344307513175E-2</v>
      </c>
      <c r="G16">
        <f t="shared" si="2"/>
        <v>12</v>
      </c>
      <c r="H16" s="55">
        <f>H15+365</f>
        <v>47177</v>
      </c>
      <c r="I16" s="106">
        <f t="shared" ref="I16:I19" si="7">FORECAST(G16,$I$5:$I$14,$G$5:$G$14)</f>
        <v>217679.15151515152</v>
      </c>
      <c r="J16" s="36">
        <f t="shared" si="3"/>
        <v>6.6643344307513175E-2</v>
      </c>
      <c r="L16">
        <f t="shared" si="4"/>
        <v>12</v>
      </c>
      <c r="M16" s="55">
        <f>M15+365</f>
        <v>47177</v>
      </c>
      <c r="N16" s="106">
        <f t="shared" ref="N16:N19" si="8">FORECAST(L16,$N$5:$N$14,$L$5:$L$14)</f>
        <v>163062.45454545453</v>
      </c>
      <c r="O16" s="36">
        <f t="shared" si="5"/>
        <v>6.9183473380673099E-2</v>
      </c>
    </row>
    <row r="17" spans="2:15" x14ac:dyDescent="0.3">
      <c r="B17">
        <f t="shared" si="0"/>
        <v>13</v>
      </c>
      <c r="C17" s="55">
        <f>C16+365</f>
        <v>47542</v>
      </c>
      <c r="D17" s="106">
        <f>FORECAST(B17,$D$5:$D$14,$B$5:$B$14)</f>
        <v>231279.63636363638</v>
      </c>
      <c r="E17" s="36">
        <f t="shared" si="1"/>
        <v>6.2479501384578917E-2</v>
      </c>
      <c r="G17">
        <f t="shared" si="2"/>
        <v>13</v>
      </c>
      <c r="H17" s="55">
        <f>H16+365</f>
        <v>47542</v>
      </c>
      <c r="I17" s="106">
        <f t="shared" si="7"/>
        <v>231279.63636363638</v>
      </c>
      <c r="J17" s="36">
        <f t="shared" si="3"/>
        <v>6.2479501384578917E-2</v>
      </c>
      <c r="L17">
        <f t="shared" si="4"/>
        <v>13</v>
      </c>
      <c r="M17" s="55">
        <f>M16+365</f>
        <v>47542</v>
      </c>
      <c r="N17" s="106">
        <f t="shared" si="8"/>
        <v>173613.70909090908</v>
      </c>
      <c r="O17" s="36">
        <f t="shared" si="5"/>
        <v>6.47068301214202E-2</v>
      </c>
    </row>
    <row r="18" spans="2:15" x14ac:dyDescent="0.3">
      <c r="B18">
        <f t="shared" si="0"/>
        <v>14</v>
      </c>
      <c r="C18" s="55">
        <f>C17+365</f>
        <v>47907</v>
      </c>
      <c r="D18" s="106">
        <f t="shared" si="6"/>
        <v>244880.12121212122</v>
      </c>
      <c r="E18" s="36">
        <f t="shared" si="1"/>
        <v>5.8805371118368033E-2</v>
      </c>
      <c r="G18">
        <f t="shared" si="2"/>
        <v>14</v>
      </c>
      <c r="H18" s="55">
        <f>H17+365</f>
        <v>47907</v>
      </c>
      <c r="I18" s="106">
        <f t="shared" si="7"/>
        <v>244880.12121212122</v>
      </c>
      <c r="J18" s="36">
        <f t="shared" si="3"/>
        <v>5.8805371118368033E-2</v>
      </c>
      <c r="L18">
        <f t="shared" si="4"/>
        <v>14</v>
      </c>
      <c r="M18" s="55">
        <f>M17+365</f>
        <v>47907</v>
      </c>
      <c r="N18" s="106">
        <f t="shared" si="8"/>
        <v>184164.96363636362</v>
      </c>
      <c r="O18" s="36">
        <f t="shared" si="5"/>
        <v>6.0774316732842948E-2</v>
      </c>
    </row>
    <row r="19" spans="2:15" x14ac:dyDescent="0.3">
      <c r="B19">
        <f t="shared" si="0"/>
        <v>15</v>
      </c>
      <c r="C19" s="55">
        <f>C18+365</f>
        <v>48272</v>
      </c>
      <c r="D19" s="106">
        <f t="shared" si="6"/>
        <v>258480.60606060605</v>
      </c>
      <c r="E19" s="36">
        <f t="shared" si="1"/>
        <v>5.5539358528427618E-2</v>
      </c>
      <c r="G19">
        <f t="shared" si="2"/>
        <v>15</v>
      </c>
      <c r="H19" s="55">
        <f>H18+365</f>
        <v>48272</v>
      </c>
      <c r="I19" s="106">
        <f t="shared" si="7"/>
        <v>258480.60606060605</v>
      </c>
      <c r="J19" s="36">
        <f t="shared" si="3"/>
        <v>5.5539358528427618E-2</v>
      </c>
      <c r="L19">
        <f t="shared" si="4"/>
        <v>15</v>
      </c>
      <c r="M19" s="55">
        <f>M18+365</f>
        <v>48272</v>
      </c>
      <c r="N19" s="106">
        <f t="shared" si="8"/>
        <v>194716.21818181817</v>
      </c>
      <c r="O19" s="36">
        <f t="shared" si="5"/>
        <v>5.7292409680530509E-2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181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182</v>
      </c>
      <c r="C8" s="53" t="s">
        <v>183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184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185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186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190</v>
      </c>
    </row>
    <row r="7" spans="1:15" x14ac:dyDescent="0.3">
      <c r="B7" s="32" t="str">
        <f>'Data Sheet'!B1&amp;" Daily Returns"</f>
        <v>Infosys Ltd Daily Returns</v>
      </c>
      <c r="C7" s="32"/>
      <c r="D7" s="32"/>
      <c r="F7" s="161" t="s">
        <v>193</v>
      </c>
      <c r="G7" s="161"/>
      <c r="H7" s="161"/>
      <c r="J7" s="161" t="s">
        <v>196</v>
      </c>
      <c r="K7" s="161"/>
      <c r="L7" s="161"/>
    </row>
    <row r="9" spans="1:15" x14ac:dyDescent="0.3">
      <c r="B9" s="58" t="s">
        <v>182</v>
      </c>
      <c r="C9" s="58" t="s">
        <v>191</v>
      </c>
      <c r="D9" s="58" t="s">
        <v>192</v>
      </c>
      <c r="F9" s="58" t="s">
        <v>182</v>
      </c>
      <c r="G9" s="58" t="s">
        <v>191</v>
      </c>
      <c r="H9" s="58" t="s">
        <v>192</v>
      </c>
      <c r="J9" t="s">
        <v>197</v>
      </c>
      <c r="L9">
        <f>O11</f>
        <v>0.32230456601217478</v>
      </c>
    </row>
    <row r="10" spans="1:15" x14ac:dyDescent="0.3">
      <c r="B10" s="34">
        <f>'Raw Data'!G6</f>
        <v>46233</v>
      </c>
      <c r="C10">
        <v>285.05</v>
      </c>
      <c r="D10" s="45" t="s">
        <v>120</v>
      </c>
      <c r="F10" s="34">
        <f>'Raw Data'!G6</f>
        <v>46233</v>
      </c>
      <c r="G10">
        <f>'Raw Data'!J6</f>
        <v>24474.3</v>
      </c>
      <c r="H10" s="45" t="s">
        <v>120</v>
      </c>
      <c r="J10" t="s">
        <v>198</v>
      </c>
      <c r="L10" s="46">
        <v>0.75</v>
      </c>
    </row>
    <row r="11" spans="1:15" x14ac:dyDescent="0.3">
      <c r="B11" s="34">
        <f>'Raw Data'!G7</f>
        <v>46232</v>
      </c>
      <c r="C11">
        <v>286.25</v>
      </c>
      <c r="D11" s="36">
        <f>C10/C11-1</f>
        <v>-4.1921397379912628E-3</v>
      </c>
      <c r="F11" s="34">
        <f>'Raw Data'!G7</f>
        <v>46232</v>
      </c>
      <c r="G11">
        <f>'Raw Data'!J7</f>
        <v>24566.799999999999</v>
      </c>
      <c r="H11" s="36">
        <f>G10/G11-1</f>
        <v>-3.7652441506422774E-3</v>
      </c>
      <c r="N11" t="s">
        <v>194</v>
      </c>
      <c r="O11">
        <f>SLOPE(D10:D252,H10:H252)</f>
        <v>0.32230456601217478</v>
      </c>
    </row>
    <row r="12" spans="1:15" x14ac:dyDescent="0.3">
      <c r="B12" s="34">
        <f>'Raw Data'!G8</f>
        <v>46231</v>
      </c>
      <c r="C12">
        <v>284.64999999999998</v>
      </c>
      <c r="D12" s="36">
        <f t="shared" ref="D12:D75" si="0">C11/C12-1</f>
        <v>5.6209379940277415E-3</v>
      </c>
      <c r="F12" s="34">
        <f>'Raw Data'!G8</f>
        <v>46231</v>
      </c>
      <c r="G12">
        <f>'Raw Data'!J8</f>
        <v>24236.799999999999</v>
      </c>
      <c r="H12" s="36">
        <f t="shared" ref="H12:H75" si="1">G11/G12-1</f>
        <v>1.361565883284932E-2</v>
      </c>
      <c r="J12" t="s">
        <v>199</v>
      </c>
      <c r="L12" s="47">
        <v>1</v>
      </c>
      <c r="N12" t="s">
        <v>195</v>
      </c>
      <c r="O12">
        <f>_xlfn.COVARIANCE.S(D10:D252,H10:H252)/_xlfn.VAR.S(H10:H252)</f>
        <v>0.32230456601217461</v>
      </c>
    </row>
    <row r="13" spans="1:15" x14ac:dyDescent="0.3">
      <c r="B13" s="34">
        <f>'Raw Data'!G9</f>
        <v>46230</v>
      </c>
      <c r="C13">
        <v>285.85000000000002</v>
      </c>
      <c r="D13" s="36">
        <f t="shared" si="0"/>
        <v>-4.1980059471752318E-3</v>
      </c>
      <c r="F13" s="34">
        <f>'Raw Data'!G9</f>
        <v>46230</v>
      </c>
      <c r="G13">
        <f>'Raw Data'!J9</f>
        <v>24101.8</v>
      </c>
      <c r="H13" s="36">
        <f t="shared" si="1"/>
        <v>5.601241401057111E-3</v>
      </c>
      <c r="J13" t="s">
        <v>200</v>
      </c>
      <c r="L13" s="46">
        <v>0.25</v>
      </c>
    </row>
    <row r="14" spans="1:15" x14ac:dyDescent="0.3">
      <c r="B14" s="34">
        <f>'Raw Data'!G10</f>
        <v>46227</v>
      </c>
      <c r="C14">
        <v>283.45</v>
      </c>
      <c r="D14" s="36">
        <f t="shared" si="0"/>
        <v>8.4671017816193572E-3</v>
      </c>
      <c r="F14" s="34">
        <f>'Raw Data'!G10</f>
        <v>46227</v>
      </c>
      <c r="G14">
        <f>'Raw Data'!J10</f>
        <v>23874.6</v>
      </c>
      <c r="H14" s="36">
        <f t="shared" si="1"/>
        <v>9.5163898033894245E-3</v>
      </c>
    </row>
    <row r="15" spans="1:15" x14ac:dyDescent="0.3">
      <c r="B15" s="34">
        <f>'Raw Data'!G11</f>
        <v>46226</v>
      </c>
      <c r="C15">
        <v>281.3</v>
      </c>
      <c r="D15" s="36">
        <f t="shared" si="0"/>
        <v>7.6430856736580122E-3</v>
      </c>
      <c r="F15" s="34">
        <f>'Raw Data'!G11</f>
        <v>46226</v>
      </c>
      <c r="G15">
        <f>'Raw Data'!J11</f>
        <v>24082.5</v>
      </c>
      <c r="H15" s="36">
        <f t="shared" si="1"/>
        <v>-8.6328246652134233E-3</v>
      </c>
      <c r="J15" s="79" t="s">
        <v>201</v>
      </c>
      <c r="K15" s="79"/>
      <c r="L15" s="79">
        <f>(L9*L10)+(L12*L13)</f>
        <v>0.49172842450913107</v>
      </c>
    </row>
    <row r="16" spans="1:15" x14ac:dyDescent="0.3">
      <c r="B16" s="34">
        <f>'Raw Data'!G12</f>
        <v>46225</v>
      </c>
      <c r="C16">
        <v>280.8</v>
      </c>
      <c r="D16" s="36">
        <f t="shared" si="0"/>
        <v>1.7806267806268483E-3</v>
      </c>
      <c r="F16" s="34">
        <f>'Raw Data'!G12</f>
        <v>46225</v>
      </c>
      <c r="G16">
        <f>'Raw Data'!J12</f>
        <v>23988.400000000001</v>
      </c>
      <c r="H16" s="36">
        <f t="shared" si="1"/>
        <v>3.9227293191708146E-3</v>
      </c>
    </row>
    <row r="17" spans="2:8" x14ac:dyDescent="0.3">
      <c r="B17" s="34">
        <f>'Raw Data'!G13</f>
        <v>46224</v>
      </c>
      <c r="C17">
        <v>281</v>
      </c>
      <c r="D17" s="36">
        <f t="shared" si="0"/>
        <v>-7.1174377224192398E-4</v>
      </c>
      <c r="F17" s="34">
        <f>'Raw Data'!G13</f>
        <v>46224</v>
      </c>
      <c r="G17">
        <f>'Raw Data'!J13</f>
        <v>24180.6</v>
      </c>
      <c r="H17" s="36">
        <f t="shared" si="1"/>
        <v>-7.9485207149532222E-3</v>
      </c>
    </row>
    <row r="18" spans="2:8" x14ac:dyDescent="0.3">
      <c r="B18" s="34">
        <f>'Raw Data'!G14</f>
        <v>46223</v>
      </c>
      <c r="C18">
        <v>282.7</v>
      </c>
      <c r="D18" s="36">
        <f t="shared" si="0"/>
        <v>-6.0134418111071897E-3</v>
      </c>
      <c r="F18" s="34">
        <f>'Raw Data'!G14</f>
        <v>46223</v>
      </c>
      <c r="G18">
        <f>'Raw Data'!J14</f>
        <v>24487.8</v>
      </c>
      <c r="H18" s="36">
        <f t="shared" si="1"/>
        <v>-1.2545022419327201E-2</v>
      </c>
    </row>
    <row r="19" spans="2:8" x14ac:dyDescent="0.3">
      <c r="B19" s="34">
        <f>'Raw Data'!G15</f>
        <v>46220</v>
      </c>
      <c r="C19">
        <v>280.7</v>
      </c>
      <c r="D19" s="36">
        <f t="shared" si="0"/>
        <v>7.1250445315282906E-3</v>
      </c>
      <c r="F19" s="34">
        <f>'Raw Data'!G15</f>
        <v>46220</v>
      </c>
      <c r="G19">
        <f>'Raw Data'!J15</f>
        <v>24321.7</v>
      </c>
      <c r="H19" s="36">
        <f t="shared" si="1"/>
        <v>6.8292923603201494E-3</v>
      </c>
    </row>
    <row r="20" spans="2:8" x14ac:dyDescent="0.3">
      <c r="B20" s="34">
        <f>'Raw Data'!G16</f>
        <v>46219</v>
      </c>
      <c r="C20">
        <v>279.35000000000002</v>
      </c>
      <c r="D20" s="36">
        <f t="shared" si="0"/>
        <v>4.8326472167530277E-3</v>
      </c>
      <c r="F20" s="34">
        <f>'Raw Data'!G16</f>
        <v>46219</v>
      </c>
      <c r="G20">
        <f>'Raw Data'!J16</f>
        <v>24190.6</v>
      </c>
      <c r="H20" s="36">
        <f t="shared" si="1"/>
        <v>5.4194604515804823E-3</v>
      </c>
    </row>
    <row r="21" spans="2:8" x14ac:dyDescent="0.3">
      <c r="B21" s="34">
        <f>'Raw Data'!G17</f>
        <v>46218</v>
      </c>
      <c r="C21">
        <v>276.64999999999998</v>
      </c>
      <c r="D21" s="36">
        <f t="shared" si="0"/>
        <v>9.7596240737396478E-3</v>
      </c>
      <c r="F21" s="34">
        <f>'Raw Data'!G17</f>
        <v>46218</v>
      </c>
      <c r="G21">
        <f>'Raw Data'!J17</f>
        <v>24067.8</v>
      </c>
      <c r="H21" s="36">
        <f t="shared" si="1"/>
        <v>5.1022528024995406E-3</v>
      </c>
    </row>
    <row r="22" spans="2:8" x14ac:dyDescent="0.3">
      <c r="B22" s="34">
        <f>'Raw Data'!G18</f>
        <v>46217</v>
      </c>
      <c r="C22">
        <v>275.55</v>
      </c>
      <c r="D22" s="36">
        <f t="shared" si="0"/>
        <v>3.9920159680637557E-3</v>
      </c>
      <c r="F22" s="34">
        <f>'Raw Data'!G18</f>
        <v>46217</v>
      </c>
      <c r="G22">
        <f>'Raw Data'!J18</f>
        <v>24266.400000000001</v>
      </c>
      <c r="H22" s="36">
        <f t="shared" si="1"/>
        <v>-8.1841558698447781E-3</v>
      </c>
    </row>
    <row r="23" spans="2:8" x14ac:dyDescent="0.3">
      <c r="B23" s="34">
        <f>'Raw Data'!G19</f>
        <v>46216</v>
      </c>
      <c r="C23">
        <v>279.64999999999998</v>
      </c>
      <c r="D23" s="36">
        <f t="shared" si="0"/>
        <v>-1.4661183622384999E-2</v>
      </c>
      <c r="F23" s="34">
        <f>'Raw Data'!G19</f>
        <v>46216</v>
      </c>
      <c r="G23">
        <f>'Raw Data'!J19</f>
        <v>24472.6</v>
      </c>
      <c r="H23" s="36">
        <f t="shared" si="1"/>
        <v>-8.4257496138537835E-3</v>
      </c>
    </row>
    <row r="24" spans="2:8" x14ac:dyDescent="0.3">
      <c r="B24" s="34">
        <f>'Raw Data'!G20</f>
        <v>46213</v>
      </c>
      <c r="C24">
        <v>281.75</v>
      </c>
      <c r="D24" s="36">
        <f t="shared" si="0"/>
        <v>-7.4534161490683593E-3</v>
      </c>
      <c r="F24" s="34">
        <f>'Raw Data'!G20</f>
        <v>46213</v>
      </c>
      <c r="G24">
        <f>'Raw Data'!J20</f>
        <v>24328.7</v>
      </c>
      <c r="H24" s="36">
        <f t="shared" si="1"/>
        <v>5.9148248776135226E-3</v>
      </c>
    </row>
    <row r="25" spans="2:8" x14ac:dyDescent="0.3">
      <c r="B25" s="34">
        <f>'Raw Data'!G21</f>
        <v>46212</v>
      </c>
      <c r="C25">
        <v>282.05</v>
      </c>
      <c r="D25" s="36">
        <f t="shared" si="0"/>
        <v>-1.063641198369103E-3</v>
      </c>
      <c r="F25" s="34">
        <f>'Raw Data'!G21</f>
        <v>46212</v>
      </c>
      <c r="G25">
        <f>'Raw Data'!J21</f>
        <v>24090.799999999999</v>
      </c>
      <c r="H25" s="36">
        <f t="shared" si="1"/>
        <v>9.875139057233584E-3</v>
      </c>
    </row>
    <row r="26" spans="2:8" x14ac:dyDescent="0.3">
      <c r="B26" s="34">
        <f>'Raw Data'!G22</f>
        <v>46211</v>
      </c>
      <c r="C26">
        <v>280.64999999999998</v>
      </c>
      <c r="D26" s="36">
        <f t="shared" si="0"/>
        <v>4.9884197398897268E-3</v>
      </c>
      <c r="F26" s="34">
        <f>'Raw Data'!G22</f>
        <v>46211</v>
      </c>
      <c r="G26">
        <f>'Raw Data'!J22</f>
        <v>24170</v>
      </c>
      <c r="H26" s="36">
        <f t="shared" si="1"/>
        <v>-3.2767894083575166E-3</v>
      </c>
    </row>
    <row r="27" spans="2:8" x14ac:dyDescent="0.3">
      <c r="B27" s="34">
        <f>'Raw Data'!G23</f>
        <v>46210</v>
      </c>
      <c r="C27">
        <v>288.75</v>
      </c>
      <c r="D27" s="36">
        <f t="shared" si="0"/>
        <v>-2.8051948051948106E-2</v>
      </c>
      <c r="F27" s="34">
        <f>'Raw Data'!G23</f>
        <v>46210</v>
      </c>
      <c r="G27">
        <f>'Raw Data'!J23</f>
        <v>24440.3</v>
      </c>
      <c r="H27" s="36">
        <f t="shared" si="1"/>
        <v>-1.105960237803949E-2</v>
      </c>
    </row>
    <row r="28" spans="2:8" x14ac:dyDescent="0.3">
      <c r="B28" s="34">
        <f>'Raw Data'!G24</f>
        <v>46209</v>
      </c>
      <c r="C28">
        <v>288.25</v>
      </c>
      <c r="D28" s="36">
        <f t="shared" si="0"/>
        <v>1.7346053772766545E-3</v>
      </c>
      <c r="F28" s="34">
        <f>'Raw Data'!G24</f>
        <v>46209</v>
      </c>
      <c r="G28">
        <f>'Raw Data'!J24</f>
        <v>24482.9</v>
      </c>
      <c r="H28" s="36">
        <f t="shared" si="1"/>
        <v>-1.7399899521708395E-3</v>
      </c>
    </row>
    <row r="29" spans="2:8" x14ac:dyDescent="0.3">
      <c r="B29" s="34">
        <f>'Raw Data'!G25</f>
        <v>46206</v>
      </c>
      <c r="C29">
        <v>289.95</v>
      </c>
      <c r="D29" s="36">
        <f t="shared" si="0"/>
        <v>-5.8630798413519258E-3</v>
      </c>
      <c r="F29" s="34">
        <f>'Raw Data'!G25</f>
        <v>46206</v>
      </c>
      <c r="G29">
        <f>'Raw Data'!J25</f>
        <v>24614.3</v>
      </c>
      <c r="H29" s="36">
        <f t="shared" si="1"/>
        <v>-5.3383602214971404E-3</v>
      </c>
    </row>
    <row r="30" spans="2:8" x14ac:dyDescent="0.3">
      <c r="B30" s="34">
        <f>'Raw Data'!G26</f>
        <v>46205</v>
      </c>
      <c r="C30">
        <v>289.89999999999998</v>
      </c>
      <c r="D30" s="36">
        <f t="shared" si="0"/>
        <v>1.7247326664371343E-4</v>
      </c>
      <c r="F30" s="34">
        <f>'Raw Data'!G26</f>
        <v>46205</v>
      </c>
      <c r="G30">
        <f>'Raw Data'!J26</f>
        <v>24265</v>
      </c>
      <c r="H30" s="36">
        <f t="shared" si="1"/>
        <v>1.4395219451885488E-2</v>
      </c>
    </row>
    <row r="31" spans="2:8" x14ac:dyDescent="0.3">
      <c r="B31" s="34">
        <f>'Raw Data'!G27</f>
        <v>46204</v>
      </c>
      <c r="C31">
        <v>290.3</v>
      </c>
      <c r="D31" s="36">
        <f t="shared" si="0"/>
        <v>-1.3778849466070664E-3</v>
      </c>
      <c r="F31" s="34">
        <f>'Raw Data'!G27</f>
        <v>46204</v>
      </c>
      <c r="G31">
        <f>'Raw Data'!J27</f>
        <v>24195.3</v>
      </c>
      <c r="H31" s="36">
        <f t="shared" si="1"/>
        <v>2.8807247688600324E-3</v>
      </c>
    </row>
    <row r="32" spans="2:8" x14ac:dyDescent="0.3">
      <c r="B32" s="34">
        <f>'Raw Data'!G28</f>
        <v>46203</v>
      </c>
      <c r="C32">
        <v>286.95</v>
      </c>
      <c r="D32" s="36">
        <f t="shared" si="0"/>
        <v>1.167450775396417E-2</v>
      </c>
      <c r="F32" s="34">
        <f>'Raw Data'!G28</f>
        <v>46203</v>
      </c>
      <c r="G32">
        <f>'Raw Data'!J28</f>
        <v>24111.9</v>
      </c>
      <c r="H32" s="36">
        <f t="shared" si="1"/>
        <v>3.4588730046158922E-3</v>
      </c>
    </row>
    <row r="33" spans="2:8" x14ac:dyDescent="0.3">
      <c r="B33" s="34">
        <f>'Raw Data'!G29</f>
        <v>46202</v>
      </c>
      <c r="C33">
        <v>290.7</v>
      </c>
      <c r="D33" s="36">
        <f t="shared" si="0"/>
        <v>-1.2899896800825594E-2</v>
      </c>
      <c r="F33" s="34">
        <f>'Raw Data'!G29</f>
        <v>46202</v>
      </c>
      <c r="G33">
        <f>'Raw Data'!J29</f>
        <v>24142.3</v>
      </c>
      <c r="H33" s="36">
        <f t="shared" si="1"/>
        <v>-1.259200656109738E-3</v>
      </c>
    </row>
    <row r="34" spans="2:8" x14ac:dyDescent="0.3">
      <c r="B34" s="34">
        <f>'Raw Data'!G30</f>
        <v>46198</v>
      </c>
      <c r="C34">
        <v>290</v>
      </c>
      <c r="D34" s="36">
        <f t="shared" si="0"/>
        <v>2.4137931034482474E-3</v>
      </c>
      <c r="F34" s="34">
        <f>'Raw Data'!G30</f>
        <v>46198</v>
      </c>
      <c r="G34">
        <f>'Raw Data'!J30</f>
        <v>24170.5</v>
      </c>
      <c r="H34" s="36">
        <f t="shared" si="1"/>
        <v>-1.1667114871434237E-3</v>
      </c>
    </row>
    <row r="35" spans="2:8" x14ac:dyDescent="0.3">
      <c r="B35" s="34">
        <f>'Raw Data'!G31</f>
        <v>46197</v>
      </c>
      <c r="C35">
        <v>290.35000000000002</v>
      </c>
      <c r="D35" s="36">
        <f t="shared" si="0"/>
        <v>-1.2054417082831836E-3</v>
      </c>
      <c r="F35" s="34">
        <f>'Raw Data'!G31</f>
        <v>46197</v>
      </c>
      <c r="G35">
        <f>'Raw Data'!J31</f>
        <v>24125.200000000001</v>
      </c>
      <c r="H35" s="36">
        <f t="shared" si="1"/>
        <v>1.8777046407905118E-3</v>
      </c>
    </row>
    <row r="36" spans="2:8" x14ac:dyDescent="0.3">
      <c r="B36" s="34">
        <f>'Raw Data'!G32</f>
        <v>46196</v>
      </c>
      <c r="C36">
        <v>290</v>
      </c>
      <c r="D36" s="36">
        <f t="shared" si="0"/>
        <v>1.2068965517242347E-3</v>
      </c>
      <c r="F36" s="34">
        <f>'Raw Data'!G32</f>
        <v>46196</v>
      </c>
      <c r="G36">
        <f>'Raw Data'!J32</f>
        <v>24070.5</v>
      </c>
      <c r="H36" s="36">
        <f t="shared" si="1"/>
        <v>2.272491223697104E-3</v>
      </c>
    </row>
    <row r="37" spans="2:8" x14ac:dyDescent="0.3">
      <c r="B37" s="34">
        <f>'Raw Data'!G33</f>
        <v>46195</v>
      </c>
      <c r="C37">
        <v>291.25</v>
      </c>
      <c r="D37" s="36">
        <f t="shared" si="0"/>
        <v>-4.2918454935622075E-3</v>
      </c>
      <c r="F37" s="34">
        <f>'Raw Data'!G33</f>
        <v>46195</v>
      </c>
      <c r="G37">
        <f>'Raw Data'!J33</f>
        <v>24123.8</v>
      </c>
      <c r="H37" s="36">
        <f t="shared" si="1"/>
        <v>-2.2094363242938231E-3</v>
      </c>
    </row>
    <row r="38" spans="2:8" x14ac:dyDescent="0.3">
      <c r="B38" s="34">
        <f>'Raw Data'!G34</f>
        <v>46192</v>
      </c>
      <c r="C38">
        <v>292.5</v>
      </c>
      <c r="D38" s="36">
        <f t="shared" si="0"/>
        <v>-4.2735042735042583E-3</v>
      </c>
      <c r="F38" s="34">
        <f>'Raw Data'!G34</f>
        <v>46192</v>
      </c>
      <c r="G38">
        <f>'Raw Data'!J34</f>
        <v>24056.9</v>
      </c>
      <c r="H38" s="36">
        <f t="shared" si="1"/>
        <v>2.7809069331459213E-3</v>
      </c>
    </row>
    <row r="39" spans="2:8" x14ac:dyDescent="0.3">
      <c r="B39" s="34">
        <f>'Raw Data'!G35</f>
        <v>46191</v>
      </c>
      <c r="C39">
        <v>291.14999999999998</v>
      </c>
      <c r="D39" s="36">
        <f t="shared" si="0"/>
        <v>4.6367851622874934E-3</v>
      </c>
      <c r="F39" s="34">
        <f>'Raw Data'!G35</f>
        <v>46191</v>
      </c>
      <c r="G39">
        <f>'Raw Data'!J35</f>
        <v>24382.400000000001</v>
      </c>
      <c r="H39" s="36">
        <f t="shared" si="1"/>
        <v>-1.3349793293523149E-2</v>
      </c>
    </row>
    <row r="40" spans="2:8" x14ac:dyDescent="0.3">
      <c r="B40" s="34">
        <f>'Raw Data'!G36</f>
        <v>46190</v>
      </c>
      <c r="C40">
        <v>290.75</v>
      </c>
      <c r="D40" s="36">
        <f t="shared" si="0"/>
        <v>1.375752364574323E-3</v>
      </c>
      <c r="F40" s="34">
        <f>'Raw Data'!G36</f>
        <v>46190</v>
      </c>
      <c r="G40">
        <f>'Raw Data'!J36</f>
        <v>24094</v>
      </c>
      <c r="H40" s="36">
        <f t="shared" si="1"/>
        <v>1.1969785008715927E-2</v>
      </c>
    </row>
    <row r="41" spans="2:8" x14ac:dyDescent="0.3">
      <c r="B41" s="34">
        <f>'Raw Data'!G37</f>
        <v>46189</v>
      </c>
      <c r="C41">
        <v>291.64999999999998</v>
      </c>
      <c r="D41" s="36">
        <f t="shared" si="0"/>
        <v>-3.0858906223212301E-3</v>
      </c>
      <c r="F41" s="34">
        <f>'Raw Data'!G37</f>
        <v>46189</v>
      </c>
      <c r="G41">
        <f>'Raw Data'!J37</f>
        <v>24087.9</v>
      </c>
      <c r="H41" s="36">
        <f t="shared" si="1"/>
        <v>2.5323917817643427E-4</v>
      </c>
    </row>
    <row r="42" spans="2:8" x14ac:dyDescent="0.3">
      <c r="B42" s="34">
        <f>'Raw Data'!G38</f>
        <v>46188</v>
      </c>
      <c r="C42">
        <v>287.89999999999998</v>
      </c>
      <c r="D42" s="36">
        <f t="shared" si="0"/>
        <v>1.3025356026397983E-2</v>
      </c>
      <c r="F42" s="34">
        <f>'Raw Data'!G38</f>
        <v>46188</v>
      </c>
      <c r="G42">
        <f>'Raw Data'!J38</f>
        <v>23916.6</v>
      </c>
      <c r="H42" s="36">
        <f t="shared" si="1"/>
        <v>7.162389302827421E-3</v>
      </c>
    </row>
    <row r="43" spans="2:8" x14ac:dyDescent="0.3">
      <c r="B43" s="34">
        <f>'Raw Data'!G39</f>
        <v>46185</v>
      </c>
      <c r="C43">
        <v>285.10000000000002</v>
      </c>
      <c r="D43" s="36">
        <f t="shared" si="0"/>
        <v>9.8211153981058175E-3</v>
      </c>
      <c r="F43" s="34">
        <f>'Raw Data'!G39</f>
        <v>46185</v>
      </c>
      <c r="G43">
        <f>'Raw Data'!J39</f>
        <v>23873.5</v>
      </c>
      <c r="H43" s="36">
        <f t="shared" si="1"/>
        <v>1.8053490271638939E-3</v>
      </c>
    </row>
    <row r="44" spans="2:8" x14ac:dyDescent="0.3">
      <c r="B44" s="34">
        <f>'Raw Data'!G40</f>
        <v>46184</v>
      </c>
      <c r="C44">
        <v>282.39999999999998</v>
      </c>
      <c r="D44" s="36">
        <f t="shared" si="0"/>
        <v>9.5609065155808359E-3</v>
      </c>
      <c r="F44" s="34">
        <f>'Raw Data'!G40</f>
        <v>46184</v>
      </c>
      <c r="G44">
        <f>'Raw Data'!J40</f>
        <v>23397.4</v>
      </c>
      <c r="H44" s="36">
        <f t="shared" si="1"/>
        <v>2.0348414781129476E-2</v>
      </c>
    </row>
    <row r="45" spans="2:8" x14ac:dyDescent="0.3">
      <c r="B45" s="34">
        <f>'Raw Data'!G41</f>
        <v>46183</v>
      </c>
      <c r="C45">
        <v>283.64999999999998</v>
      </c>
      <c r="D45" s="36">
        <f t="shared" si="0"/>
        <v>-4.4068394147717127E-3</v>
      </c>
      <c r="F45" s="34">
        <f>'Raw Data'!G41</f>
        <v>46183</v>
      </c>
      <c r="G45">
        <f>'Raw Data'!J41</f>
        <v>23344.9</v>
      </c>
      <c r="H45" s="36">
        <f t="shared" si="1"/>
        <v>2.2488851954816091E-3</v>
      </c>
    </row>
    <row r="46" spans="2:8" x14ac:dyDescent="0.3">
      <c r="B46" s="34">
        <f>'Raw Data'!G42</f>
        <v>46182</v>
      </c>
      <c r="C46">
        <v>280</v>
      </c>
      <c r="D46" s="36">
        <f t="shared" si="0"/>
        <v>1.3035714285714262E-2</v>
      </c>
      <c r="F46" s="34">
        <f>'Raw Data'!G42</f>
        <v>46182</v>
      </c>
      <c r="G46">
        <f>'Raw Data'!J42</f>
        <v>23425.200000000001</v>
      </c>
      <c r="H46" s="36">
        <f t="shared" si="1"/>
        <v>-3.4279323122107241E-3</v>
      </c>
    </row>
    <row r="47" spans="2:8" x14ac:dyDescent="0.3">
      <c r="B47" s="34">
        <f>'Raw Data'!G43</f>
        <v>46181</v>
      </c>
      <c r="C47">
        <v>279.45</v>
      </c>
      <c r="D47" s="36">
        <f t="shared" si="0"/>
        <v>1.9681517266059156E-3</v>
      </c>
      <c r="F47" s="34">
        <f>'Raw Data'!G43</f>
        <v>46181</v>
      </c>
      <c r="G47">
        <f>'Raw Data'!J43</f>
        <v>23382.2</v>
      </c>
      <c r="H47" s="36">
        <f t="shared" si="1"/>
        <v>1.8390057394086501E-3</v>
      </c>
    </row>
    <row r="48" spans="2:8" x14ac:dyDescent="0.3">
      <c r="B48" s="34">
        <f>'Raw Data'!G44</f>
        <v>46178</v>
      </c>
      <c r="C48">
        <v>280.7</v>
      </c>
      <c r="D48" s="36">
        <f t="shared" si="0"/>
        <v>-4.4531528322051539E-3</v>
      </c>
      <c r="F48" s="34">
        <f>'Raw Data'!G44</f>
        <v>46178</v>
      </c>
      <c r="G48">
        <f>'Raw Data'!J44</f>
        <v>23451.7</v>
      </c>
      <c r="H48" s="36">
        <f t="shared" si="1"/>
        <v>-2.9635378245500554E-3</v>
      </c>
    </row>
    <row r="49" spans="2:8" x14ac:dyDescent="0.3">
      <c r="B49" s="34">
        <f>'Raw Data'!G45</f>
        <v>46177</v>
      </c>
      <c r="C49">
        <v>280.3</v>
      </c>
      <c r="D49" s="36">
        <f t="shared" si="0"/>
        <v>1.4270424545128613E-3</v>
      </c>
      <c r="F49" s="34">
        <f>'Raw Data'!G45</f>
        <v>46177</v>
      </c>
      <c r="G49">
        <f>'Raw Data'!J45</f>
        <v>23511.599999999999</v>
      </c>
      <c r="H49" s="36">
        <f t="shared" si="1"/>
        <v>-2.5476785926945578E-3</v>
      </c>
    </row>
    <row r="50" spans="2:8" x14ac:dyDescent="0.3">
      <c r="B50" s="34">
        <f>'Raw Data'!G46</f>
        <v>46176</v>
      </c>
      <c r="C50">
        <v>277</v>
      </c>
      <c r="D50" s="36">
        <f t="shared" si="0"/>
        <v>1.1913357400721969E-2</v>
      </c>
      <c r="F50" s="34">
        <f>'Raw Data'!G46</f>
        <v>46176</v>
      </c>
      <c r="G50">
        <f>'Raw Data'!J46</f>
        <v>23709.200000000001</v>
      </c>
      <c r="H50" s="36">
        <f t="shared" si="1"/>
        <v>-8.3343174801343567E-3</v>
      </c>
    </row>
    <row r="51" spans="2:8" x14ac:dyDescent="0.3">
      <c r="B51" s="34">
        <f>'Raw Data'!G47</f>
        <v>46175</v>
      </c>
      <c r="C51">
        <v>283.25</v>
      </c>
      <c r="D51" s="36">
        <f t="shared" si="0"/>
        <v>-2.206531332744921E-2</v>
      </c>
      <c r="F51" s="34">
        <f>'Raw Data'!G47</f>
        <v>46175</v>
      </c>
      <c r="G51">
        <f>'Raw Data'!J47</f>
        <v>23603.1</v>
      </c>
      <c r="H51" s="36">
        <f t="shared" si="1"/>
        <v>4.4951722443238307E-3</v>
      </c>
    </row>
    <row r="52" spans="2:8" x14ac:dyDescent="0.3">
      <c r="B52" s="34">
        <f>'Raw Data'!G48</f>
        <v>46174</v>
      </c>
      <c r="C52">
        <v>279.64999999999998</v>
      </c>
      <c r="D52" s="36">
        <f t="shared" si="0"/>
        <v>1.2873234400143208E-2</v>
      </c>
      <c r="F52" s="34">
        <f>'Raw Data'!G48</f>
        <v>46174</v>
      </c>
      <c r="G52">
        <f>'Raw Data'!J48</f>
        <v>23568.5</v>
      </c>
      <c r="H52" s="36">
        <f t="shared" si="1"/>
        <v>1.4680611833590707E-3</v>
      </c>
    </row>
    <row r="53" spans="2:8" x14ac:dyDescent="0.3">
      <c r="B53" s="34">
        <f>'Raw Data'!G49</f>
        <v>46171</v>
      </c>
      <c r="C53">
        <v>286.89999999999998</v>
      </c>
      <c r="D53" s="36">
        <f t="shared" si="0"/>
        <v>-2.5270128964796079E-2</v>
      </c>
      <c r="F53" s="34">
        <f>'Raw Data'!G49</f>
        <v>46171</v>
      </c>
      <c r="G53">
        <f>'Raw Data'!J49</f>
        <v>23748.799999999999</v>
      </c>
      <c r="H53" s="36">
        <f t="shared" si="1"/>
        <v>-7.5919625412652625E-3</v>
      </c>
    </row>
    <row r="54" spans="2:8" x14ac:dyDescent="0.3">
      <c r="B54" s="34">
        <f>'Raw Data'!G50</f>
        <v>46169</v>
      </c>
      <c r="C54">
        <v>291.95</v>
      </c>
      <c r="D54" s="36">
        <f t="shared" si="0"/>
        <v>-1.7297482445624235E-2</v>
      </c>
      <c r="F54" s="34">
        <f>'Raw Data'!G50</f>
        <v>46169</v>
      </c>
      <c r="G54">
        <f>'Raw Data'!J50</f>
        <v>24206.9</v>
      </c>
      <c r="H54" s="36">
        <f t="shared" si="1"/>
        <v>-1.89243562785818E-2</v>
      </c>
    </row>
    <row r="55" spans="2:8" x14ac:dyDescent="0.3">
      <c r="B55" s="34">
        <f>'Raw Data'!G51</f>
        <v>46168</v>
      </c>
      <c r="C55">
        <v>301.64999999999998</v>
      </c>
      <c r="D55" s="36">
        <f t="shared" si="0"/>
        <v>-3.2156472733300134E-2</v>
      </c>
      <c r="F55" s="34">
        <f>'Raw Data'!G51</f>
        <v>46168</v>
      </c>
      <c r="G55">
        <f>'Raw Data'!J51</f>
        <v>23913</v>
      </c>
      <c r="H55" s="36">
        <f t="shared" si="1"/>
        <v>1.229038598252008E-2</v>
      </c>
    </row>
    <row r="56" spans="2:8" x14ac:dyDescent="0.3">
      <c r="B56" s="34">
        <f>'Raw Data'!G52</f>
        <v>46167</v>
      </c>
      <c r="C56">
        <v>303.95</v>
      </c>
      <c r="D56" s="36">
        <f t="shared" si="0"/>
        <v>-7.5670340516532653E-3</v>
      </c>
      <c r="F56" s="34">
        <f>'Raw Data'!G52</f>
        <v>46167</v>
      </c>
      <c r="G56">
        <f>'Raw Data'!J52</f>
        <v>24106.400000000001</v>
      </c>
      <c r="H56" s="36">
        <f t="shared" si="1"/>
        <v>-8.02276573855909E-3</v>
      </c>
    </row>
    <row r="57" spans="2:8" x14ac:dyDescent="0.3">
      <c r="B57" s="34">
        <f>'Raw Data'!G53</f>
        <v>46164</v>
      </c>
      <c r="C57">
        <v>301.7</v>
      </c>
      <c r="D57" s="36">
        <f t="shared" si="0"/>
        <v>7.4577394763009064E-3</v>
      </c>
      <c r="F57" s="34">
        <f>'Raw Data'!G53</f>
        <v>46164</v>
      </c>
      <c r="G57">
        <f>'Raw Data'!J53</f>
        <v>23801.4</v>
      </c>
      <c r="H57" s="36">
        <f t="shared" si="1"/>
        <v>1.281437226381632E-2</v>
      </c>
    </row>
    <row r="58" spans="2:8" x14ac:dyDescent="0.3">
      <c r="B58" s="34">
        <f>'Raw Data'!G54</f>
        <v>46163</v>
      </c>
      <c r="C58">
        <v>308.05</v>
      </c>
      <c r="D58" s="36">
        <f t="shared" si="0"/>
        <v>-2.0613536763512519E-2</v>
      </c>
      <c r="F58" s="34">
        <f>'Raw Data'!G54</f>
        <v>46163</v>
      </c>
      <c r="G58">
        <f>'Raw Data'!J54</f>
        <v>23631.4</v>
      </c>
      <c r="H58" s="36">
        <f t="shared" si="1"/>
        <v>7.193818394170437E-3</v>
      </c>
    </row>
    <row r="59" spans="2:8" x14ac:dyDescent="0.3">
      <c r="B59" s="34">
        <f>'Raw Data'!G55</f>
        <v>46162</v>
      </c>
      <c r="C59">
        <v>307.55</v>
      </c>
      <c r="D59" s="36">
        <f t="shared" si="0"/>
        <v>1.6257519102584883E-3</v>
      </c>
      <c r="F59" s="34">
        <f>'Raw Data'!G55</f>
        <v>46162</v>
      </c>
      <c r="G59">
        <f>'Raw Data'!J55</f>
        <v>23846.2</v>
      </c>
      <c r="H59" s="36">
        <f t="shared" si="1"/>
        <v>-9.0077245011783713E-3</v>
      </c>
    </row>
    <row r="60" spans="2:8" x14ac:dyDescent="0.3">
      <c r="B60" s="34">
        <f>'Raw Data'!G56</f>
        <v>46161</v>
      </c>
      <c r="C60">
        <v>310.3</v>
      </c>
      <c r="D60" s="36">
        <f t="shared" si="0"/>
        <v>-8.8623912342894462E-3</v>
      </c>
      <c r="F60" s="34">
        <f>'Raw Data'!G56</f>
        <v>46161</v>
      </c>
      <c r="G60">
        <f>'Raw Data'!J56</f>
        <v>23612</v>
      </c>
      <c r="H60" s="36">
        <f t="shared" si="1"/>
        <v>9.91868541419616E-3</v>
      </c>
    </row>
    <row r="61" spans="2:8" x14ac:dyDescent="0.3">
      <c r="B61" s="34">
        <f>'Raw Data'!G57</f>
        <v>46160</v>
      </c>
      <c r="C61">
        <v>310.14999999999998</v>
      </c>
      <c r="D61" s="36">
        <f t="shared" si="0"/>
        <v>4.8363694986308658E-4</v>
      </c>
      <c r="F61" s="34">
        <f>'Raw Data'!G57</f>
        <v>46160</v>
      </c>
      <c r="G61">
        <f>'Raw Data'!J57</f>
        <v>23740.1</v>
      </c>
      <c r="H61" s="36">
        <f t="shared" si="1"/>
        <v>-5.3959334627907696E-3</v>
      </c>
    </row>
    <row r="62" spans="2:8" x14ac:dyDescent="0.3">
      <c r="B62" s="34">
        <f>'Raw Data'!G58</f>
        <v>46157</v>
      </c>
      <c r="C62">
        <v>309.45</v>
      </c>
      <c r="D62" s="36">
        <f t="shared" si="0"/>
        <v>2.2620778801099028E-3</v>
      </c>
      <c r="F62" s="34">
        <f>'Raw Data'!G58</f>
        <v>46157</v>
      </c>
      <c r="G62">
        <f>'Raw Data'!J58</f>
        <v>23643.9</v>
      </c>
      <c r="H62" s="36">
        <f t="shared" si="1"/>
        <v>4.0687027097896511E-3</v>
      </c>
    </row>
    <row r="63" spans="2:8" x14ac:dyDescent="0.3">
      <c r="B63" s="34">
        <f>'Raw Data'!G59</f>
        <v>46156</v>
      </c>
      <c r="C63">
        <v>307.2</v>
      </c>
      <c r="D63" s="36">
        <f t="shared" si="0"/>
        <v>7.32421875E-3</v>
      </c>
      <c r="F63" s="34">
        <f>'Raw Data'!G59</f>
        <v>46156</v>
      </c>
      <c r="G63">
        <f>'Raw Data'!J59</f>
        <v>23700.1</v>
      </c>
      <c r="H63" s="36">
        <f t="shared" si="1"/>
        <v>-2.3712980114006799E-3</v>
      </c>
    </row>
    <row r="64" spans="2:8" x14ac:dyDescent="0.3">
      <c r="B64" s="34">
        <f>'Raw Data'!G60</f>
        <v>46155</v>
      </c>
      <c r="C64">
        <v>304.45</v>
      </c>
      <c r="D64" s="36">
        <f t="shared" si="0"/>
        <v>9.0326818853669888E-3</v>
      </c>
      <c r="F64" s="34">
        <f>'Raw Data'!G60</f>
        <v>46155</v>
      </c>
      <c r="G64">
        <f>'Raw Data'!J60</f>
        <v>23675.1</v>
      </c>
      <c r="H64" s="36">
        <f t="shared" si="1"/>
        <v>1.055961748841705E-3</v>
      </c>
    </row>
    <row r="65" spans="2:8" x14ac:dyDescent="0.3">
      <c r="B65" s="34">
        <f>'Raw Data'!G61</f>
        <v>46154</v>
      </c>
      <c r="C65">
        <v>300.7</v>
      </c>
      <c r="D65" s="36">
        <f t="shared" si="0"/>
        <v>1.2470901230462239E-2</v>
      </c>
      <c r="F65" s="34">
        <f>'Raw Data'!G61</f>
        <v>46154</v>
      </c>
      <c r="G65">
        <f>'Raw Data'!J61</f>
        <v>23424.7</v>
      </c>
      <c r="H65" s="36">
        <f t="shared" si="1"/>
        <v>1.0689571264519859E-2</v>
      </c>
    </row>
    <row r="66" spans="2:8" x14ac:dyDescent="0.3">
      <c r="B66" s="34">
        <f>'Raw Data'!G62</f>
        <v>46153</v>
      </c>
      <c r="C66">
        <v>305.85000000000002</v>
      </c>
      <c r="D66" s="36">
        <f t="shared" si="0"/>
        <v>-1.683831943763292E-2</v>
      </c>
      <c r="F66" s="34">
        <f>'Raw Data'!G62</f>
        <v>46153</v>
      </c>
      <c r="G66">
        <f>'Raw Data'!J62</f>
        <v>23974.6</v>
      </c>
      <c r="H66" s="36">
        <f t="shared" si="1"/>
        <v>-2.2936774753280487E-2</v>
      </c>
    </row>
    <row r="67" spans="2:8" x14ac:dyDescent="0.3">
      <c r="B67" s="34">
        <f>'Raw Data'!G63</f>
        <v>46150</v>
      </c>
      <c r="C67">
        <v>307.45</v>
      </c>
      <c r="D67" s="36">
        <f t="shared" si="0"/>
        <v>-5.2040982273539038E-3</v>
      </c>
      <c r="F67" s="34">
        <f>'Raw Data'!G63</f>
        <v>46150</v>
      </c>
      <c r="G67">
        <f>'Raw Data'!J63</f>
        <v>24339.200000000001</v>
      </c>
      <c r="H67" s="36">
        <f t="shared" si="1"/>
        <v>-1.4979950039442635E-2</v>
      </c>
    </row>
    <row r="68" spans="2:8" x14ac:dyDescent="0.3">
      <c r="B68" s="34">
        <f>'Raw Data'!G64</f>
        <v>46149</v>
      </c>
      <c r="C68">
        <v>307.39999999999998</v>
      </c>
      <c r="D68" s="36">
        <f t="shared" si="0"/>
        <v>1.6265452179564655E-4</v>
      </c>
      <c r="F68" s="34">
        <f>'Raw Data'!G64</f>
        <v>46149</v>
      </c>
      <c r="G68">
        <f>'Raw Data'!J64</f>
        <v>24382.799999999999</v>
      </c>
      <c r="H68" s="36">
        <f t="shared" si="1"/>
        <v>-1.7881457420804159E-3</v>
      </c>
    </row>
    <row r="69" spans="2:8" x14ac:dyDescent="0.3">
      <c r="B69" s="34">
        <f>'Raw Data'!G65</f>
        <v>46148</v>
      </c>
      <c r="C69">
        <v>310.7</v>
      </c>
      <c r="D69" s="36">
        <f t="shared" si="0"/>
        <v>-1.0621177985194796E-2</v>
      </c>
      <c r="F69" s="34">
        <f>'Raw Data'!G65</f>
        <v>46148</v>
      </c>
      <c r="G69">
        <f>'Raw Data'!J65</f>
        <v>24683.8</v>
      </c>
      <c r="H69" s="36">
        <f t="shared" si="1"/>
        <v>-1.2194232654615611E-2</v>
      </c>
    </row>
    <row r="70" spans="2:8" x14ac:dyDescent="0.3">
      <c r="B70" s="34">
        <f>'Raw Data'!G66</f>
        <v>46147</v>
      </c>
      <c r="C70">
        <v>311.45</v>
      </c>
      <c r="D70" s="36">
        <f t="shared" si="0"/>
        <v>-2.4080911863862964E-3</v>
      </c>
      <c r="F70" s="34">
        <f>'Raw Data'!G66</f>
        <v>46147</v>
      </c>
      <c r="G70">
        <f>'Raw Data'!J66</f>
        <v>24106.3</v>
      </c>
      <c r="H70" s="36">
        <f t="shared" si="1"/>
        <v>2.3956393142041676E-2</v>
      </c>
    </row>
    <row r="71" spans="2:8" x14ac:dyDescent="0.3">
      <c r="B71" s="34">
        <f>'Raw Data'!G67</f>
        <v>46146</v>
      </c>
      <c r="C71">
        <v>311.10000000000002</v>
      </c>
      <c r="D71" s="36">
        <f t="shared" si="0"/>
        <v>1.1250401800062537E-3</v>
      </c>
      <c r="F71" s="34">
        <f>'Raw Data'!G67</f>
        <v>46146</v>
      </c>
      <c r="G71">
        <f>'Raw Data'!J67</f>
        <v>24312.799999999999</v>
      </c>
      <c r="H71" s="36">
        <f t="shared" si="1"/>
        <v>-8.493468461057585E-3</v>
      </c>
    </row>
    <row r="72" spans="2:8" x14ac:dyDescent="0.3">
      <c r="B72" s="34">
        <f>'Raw Data'!G68</f>
        <v>46142</v>
      </c>
      <c r="C72">
        <v>314.89999999999998</v>
      </c>
      <c r="D72" s="36">
        <f t="shared" si="0"/>
        <v>-1.2067322959669613E-2</v>
      </c>
      <c r="F72" s="34">
        <f>'Raw Data'!G68</f>
        <v>46142</v>
      </c>
      <c r="G72">
        <f>'Raw Data'!J68</f>
        <v>24340</v>
      </c>
      <c r="H72" s="36">
        <f t="shared" si="1"/>
        <v>-1.1175020542317782E-3</v>
      </c>
    </row>
    <row r="73" spans="2:8" x14ac:dyDescent="0.3">
      <c r="B73" s="34">
        <f>'Raw Data'!G69</f>
        <v>46141</v>
      </c>
      <c r="C73">
        <v>316.25</v>
      </c>
      <c r="D73" s="36">
        <f t="shared" si="0"/>
        <v>-4.2687747035573542E-3</v>
      </c>
      <c r="F73" s="34">
        <f>'Raw Data'!G69</f>
        <v>46141</v>
      </c>
      <c r="G73">
        <f>'Raw Data'!J69</f>
        <v>24528.400000000001</v>
      </c>
      <c r="H73" s="36">
        <f t="shared" si="1"/>
        <v>-7.6808923533536744E-3</v>
      </c>
    </row>
    <row r="74" spans="2:8" x14ac:dyDescent="0.3">
      <c r="B74" s="34">
        <f>'Raw Data'!G70</f>
        <v>46140</v>
      </c>
      <c r="C74">
        <v>304.45</v>
      </c>
      <c r="D74" s="36">
        <f t="shared" si="0"/>
        <v>3.8758416817211483E-2</v>
      </c>
      <c r="F74" s="34">
        <f>'Raw Data'!G70</f>
        <v>46140</v>
      </c>
      <c r="G74">
        <f>'Raw Data'!J70</f>
        <v>24069</v>
      </c>
      <c r="H74" s="36">
        <f t="shared" si="1"/>
        <v>1.908679213926634E-2</v>
      </c>
    </row>
    <row r="75" spans="2:8" x14ac:dyDescent="0.3">
      <c r="B75" s="34">
        <f>'Raw Data'!G71</f>
        <v>46139</v>
      </c>
      <c r="C75">
        <v>303.85000000000002</v>
      </c>
      <c r="D75" s="36">
        <f t="shared" si="0"/>
        <v>1.9746585486257739E-3</v>
      </c>
      <c r="F75" s="34">
        <f>'Raw Data'!G71</f>
        <v>46139</v>
      </c>
      <c r="G75">
        <f>'Raw Data'!J71</f>
        <v>24209.7</v>
      </c>
      <c r="H75" s="36">
        <f t="shared" si="1"/>
        <v>-5.811720095664219E-3</v>
      </c>
    </row>
    <row r="76" spans="2:8" x14ac:dyDescent="0.3">
      <c r="B76" s="34">
        <f>'Raw Data'!G72</f>
        <v>46136</v>
      </c>
      <c r="C76">
        <v>301.60000000000002</v>
      </c>
      <c r="D76" s="36">
        <f t="shared" ref="D76:D139" si="2">C75/C76-1</f>
        <v>7.4602122015914318E-3</v>
      </c>
      <c r="F76" s="34">
        <f>'Raw Data'!G72</f>
        <v>46136</v>
      </c>
      <c r="G76">
        <f>'Raw Data'!J72</f>
        <v>24151.5</v>
      </c>
      <c r="H76" s="36">
        <f t="shared" ref="H76:H139" si="3">G75/G76-1</f>
        <v>2.4097882119122893E-3</v>
      </c>
    </row>
    <row r="77" spans="2:8" x14ac:dyDescent="0.3">
      <c r="B77" s="34">
        <f>'Raw Data'!G73</f>
        <v>46135</v>
      </c>
      <c r="C77">
        <v>305.3</v>
      </c>
      <c r="D77" s="36">
        <f t="shared" si="2"/>
        <v>-1.2119226989846021E-2</v>
      </c>
      <c r="F77" s="34">
        <f>'Raw Data'!G73</f>
        <v>46135</v>
      </c>
      <c r="G77">
        <f>'Raw Data'!J73</f>
        <v>24163</v>
      </c>
      <c r="H77" s="36">
        <f t="shared" si="3"/>
        <v>-4.7593427968384283E-4</v>
      </c>
    </row>
    <row r="78" spans="2:8" x14ac:dyDescent="0.3">
      <c r="B78" s="34">
        <f>'Raw Data'!G74</f>
        <v>46134</v>
      </c>
      <c r="C78">
        <v>305.5</v>
      </c>
      <c r="D78" s="36">
        <f t="shared" si="2"/>
        <v>-6.5466448445172798E-4</v>
      </c>
      <c r="F78" s="34">
        <f>'Raw Data'!G74</f>
        <v>46134</v>
      </c>
      <c r="G78">
        <f>'Raw Data'!J74</f>
        <v>24381.200000000001</v>
      </c>
      <c r="H78" s="36">
        <f t="shared" si="3"/>
        <v>-8.9495184814529782E-3</v>
      </c>
    </row>
    <row r="79" spans="2:8" x14ac:dyDescent="0.3">
      <c r="B79" s="34">
        <f>'Raw Data'!G75</f>
        <v>46133</v>
      </c>
      <c r="C79">
        <v>309.64999999999998</v>
      </c>
      <c r="D79" s="36">
        <f t="shared" si="2"/>
        <v>-1.3402228322299314E-2</v>
      </c>
      <c r="F79" s="34">
        <f>'Raw Data'!G75</f>
        <v>46133</v>
      </c>
      <c r="G79">
        <f>'Raw Data'!J75</f>
        <v>24840.1</v>
      </c>
      <c r="H79" s="36">
        <f t="shared" si="3"/>
        <v>-1.8474160732042E-2</v>
      </c>
    </row>
    <row r="80" spans="2:8" x14ac:dyDescent="0.3">
      <c r="B80" s="34">
        <f>'Raw Data'!G76</f>
        <v>46132</v>
      </c>
      <c r="C80">
        <v>305</v>
      </c>
      <c r="D80" s="36">
        <f t="shared" si="2"/>
        <v>1.524590163934425E-2</v>
      </c>
      <c r="F80" s="34">
        <f>'Raw Data'!G76</f>
        <v>46132</v>
      </c>
      <c r="G80">
        <f>'Raw Data'!J76</f>
        <v>24331.8</v>
      </c>
      <c r="H80" s="36">
        <f t="shared" si="3"/>
        <v>2.0890357474580457E-2</v>
      </c>
    </row>
    <row r="81" spans="2:8" x14ac:dyDescent="0.3">
      <c r="B81" s="34">
        <f>'Raw Data'!G77</f>
        <v>46129</v>
      </c>
      <c r="C81">
        <v>306.8</v>
      </c>
      <c r="D81" s="36">
        <f t="shared" si="2"/>
        <v>-5.8670143415906484E-3</v>
      </c>
      <c r="F81" s="34">
        <f>'Raw Data'!G77</f>
        <v>46129</v>
      </c>
      <c r="G81">
        <f>'Raw Data'!J77</f>
        <v>24368</v>
      </c>
      <c r="H81" s="36">
        <f t="shared" si="3"/>
        <v>-1.4855548260013229E-3</v>
      </c>
    </row>
    <row r="82" spans="2:8" x14ac:dyDescent="0.3">
      <c r="B82" s="34">
        <f>'Raw Data'!G78</f>
        <v>46128</v>
      </c>
      <c r="C82">
        <v>303.39999999999998</v>
      </c>
      <c r="D82" s="36">
        <f t="shared" si="2"/>
        <v>1.1206328279499189E-2</v>
      </c>
      <c r="F82" s="34">
        <f>'Raw Data'!G78</f>
        <v>46128</v>
      </c>
      <c r="G82">
        <f>'Raw Data'!J78</f>
        <v>24328.2</v>
      </c>
      <c r="H82" s="36">
        <f t="shared" si="3"/>
        <v>1.6359615590137988E-3</v>
      </c>
    </row>
    <row r="83" spans="2:8" x14ac:dyDescent="0.3">
      <c r="B83" s="34">
        <f>'Raw Data'!G79</f>
        <v>46127</v>
      </c>
      <c r="C83">
        <v>302.05</v>
      </c>
      <c r="D83" s="36">
        <f t="shared" si="2"/>
        <v>4.4694586988907048E-3</v>
      </c>
      <c r="F83" s="34">
        <f>'Raw Data'!G79</f>
        <v>46127</v>
      </c>
      <c r="G83">
        <f>'Raw Data'!J79</f>
        <v>24237.7</v>
      </c>
      <c r="H83" s="36">
        <f t="shared" si="3"/>
        <v>3.7338526345320755E-3</v>
      </c>
    </row>
    <row r="84" spans="2:8" x14ac:dyDescent="0.3">
      <c r="B84" s="34">
        <f>'Raw Data'!G80</f>
        <v>46125</v>
      </c>
      <c r="C84">
        <v>298.64999999999998</v>
      </c>
      <c r="D84" s="36">
        <f t="shared" si="2"/>
        <v>1.1384563870751929E-2</v>
      </c>
      <c r="F84" s="34">
        <f>'Raw Data'!G80</f>
        <v>46125</v>
      </c>
      <c r="G84">
        <f>'Raw Data'!J80</f>
        <v>24152.9</v>
      </c>
      <c r="H84" s="36">
        <f t="shared" si="3"/>
        <v>3.5109655569309783E-3</v>
      </c>
    </row>
    <row r="85" spans="2:8" x14ac:dyDescent="0.3">
      <c r="B85" s="34">
        <f>'Raw Data'!G81</f>
        <v>46122</v>
      </c>
      <c r="C85">
        <v>304.25</v>
      </c>
      <c r="D85" s="36">
        <f t="shared" si="2"/>
        <v>-1.8405916187345994E-2</v>
      </c>
      <c r="F85" s="34">
        <f>'Raw Data'!G81</f>
        <v>46122</v>
      </c>
      <c r="G85">
        <f>'Raw Data'!J81</f>
        <v>24101</v>
      </c>
      <c r="H85" s="36">
        <f t="shared" si="3"/>
        <v>2.1534376166965075E-3</v>
      </c>
    </row>
    <row r="86" spans="2:8" x14ac:dyDescent="0.3">
      <c r="B86" s="34">
        <f>'Raw Data'!G82</f>
        <v>46121</v>
      </c>
      <c r="C86">
        <v>303</v>
      </c>
      <c r="D86" s="36">
        <f t="shared" si="2"/>
        <v>4.1254125412542031E-3</v>
      </c>
      <c r="F86" s="34">
        <f>'Raw Data'!G82</f>
        <v>46121</v>
      </c>
      <c r="G86">
        <f>'Raw Data'!J82</f>
        <v>23989.1</v>
      </c>
      <c r="H86" s="36">
        <f t="shared" si="3"/>
        <v>4.6646185142420471E-3</v>
      </c>
    </row>
    <row r="87" spans="2:8" x14ac:dyDescent="0.3">
      <c r="B87" s="34">
        <f>'Raw Data'!G83</f>
        <v>46120</v>
      </c>
      <c r="C87">
        <v>302.45</v>
      </c>
      <c r="D87" s="36">
        <f t="shared" si="2"/>
        <v>1.8184823937841266E-3</v>
      </c>
      <c r="F87" s="34">
        <f>'Raw Data'!G83</f>
        <v>46120</v>
      </c>
      <c r="G87">
        <f>'Raw Data'!J83</f>
        <v>24182.5</v>
      </c>
      <c r="H87" s="36">
        <f t="shared" si="3"/>
        <v>-7.9975188669493269E-3</v>
      </c>
    </row>
    <row r="88" spans="2:8" x14ac:dyDescent="0.3">
      <c r="B88" s="34">
        <f>'Raw Data'!G84</f>
        <v>46119</v>
      </c>
      <c r="C88">
        <v>298.45</v>
      </c>
      <c r="D88" s="36">
        <f t="shared" si="2"/>
        <v>1.3402579996649289E-2</v>
      </c>
      <c r="F88" s="34">
        <f>'Raw Data'!G84</f>
        <v>46119</v>
      </c>
      <c r="G88">
        <f>'Raw Data'!J84</f>
        <v>23151.1</v>
      </c>
      <c r="H88" s="36">
        <f t="shared" si="3"/>
        <v>4.4550798882126541E-2</v>
      </c>
    </row>
    <row r="89" spans="2:8" x14ac:dyDescent="0.3">
      <c r="B89" s="34">
        <f>'Raw Data'!G85</f>
        <v>46118</v>
      </c>
      <c r="C89">
        <v>294.85000000000002</v>
      </c>
      <c r="D89" s="36">
        <f t="shared" si="2"/>
        <v>1.220959810072908E-2</v>
      </c>
      <c r="F89" s="34">
        <f>'Raw Data'!G85</f>
        <v>46118</v>
      </c>
      <c r="G89">
        <f>'Raw Data'!J85</f>
        <v>23347.4</v>
      </c>
      <c r="H89" s="36">
        <f t="shared" si="3"/>
        <v>-8.4077884475360909E-3</v>
      </c>
    </row>
    <row r="90" spans="2:8" x14ac:dyDescent="0.3">
      <c r="B90" s="34">
        <f>'Raw Data'!G86</f>
        <v>46114</v>
      </c>
      <c r="C90">
        <v>292.85000000000002</v>
      </c>
      <c r="D90" s="36">
        <f t="shared" si="2"/>
        <v>6.829434864265016E-3</v>
      </c>
      <c r="F90" s="34">
        <f>'Raw Data'!G86</f>
        <v>46114</v>
      </c>
      <c r="G90">
        <f>'Raw Data'!J86</f>
        <v>22766.6</v>
      </c>
      <c r="H90" s="36">
        <f t="shared" si="3"/>
        <v>2.5511055669269922E-2</v>
      </c>
    </row>
    <row r="91" spans="2:8" x14ac:dyDescent="0.3">
      <c r="B91" s="34">
        <f>'Raw Data'!G87</f>
        <v>46113</v>
      </c>
      <c r="C91">
        <v>291.7</v>
      </c>
      <c r="D91" s="36">
        <f t="shared" si="2"/>
        <v>3.9424065821049847E-3</v>
      </c>
      <c r="F91" s="34">
        <f>'Raw Data'!G87</f>
        <v>46113</v>
      </c>
      <c r="G91">
        <f>'Raw Data'!J87</f>
        <v>22934.799999999999</v>
      </c>
      <c r="H91" s="36">
        <f t="shared" si="3"/>
        <v>-7.3338333013586166E-3</v>
      </c>
    </row>
    <row r="92" spans="2:8" x14ac:dyDescent="0.3">
      <c r="B92" s="34">
        <f>'Raw Data'!G88</f>
        <v>46111</v>
      </c>
      <c r="C92">
        <v>287.7</v>
      </c>
      <c r="D92" s="36">
        <f t="shared" si="2"/>
        <v>1.3903371567605127E-2</v>
      </c>
      <c r="F92" s="34">
        <f>'Raw Data'!G88</f>
        <v>46111</v>
      </c>
      <c r="G92">
        <f>'Raw Data'!J88</f>
        <v>22318.400000000001</v>
      </c>
      <c r="H92" s="36">
        <f t="shared" si="3"/>
        <v>2.761846727363948E-2</v>
      </c>
    </row>
    <row r="93" spans="2:8" x14ac:dyDescent="0.3">
      <c r="B93" s="34">
        <f>'Raw Data'!G89</f>
        <v>46108</v>
      </c>
      <c r="C93">
        <v>294.7</v>
      </c>
      <c r="D93" s="36">
        <f t="shared" si="2"/>
        <v>-2.3752969121140111E-2</v>
      </c>
      <c r="F93" s="34">
        <f>'Raw Data'!G89</f>
        <v>46108</v>
      </c>
      <c r="G93">
        <f>'Raw Data'!J89</f>
        <v>23043.9</v>
      </c>
      <c r="H93" s="36">
        <f t="shared" si="3"/>
        <v>-3.1483386058783425E-2</v>
      </c>
    </row>
    <row r="94" spans="2:8" x14ac:dyDescent="0.3">
      <c r="B94" s="34">
        <f>'Raw Data'!G90</f>
        <v>46106</v>
      </c>
      <c r="C94">
        <v>295.7</v>
      </c>
      <c r="D94" s="36">
        <f t="shared" si="2"/>
        <v>-3.3818058843422261E-3</v>
      </c>
      <c r="F94" s="34">
        <f>'Raw Data'!G90</f>
        <v>46106</v>
      </c>
      <c r="G94">
        <f>'Raw Data'!J90</f>
        <v>23300</v>
      </c>
      <c r="H94" s="36">
        <f t="shared" si="3"/>
        <v>-1.0991416309012791E-2</v>
      </c>
    </row>
    <row r="95" spans="2:8" x14ac:dyDescent="0.3">
      <c r="B95" s="34">
        <f>'Raw Data'!G91</f>
        <v>46105</v>
      </c>
      <c r="C95">
        <v>291.25</v>
      </c>
      <c r="D95" s="36">
        <f t="shared" si="2"/>
        <v>1.5278969957081445E-2</v>
      </c>
      <c r="F95" s="34">
        <f>'Raw Data'!G91</f>
        <v>46105</v>
      </c>
      <c r="G95">
        <f>'Raw Data'!J91</f>
        <v>23055.9</v>
      </c>
      <c r="H95" s="36">
        <f t="shared" si="3"/>
        <v>1.0587311707632274E-2</v>
      </c>
    </row>
    <row r="96" spans="2:8" x14ac:dyDescent="0.3">
      <c r="B96" s="34">
        <f>'Raw Data'!G92</f>
        <v>46104</v>
      </c>
      <c r="C96">
        <v>290.45</v>
      </c>
      <c r="D96" s="36">
        <f t="shared" si="2"/>
        <v>2.7543467033912528E-3</v>
      </c>
      <c r="F96" s="34">
        <f>'Raw Data'!G92</f>
        <v>46104</v>
      </c>
      <c r="G96">
        <f>'Raw Data'!J92</f>
        <v>22648.2</v>
      </c>
      <c r="H96" s="36">
        <f t="shared" si="3"/>
        <v>1.8001430577264443E-2</v>
      </c>
    </row>
    <row r="97" spans="2:8" x14ac:dyDescent="0.3">
      <c r="B97" s="34">
        <f>'Raw Data'!G93</f>
        <v>46101</v>
      </c>
      <c r="C97">
        <v>299.95</v>
      </c>
      <c r="D97" s="36">
        <f t="shared" si="2"/>
        <v>-3.1671945324220685E-2</v>
      </c>
      <c r="F97" s="34">
        <f>'Raw Data'!G93</f>
        <v>46101</v>
      </c>
      <c r="G97">
        <f>'Raw Data'!J93</f>
        <v>23140.5</v>
      </c>
      <c r="H97" s="36">
        <f t="shared" si="3"/>
        <v>-2.1274389058144827E-2</v>
      </c>
    </row>
    <row r="98" spans="2:8" x14ac:dyDescent="0.3">
      <c r="B98" s="34">
        <f>'Raw Data'!G94</f>
        <v>46100</v>
      </c>
      <c r="C98">
        <v>298</v>
      </c>
      <c r="D98" s="36">
        <f t="shared" si="2"/>
        <v>6.5436241610736801E-3</v>
      </c>
      <c r="F98" s="34">
        <f>'Raw Data'!G94</f>
        <v>46100</v>
      </c>
      <c r="G98">
        <f>'Raw Data'!J94</f>
        <v>23333</v>
      </c>
      <c r="H98" s="36">
        <f t="shared" si="3"/>
        <v>-8.2501178588265667E-3</v>
      </c>
    </row>
    <row r="99" spans="2:8" x14ac:dyDescent="0.3">
      <c r="B99" s="34">
        <f>'Raw Data'!G95</f>
        <v>46099</v>
      </c>
      <c r="C99">
        <v>304.05</v>
      </c>
      <c r="D99" s="36">
        <f t="shared" si="2"/>
        <v>-1.9898043085018968E-2</v>
      </c>
      <c r="F99" s="34">
        <f>'Raw Data'!G95</f>
        <v>46099</v>
      </c>
      <c r="G99">
        <f>'Raw Data'!J95</f>
        <v>23776.400000000001</v>
      </c>
      <c r="H99" s="36">
        <f t="shared" si="3"/>
        <v>-1.864874413283768E-2</v>
      </c>
    </row>
    <row r="100" spans="2:8" x14ac:dyDescent="0.3">
      <c r="B100" s="34">
        <f>'Raw Data'!G96</f>
        <v>46098</v>
      </c>
      <c r="C100">
        <v>304.85000000000002</v>
      </c>
      <c r="D100" s="36">
        <f t="shared" si="2"/>
        <v>-2.6242414302116712E-3</v>
      </c>
      <c r="F100" s="34">
        <f>'Raw Data'!G96</f>
        <v>46098</v>
      </c>
      <c r="G100">
        <f>'Raw Data'!J96</f>
        <v>23767.4</v>
      </c>
      <c r="H100" s="36">
        <f t="shared" si="3"/>
        <v>3.7866994286295252E-4</v>
      </c>
    </row>
    <row r="101" spans="2:8" x14ac:dyDescent="0.3">
      <c r="B101" s="34">
        <f>'Raw Data'!G97</f>
        <v>46097</v>
      </c>
      <c r="C101">
        <v>308.25</v>
      </c>
      <c r="D101" s="36">
        <f t="shared" si="2"/>
        <v>-1.1030008110299971E-2</v>
      </c>
      <c r="F101" s="34">
        <f>'Raw Data'!G97</f>
        <v>46097</v>
      </c>
      <c r="G101">
        <f>'Raw Data'!J97</f>
        <v>23429.200000000001</v>
      </c>
      <c r="H101" s="36">
        <f t="shared" si="3"/>
        <v>1.4434978573745649E-2</v>
      </c>
    </row>
    <row r="102" spans="2:8" x14ac:dyDescent="0.3">
      <c r="B102" s="34">
        <f>'Raw Data'!G98</f>
        <v>46094</v>
      </c>
      <c r="C102">
        <v>301.45</v>
      </c>
      <c r="D102" s="36">
        <f t="shared" si="2"/>
        <v>2.2557638082600695E-2</v>
      </c>
      <c r="F102" s="34">
        <f>'Raw Data'!G98</f>
        <v>46094</v>
      </c>
      <c r="G102">
        <f>'Raw Data'!J98</f>
        <v>23199.3</v>
      </c>
      <c r="H102" s="36">
        <f t="shared" si="3"/>
        <v>9.9097817606565997E-3</v>
      </c>
    </row>
    <row r="103" spans="2:8" x14ac:dyDescent="0.3">
      <c r="B103" s="34">
        <f>'Raw Data'!G99</f>
        <v>46093</v>
      </c>
      <c r="C103">
        <v>304.10000000000002</v>
      </c>
      <c r="D103" s="36">
        <f t="shared" si="2"/>
        <v>-8.7142387372576291E-3</v>
      </c>
      <c r="F103" s="34">
        <f>'Raw Data'!G99</f>
        <v>46093</v>
      </c>
      <c r="G103">
        <f>'Raw Data'!J99</f>
        <v>24010.3</v>
      </c>
      <c r="H103" s="36">
        <f t="shared" si="3"/>
        <v>-3.3777170630937547E-2</v>
      </c>
    </row>
    <row r="104" spans="2:8" x14ac:dyDescent="0.3">
      <c r="B104" s="34">
        <f>'Raw Data'!G100</f>
        <v>46092</v>
      </c>
      <c r="C104">
        <v>309</v>
      </c>
      <c r="D104" s="36">
        <f t="shared" si="2"/>
        <v>-1.5857605177993506E-2</v>
      </c>
      <c r="F104" s="34">
        <f>'Raw Data'!G100</f>
        <v>46092</v>
      </c>
      <c r="G104">
        <f>'Raw Data'!J100</f>
        <v>23939.1</v>
      </c>
      <c r="H104" s="36">
        <f t="shared" si="3"/>
        <v>2.9742137340167396E-3</v>
      </c>
    </row>
    <row r="105" spans="2:8" x14ac:dyDescent="0.3">
      <c r="B105" s="34">
        <f>'Raw Data'!G101</f>
        <v>46091</v>
      </c>
      <c r="C105">
        <v>309.05</v>
      </c>
      <c r="D105" s="36">
        <f t="shared" si="2"/>
        <v>-1.6178611875106164E-4</v>
      </c>
      <c r="F105" s="34">
        <f>'Raw Data'!G101</f>
        <v>46091</v>
      </c>
      <c r="G105">
        <f>'Raw Data'!J101</f>
        <v>24545.599999999999</v>
      </c>
      <c r="H105" s="36">
        <f t="shared" si="3"/>
        <v>-2.4709112834886859E-2</v>
      </c>
    </row>
    <row r="106" spans="2:8" x14ac:dyDescent="0.3">
      <c r="B106" s="34">
        <f>'Raw Data'!G102</f>
        <v>46090</v>
      </c>
      <c r="C106">
        <v>306</v>
      </c>
      <c r="D106" s="36">
        <f t="shared" si="2"/>
        <v>9.9673202614378731E-3</v>
      </c>
      <c r="F106" s="34">
        <f>'Raw Data'!G102</f>
        <v>46090</v>
      </c>
      <c r="G106">
        <f>'Raw Data'!J102</f>
        <v>24285.8</v>
      </c>
      <c r="H106" s="36">
        <f t="shared" si="3"/>
        <v>1.0697609302555477E-2</v>
      </c>
    </row>
    <row r="107" spans="2:8" x14ac:dyDescent="0.3">
      <c r="B107" s="34">
        <f>'Raw Data'!G103</f>
        <v>46087</v>
      </c>
      <c r="C107">
        <v>309.7</v>
      </c>
      <c r="D107" s="36">
        <f t="shared" si="2"/>
        <v>-1.1947045527930245E-2</v>
      </c>
      <c r="F107" s="34">
        <f>'Raw Data'!G103</f>
        <v>46087</v>
      </c>
      <c r="G107">
        <f>'Raw Data'!J103</f>
        <v>24545.7</v>
      </c>
      <c r="H107" s="36">
        <f t="shared" si="3"/>
        <v>-1.0588412634392252E-2</v>
      </c>
    </row>
    <row r="108" spans="2:8" x14ac:dyDescent="0.3">
      <c r="B108" s="34">
        <f>'Raw Data'!G104</f>
        <v>46086</v>
      </c>
      <c r="C108">
        <v>311.5</v>
      </c>
      <c r="D108" s="36">
        <f t="shared" si="2"/>
        <v>-5.7784911717496668E-3</v>
      </c>
      <c r="F108" s="34">
        <f>'Raw Data'!G104</f>
        <v>46086</v>
      </c>
      <c r="G108">
        <f>'Raw Data'!J104</f>
        <v>25118.5</v>
      </c>
      <c r="H108" s="36">
        <f t="shared" si="3"/>
        <v>-2.2803909469116368E-2</v>
      </c>
    </row>
    <row r="109" spans="2:8" x14ac:dyDescent="0.3">
      <c r="B109" s="34">
        <f>'Raw Data'!G105</f>
        <v>46085</v>
      </c>
      <c r="C109">
        <v>311.95</v>
      </c>
      <c r="D109" s="36">
        <f t="shared" si="2"/>
        <v>-1.442538868408394E-3</v>
      </c>
      <c r="F109" s="34">
        <f>'Raw Data'!G105</f>
        <v>46085</v>
      </c>
      <c r="G109">
        <f>'Raw Data'!J105</f>
        <v>24584.7</v>
      </c>
      <c r="H109" s="36">
        <f t="shared" si="3"/>
        <v>2.1712691226657199E-2</v>
      </c>
    </row>
    <row r="110" spans="2:8" x14ac:dyDescent="0.3">
      <c r="B110" s="34">
        <f>'Raw Data'!G106</f>
        <v>46083</v>
      </c>
      <c r="C110">
        <v>314.89999999999998</v>
      </c>
      <c r="D110" s="36">
        <f t="shared" si="2"/>
        <v>-9.3680533502699115E-3</v>
      </c>
      <c r="F110" s="34">
        <f>'Raw Data'!G106</f>
        <v>46083</v>
      </c>
      <c r="G110">
        <f>'Raw Data'!J106</f>
        <v>25140.2</v>
      </c>
      <c r="H110" s="36">
        <f t="shared" si="3"/>
        <v>-2.2096085154453826E-2</v>
      </c>
    </row>
    <row r="111" spans="2:8" x14ac:dyDescent="0.3">
      <c r="B111" s="34">
        <f>'Raw Data'!G107</f>
        <v>46080</v>
      </c>
      <c r="C111">
        <v>313.60000000000002</v>
      </c>
      <c r="D111" s="36">
        <f t="shared" si="2"/>
        <v>4.1454081632652517E-3</v>
      </c>
      <c r="F111" s="34">
        <f>'Raw Data'!G107</f>
        <v>46080</v>
      </c>
      <c r="G111">
        <f>'Raw Data'!J107</f>
        <v>25598.2</v>
      </c>
      <c r="H111" s="36">
        <f t="shared" si="3"/>
        <v>-1.7891883023025024E-2</v>
      </c>
    </row>
    <row r="112" spans="2:8" x14ac:dyDescent="0.3">
      <c r="B112" s="34">
        <f>'Raw Data'!G108</f>
        <v>46079</v>
      </c>
      <c r="C112">
        <v>318.3</v>
      </c>
      <c r="D112" s="36">
        <f t="shared" si="2"/>
        <v>-1.4765944077913873E-2</v>
      </c>
      <c r="F112" s="34">
        <f>'Raw Data'!G108</f>
        <v>46079</v>
      </c>
      <c r="G112">
        <f>'Raw Data'!J108</f>
        <v>25912.5</v>
      </c>
      <c r="H112" s="36">
        <f t="shared" si="3"/>
        <v>-1.2129281234925182E-2</v>
      </c>
    </row>
    <row r="113" spans="2:8" x14ac:dyDescent="0.3">
      <c r="B113" s="34">
        <f>'Raw Data'!G109</f>
        <v>46078</v>
      </c>
      <c r="C113">
        <v>319.75</v>
      </c>
      <c r="D113" s="36">
        <f t="shared" si="2"/>
        <v>-4.5347928068802945E-3</v>
      </c>
      <c r="F113" s="34">
        <f>'Raw Data'!G109</f>
        <v>46078</v>
      </c>
      <c r="G113">
        <f>'Raw Data'!J109</f>
        <v>25791.8</v>
      </c>
      <c r="H113" s="36">
        <f t="shared" si="3"/>
        <v>4.6797819461998902E-3</v>
      </c>
    </row>
    <row r="114" spans="2:8" x14ac:dyDescent="0.3">
      <c r="B114" s="34">
        <f>'Raw Data'!G110</f>
        <v>46077</v>
      </c>
      <c r="C114">
        <v>323.5</v>
      </c>
      <c r="D114" s="36">
        <f t="shared" si="2"/>
        <v>-1.1591962905718733E-2</v>
      </c>
      <c r="F114" s="34">
        <f>'Raw Data'!G110</f>
        <v>46077</v>
      </c>
      <c r="G114">
        <f>'Raw Data'!J110</f>
        <v>25600.3</v>
      </c>
      <c r="H114" s="36">
        <f t="shared" si="3"/>
        <v>7.4803810892840605E-3</v>
      </c>
    </row>
    <row r="115" spans="2:8" x14ac:dyDescent="0.3">
      <c r="B115" s="34">
        <f>'Raw Data'!G111</f>
        <v>46076</v>
      </c>
      <c r="C115">
        <v>325.39999999999998</v>
      </c>
      <c r="D115" s="36">
        <f t="shared" si="2"/>
        <v>-5.8389674247080192E-3</v>
      </c>
      <c r="F115" s="34">
        <f>'Raw Data'!G111</f>
        <v>46076</v>
      </c>
      <c r="G115">
        <f>'Raw Data'!J111</f>
        <v>26015</v>
      </c>
      <c r="H115" s="36">
        <f t="shared" si="3"/>
        <v>-1.5940803382663904E-2</v>
      </c>
    </row>
    <row r="116" spans="2:8" x14ac:dyDescent="0.3">
      <c r="B116" s="34">
        <f>'Raw Data'!G112</f>
        <v>46073</v>
      </c>
      <c r="C116">
        <v>327</v>
      </c>
      <c r="D116" s="36">
        <f t="shared" si="2"/>
        <v>-4.8929663608563434E-3</v>
      </c>
      <c r="F116" s="34">
        <f>'Raw Data'!G112</f>
        <v>46073</v>
      </c>
      <c r="G116">
        <f>'Raw Data'!J112</f>
        <v>25584.7</v>
      </c>
      <c r="H116" s="36">
        <f t="shared" si="3"/>
        <v>1.6818645518610786E-2</v>
      </c>
    </row>
    <row r="117" spans="2:8" x14ac:dyDescent="0.3">
      <c r="B117" s="34">
        <f>'Raw Data'!G113</f>
        <v>46072</v>
      </c>
      <c r="C117">
        <v>326</v>
      </c>
      <c r="D117" s="36">
        <f t="shared" si="2"/>
        <v>3.0674846625766694E-3</v>
      </c>
      <c r="F117" s="34">
        <f>'Raw Data'!G113</f>
        <v>46072</v>
      </c>
      <c r="G117">
        <f>'Raw Data'!J113</f>
        <v>25446</v>
      </c>
      <c r="H117" s="36">
        <f t="shared" si="3"/>
        <v>5.4507584689145183E-3</v>
      </c>
    </row>
    <row r="118" spans="2:8" x14ac:dyDescent="0.3">
      <c r="B118" s="34">
        <f>'Raw Data'!G114</f>
        <v>46071</v>
      </c>
      <c r="C118">
        <v>332.45</v>
      </c>
      <c r="D118" s="36">
        <f t="shared" si="2"/>
        <v>-1.9401413746428009E-2</v>
      </c>
      <c r="F118" s="34">
        <f>'Raw Data'!G114</f>
        <v>46071</v>
      </c>
      <c r="G118">
        <f>'Raw Data'!J114</f>
        <v>26144.5</v>
      </c>
      <c r="H118" s="36">
        <f t="shared" si="3"/>
        <v>-2.671690030407925E-2</v>
      </c>
    </row>
    <row r="119" spans="2:8" x14ac:dyDescent="0.3">
      <c r="B119" s="34">
        <f>'Raw Data'!G115</f>
        <v>46070</v>
      </c>
      <c r="C119">
        <v>325.45</v>
      </c>
      <c r="D119" s="36">
        <f t="shared" si="2"/>
        <v>2.1508680288830906E-2</v>
      </c>
      <c r="F119" s="34">
        <f>'Raw Data'!G115</f>
        <v>46070</v>
      </c>
      <c r="G119">
        <f>'Raw Data'!J115</f>
        <v>25898.7</v>
      </c>
      <c r="H119" s="36">
        <f t="shared" si="3"/>
        <v>9.4908238637461118E-3</v>
      </c>
    </row>
    <row r="120" spans="2:8" x14ac:dyDescent="0.3">
      <c r="B120" s="34">
        <f>'Raw Data'!G116</f>
        <v>46069</v>
      </c>
      <c r="C120">
        <v>317.95</v>
      </c>
      <c r="D120" s="36">
        <f t="shared" si="2"/>
        <v>2.358861456203809E-2</v>
      </c>
      <c r="F120" s="34">
        <f>'Raw Data'!G116</f>
        <v>46069</v>
      </c>
      <c r="G120">
        <f>'Raw Data'!J116</f>
        <v>25879</v>
      </c>
      <c r="H120" s="36">
        <f t="shared" si="3"/>
        <v>7.6123497816760199E-4</v>
      </c>
    </row>
    <row r="121" spans="2:8" x14ac:dyDescent="0.3">
      <c r="B121" s="34">
        <f>'Raw Data'!G117</f>
        <v>46066</v>
      </c>
      <c r="C121">
        <v>313.75</v>
      </c>
      <c r="D121" s="36">
        <f t="shared" si="2"/>
        <v>1.3386454183266894E-2</v>
      </c>
      <c r="F121" s="34">
        <f>'Raw Data'!G117</f>
        <v>46066</v>
      </c>
      <c r="G121">
        <f>'Raw Data'!J117</f>
        <v>25688.6</v>
      </c>
      <c r="H121" s="36">
        <f t="shared" si="3"/>
        <v>7.4118480571148115E-3</v>
      </c>
    </row>
    <row r="122" spans="2:8" x14ac:dyDescent="0.3">
      <c r="B122" s="34">
        <f>'Raw Data'!G118</f>
        <v>46065</v>
      </c>
      <c r="C122">
        <v>317.45</v>
      </c>
      <c r="D122" s="36">
        <f t="shared" si="2"/>
        <v>-1.1655378799810934E-2</v>
      </c>
      <c r="F122" s="34">
        <f>'Raw Data'!G118</f>
        <v>46065</v>
      </c>
      <c r="G122">
        <f>'Raw Data'!J118</f>
        <v>26025.3</v>
      </c>
      <c r="H122" s="36">
        <f t="shared" si="3"/>
        <v>-1.293741090400502E-2</v>
      </c>
    </row>
    <row r="123" spans="2:8" x14ac:dyDescent="0.3">
      <c r="B123" s="34">
        <f>'Raw Data'!G119</f>
        <v>46064</v>
      </c>
      <c r="C123">
        <v>318.25</v>
      </c>
      <c r="D123" s="36">
        <f t="shared" si="2"/>
        <v>-2.5137470542027085E-3</v>
      </c>
      <c r="F123" s="34">
        <f>'Raw Data'!G119</f>
        <v>46064</v>
      </c>
      <c r="G123">
        <f>'Raw Data'!J119</f>
        <v>26151</v>
      </c>
      <c r="H123" s="36">
        <f t="shared" si="3"/>
        <v>-4.8066995525983813E-3</v>
      </c>
    </row>
    <row r="124" spans="2:8" x14ac:dyDescent="0.3">
      <c r="B124" s="34">
        <f>'Raw Data'!G120</f>
        <v>46063</v>
      </c>
      <c r="C124">
        <v>321.39999999999998</v>
      </c>
      <c r="D124" s="36">
        <f t="shared" si="2"/>
        <v>-9.8008711885499977E-3</v>
      </c>
      <c r="F124" s="34">
        <f>'Raw Data'!G120</f>
        <v>46063</v>
      </c>
      <c r="G124">
        <f>'Raw Data'!J120</f>
        <v>26295.3</v>
      </c>
      <c r="H124" s="36">
        <f t="shared" si="3"/>
        <v>-5.4876727019657068E-3</v>
      </c>
    </row>
    <row r="125" spans="2:8" x14ac:dyDescent="0.3">
      <c r="B125" s="34">
        <f>'Raw Data'!G121</f>
        <v>46062</v>
      </c>
      <c r="C125">
        <v>322.8</v>
      </c>
      <c r="D125" s="36">
        <f t="shared" si="2"/>
        <v>-4.3370508054524359E-3</v>
      </c>
      <c r="F125" s="34">
        <f>'Raw Data'!G121</f>
        <v>46062</v>
      </c>
      <c r="G125">
        <f>'Raw Data'!J121</f>
        <v>26068.799999999999</v>
      </c>
      <c r="H125" s="36">
        <f t="shared" si="3"/>
        <v>8.6885472288713572E-3</v>
      </c>
    </row>
    <row r="126" spans="2:8" x14ac:dyDescent="0.3">
      <c r="B126" s="34">
        <f>'Raw Data'!G122</f>
        <v>46059</v>
      </c>
      <c r="C126">
        <v>325.8</v>
      </c>
      <c r="D126" s="36">
        <f t="shared" si="2"/>
        <v>-9.2081031307550409E-3</v>
      </c>
      <c r="F126" s="34">
        <f>'Raw Data'!G122</f>
        <v>46059</v>
      </c>
      <c r="G126">
        <f>'Raw Data'!J122</f>
        <v>26045.5</v>
      </c>
      <c r="H126" s="36">
        <f t="shared" si="3"/>
        <v>8.945883165998314E-4</v>
      </c>
    </row>
    <row r="127" spans="2:8" x14ac:dyDescent="0.3">
      <c r="B127" s="34">
        <f>'Raw Data'!G123</f>
        <v>46058</v>
      </c>
      <c r="C127">
        <v>310.2</v>
      </c>
      <c r="D127" s="36">
        <f t="shared" si="2"/>
        <v>5.0290135396518387E-2</v>
      </c>
      <c r="F127" s="34">
        <f>'Raw Data'!G123</f>
        <v>46058</v>
      </c>
      <c r="G127">
        <f>'Raw Data'!J123</f>
        <v>25725</v>
      </c>
      <c r="H127" s="36">
        <f t="shared" si="3"/>
        <v>1.2458697764820226E-2</v>
      </c>
    </row>
    <row r="128" spans="2:8" x14ac:dyDescent="0.3">
      <c r="B128" s="34">
        <f>'Raw Data'!G124</f>
        <v>46057</v>
      </c>
      <c r="C128">
        <v>313.85000000000002</v>
      </c>
      <c r="D128" s="36">
        <f t="shared" si="2"/>
        <v>-1.162975943922262E-2</v>
      </c>
      <c r="F128" s="34">
        <f>'Raw Data'!G124</f>
        <v>46057</v>
      </c>
      <c r="G128">
        <f>'Raw Data'!J124</f>
        <v>25848.799999999999</v>
      </c>
      <c r="H128" s="36">
        <f t="shared" si="3"/>
        <v>-4.7893906100089367E-3</v>
      </c>
    </row>
    <row r="129" spans="2:8" x14ac:dyDescent="0.3">
      <c r="B129" s="34">
        <f>'Raw Data'!G125</f>
        <v>46056</v>
      </c>
      <c r="C129">
        <v>316.64999999999998</v>
      </c>
      <c r="D129" s="36">
        <f t="shared" si="2"/>
        <v>-8.8425706616136468E-3</v>
      </c>
      <c r="F129" s="34">
        <f>'Raw Data'!G125</f>
        <v>46056</v>
      </c>
      <c r="G129">
        <f>'Raw Data'!J125</f>
        <v>25976.7</v>
      </c>
      <c r="H129" s="36">
        <f t="shared" si="3"/>
        <v>-4.9236431109417333E-3</v>
      </c>
    </row>
    <row r="130" spans="2:8" x14ac:dyDescent="0.3">
      <c r="B130" s="34">
        <f>'Raw Data'!G126</f>
        <v>46055</v>
      </c>
      <c r="C130">
        <v>314.7</v>
      </c>
      <c r="D130" s="36">
        <f t="shared" si="2"/>
        <v>6.1963775023832213E-3</v>
      </c>
      <c r="F130" s="34">
        <f>'Raw Data'!G126</f>
        <v>46055</v>
      </c>
      <c r="G130">
        <f>'Raw Data'!J126</f>
        <v>25297.4</v>
      </c>
      <c r="H130" s="36">
        <f t="shared" si="3"/>
        <v>2.6852561923359719E-2</v>
      </c>
    </row>
    <row r="131" spans="2:8" x14ac:dyDescent="0.3">
      <c r="B131" s="34">
        <f>'Raw Data'!G127</f>
        <v>46054</v>
      </c>
      <c r="C131">
        <v>309.45</v>
      </c>
      <c r="D131" s="36">
        <f t="shared" si="2"/>
        <v>1.6965584100824049E-2</v>
      </c>
      <c r="F131" s="34">
        <f>'Raw Data'!G127</f>
        <v>46054</v>
      </c>
      <c r="G131">
        <f>'Raw Data'!J127</f>
        <v>25029.599999999999</v>
      </c>
      <c r="H131" s="36">
        <f t="shared" si="3"/>
        <v>1.0699331990922767E-2</v>
      </c>
    </row>
    <row r="132" spans="2:8" x14ac:dyDescent="0.3">
      <c r="B132" s="34">
        <f>'Raw Data'!G128</f>
        <v>46052</v>
      </c>
      <c r="C132">
        <v>322.14999999999998</v>
      </c>
      <c r="D132" s="36">
        <f t="shared" si="2"/>
        <v>-3.9422629209995286E-2</v>
      </c>
      <c r="F132" s="34">
        <f>'Raw Data'!G128</f>
        <v>46052</v>
      </c>
      <c r="G132">
        <f>'Raw Data'!J128</f>
        <v>25582.799999999999</v>
      </c>
      <c r="H132" s="36">
        <f t="shared" si="3"/>
        <v>-2.1623903560204494E-2</v>
      </c>
    </row>
    <row r="133" spans="2:8" x14ac:dyDescent="0.3">
      <c r="B133" s="34">
        <f>'Raw Data'!G129</f>
        <v>46051</v>
      </c>
      <c r="C133">
        <v>318.60000000000002</v>
      </c>
      <c r="D133" s="36">
        <f t="shared" si="2"/>
        <v>1.1142498430633863E-2</v>
      </c>
      <c r="F133" s="34">
        <f>'Raw Data'!G129</f>
        <v>46051</v>
      </c>
      <c r="G133">
        <f>'Raw Data'!J129</f>
        <v>25707.1</v>
      </c>
      <c r="H133" s="36">
        <f t="shared" si="3"/>
        <v>-4.8352400698639109E-3</v>
      </c>
    </row>
    <row r="134" spans="2:8" x14ac:dyDescent="0.3">
      <c r="B134" s="34">
        <f>'Raw Data'!G130</f>
        <v>46050</v>
      </c>
      <c r="C134">
        <v>321.14999999999998</v>
      </c>
      <c r="D134" s="36">
        <f t="shared" si="2"/>
        <v>-7.9402148528723293E-3</v>
      </c>
      <c r="F134" s="34">
        <f>'Raw Data'!G130</f>
        <v>46050</v>
      </c>
      <c r="G134">
        <f>'Raw Data'!J130</f>
        <v>25778.799999999999</v>
      </c>
      <c r="H134" s="36">
        <f t="shared" si="3"/>
        <v>-2.7813552221205295E-3</v>
      </c>
    </row>
    <row r="135" spans="2:8" x14ac:dyDescent="0.3">
      <c r="B135" s="34">
        <f>'Raw Data'!G131</f>
        <v>46049</v>
      </c>
      <c r="C135">
        <v>318.64999999999998</v>
      </c>
      <c r="D135" s="36">
        <f t="shared" si="2"/>
        <v>7.8455986191745541E-3</v>
      </c>
      <c r="F135" s="34">
        <f>'Raw Data'!G131</f>
        <v>46049</v>
      </c>
      <c r="G135">
        <f>'Raw Data'!J131</f>
        <v>25569.3</v>
      </c>
      <c r="H135" s="36">
        <f t="shared" si="3"/>
        <v>8.19341945223373E-3</v>
      </c>
    </row>
    <row r="136" spans="2:8" x14ac:dyDescent="0.3">
      <c r="B136" s="34">
        <f>'Raw Data'!G132</f>
        <v>46045</v>
      </c>
      <c r="C136">
        <v>323.39999999999998</v>
      </c>
      <c r="D136" s="36">
        <f t="shared" si="2"/>
        <v>-1.4687693259121781E-2</v>
      </c>
      <c r="F136" s="34">
        <f>'Raw Data'!G132</f>
        <v>46045</v>
      </c>
      <c r="G136">
        <f>'Raw Data'!J132</f>
        <v>25202.6</v>
      </c>
      <c r="H136" s="36">
        <f t="shared" si="3"/>
        <v>1.4550086102227633E-2</v>
      </c>
    </row>
    <row r="137" spans="2:8" x14ac:dyDescent="0.3">
      <c r="B137" s="34">
        <f>'Raw Data'!G133</f>
        <v>46044</v>
      </c>
      <c r="C137">
        <v>324.85000000000002</v>
      </c>
      <c r="D137" s="36">
        <f t="shared" si="2"/>
        <v>-4.4635985839619474E-3</v>
      </c>
      <c r="F137" s="34">
        <f>'Raw Data'!G133</f>
        <v>46044</v>
      </c>
      <c r="G137">
        <f>'Raw Data'!J133</f>
        <v>25688.400000000001</v>
      </c>
      <c r="H137" s="36">
        <f t="shared" si="3"/>
        <v>-1.8911259556842919E-2</v>
      </c>
    </row>
    <row r="138" spans="2:8" x14ac:dyDescent="0.3">
      <c r="B138" s="34">
        <f>'Raw Data'!G134</f>
        <v>46043</v>
      </c>
      <c r="C138">
        <v>324.75</v>
      </c>
      <c r="D138" s="36">
        <f t="shared" si="2"/>
        <v>3.079291762895231E-4</v>
      </c>
      <c r="F138" s="34">
        <f>'Raw Data'!G134</f>
        <v>46043</v>
      </c>
      <c r="G138">
        <f>'Raw Data'!J134</f>
        <v>25397.9</v>
      </c>
      <c r="H138" s="36">
        <f t="shared" si="3"/>
        <v>1.1437953531591161E-2</v>
      </c>
    </row>
    <row r="139" spans="2:8" x14ac:dyDescent="0.3">
      <c r="B139" s="34">
        <f>'Raw Data'!G135</f>
        <v>46042</v>
      </c>
      <c r="C139">
        <v>326.3</v>
      </c>
      <c r="D139" s="36">
        <f t="shared" si="2"/>
        <v>-4.7502298498315332E-3</v>
      </c>
      <c r="F139" s="34">
        <f>'Raw Data'!G135</f>
        <v>46042</v>
      </c>
      <c r="G139">
        <f>'Raw Data'!J135</f>
        <v>25737.8</v>
      </c>
      <c r="H139" s="36">
        <f t="shared" si="3"/>
        <v>-1.3206256945037964E-2</v>
      </c>
    </row>
    <row r="140" spans="2:8" x14ac:dyDescent="0.3">
      <c r="B140" s="34">
        <f>'Raw Data'!G136</f>
        <v>46041</v>
      </c>
      <c r="C140">
        <v>333.2</v>
      </c>
      <c r="D140" s="36">
        <f t="shared" ref="D140:D203" si="4">C139/C140-1</f>
        <v>-2.0708283313325304E-2</v>
      </c>
      <c r="F140" s="34">
        <f>'Raw Data'!G136</f>
        <v>46041</v>
      </c>
      <c r="G140">
        <f>'Raw Data'!J136</f>
        <v>26071.1</v>
      </c>
      <c r="H140" s="36">
        <f t="shared" ref="H140:H203" si="5">G139/G140-1</f>
        <v>-1.2784270705877399E-2</v>
      </c>
    </row>
    <row r="141" spans="2:8" x14ac:dyDescent="0.3">
      <c r="B141" s="34">
        <f>'Raw Data'!G137</f>
        <v>46038</v>
      </c>
      <c r="C141">
        <v>329.2</v>
      </c>
      <c r="D141" s="36">
        <f t="shared" si="4"/>
        <v>1.2150668286755817E-2</v>
      </c>
      <c r="F141" s="34">
        <f>'Raw Data'!G137</f>
        <v>46038</v>
      </c>
      <c r="G141">
        <f>'Raw Data'!J137</f>
        <v>26046.9</v>
      </c>
      <c r="H141" s="36">
        <f t="shared" si="5"/>
        <v>9.290932894123749E-4</v>
      </c>
    </row>
    <row r="142" spans="2:8" x14ac:dyDescent="0.3">
      <c r="B142" s="34">
        <f>'Raw Data'!G138</f>
        <v>46036</v>
      </c>
      <c r="C142">
        <v>334.75</v>
      </c>
      <c r="D142" s="36">
        <f t="shared" si="4"/>
        <v>-1.6579536967886499E-2</v>
      </c>
      <c r="F142" s="34">
        <f>'Raw Data'!G138</f>
        <v>46036</v>
      </c>
      <c r="G142">
        <f>'Raw Data'!J138</f>
        <v>26109</v>
      </c>
      <c r="H142" s="36">
        <f t="shared" si="5"/>
        <v>-2.3784901758013843E-3</v>
      </c>
    </row>
    <row r="143" spans="2:8" x14ac:dyDescent="0.3">
      <c r="B143" s="34">
        <f>'Raw Data'!G139</f>
        <v>46035</v>
      </c>
      <c r="C143">
        <v>334.7</v>
      </c>
      <c r="D143" s="36">
        <f t="shared" si="4"/>
        <v>1.4938751120419091E-4</v>
      </c>
      <c r="F143" s="34">
        <f>'Raw Data'!G139</f>
        <v>46035</v>
      </c>
      <c r="G143">
        <f>'Raw Data'!J139</f>
        <v>25876</v>
      </c>
      <c r="H143" s="36">
        <f t="shared" si="5"/>
        <v>9.0044829185345066E-3</v>
      </c>
    </row>
    <row r="144" spans="2:8" x14ac:dyDescent="0.3">
      <c r="B144" s="34">
        <f>'Raw Data'!G140</f>
        <v>46034</v>
      </c>
      <c r="C144">
        <v>338.4</v>
      </c>
      <c r="D144" s="36">
        <f t="shared" si="4"/>
        <v>-1.0933806146572023E-2</v>
      </c>
      <c r="F144" s="34">
        <f>'Raw Data'!G140</f>
        <v>46034</v>
      </c>
      <c r="G144">
        <f>'Raw Data'!J140</f>
        <v>25933.599999999999</v>
      </c>
      <c r="H144" s="36">
        <f t="shared" si="5"/>
        <v>-2.221056852885761E-3</v>
      </c>
    </row>
    <row r="145" spans="2:8" x14ac:dyDescent="0.3">
      <c r="B145" s="34">
        <f>'Raw Data'!G141</f>
        <v>46031</v>
      </c>
      <c r="C145">
        <v>337.15</v>
      </c>
      <c r="D145" s="36">
        <f t="shared" si="4"/>
        <v>3.7075485688862209E-3</v>
      </c>
      <c r="F145" s="34">
        <f>'Raw Data'!G141</f>
        <v>46031</v>
      </c>
      <c r="G145">
        <f>'Raw Data'!J141</f>
        <v>26327.4</v>
      </c>
      <c r="H145" s="36">
        <f t="shared" si="5"/>
        <v>-1.4957800618367267E-2</v>
      </c>
    </row>
    <row r="146" spans="2:8" x14ac:dyDescent="0.3">
      <c r="B146" s="34">
        <f>'Raw Data'!G142</f>
        <v>46030</v>
      </c>
      <c r="C146">
        <v>340.9</v>
      </c>
      <c r="D146" s="36">
        <f t="shared" si="4"/>
        <v>-1.100029334115582E-2</v>
      </c>
      <c r="F146" s="34">
        <f>'Raw Data'!G142</f>
        <v>46030</v>
      </c>
      <c r="G146">
        <f>'Raw Data'!J142</f>
        <v>26567.7</v>
      </c>
      <c r="H146" s="36">
        <f t="shared" si="5"/>
        <v>-9.0448175792409158E-3</v>
      </c>
    </row>
    <row r="147" spans="2:8" x14ac:dyDescent="0.3">
      <c r="B147" s="34">
        <f>'Raw Data'!G143</f>
        <v>46029</v>
      </c>
      <c r="C147">
        <v>341.25</v>
      </c>
      <c r="D147" s="36">
        <f t="shared" si="4"/>
        <v>-1.0256410256410664E-3</v>
      </c>
      <c r="F147" s="34">
        <f>'Raw Data'!G143</f>
        <v>46029</v>
      </c>
      <c r="G147">
        <f>'Raw Data'!J143</f>
        <v>26285.1</v>
      </c>
      <c r="H147" s="36">
        <f t="shared" si="5"/>
        <v>1.0751338210621242E-2</v>
      </c>
    </row>
    <row r="148" spans="2:8" x14ac:dyDescent="0.3">
      <c r="B148" s="34">
        <f>'Raw Data'!G144</f>
        <v>46028</v>
      </c>
      <c r="C148">
        <v>342.45</v>
      </c>
      <c r="D148" s="36">
        <f t="shared" si="4"/>
        <v>-3.504161191414723E-3</v>
      </c>
      <c r="F148" s="34">
        <f>'Raw Data'!G144</f>
        <v>46028</v>
      </c>
      <c r="G148">
        <f>'Raw Data'!J144</f>
        <v>26331.3</v>
      </c>
      <c r="H148" s="36">
        <f t="shared" si="5"/>
        <v>-1.7545658588827839E-3</v>
      </c>
    </row>
    <row r="149" spans="2:8" x14ac:dyDescent="0.3">
      <c r="B149" s="34">
        <f>'Raw Data'!G145</f>
        <v>46027</v>
      </c>
      <c r="C149">
        <v>349.7</v>
      </c>
      <c r="D149" s="36">
        <f t="shared" si="4"/>
        <v>-2.0732056048041181E-2</v>
      </c>
      <c r="F149" s="34">
        <f>'Raw Data'!G145</f>
        <v>46027</v>
      </c>
      <c r="G149">
        <f>'Raw Data'!J145</f>
        <v>26591.5</v>
      </c>
      <c r="H149" s="36">
        <f t="shared" si="5"/>
        <v>-9.7850816990392442E-3</v>
      </c>
    </row>
    <row r="150" spans="2:8" x14ac:dyDescent="0.3">
      <c r="B150" s="34">
        <f>'Raw Data'!G146</f>
        <v>46024</v>
      </c>
      <c r="C150">
        <v>350.05</v>
      </c>
      <c r="D150" s="36">
        <f t="shared" si="4"/>
        <v>-9.99857163262452E-4</v>
      </c>
      <c r="F150" s="34">
        <f>'Raw Data'!G146</f>
        <v>46024</v>
      </c>
      <c r="G150">
        <f>'Raw Data'!J146</f>
        <v>26436.9</v>
      </c>
      <c r="H150" s="36">
        <f t="shared" si="5"/>
        <v>5.8478868551152807E-3</v>
      </c>
    </row>
    <row r="151" spans="2:8" x14ac:dyDescent="0.3">
      <c r="B151" s="34">
        <f>'Raw Data'!G147</f>
        <v>46023</v>
      </c>
      <c r="C151">
        <v>363.85</v>
      </c>
      <c r="D151" s="36">
        <f t="shared" si="4"/>
        <v>-3.7927717465988775E-2</v>
      </c>
      <c r="F151" s="34">
        <f>'Raw Data'!G147</f>
        <v>46023</v>
      </c>
      <c r="G151">
        <f>'Raw Data'!J147</f>
        <v>26296.3</v>
      </c>
      <c r="H151" s="36">
        <f t="shared" si="5"/>
        <v>5.3467598103156266E-3</v>
      </c>
    </row>
    <row r="152" spans="2:8" x14ac:dyDescent="0.3">
      <c r="B152" s="34">
        <f>'Raw Data'!G148</f>
        <v>46022</v>
      </c>
      <c r="C152">
        <v>403</v>
      </c>
      <c r="D152" s="36">
        <f t="shared" si="4"/>
        <v>-9.7146401985111597E-2</v>
      </c>
      <c r="F152" s="34">
        <f>'Raw Data'!G148</f>
        <v>46022</v>
      </c>
      <c r="G152">
        <f>'Raw Data'!J148</f>
        <v>26258.400000000001</v>
      </c>
      <c r="H152" s="36">
        <f t="shared" si="5"/>
        <v>1.4433476525606004E-3</v>
      </c>
    </row>
    <row r="153" spans="2:8" x14ac:dyDescent="0.3">
      <c r="B153" s="34">
        <f>'Raw Data'!G149</f>
        <v>46021</v>
      </c>
      <c r="C153">
        <v>400.6</v>
      </c>
      <c r="D153" s="36">
        <f t="shared" si="4"/>
        <v>5.9910134797802606E-3</v>
      </c>
      <c r="F153" s="34">
        <f>'Raw Data'!G149</f>
        <v>46021</v>
      </c>
      <c r="G153">
        <f>'Raw Data'!J149</f>
        <v>26265.4</v>
      </c>
      <c r="H153" s="36">
        <f t="shared" si="5"/>
        <v>-2.6651031394919755E-4</v>
      </c>
    </row>
    <row r="154" spans="2:8" x14ac:dyDescent="0.3">
      <c r="B154" s="34">
        <f>'Raw Data'!G150</f>
        <v>46020</v>
      </c>
      <c r="C154">
        <v>402.6</v>
      </c>
      <c r="D154" s="36">
        <f t="shared" si="4"/>
        <v>-4.9677098857426882E-3</v>
      </c>
      <c r="F154" s="34">
        <f>'Raw Data'!G150</f>
        <v>46020</v>
      </c>
      <c r="G154">
        <f>'Raw Data'!J150</f>
        <v>26060.2</v>
      </c>
      <c r="H154" s="36">
        <f t="shared" si="5"/>
        <v>7.8740761774660495E-3</v>
      </c>
    </row>
    <row r="155" spans="2:8" x14ac:dyDescent="0.3">
      <c r="B155" s="34">
        <f>'Raw Data'!G151</f>
        <v>46017</v>
      </c>
      <c r="C155">
        <v>404.15</v>
      </c>
      <c r="D155" s="36">
        <f t="shared" si="4"/>
        <v>-3.8352096993689022E-3</v>
      </c>
      <c r="F155" s="34">
        <f>'Raw Data'!G151</f>
        <v>46017</v>
      </c>
      <c r="G155">
        <f>'Raw Data'!J151</f>
        <v>26498.6</v>
      </c>
      <c r="H155" s="36">
        <f t="shared" si="5"/>
        <v>-1.6544270263334604E-2</v>
      </c>
    </row>
    <row r="156" spans="2:8" x14ac:dyDescent="0.3">
      <c r="B156" s="34">
        <f>'Raw Data'!G152</f>
        <v>46015</v>
      </c>
      <c r="C156">
        <v>406.6</v>
      </c>
      <c r="D156" s="36">
        <f t="shared" si="4"/>
        <v>-6.0255779636007034E-3</v>
      </c>
      <c r="F156" s="34">
        <f>'Raw Data'!G152</f>
        <v>46015</v>
      </c>
      <c r="G156">
        <f>'Raw Data'!J152</f>
        <v>26392.799999999999</v>
      </c>
      <c r="H156" s="36">
        <f t="shared" si="5"/>
        <v>4.0086690309477646E-3</v>
      </c>
    </row>
    <row r="157" spans="2:8" x14ac:dyDescent="0.3">
      <c r="B157" s="34">
        <f>'Raw Data'!G153</f>
        <v>46014</v>
      </c>
      <c r="C157">
        <v>407.35</v>
      </c>
      <c r="D157" s="36">
        <f t="shared" si="4"/>
        <v>-1.841168528292636E-3</v>
      </c>
      <c r="F157" s="34">
        <f>'Raw Data'!G153</f>
        <v>46014</v>
      </c>
      <c r="G157">
        <f>'Raw Data'!J153</f>
        <v>26197.9</v>
      </c>
      <c r="H157" s="36">
        <f t="shared" si="5"/>
        <v>7.4395275957233054E-3</v>
      </c>
    </row>
    <row r="158" spans="2:8" x14ac:dyDescent="0.3">
      <c r="B158" s="34">
        <f>'Raw Data'!G154</f>
        <v>46013</v>
      </c>
      <c r="C158">
        <v>402.7</v>
      </c>
      <c r="D158" s="36">
        <f t="shared" si="4"/>
        <v>1.154705736280115E-2</v>
      </c>
      <c r="F158" s="34">
        <f>'Raw Data'!G154</f>
        <v>46013</v>
      </c>
      <c r="G158">
        <f>'Raw Data'!J154</f>
        <v>26331.5</v>
      </c>
      <c r="H158" s="36">
        <f t="shared" si="5"/>
        <v>-5.0737709587376223E-3</v>
      </c>
    </row>
    <row r="159" spans="2:8" x14ac:dyDescent="0.3">
      <c r="B159" s="34">
        <f>'Raw Data'!G155</f>
        <v>46010</v>
      </c>
      <c r="C159">
        <v>401.05</v>
      </c>
      <c r="D159" s="36">
        <f t="shared" si="4"/>
        <v>4.11420022441078E-3</v>
      </c>
      <c r="F159" s="34">
        <f>'Raw Data'!G155</f>
        <v>46010</v>
      </c>
      <c r="G159">
        <f>'Raw Data'!J155</f>
        <v>25880.6</v>
      </c>
      <c r="H159" s="36">
        <f t="shared" si="5"/>
        <v>1.7422316329606113E-2</v>
      </c>
    </row>
    <row r="160" spans="2:8" x14ac:dyDescent="0.3">
      <c r="B160" s="34">
        <f>'Raw Data'!G156</f>
        <v>46009</v>
      </c>
      <c r="C160">
        <v>400.4</v>
      </c>
      <c r="D160" s="36">
        <f t="shared" si="4"/>
        <v>1.6233766233766378E-3</v>
      </c>
      <c r="F160" s="34">
        <f>'Raw Data'!G156</f>
        <v>46009</v>
      </c>
      <c r="G160">
        <f>'Raw Data'!J156</f>
        <v>26061.8</v>
      </c>
      <c r="H160" s="36">
        <f t="shared" si="5"/>
        <v>-6.9527047249230423E-3</v>
      </c>
    </row>
    <row r="161" spans="2:8" x14ac:dyDescent="0.3">
      <c r="B161" s="34">
        <f>'Raw Data'!G157</f>
        <v>46008</v>
      </c>
      <c r="C161">
        <v>399.8</v>
      </c>
      <c r="D161" s="36">
        <f t="shared" si="4"/>
        <v>1.5007503751875984E-3</v>
      </c>
      <c r="F161" s="34">
        <f>'Raw Data'!G157</f>
        <v>46008</v>
      </c>
      <c r="G161">
        <f>'Raw Data'!J157</f>
        <v>26112.9</v>
      </c>
      <c r="H161" s="36">
        <f t="shared" si="5"/>
        <v>-1.9568872090041101E-3</v>
      </c>
    </row>
    <row r="162" spans="2:8" x14ac:dyDescent="0.3">
      <c r="B162" s="34">
        <f>'Raw Data'!G158</f>
        <v>46007</v>
      </c>
      <c r="C162">
        <v>401.7</v>
      </c>
      <c r="D162" s="36">
        <f t="shared" si="4"/>
        <v>-4.729897933781424E-3</v>
      </c>
      <c r="F162" s="34">
        <f>'Raw Data'!G158</f>
        <v>46007</v>
      </c>
      <c r="G162">
        <f>'Raw Data'!J158</f>
        <v>26407.3</v>
      </c>
      <c r="H162" s="36">
        <f t="shared" si="5"/>
        <v>-1.1148432441029477E-2</v>
      </c>
    </row>
    <row r="163" spans="2:8" x14ac:dyDescent="0.3">
      <c r="B163" s="34">
        <f>'Raw Data'!G159</f>
        <v>46006</v>
      </c>
      <c r="C163">
        <v>402.3</v>
      </c>
      <c r="D163" s="36">
        <f t="shared" si="4"/>
        <v>-1.4914243102163161E-3</v>
      </c>
      <c r="F163" s="34">
        <f>'Raw Data'!G159</f>
        <v>46006</v>
      </c>
      <c r="G163">
        <f>'Raw Data'!J159</f>
        <v>26145.4</v>
      </c>
      <c r="H163" s="36">
        <f t="shared" si="5"/>
        <v>1.0017058450052296E-2</v>
      </c>
    </row>
    <row r="164" spans="2:8" x14ac:dyDescent="0.3">
      <c r="B164" s="34">
        <f>'Raw Data'!G160</f>
        <v>46003</v>
      </c>
      <c r="C164">
        <v>400.1</v>
      </c>
      <c r="D164" s="36">
        <f t="shared" si="4"/>
        <v>5.4986253436639654E-3</v>
      </c>
      <c r="F164" s="34">
        <f>'Raw Data'!G160</f>
        <v>46003</v>
      </c>
      <c r="G164">
        <f>'Raw Data'!J160</f>
        <v>26009.5</v>
      </c>
      <c r="H164" s="36">
        <f t="shared" si="5"/>
        <v>5.2250139372151949E-3</v>
      </c>
    </row>
    <row r="165" spans="2:8" x14ac:dyDescent="0.3">
      <c r="B165" s="34">
        <f>'Raw Data'!G161</f>
        <v>46002</v>
      </c>
      <c r="C165">
        <v>402.9</v>
      </c>
      <c r="D165" s="36">
        <f t="shared" si="4"/>
        <v>-6.949615289153499E-3</v>
      </c>
      <c r="F165" s="34">
        <f>'Raw Data'!G161</f>
        <v>46002</v>
      </c>
      <c r="G165">
        <f>'Raw Data'!J161</f>
        <v>26032.400000000001</v>
      </c>
      <c r="H165" s="36">
        <f t="shared" si="5"/>
        <v>-8.7967302284852611E-4</v>
      </c>
    </row>
    <row r="166" spans="2:8" x14ac:dyDescent="0.3">
      <c r="B166" s="34">
        <f>'Raw Data'!G162</f>
        <v>46001</v>
      </c>
      <c r="C166">
        <v>403.15</v>
      </c>
      <c r="D166" s="36">
        <f t="shared" si="4"/>
        <v>-6.2011658191740704E-4</v>
      </c>
      <c r="F166" s="34">
        <f>'Raw Data'!G162</f>
        <v>46001</v>
      </c>
      <c r="G166">
        <f>'Raw Data'!J162</f>
        <v>25960.2</v>
      </c>
      <c r="H166" s="36">
        <f t="shared" si="5"/>
        <v>2.7811804223387693E-3</v>
      </c>
    </row>
    <row r="167" spans="2:8" x14ac:dyDescent="0.3">
      <c r="B167" s="34">
        <f>'Raw Data'!G163</f>
        <v>46000</v>
      </c>
      <c r="C167">
        <v>401.05</v>
      </c>
      <c r="D167" s="36">
        <f t="shared" si="4"/>
        <v>5.2362548310682655E-3</v>
      </c>
      <c r="F167" s="34">
        <f>'Raw Data'!G163</f>
        <v>46000</v>
      </c>
      <c r="G167">
        <f>'Raw Data'!J163</f>
        <v>26064.7</v>
      </c>
      <c r="H167" s="36">
        <f t="shared" si="5"/>
        <v>-4.0092538951148615E-3</v>
      </c>
    </row>
    <row r="168" spans="2:8" x14ac:dyDescent="0.3">
      <c r="B168" s="34">
        <f>'Raw Data'!G164</f>
        <v>45999</v>
      </c>
      <c r="C168">
        <v>402.3</v>
      </c>
      <c r="D168" s="36">
        <f t="shared" si="4"/>
        <v>-3.1071339796171493E-3</v>
      </c>
      <c r="F168" s="34">
        <f>'Raw Data'!G164</f>
        <v>45999</v>
      </c>
      <c r="G168">
        <f>'Raw Data'!J164</f>
        <v>26333.200000000001</v>
      </c>
      <c r="H168" s="36">
        <f t="shared" si="5"/>
        <v>-1.0196254158248874E-2</v>
      </c>
    </row>
    <row r="169" spans="2:8" x14ac:dyDescent="0.3">
      <c r="B169" s="34">
        <f>'Raw Data'!G165</f>
        <v>45996</v>
      </c>
      <c r="C169">
        <v>404.95</v>
      </c>
      <c r="D169" s="36">
        <f t="shared" si="4"/>
        <v>-6.5440177799728216E-3</v>
      </c>
      <c r="F169" s="34">
        <f>'Raw Data'!G165</f>
        <v>45996</v>
      </c>
      <c r="G169">
        <f>'Raw Data'!J165</f>
        <v>26350.5</v>
      </c>
      <c r="H169" s="36">
        <f t="shared" si="5"/>
        <v>-6.5653403161225476E-4</v>
      </c>
    </row>
    <row r="170" spans="2:8" x14ac:dyDescent="0.3">
      <c r="B170" s="34">
        <f>'Raw Data'!G166</f>
        <v>45995</v>
      </c>
      <c r="C170">
        <v>403.05</v>
      </c>
      <c r="D170" s="36">
        <f t="shared" si="4"/>
        <v>4.714055328123079E-3</v>
      </c>
      <c r="F170" s="34">
        <f>'Raw Data'!G166</f>
        <v>45995</v>
      </c>
      <c r="G170">
        <f>'Raw Data'!J166</f>
        <v>26302.6</v>
      </c>
      <c r="H170" s="36">
        <f t="shared" si="5"/>
        <v>1.8211127417062656E-3</v>
      </c>
    </row>
    <row r="171" spans="2:8" x14ac:dyDescent="0.3">
      <c r="B171" s="34">
        <f>'Raw Data'!G167</f>
        <v>45994</v>
      </c>
      <c r="C171">
        <v>400.5</v>
      </c>
      <c r="D171" s="36">
        <f t="shared" si="4"/>
        <v>6.3670411985019548E-3</v>
      </c>
      <c r="F171" s="34">
        <f>'Raw Data'!G167</f>
        <v>45994</v>
      </c>
      <c r="G171">
        <f>'Raw Data'!J167</f>
        <v>26530</v>
      </c>
      <c r="H171" s="36">
        <f t="shared" si="5"/>
        <v>-8.5714285714286742E-3</v>
      </c>
    </row>
    <row r="172" spans="2:8" x14ac:dyDescent="0.3">
      <c r="B172" s="34">
        <f>'Raw Data'!G168</f>
        <v>45993</v>
      </c>
      <c r="C172">
        <v>400.95</v>
      </c>
      <c r="D172" s="36">
        <f t="shared" si="4"/>
        <v>-1.1223344556677839E-3</v>
      </c>
      <c r="F172" s="34">
        <f>'Raw Data'!G168</f>
        <v>45993</v>
      </c>
      <c r="G172">
        <f>'Raw Data'!J168</f>
        <v>26503.1</v>
      </c>
      <c r="H172" s="36">
        <f t="shared" si="5"/>
        <v>1.0149756066271109E-3</v>
      </c>
    </row>
    <row r="173" spans="2:8" x14ac:dyDescent="0.3">
      <c r="B173" s="34">
        <f>'Raw Data'!G169</f>
        <v>45992</v>
      </c>
      <c r="C173">
        <v>404.25</v>
      </c>
      <c r="D173" s="36">
        <f t="shared" si="4"/>
        <v>-8.1632653061224358E-3</v>
      </c>
      <c r="F173" s="34">
        <f>'Raw Data'!G169</f>
        <v>45992</v>
      </c>
      <c r="G173">
        <f>'Raw Data'!J169</f>
        <v>26387.4</v>
      </c>
      <c r="H173" s="36">
        <f t="shared" si="5"/>
        <v>4.3846684402402136E-3</v>
      </c>
    </row>
    <row r="174" spans="2:8" x14ac:dyDescent="0.3">
      <c r="B174" s="34">
        <f>'Raw Data'!G170</f>
        <v>45989</v>
      </c>
      <c r="C174">
        <v>404.25</v>
      </c>
      <c r="D174" s="36">
        <f t="shared" si="4"/>
        <v>0</v>
      </c>
      <c r="F174" s="34">
        <f>'Raw Data'!G170</f>
        <v>45989</v>
      </c>
      <c r="G174">
        <f>'Raw Data'!J170</f>
        <v>26699.1</v>
      </c>
      <c r="H174" s="36">
        <f t="shared" si="5"/>
        <v>-1.1674550827555863E-2</v>
      </c>
    </row>
    <row r="175" spans="2:8" x14ac:dyDescent="0.3">
      <c r="B175" s="34">
        <f>'Raw Data'!G171</f>
        <v>45988</v>
      </c>
      <c r="C175">
        <v>404.3</v>
      </c>
      <c r="D175" s="36">
        <f t="shared" si="4"/>
        <v>-1.2367054167694569E-4</v>
      </c>
      <c r="F175" s="34">
        <f>'Raw Data'!G171</f>
        <v>45988</v>
      </c>
      <c r="G175">
        <f>'Raw Data'!J171</f>
        <v>26381.200000000001</v>
      </c>
      <c r="H175" s="36">
        <f t="shared" si="5"/>
        <v>1.2050247903810263E-2</v>
      </c>
    </row>
    <row r="176" spans="2:8" x14ac:dyDescent="0.3">
      <c r="B176" s="34">
        <f>'Raw Data'!G172</f>
        <v>45987</v>
      </c>
      <c r="C176">
        <v>402.3</v>
      </c>
      <c r="D176" s="36">
        <f t="shared" si="4"/>
        <v>4.9714143673875721E-3</v>
      </c>
      <c r="F176" s="34">
        <f>'Raw Data'!G172</f>
        <v>45987</v>
      </c>
      <c r="G176">
        <f>'Raw Data'!J172</f>
        <v>25886.799999999999</v>
      </c>
      <c r="H176" s="36">
        <f t="shared" si="5"/>
        <v>1.9098536705965952E-2</v>
      </c>
    </row>
    <row r="177" spans="2:8" x14ac:dyDescent="0.3">
      <c r="B177" s="34">
        <f>'Raw Data'!G173</f>
        <v>45986</v>
      </c>
      <c r="C177">
        <v>400.8</v>
      </c>
      <c r="D177" s="36">
        <f t="shared" si="4"/>
        <v>3.7425149700598404E-3</v>
      </c>
      <c r="F177" s="34">
        <f>'Raw Data'!G173</f>
        <v>45986</v>
      </c>
      <c r="G177">
        <f>'Raw Data'!J173</f>
        <v>26358.6</v>
      </c>
      <c r="H177" s="36">
        <f t="shared" si="5"/>
        <v>-1.789928144893882E-2</v>
      </c>
    </row>
    <row r="178" spans="2:8" x14ac:dyDescent="0.3">
      <c r="B178" s="34">
        <f>'Raw Data'!G174</f>
        <v>45985</v>
      </c>
      <c r="C178">
        <v>403.55</v>
      </c>
      <c r="D178" s="36">
        <f t="shared" si="4"/>
        <v>-6.8145211250154603E-3</v>
      </c>
      <c r="F178" s="34">
        <f>'Raw Data'!G174</f>
        <v>45985</v>
      </c>
      <c r="G178">
        <f>'Raw Data'!J174</f>
        <v>26077.5</v>
      </c>
      <c r="H178" s="36">
        <f t="shared" si="5"/>
        <v>1.0779407535231433E-2</v>
      </c>
    </row>
    <row r="179" spans="2:8" x14ac:dyDescent="0.3">
      <c r="B179" s="34">
        <f>'Raw Data'!G175</f>
        <v>45982</v>
      </c>
      <c r="C179">
        <v>407.85</v>
      </c>
      <c r="D179" s="36">
        <f t="shared" si="4"/>
        <v>-1.0543091822974193E-2</v>
      </c>
      <c r="F179" s="34">
        <f>'Raw Data'!G175</f>
        <v>45982</v>
      </c>
      <c r="G179">
        <f>'Raw Data'!J175</f>
        <v>26220.799999999999</v>
      </c>
      <c r="H179" s="36">
        <f t="shared" si="5"/>
        <v>-5.4651269221380749E-3</v>
      </c>
    </row>
    <row r="180" spans="2:8" x14ac:dyDescent="0.3">
      <c r="B180" s="34">
        <f>'Raw Data'!G176</f>
        <v>45981</v>
      </c>
      <c r="C180">
        <v>405.45</v>
      </c>
      <c r="D180" s="36">
        <f t="shared" si="4"/>
        <v>5.9193488716242637E-3</v>
      </c>
      <c r="F180" s="34">
        <f>'Raw Data'!G176</f>
        <v>45981</v>
      </c>
      <c r="G180">
        <f>'Raw Data'!J176</f>
        <v>26415</v>
      </c>
      <c r="H180" s="36">
        <f t="shared" si="5"/>
        <v>-7.3518833995835919E-3</v>
      </c>
    </row>
    <row r="181" spans="2:8" x14ac:dyDescent="0.3">
      <c r="B181" s="34">
        <f>'Raw Data'!G177</f>
        <v>45980</v>
      </c>
      <c r="C181">
        <v>403.55</v>
      </c>
      <c r="D181" s="36">
        <f t="shared" si="4"/>
        <v>4.70821459546511E-3</v>
      </c>
      <c r="F181" s="34">
        <f>'Raw Data'!G177</f>
        <v>45980</v>
      </c>
      <c r="G181">
        <f>'Raw Data'!J177</f>
        <v>26316.400000000001</v>
      </c>
      <c r="H181" s="36">
        <f t="shared" si="5"/>
        <v>3.7467130762565137E-3</v>
      </c>
    </row>
    <row r="182" spans="2:8" x14ac:dyDescent="0.3">
      <c r="B182" s="34">
        <f>'Raw Data'!G178</f>
        <v>45979</v>
      </c>
      <c r="C182">
        <v>405.85</v>
      </c>
      <c r="D182" s="36">
        <f t="shared" si="4"/>
        <v>-5.6671183934952074E-3</v>
      </c>
      <c r="F182" s="34">
        <f>'Raw Data'!G178</f>
        <v>45979</v>
      </c>
      <c r="G182">
        <f>'Raw Data'!J178</f>
        <v>26240</v>
      </c>
      <c r="H182" s="36">
        <f t="shared" si="5"/>
        <v>2.911585365853675E-3</v>
      </c>
    </row>
    <row r="183" spans="2:8" x14ac:dyDescent="0.3">
      <c r="B183" s="34">
        <f>'Raw Data'!G179</f>
        <v>45978</v>
      </c>
      <c r="C183">
        <v>407.1</v>
      </c>
      <c r="D183" s="36">
        <f t="shared" si="4"/>
        <v>-3.0704986489805686E-3</v>
      </c>
      <c r="F183" s="34">
        <f>'Raw Data'!G179</f>
        <v>45978</v>
      </c>
      <c r="G183">
        <f>'Raw Data'!J179</f>
        <v>25951.4</v>
      </c>
      <c r="H183" s="36">
        <f t="shared" si="5"/>
        <v>1.1120787317832503E-2</v>
      </c>
    </row>
    <row r="184" spans="2:8" x14ac:dyDescent="0.3">
      <c r="B184" s="34">
        <f>'Raw Data'!G180</f>
        <v>45975</v>
      </c>
      <c r="C184">
        <v>408.15</v>
      </c>
      <c r="D184" s="36">
        <f t="shared" si="4"/>
        <v>-2.5725836089671716E-3</v>
      </c>
      <c r="F184" s="34">
        <f>'Raw Data'!G180</f>
        <v>45975</v>
      </c>
      <c r="G184">
        <f>'Raw Data'!J180</f>
        <v>26134.9</v>
      </c>
      <c r="H184" s="36">
        <f t="shared" si="5"/>
        <v>-7.0212627559317342E-3</v>
      </c>
    </row>
    <row r="185" spans="2:8" x14ac:dyDescent="0.3">
      <c r="B185" s="34">
        <f>'Raw Data'!G181</f>
        <v>45974</v>
      </c>
      <c r="C185">
        <v>405.7</v>
      </c>
      <c r="D185" s="36">
        <f t="shared" si="4"/>
        <v>6.0389450332758443E-3</v>
      </c>
      <c r="F185" s="34">
        <f>'Raw Data'!G181</f>
        <v>45974</v>
      </c>
      <c r="G185">
        <f>'Raw Data'!J181</f>
        <v>25986.1</v>
      </c>
      <c r="H185" s="36">
        <f t="shared" si="5"/>
        <v>5.7261382046556175E-3</v>
      </c>
    </row>
    <row r="186" spans="2:8" x14ac:dyDescent="0.3">
      <c r="B186" s="34">
        <f>'Raw Data'!G182</f>
        <v>45973</v>
      </c>
      <c r="C186">
        <v>407</v>
      </c>
      <c r="D186" s="36">
        <f t="shared" si="4"/>
        <v>-3.1941031941031817E-3</v>
      </c>
      <c r="F186" s="34">
        <f>'Raw Data'!G182</f>
        <v>45973</v>
      </c>
      <c r="G186">
        <f>'Raw Data'!J182</f>
        <v>26165</v>
      </c>
      <c r="H186" s="36">
        <f t="shared" si="5"/>
        <v>-6.8373781769539566E-3</v>
      </c>
    </row>
    <row r="187" spans="2:8" x14ac:dyDescent="0.3">
      <c r="B187" s="34">
        <f>'Raw Data'!G183</f>
        <v>45972</v>
      </c>
      <c r="C187">
        <v>406.85</v>
      </c>
      <c r="D187" s="36">
        <f t="shared" si="4"/>
        <v>3.6868624800279193E-4</v>
      </c>
      <c r="F187" s="34">
        <f>'Raw Data'!G183</f>
        <v>45972</v>
      </c>
      <c r="G187">
        <f>'Raw Data'!J183</f>
        <v>25882.9</v>
      </c>
      <c r="H187" s="36">
        <f t="shared" si="5"/>
        <v>1.0899087814734809E-2</v>
      </c>
    </row>
    <row r="188" spans="2:8" x14ac:dyDescent="0.3">
      <c r="B188" s="34">
        <f>'Raw Data'!G184</f>
        <v>45971</v>
      </c>
      <c r="C188">
        <v>405.55</v>
      </c>
      <c r="D188" s="36">
        <f t="shared" si="4"/>
        <v>3.2055233633336844E-3</v>
      </c>
      <c r="F188" s="34">
        <f>'Raw Data'!G184</f>
        <v>45971</v>
      </c>
      <c r="G188">
        <f>'Raw Data'!J184</f>
        <v>25589.200000000001</v>
      </c>
      <c r="H188" s="36">
        <f t="shared" si="5"/>
        <v>1.1477498319603541E-2</v>
      </c>
    </row>
    <row r="189" spans="2:8" x14ac:dyDescent="0.3">
      <c r="B189" s="34">
        <f>'Raw Data'!G185</f>
        <v>45968</v>
      </c>
      <c r="C189">
        <v>404.05</v>
      </c>
      <c r="D189" s="36">
        <f t="shared" si="4"/>
        <v>3.7124118302189757E-3</v>
      </c>
      <c r="F189" s="34">
        <f>'Raw Data'!G185</f>
        <v>45968</v>
      </c>
      <c r="G189">
        <f>'Raw Data'!J185</f>
        <v>25807.1</v>
      </c>
      <c r="H189" s="36">
        <f t="shared" si="5"/>
        <v>-8.4434128592518753E-3</v>
      </c>
    </row>
    <row r="190" spans="2:8" x14ac:dyDescent="0.3">
      <c r="B190" s="34">
        <f>'Raw Data'!G186</f>
        <v>45967</v>
      </c>
      <c r="C190">
        <v>407.5</v>
      </c>
      <c r="D190" s="36">
        <f t="shared" si="4"/>
        <v>-8.4662576687116742E-3</v>
      </c>
      <c r="F190" s="34">
        <f>'Raw Data'!G186</f>
        <v>45967</v>
      </c>
      <c r="G190">
        <f>'Raw Data'!J186</f>
        <v>25708.3</v>
      </c>
      <c r="H190" s="36">
        <f t="shared" si="5"/>
        <v>3.8431168144139605E-3</v>
      </c>
    </row>
    <row r="191" spans="2:8" x14ac:dyDescent="0.3">
      <c r="B191" s="34">
        <f>'Raw Data'!G187</f>
        <v>45965</v>
      </c>
      <c r="C191">
        <v>408.9</v>
      </c>
      <c r="D191" s="36">
        <f t="shared" si="4"/>
        <v>-3.4238200048911649E-3</v>
      </c>
      <c r="F191" s="34">
        <f>'Raw Data'!G187</f>
        <v>45965</v>
      </c>
      <c r="G191">
        <f>'Raw Data'!J187</f>
        <v>25898.9</v>
      </c>
      <c r="H191" s="36">
        <f t="shared" si="5"/>
        <v>-7.3593859198654021E-3</v>
      </c>
    </row>
    <row r="192" spans="2:8" x14ac:dyDescent="0.3">
      <c r="B192" s="34">
        <f>'Raw Data'!G188</f>
        <v>45964</v>
      </c>
      <c r="C192">
        <v>413.95</v>
      </c>
      <c r="D192" s="36">
        <f t="shared" si="4"/>
        <v>-1.2199541007368087E-2</v>
      </c>
      <c r="F192" s="34">
        <f>'Raw Data'!G188</f>
        <v>45964</v>
      </c>
      <c r="G192">
        <f>'Raw Data'!J188</f>
        <v>26088.5</v>
      </c>
      <c r="H192" s="36">
        <f t="shared" si="5"/>
        <v>-7.2675700021082035E-3</v>
      </c>
    </row>
    <row r="193" spans="2:8" x14ac:dyDescent="0.3">
      <c r="B193" s="34">
        <f>'Raw Data'!G189</f>
        <v>45961</v>
      </c>
      <c r="C193">
        <v>420.35</v>
      </c>
      <c r="D193" s="36">
        <f t="shared" si="4"/>
        <v>-1.5225407398596458E-2</v>
      </c>
      <c r="F193" s="34">
        <f>'Raw Data'!G189</f>
        <v>45961</v>
      </c>
      <c r="G193">
        <f>'Raw Data'!J189</f>
        <v>26031.599999999999</v>
      </c>
      <c r="H193" s="36">
        <f t="shared" si="5"/>
        <v>2.1858049447593952E-3</v>
      </c>
    </row>
    <row r="194" spans="2:8" x14ac:dyDescent="0.3">
      <c r="B194" s="34">
        <f>'Raw Data'!G190</f>
        <v>45960</v>
      </c>
      <c r="C194">
        <v>418.75</v>
      </c>
      <c r="D194" s="36">
        <f t="shared" si="4"/>
        <v>3.8208955223881791E-3</v>
      </c>
      <c r="F194" s="34">
        <f>'Raw Data'!G190</f>
        <v>45960</v>
      </c>
      <c r="G194">
        <f>'Raw Data'!J190</f>
        <v>26577.4</v>
      </c>
      <c r="H194" s="36">
        <f t="shared" si="5"/>
        <v>-2.0536245080406745E-2</v>
      </c>
    </row>
    <row r="195" spans="2:8" x14ac:dyDescent="0.3">
      <c r="B195" s="34">
        <f>'Raw Data'!G191</f>
        <v>45959</v>
      </c>
      <c r="C195">
        <v>421.6</v>
      </c>
      <c r="D195" s="36">
        <f t="shared" si="4"/>
        <v>-6.7599620493359325E-3</v>
      </c>
      <c r="F195" s="34">
        <f>'Raw Data'!G191</f>
        <v>45959</v>
      </c>
      <c r="G195">
        <f>'Raw Data'!J191</f>
        <v>26090.1</v>
      </c>
      <c r="H195" s="36">
        <f t="shared" si="5"/>
        <v>1.8677582684619942E-2</v>
      </c>
    </row>
    <row r="196" spans="2:8" x14ac:dyDescent="0.3">
      <c r="B196" s="34">
        <f>'Raw Data'!G192</f>
        <v>45958</v>
      </c>
      <c r="C196">
        <v>417.9</v>
      </c>
      <c r="D196" s="36">
        <f t="shared" si="4"/>
        <v>8.8537927733909338E-3</v>
      </c>
      <c r="F196" s="34">
        <f>'Raw Data'!G192</f>
        <v>45958</v>
      </c>
      <c r="G196">
        <f>'Raw Data'!J192</f>
        <v>26347.3</v>
      </c>
      <c r="H196" s="36">
        <f t="shared" si="5"/>
        <v>-9.7619110876636661E-3</v>
      </c>
    </row>
    <row r="197" spans="2:8" x14ac:dyDescent="0.3">
      <c r="B197" s="34">
        <f>'Raw Data'!G193</f>
        <v>45957</v>
      </c>
      <c r="C197">
        <v>420.65</v>
      </c>
      <c r="D197" s="36">
        <f t="shared" si="4"/>
        <v>-6.5375014857957936E-3</v>
      </c>
      <c r="F197" s="34">
        <f>'Raw Data'!G193</f>
        <v>45957</v>
      </c>
      <c r="G197">
        <f>'Raw Data'!J193</f>
        <v>26130.2</v>
      </c>
      <c r="H197" s="36">
        <f t="shared" si="5"/>
        <v>8.3083941186825605E-3</v>
      </c>
    </row>
    <row r="198" spans="2:8" x14ac:dyDescent="0.3">
      <c r="B198" s="34">
        <f>'Raw Data'!G194</f>
        <v>45954</v>
      </c>
      <c r="C198">
        <v>416.8</v>
      </c>
      <c r="D198" s="36">
        <f t="shared" si="4"/>
        <v>9.237044145873341E-3</v>
      </c>
      <c r="F198" s="34">
        <f>'Raw Data'!G194</f>
        <v>45954</v>
      </c>
      <c r="G198">
        <f>'Raw Data'!J194</f>
        <v>26279.8</v>
      </c>
      <c r="H198" s="36">
        <f t="shared" si="5"/>
        <v>-5.6925851794914495E-3</v>
      </c>
    </row>
    <row r="199" spans="2:8" x14ac:dyDescent="0.3">
      <c r="B199" s="34">
        <f>'Raw Data'!G195</f>
        <v>45953</v>
      </c>
      <c r="C199">
        <v>415.95</v>
      </c>
      <c r="D199" s="36">
        <f t="shared" si="4"/>
        <v>2.0435148455344443E-3</v>
      </c>
      <c r="F199" s="34">
        <f>'Raw Data'!G195</f>
        <v>45953</v>
      </c>
      <c r="G199">
        <f>'Raw Data'!J195</f>
        <v>26194.799999999999</v>
      </c>
      <c r="H199" s="36">
        <f t="shared" si="5"/>
        <v>3.2449188388534722E-3</v>
      </c>
    </row>
    <row r="200" spans="2:8" x14ac:dyDescent="0.3">
      <c r="B200" s="34">
        <f>'Raw Data'!G196</f>
        <v>45951</v>
      </c>
      <c r="C200">
        <v>412.85</v>
      </c>
      <c r="D200" s="36">
        <f t="shared" si="4"/>
        <v>7.5087804287270465E-3</v>
      </c>
      <c r="F200" s="34">
        <f>'Raw Data'!G196</f>
        <v>45951</v>
      </c>
      <c r="G200">
        <f>'Raw Data'!J196</f>
        <v>26046.3</v>
      </c>
      <c r="H200" s="36">
        <f t="shared" si="5"/>
        <v>5.7013856094723092E-3</v>
      </c>
    </row>
    <row r="201" spans="2:8" x14ac:dyDescent="0.3">
      <c r="B201" s="34">
        <f>'Raw Data'!G197</f>
        <v>45950</v>
      </c>
      <c r="C201">
        <v>413.05</v>
      </c>
      <c r="D201" s="36">
        <f t="shared" si="4"/>
        <v>-4.8420288100714526E-4</v>
      </c>
      <c r="F201" s="34">
        <f>'Raw Data'!G197</f>
        <v>45950</v>
      </c>
      <c r="G201">
        <f>'Raw Data'!J197</f>
        <v>25757.8</v>
      </c>
      <c r="H201" s="36">
        <f t="shared" si="5"/>
        <v>1.1200490725139511E-2</v>
      </c>
    </row>
    <row r="202" spans="2:8" x14ac:dyDescent="0.3">
      <c r="B202" s="34">
        <f>'Raw Data'!G198</f>
        <v>45947</v>
      </c>
      <c r="C202">
        <v>412.15</v>
      </c>
      <c r="D202" s="36">
        <f t="shared" si="4"/>
        <v>2.183670993570308E-3</v>
      </c>
      <c r="F202" s="34">
        <f>'Raw Data'!G198</f>
        <v>45947</v>
      </c>
      <c r="G202">
        <f>'Raw Data'!J198</f>
        <v>25943.1</v>
      </c>
      <c r="H202" s="36">
        <f t="shared" si="5"/>
        <v>-7.142554282256186E-3</v>
      </c>
    </row>
    <row r="203" spans="2:8" x14ac:dyDescent="0.3">
      <c r="B203" s="34">
        <f>'Raw Data'!G199</f>
        <v>45946</v>
      </c>
      <c r="C203">
        <v>405.15</v>
      </c>
      <c r="D203" s="36">
        <f t="shared" si="4"/>
        <v>1.72775515241268E-2</v>
      </c>
      <c r="F203" s="34">
        <f>'Raw Data'!G199</f>
        <v>45946</v>
      </c>
      <c r="G203">
        <f>'Raw Data'!J199</f>
        <v>25713.599999999999</v>
      </c>
      <c r="H203" s="36">
        <f t="shared" si="5"/>
        <v>8.925238006346925E-3</v>
      </c>
    </row>
    <row r="204" spans="2:8" x14ac:dyDescent="0.3">
      <c r="B204" s="34">
        <f>'Raw Data'!G200</f>
        <v>45945</v>
      </c>
      <c r="C204">
        <v>399.9</v>
      </c>
      <c r="D204" s="36">
        <f t="shared" ref="D204:D252" si="6">C203/C204-1</f>
        <v>1.3128282070517638E-2</v>
      </c>
      <c r="F204" s="34">
        <f>'Raw Data'!G200</f>
        <v>45945</v>
      </c>
      <c r="G204">
        <f>'Raw Data'!J200</f>
        <v>25503.4</v>
      </c>
      <c r="H204" s="36">
        <f t="shared" ref="H204:H252" si="7">G203/G204-1</f>
        <v>8.2420383164596434E-3</v>
      </c>
    </row>
    <row r="205" spans="2:8" x14ac:dyDescent="0.3">
      <c r="B205" s="34">
        <f>'Raw Data'!G201</f>
        <v>45944</v>
      </c>
      <c r="C205">
        <v>396.8</v>
      </c>
      <c r="D205" s="36">
        <f t="shared" si="6"/>
        <v>7.8125E-3</v>
      </c>
      <c r="F205" s="34">
        <f>'Raw Data'!G201</f>
        <v>45944</v>
      </c>
      <c r="G205">
        <f>'Raw Data'!J201</f>
        <v>25309.3</v>
      </c>
      <c r="H205" s="36">
        <f t="shared" si="7"/>
        <v>7.6691176761112256E-3</v>
      </c>
    </row>
    <row r="206" spans="2:8" x14ac:dyDescent="0.3">
      <c r="B206" s="34">
        <f>'Raw Data'!G202</f>
        <v>45943</v>
      </c>
      <c r="C206">
        <v>399.25</v>
      </c>
      <c r="D206" s="36">
        <f t="shared" si="6"/>
        <v>-6.1365059486536699E-3</v>
      </c>
      <c r="F206" s="34">
        <f>'Raw Data'!G202</f>
        <v>45943</v>
      </c>
      <c r="G206">
        <f>'Raw Data'!J202</f>
        <v>25540.1</v>
      </c>
      <c r="H206" s="36">
        <f t="shared" si="7"/>
        <v>-9.036769628936403E-3</v>
      </c>
    </row>
    <row r="207" spans="2:8" x14ac:dyDescent="0.3">
      <c r="B207" s="34">
        <f>'Raw Data'!G203</f>
        <v>45940</v>
      </c>
      <c r="C207">
        <v>402.8</v>
      </c>
      <c r="D207" s="36">
        <f t="shared" si="6"/>
        <v>-8.8133068520357405E-3</v>
      </c>
      <c r="F207" s="34">
        <f>'Raw Data'!G203</f>
        <v>45940</v>
      </c>
      <c r="G207">
        <f>'Raw Data'!J203</f>
        <v>25403</v>
      </c>
      <c r="H207" s="36">
        <f t="shared" si="7"/>
        <v>5.3970003542889167E-3</v>
      </c>
    </row>
    <row r="208" spans="2:8" x14ac:dyDescent="0.3">
      <c r="B208" s="34">
        <f>'Raw Data'!G204</f>
        <v>45939</v>
      </c>
      <c r="C208">
        <v>399.9</v>
      </c>
      <c r="D208" s="36">
        <f t="shared" si="6"/>
        <v>7.2518129532384012E-3</v>
      </c>
      <c r="F208" s="34">
        <f>'Raw Data'!G204</f>
        <v>45939</v>
      </c>
      <c r="G208">
        <f>'Raw Data'!J204</f>
        <v>25247.7</v>
      </c>
      <c r="H208" s="36">
        <f t="shared" si="7"/>
        <v>6.1510553436550097E-3</v>
      </c>
    </row>
    <row r="209" spans="2:8" x14ac:dyDescent="0.3">
      <c r="B209" s="34">
        <f>'Raw Data'!G205</f>
        <v>45938</v>
      </c>
      <c r="C209">
        <v>399.75</v>
      </c>
      <c r="D209" s="36">
        <f t="shared" si="6"/>
        <v>3.7523452157595116E-4</v>
      </c>
      <c r="F209" s="34">
        <f>'Raw Data'!G205</f>
        <v>45938</v>
      </c>
      <c r="G209">
        <f>'Raw Data'!J205</f>
        <v>25514.5</v>
      </c>
      <c r="H209" s="36">
        <f t="shared" si="7"/>
        <v>-1.0456799075035716E-2</v>
      </c>
    </row>
    <row r="210" spans="2:8" x14ac:dyDescent="0.3">
      <c r="B210" s="34">
        <f>'Raw Data'!G206</f>
        <v>45937</v>
      </c>
      <c r="C210">
        <v>399.8</v>
      </c>
      <c r="D210" s="36">
        <f t="shared" si="6"/>
        <v>-1.250625312656517E-4</v>
      </c>
      <c r="F210" s="34">
        <f>'Raw Data'!G206</f>
        <v>45937</v>
      </c>
      <c r="G210">
        <f>'Raw Data'!J206</f>
        <v>25314.2</v>
      </c>
      <c r="H210" s="36">
        <f t="shared" si="7"/>
        <v>7.9125550086511787E-3</v>
      </c>
    </row>
    <row r="211" spans="2:8" x14ac:dyDescent="0.3">
      <c r="B211" s="34">
        <f>'Raw Data'!G207</f>
        <v>45936</v>
      </c>
      <c r="C211">
        <v>400.75</v>
      </c>
      <c r="D211" s="36">
        <f t="shared" si="6"/>
        <v>-2.370555208983105E-3</v>
      </c>
      <c r="F211" s="34">
        <f>'Raw Data'!G207</f>
        <v>45936</v>
      </c>
      <c r="G211">
        <f>'Raw Data'!J207</f>
        <v>25290.7</v>
      </c>
      <c r="H211" s="36">
        <f t="shared" si="7"/>
        <v>9.2919531685553558E-4</v>
      </c>
    </row>
    <row r="212" spans="2:8" x14ac:dyDescent="0.3">
      <c r="B212" s="34">
        <f>'Raw Data'!G208</f>
        <v>45933</v>
      </c>
      <c r="C212">
        <v>404.3</v>
      </c>
      <c r="D212" s="36">
        <f t="shared" si="6"/>
        <v>-8.7806084590650313E-3</v>
      </c>
      <c r="F212" s="34">
        <f>'Raw Data'!G208</f>
        <v>45933</v>
      </c>
      <c r="G212">
        <f>'Raw Data'!J208</f>
        <v>24967.200000000001</v>
      </c>
      <c r="H212" s="36">
        <f t="shared" si="7"/>
        <v>1.2956999583453532E-2</v>
      </c>
    </row>
    <row r="213" spans="2:8" x14ac:dyDescent="0.3">
      <c r="B213" s="34">
        <f>'Raw Data'!G209</f>
        <v>45931</v>
      </c>
      <c r="C213">
        <v>405.6</v>
      </c>
      <c r="D213" s="36">
        <f t="shared" si="6"/>
        <v>-3.2051282051281937E-3</v>
      </c>
      <c r="F213" s="34">
        <f>'Raw Data'!G209</f>
        <v>45931</v>
      </c>
      <c r="G213">
        <f>'Raw Data'!J209</f>
        <v>24914.3</v>
      </c>
      <c r="H213" s="36">
        <f t="shared" si="7"/>
        <v>2.1232785990374925E-3</v>
      </c>
    </row>
    <row r="214" spans="2:8" x14ac:dyDescent="0.3">
      <c r="B214" s="34">
        <f>'Raw Data'!G210</f>
        <v>45930</v>
      </c>
      <c r="C214">
        <v>401.55</v>
      </c>
      <c r="D214" s="36">
        <f t="shared" si="6"/>
        <v>1.0085917071348538E-2</v>
      </c>
      <c r="F214" s="34">
        <f>'Raw Data'!G210</f>
        <v>45930</v>
      </c>
      <c r="G214">
        <f>'Raw Data'!J210</f>
        <v>24944.799999999999</v>
      </c>
      <c r="H214" s="36">
        <f t="shared" si="7"/>
        <v>-1.2226997209838775E-3</v>
      </c>
    </row>
    <row r="215" spans="2:8" x14ac:dyDescent="0.3">
      <c r="B215" s="34">
        <f>'Raw Data'!G211</f>
        <v>45929</v>
      </c>
      <c r="C215">
        <v>407.25</v>
      </c>
      <c r="D215" s="36">
        <f t="shared" si="6"/>
        <v>-1.3996316758747684E-2</v>
      </c>
      <c r="F215" s="34">
        <f>'Raw Data'!G211</f>
        <v>45929</v>
      </c>
      <c r="G215">
        <f>'Raw Data'!J211</f>
        <v>24812</v>
      </c>
      <c r="H215" s="36">
        <f t="shared" si="7"/>
        <v>5.3522489118167371E-3</v>
      </c>
    </row>
    <row r="216" spans="2:8" x14ac:dyDescent="0.3">
      <c r="B216" s="34">
        <f>'Raw Data'!G212</f>
        <v>45926</v>
      </c>
      <c r="C216">
        <v>405.1</v>
      </c>
      <c r="D216" s="36">
        <f t="shared" si="6"/>
        <v>5.3073315230807161E-3</v>
      </c>
      <c r="F216" s="34">
        <f>'Raw Data'!G212</f>
        <v>45926</v>
      </c>
      <c r="G216">
        <f>'Raw Data'!J212</f>
        <v>25093.7</v>
      </c>
      <c r="H216" s="36">
        <f t="shared" si="7"/>
        <v>-1.122592523222965E-2</v>
      </c>
    </row>
    <row r="217" spans="2:8" x14ac:dyDescent="0.3">
      <c r="B217" s="34">
        <f>'Raw Data'!G213</f>
        <v>45925</v>
      </c>
      <c r="C217">
        <v>400.1</v>
      </c>
      <c r="D217" s="36">
        <f t="shared" si="6"/>
        <v>1.2496875781054628E-2</v>
      </c>
      <c r="F217" s="34">
        <f>'Raw Data'!G213</f>
        <v>45925</v>
      </c>
      <c r="G217">
        <f>'Raw Data'!J213</f>
        <v>25373.599999999999</v>
      </c>
      <c r="H217" s="36">
        <f t="shared" si="7"/>
        <v>-1.1031150487120334E-2</v>
      </c>
    </row>
    <row r="218" spans="2:8" x14ac:dyDescent="0.3">
      <c r="B218" s="34">
        <f>'Raw Data'!G214</f>
        <v>45924</v>
      </c>
      <c r="C218">
        <v>401</v>
      </c>
      <c r="D218" s="36">
        <f t="shared" si="6"/>
        <v>-2.2443890274314038E-3</v>
      </c>
      <c r="F218" s="34">
        <f>'Raw Data'!G214</f>
        <v>45924</v>
      </c>
      <c r="G218">
        <f>'Raw Data'!J214</f>
        <v>25383.3</v>
      </c>
      <c r="H218" s="36">
        <f t="shared" si="7"/>
        <v>-3.8214101397382461E-4</v>
      </c>
    </row>
    <row r="219" spans="2:8" x14ac:dyDescent="0.3">
      <c r="B219" s="34">
        <f>'Raw Data'!G215</f>
        <v>45923</v>
      </c>
      <c r="C219">
        <v>403.2</v>
      </c>
      <c r="D219" s="36">
        <f t="shared" si="6"/>
        <v>-5.456349206349187E-3</v>
      </c>
      <c r="F219" s="34">
        <f>'Raw Data'!G215</f>
        <v>45923</v>
      </c>
      <c r="G219">
        <f>'Raw Data'!J215</f>
        <v>25403.4</v>
      </c>
      <c r="H219" s="36">
        <f t="shared" si="7"/>
        <v>-7.9123266964276073E-4</v>
      </c>
    </row>
    <row r="220" spans="2:8" x14ac:dyDescent="0.3">
      <c r="B220" s="34">
        <f>'Raw Data'!G216</f>
        <v>45922</v>
      </c>
      <c r="C220">
        <v>406.95</v>
      </c>
      <c r="D220" s="36">
        <f t="shared" si="6"/>
        <v>-9.2148912642830982E-3</v>
      </c>
      <c r="F220" s="34">
        <f>'Raw Data'!G216</f>
        <v>45922</v>
      </c>
      <c r="G220">
        <f>'Raw Data'!J216</f>
        <v>25534.5</v>
      </c>
      <c r="H220" s="36">
        <f t="shared" si="7"/>
        <v>-5.1342301591963402E-3</v>
      </c>
    </row>
    <row r="221" spans="2:8" x14ac:dyDescent="0.3">
      <c r="B221" s="34">
        <f>'Raw Data'!G217</f>
        <v>45919</v>
      </c>
      <c r="C221">
        <v>410.65</v>
      </c>
      <c r="D221" s="36">
        <f t="shared" si="6"/>
        <v>-9.0101059296237018E-3</v>
      </c>
      <c r="F221" s="34">
        <f>'Raw Data'!G217</f>
        <v>45919</v>
      </c>
      <c r="G221">
        <f>'Raw Data'!J217</f>
        <v>25510.9</v>
      </c>
      <c r="H221" s="36">
        <f t="shared" si="7"/>
        <v>9.2509476341473551E-4</v>
      </c>
    </row>
    <row r="222" spans="2:8" x14ac:dyDescent="0.3">
      <c r="B222" s="34">
        <f>'Raw Data'!G218</f>
        <v>45918</v>
      </c>
      <c r="C222">
        <v>411.55</v>
      </c>
      <c r="D222" s="36">
        <f t="shared" si="6"/>
        <v>-2.1868545741708934E-3</v>
      </c>
      <c r="F222" s="34">
        <f>'Raw Data'!G218</f>
        <v>45918</v>
      </c>
      <c r="G222">
        <f>'Raw Data'!J218</f>
        <v>25540</v>
      </c>
      <c r="H222" s="36">
        <f t="shared" si="7"/>
        <v>-1.1393891934220468E-3</v>
      </c>
    </row>
    <row r="223" spans="2:8" x14ac:dyDescent="0.3">
      <c r="B223" s="34">
        <f>'Raw Data'!G219</f>
        <v>45917</v>
      </c>
      <c r="C223">
        <v>409.3</v>
      </c>
      <c r="D223" s="36">
        <f t="shared" si="6"/>
        <v>5.4971903249450005E-3</v>
      </c>
      <c r="F223" s="34">
        <f>'Raw Data'!G219</f>
        <v>45917</v>
      </c>
      <c r="G223">
        <f>'Raw Data'!J219</f>
        <v>25331.4</v>
      </c>
      <c r="H223" s="36">
        <f t="shared" si="7"/>
        <v>8.234838974553238E-3</v>
      </c>
    </row>
    <row r="224" spans="2:8" x14ac:dyDescent="0.3">
      <c r="B224" s="34">
        <f>'Raw Data'!G220</f>
        <v>45916</v>
      </c>
      <c r="C224">
        <v>413.1</v>
      </c>
      <c r="D224" s="36">
        <f t="shared" si="6"/>
        <v>-9.1987412248850653E-3</v>
      </c>
      <c r="F224" s="34">
        <f>'Raw Data'!G220</f>
        <v>45916</v>
      </c>
      <c r="G224">
        <f>'Raw Data'!J220</f>
        <v>25284</v>
      </c>
      <c r="H224" s="36">
        <f t="shared" si="7"/>
        <v>1.8747033697199544E-3</v>
      </c>
    </row>
    <row r="225" spans="2:8" x14ac:dyDescent="0.3">
      <c r="B225" s="34">
        <f>'Raw Data'!G221</f>
        <v>45915</v>
      </c>
      <c r="C225">
        <v>412.65</v>
      </c>
      <c r="D225" s="36">
        <f t="shared" si="6"/>
        <v>1.0905125408944283E-3</v>
      </c>
      <c r="F225" s="34">
        <f>'Raw Data'!G221</f>
        <v>45915</v>
      </c>
      <c r="G225">
        <f>'Raw Data'!J221</f>
        <v>25438.799999999999</v>
      </c>
      <c r="H225" s="36">
        <f t="shared" si="7"/>
        <v>-6.0851926977687487E-3</v>
      </c>
    </row>
    <row r="226" spans="2:8" x14ac:dyDescent="0.3">
      <c r="B226" s="34">
        <f>'Raw Data'!G222</f>
        <v>45912</v>
      </c>
      <c r="C226">
        <v>413.75</v>
      </c>
      <c r="D226" s="36">
        <f t="shared" si="6"/>
        <v>-2.6586102719033944E-3</v>
      </c>
      <c r="F226" s="34">
        <f>'Raw Data'!G222</f>
        <v>45912</v>
      </c>
      <c r="G226">
        <f>'Raw Data'!J222</f>
        <v>25104.5</v>
      </c>
      <c r="H226" s="36">
        <f t="shared" si="7"/>
        <v>1.3316337708378922E-2</v>
      </c>
    </row>
    <row r="227" spans="2:8" x14ac:dyDescent="0.3">
      <c r="B227" s="34">
        <f>'Raw Data'!G223</f>
        <v>45911</v>
      </c>
      <c r="C227">
        <v>415.05</v>
      </c>
      <c r="D227" s="36">
        <f t="shared" si="6"/>
        <v>-3.1321527526804172E-3</v>
      </c>
      <c r="F227" s="34">
        <f>'Raw Data'!G223</f>
        <v>45911</v>
      </c>
      <c r="G227">
        <f>'Raw Data'!J223</f>
        <v>25072.3</v>
      </c>
      <c r="H227" s="36">
        <f t="shared" si="7"/>
        <v>1.2842858453352424E-3</v>
      </c>
    </row>
    <row r="228" spans="2:8" x14ac:dyDescent="0.3">
      <c r="B228" s="34">
        <f>'Raw Data'!G224</f>
        <v>45910</v>
      </c>
      <c r="C228">
        <v>413.05</v>
      </c>
      <c r="D228" s="36">
        <f t="shared" si="6"/>
        <v>4.8420288100714526E-3</v>
      </c>
      <c r="F228" s="34">
        <f>'Raw Data'!G224</f>
        <v>45910</v>
      </c>
      <c r="G228">
        <f>'Raw Data'!J224</f>
        <v>24950.3</v>
      </c>
      <c r="H228" s="36">
        <f t="shared" si="7"/>
        <v>4.8897207648805896E-3</v>
      </c>
    </row>
    <row r="229" spans="2:8" x14ac:dyDescent="0.3">
      <c r="B229" s="34">
        <f>'Raw Data'!G225</f>
        <v>45909</v>
      </c>
      <c r="C229">
        <v>410.05</v>
      </c>
      <c r="D229" s="36">
        <f t="shared" si="6"/>
        <v>7.3161809535422506E-3</v>
      </c>
      <c r="F229" s="34">
        <f>'Raw Data'!G225</f>
        <v>45909</v>
      </c>
      <c r="G229">
        <f>'Raw Data'!J225</f>
        <v>24892.7</v>
      </c>
      <c r="H229" s="36">
        <f t="shared" si="7"/>
        <v>2.3139313935409689E-3</v>
      </c>
    </row>
    <row r="230" spans="2:8" x14ac:dyDescent="0.3">
      <c r="B230" s="34">
        <f>'Raw Data'!G226</f>
        <v>45908</v>
      </c>
      <c r="C230">
        <v>407.55</v>
      </c>
      <c r="D230" s="36">
        <f t="shared" si="6"/>
        <v>6.1342166605324877E-3</v>
      </c>
      <c r="F230" s="34">
        <f>'Raw Data'!G226</f>
        <v>45908</v>
      </c>
      <c r="G230">
        <f>'Raw Data'!J226</f>
        <v>24964.5</v>
      </c>
      <c r="H230" s="36">
        <f t="shared" si="7"/>
        <v>-2.8760840393358134E-3</v>
      </c>
    </row>
    <row r="231" spans="2:8" x14ac:dyDescent="0.3">
      <c r="B231" s="34">
        <f>'Raw Data'!G227</f>
        <v>45905</v>
      </c>
      <c r="C231">
        <v>407.35</v>
      </c>
      <c r="D231" s="36">
        <f t="shared" si="6"/>
        <v>4.9097827421129558E-4</v>
      </c>
      <c r="F231" s="34">
        <f>'Raw Data'!G227</f>
        <v>45905</v>
      </c>
      <c r="G231">
        <f>'Raw Data'!J227</f>
        <v>24827.5</v>
      </c>
      <c r="H231" s="36">
        <f t="shared" si="7"/>
        <v>5.5180747155372245E-3</v>
      </c>
    </row>
    <row r="232" spans="2:8" x14ac:dyDescent="0.3">
      <c r="B232" s="34">
        <f>'Raw Data'!G228</f>
        <v>45904</v>
      </c>
      <c r="C232">
        <v>415.9</v>
      </c>
      <c r="D232" s="36">
        <f t="shared" si="6"/>
        <v>-2.0557826400576906E-2</v>
      </c>
      <c r="F232" s="34">
        <f>'Raw Data'!G228</f>
        <v>45904</v>
      </c>
      <c r="G232">
        <f>'Raw Data'!J228</f>
        <v>24933</v>
      </c>
      <c r="H232" s="36">
        <f t="shared" si="7"/>
        <v>-4.2313399911763083E-3</v>
      </c>
    </row>
    <row r="233" spans="2:8" x14ac:dyDescent="0.3">
      <c r="B233" s="34">
        <f>'Raw Data'!G229</f>
        <v>45903</v>
      </c>
      <c r="C233">
        <v>411.75</v>
      </c>
      <c r="D233" s="36">
        <f t="shared" si="6"/>
        <v>1.0078931390406831E-2</v>
      </c>
      <c r="F233" s="34">
        <f>'Raw Data'!G229</f>
        <v>45903</v>
      </c>
      <c r="G233">
        <f>'Raw Data'!J229</f>
        <v>24808.9</v>
      </c>
      <c r="H233" s="36">
        <f t="shared" si="7"/>
        <v>5.0022371003952681E-3</v>
      </c>
    </row>
    <row r="234" spans="2:8" x14ac:dyDescent="0.3">
      <c r="B234" s="34">
        <f>'Raw Data'!G230</f>
        <v>45902</v>
      </c>
      <c r="C234">
        <v>406.75</v>
      </c>
      <c r="D234" s="36">
        <f t="shared" si="6"/>
        <v>1.2292562999385304E-2</v>
      </c>
      <c r="F234" s="34">
        <f>'Raw Data'!G230</f>
        <v>45902</v>
      </c>
      <c r="G234">
        <f>'Raw Data'!J230</f>
        <v>24990.6</v>
      </c>
      <c r="H234" s="36">
        <f t="shared" si="7"/>
        <v>-7.2707337959071472E-3</v>
      </c>
    </row>
    <row r="235" spans="2:8" x14ac:dyDescent="0.3">
      <c r="B235" s="34">
        <f>'Raw Data'!G231</f>
        <v>45901</v>
      </c>
      <c r="C235">
        <v>405.85</v>
      </c>
      <c r="D235" s="36">
        <f t="shared" si="6"/>
        <v>2.2175680670197817E-3</v>
      </c>
      <c r="F235" s="34">
        <f>'Raw Data'!G231</f>
        <v>45901</v>
      </c>
      <c r="G235">
        <f>'Raw Data'!J231</f>
        <v>24684.3</v>
      </c>
      <c r="H235" s="36">
        <f t="shared" si="7"/>
        <v>1.2408697026044857E-2</v>
      </c>
    </row>
    <row r="236" spans="2:8" x14ac:dyDescent="0.3">
      <c r="B236" s="34">
        <f>'Raw Data'!G232</f>
        <v>45898</v>
      </c>
      <c r="C236">
        <v>409.75</v>
      </c>
      <c r="D236" s="36">
        <f t="shared" si="6"/>
        <v>-9.517998779743686E-3</v>
      </c>
      <c r="F236" s="34">
        <f>'Raw Data'!G232</f>
        <v>45898</v>
      </c>
      <c r="G236">
        <f>'Raw Data'!J232</f>
        <v>24651.7</v>
      </c>
      <c r="H236" s="36">
        <f t="shared" si="7"/>
        <v>1.3224240113256513E-3</v>
      </c>
    </row>
    <row r="237" spans="2:8" x14ac:dyDescent="0.3">
      <c r="B237" s="34">
        <f>'Raw Data'!G233</f>
        <v>45897</v>
      </c>
      <c r="C237">
        <v>400.9</v>
      </c>
      <c r="D237" s="36">
        <f t="shared" si="6"/>
        <v>2.2075330506360791E-2</v>
      </c>
      <c r="F237" s="34">
        <f>'Raw Data'!G233</f>
        <v>45897</v>
      </c>
      <c r="G237">
        <f>'Raw Data'!J233</f>
        <v>24857.5</v>
      </c>
      <c r="H237" s="36">
        <f t="shared" si="7"/>
        <v>-8.2791913909282533E-3</v>
      </c>
    </row>
    <row r="238" spans="2:8" x14ac:dyDescent="0.3">
      <c r="B238" s="34">
        <f>'Raw Data'!G234</f>
        <v>45895</v>
      </c>
      <c r="C238">
        <v>403.35</v>
      </c>
      <c r="D238" s="36">
        <f t="shared" si="6"/>
        <v>-6.0741291682162579E-3</v>
      </c>
      <c r="F238" s="34">
        <f>'Raw Data'!G234</f>
        <v>45895</v>
      </c>
      <c r="G238">
        <f>'Raw Data'!J234</f>
        <v>24989.7</v>
      </c>
      <c r="H238" s="36">
        <f t="shared" si="7"/>
        <v>-5.2901795539762597E-3</v>
      </c>
    </row>
    <row r="239" spans="2:8" x14ac:dyDescent="0.3">
      <c r="B239" s="34">
        <f>'Raw Data'!G235</f>
        <v>45894</v>
      </c>
      <c r="C239">
        <v>399.35</v>
      </c>
      <c r="D239" s="36">
        <f t="shared" si="6"/>
        <v>1.0016276449229977E-2</v>
      </c>
      <c r="F239" s="34">
        <f>'Raw Data'!G235</f>
        <v>45894</v>
      </c>
      <c r="G239">
        <f>'Raw Data'!J235</f>
        <v>25039.200000000001</v>
      </c>
      <c r="H239" s="36">
        <f t="shared" si="7"/>
        <v>-1.9769002204543806E-3</v>
      </c>
    </row>
    <row r="240" spans="2:8" x14ac:dyDescent="0.3">
      <c r="B240" s="34">
        <f>'Raw Data'!G236</f>
        <v>45891</v>
      </c>
      <c r="C240">
        <v>398.3</v>
      </c>
      <c r="D240" s="36">
        <f t="shared" si="6"/>
        <v>2.6362038664322629E-3</v>
      </c>
      <c r="F240" s="34">
        <f>'Raw Data'!G236</f>
        <v>45891</v>
      </c>
      <c r="G240">
        <f>'Raw Data'!J236</f>
        <v>25386.3</v>
      </c>
      <c r="H240" s="36">
        <f t="shared" si="7"/>
        <v>-1.3672728991621419E-2</v>
      </c>
    </row>
    <row r="241" spans="2:8" x14ac:dyDescent="0.3">
      <c r="B241" s="34">
        <f>'Raw Data'!G237</f>
        <v>45890</v>
      </c>
      <c r="C241">
        <v>405.55</v>
      </c>
      <c r="D241" s="36">
        <f t="shared" si="6"/>
        <v>-1.787695721859206E-2</v>
      </c>
      <c r="F241" s="34">
        <f>'Raw Data'!G237</f>
        <v>45890</v>
      </c>
      <c r="G241">
        <f>'Raw Data'!J237</f>
        <v>25083.3</v>
      </c>
      <c r="H241" s="36">
        <f t="shared" si="7"/>
        <v>1.2079750272093293E-2</v>
      </c>
    </row>
    <row r="242" spans="2:8" x14ac:dyDescent="0.3">
      <c r="B242" s="34">
        <f>'Raw Data'!G238</f>
        <v>45889</v>
      </c>
      <c r="C242">
        <v>406.05</v>
      </c>
      <c r="D242" s="36">
        <f t="shared" si="6"/>
        <v>-1.2313754463736393E-3</v>
      </c>
      <c r="F242" s="34">
        <f>'Raw Data'!G238</f>
        <v>45889</v>
      </c>
      <c r="G242">
        <f>'Raw Data'!J238</f>
        <v>25174.6</v>
      </c>
      <c r="H242" s="36">
        <f t="shared" si="7"/>
        <v>-3.6266713274490936E-3</v>
      </c>
    </row>
    <row r="243" spans="2:8" x14ac:dyDescent="0.3">
      <c r="B243" s="34">
        <f>'Raw Data'!G239</f>
        <v>45888</v>
      </c>
      <c r="C243">
        <v>409.1</v>
      </c>
      <c r="D243" s="36">
        <f t="shared" si="6"/>
        <v>-7.4553898802248719E-3</v>
      </c>
      <c r="F243" s="34">
        <f>'Raw Data'!G239</f>
        <v>45888</v>
      </c>
      <c r="G243">
        <f>'Raw Data'!J239</f>
        <v>25224.1</v>
      </c>
      <c r="H243" s="36">
        <f t="shared" si="7"/>
        <v>-1.962408966028506E-3</v>
      </c>
    </row>
    <row r="244" spans="2:8" x14ac:dyDescent="0.3">
      <c r="B244" s="34">
        <f>'Raw Data'!G240</f>
        <v>45887</v>
      </c>
      <c r="C244">
        <v>406.3</v>
      </c>
      <c r="D244" s="36">
        <f t="shared" si="6"/>
        <v>6.8914595126754463E-3</v>
      </c>
      <c r="F244" s="34">
        <f>'Raw Data'!G240</f>
        <v>45887</v>
      </c>
      <c r="G244">
        <f>'Raw Data'!J240</f>
        <v>24822.5</v>
      </c>
      <c r="H244" s="36">
        <f t="shared" si="7"/>
        <v>1.6178869976835486E-2</v>
      </c>
    </row>
    <row r="245" spans="2:8" x14ac:dyDescent="0.3">
      <c r="B245" s="34">
        <f>'Raw Data'!G241</f>
        <v>45883</v>
      </c>
      <c r="C245">
        <v>411.45</v>
      </c>
      <c r="D245" s="36">
        <f t="shared" si="6"/>
        <v>-1.2516709199173581E-2</v>
      </c>
      <c r="F245" s="34">
        <f>'Raw Data'!G241</f>
        <v>45883</v>
      </c>
      <c r="G245">
        <f>'Raw Data'!J241</f>
        <v>24712.2</v>
      </c>
      <c r="H245" s="36">
        <f t="shared" si="7"/>
        <v>4.4633824588664606E-3</v>
      </c>
    </row>
    <row r="246" spans="2:8" x14ac:dyDescent="0.3">
      <c r="B246" s="34">
        <f>'Raw Data'!G242</f>
        <v>45882</v>
      </c>
      <c r="C246">
        <v>414.1</v>
      </c>
      <c r="D246" s="36">
        <f t="shared" si="6"/>
        <v>-6.3994204298479795E-3</v>
      </c>
      <c r="F246" s="34">
        <f>'Raw Data'!G242</f>
        <v>45882</v>
      </c>
      <c r="G246">
        <f>'Raw Data'!J242</f>
        <v>24805.3</v>
      </c>
      <c r="H246" s="36">
        <f t="shared" si="7"/>
        <v>-3.7532301564584536E-3</v>
      </c>
    </row>
    <row r="247" spans="2:8" x14ac:dyDescent="0.3">
      <c r="B247" s="34">
        <f>'Raw Data'!G243</f>
        <v>45881</v>
      </c>
      <c r="C247">
        <v>416.35</v>
      </c>
      <c r="D247" s="36">
        <f t="shared" si="6"/>
        <v>-5.4041071214122605E-3</v>
      </c>
      <c r="F247" s="34">
        <f>'Raw Data'!G243</f>
        <v>45881</v>
      </c>
      <c r="G247">
        <f>'Raw Data'!J243</f>
        <v>24755.5</v>
      </c>
      <c r="H247" s="36">
        <f t="shared" si="7"/>
        <v>2.0116741734159671E-3</v>
      </c>
    </row>
    <row r="248" spans="2:8" x14ac:dyDescent="0.3">
      <c r="B248" s="34">
        <f>'Raw Data'!G244</f>
        <v>45880</v>
      </c>
      <c r="C248">
        <v>416.85</v>
      </c>
      <c r="D248" s="36">
        <f t="shared" si="6"/>
        <v>-1.1994722322178353E-3</v>
      </c>
      <c r="F248" s="34">
        <f>'Raw Data'!G244</f>
        <v>45880</v>
      </c>
      <c r="G248">
        <f>'Raw Data'!J244</f>
        <v>24576.799999999999</v>
      </c>
      <c r="H248" s="36">
        <f t="shared" si="7"/>
        <v>7.2710849256210075E-3</v>
      </c>
    </row>
    <row r="249" spans="2:8" x14ac:dyDescent="0.3">
      <c r="B249" s="34">
        <f>'Raw Data'!G245</f>
        <v>45877</v>
      </c>
      <c r="C249">
        <v>414.5</v>
      </c>
      <c r="D249" s="36">
        <f t="shared" si="6"/>
        <v>5.6694813027744484E-3</v>
      </c>
      <c r="F249" s="34">
        <f>'Raw Data'!G245</f>
        <v>45877</v>
      </c>
      <c r="G249">
        <f>'Raw Data'!J245</f>
        <v>24673.4</v>
      </c>
      <c r="H249" s="36">
        <f t="shared" si="7"/>
        <v>-3.9151474867672453E-3</v>
      </c>
    </row>
    <row r="250" spans="2:8" x14ac:dyDescent="0.3">
      <c r="B250" s="34">
        <f>'Raw Data'!G246</f>
        <v>45876</v>
      </c>
      <c r="C250">
        <v>413.6</v>
      </c>
      <c r="D250" s="36">
        <f t="shared" si="6"/>
        <v>2.1760154738876825E-3</v>
      </c>
      <c r="F250" s="34">
        <f>'Raw Data'!G246</f>
        <v>45876</v>
      </c>
      <c r="G250">
        <f>'Raw Data'!J246</f>
        <v>24769.8</v>
      </c>
      <c r="H250" s="36">
        <f t="shared" si="7"/>
        <v>-3.8918360261285256E-3</v>
      </c>
    </row>
    <row r="251" spans="2:8" x14ac:dyDescent="0.3">
      <c r="B251" s="34">
        <f>'Raw Data'!G247</f>
        <v>45875</v>
      </c>
      <c r="C251">
        <v>412</v>
      </c>
      <c r="D251" s="36">
        <f t="shared" si="6"/>
        <v>3.8834951456310218E-3</v>
      </c>
      <c r="F251" s="34">
        <f>'Raw Data'!G247</f>
        <v>45875</v>
      </c>
      <c r="G251">
        <f>'Raw Data'!J247</f>
        <v>24959.7</v>
      </c>
      <c r="H251" s="36">
        <f t="shared" si="7"/>
        <v>-7.6082645224101464E-3</v>
      </c>
    </row>
    <row r="252" spans="2:8" x14ac:dyDescent="0.3">
      <c r="B252" s="34">
        <f>'Raw Data'!G248</f>
        <v>45874</v>
      </c>
      <c r="C252">
        <v>414.15</v>
      </c>
      <c r="D252" s="36">
        <f t="shared" si="6"/>
        <v>-5.1913557889653461E-3</v>
      </c>
      <c r="F252" s="34">
        <f>'Raw Data'!G248</f>
        <v>45874</v>
      </c>
      <c r="G252">
        <f>'Raw Data'!J248</f>
        <v>25041.8</v>
      </c>
      <c r="H252" s="36">
        <f t="shared" si="7"/>
        <v>-3.2785183173732468E-3</v>
      </c>
    </row>
    <row r="253" spans="2:8" x14ac:dyDescent="0.3">
      <c r="B253" s="34"/>
    </row>
    <row r="254" spans="2:8" x14ac:dyDescent="0.3">
      <c r="B254" s="34"/>
    </row>
    <row r="255" spans="2:8" x14ac:dyDescent="0.3">
      <c r="B255" s="34"/>
    </row>
    <row r="256" spans="2:8" x14ac:dyDescent="0.3">
      <c r="B256" s="34"/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220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219</v>
      </c>
    </row>
    <row r="9" spans="1:12" ht="6.6" customHeight="1" x14ac:dyDescent="0.3"/>
    <row r="10" spans="1:12" x14ac:dyDescent="0.3">
      <c r="B10" t="s">
        <v>221</v>
      </c>
    </row>
    <row r="11" spans="1:12" x14ac:dyDescent="0.3">
      <c r="B11" s="57"/>
      <c r="C11" s="57"/>
      <c r="D11" s="57"/>
      <c r="E11" s="165" t="s">
        <v>224</v>
      </c>
      <c r="F11" s="165" t="s">
        <v>225</v>
      </c>
      <c r="G11" s="57"/>
      <c r="H11" s="165" t="s">
        <v>226</v>
      </c>
      <c r="I11" s="165" t="s">
        <v>227</v>
      </c>
      <c r="J11" s="165" t="s">
        <v>228</v>
      </c>
      <c r="K11" s="165" t="s">
        <v>229</v>
      </c>
      <c r="L11" s="11"/>
    </row>
    <row r="12" spans="1:12" x14ac:dyDescent="0.3">
      <c r="B12" s="58" t="s">
        <v>222</v>
      </c>
      <c r="C12" s="58"/>
      <c r="D12" s="58" t="s">
        <v>223</v>
      </c>
      <c r="E12" s="166"/>
      <c r="F12" s="166"/>
      <c r="G12" s="59" t="s">
        <v>111</v>
      </c>
      <c r="H12" s="166"/>
      <c r="I12" s="166"/>
      <c r="J12" s="166"/>
      <c r="K12" s="166"/>
      <c r="L12" s="11"/>
    </row>
    <row r="14" spans="1:12" x14ac:dyDescent="0.3">
      <c r="B14" s="119" t="str">
        <f>'Raw Data'!O24</f>
        <v>TCS</v>
      </c>
      <c r="C14" s="119"/>
      <c r="D14" s="119" t="str">
        <f>'Raw Data'!Q24</f>
        <v>India</v>
      </c>
      <c r="E14" s="124">
        <f>'Raw Data'!R24</f>
        <v>11283</v>
      </c>
      <c r="F14" s="124">
        <f>'Raw Data'!S24</f>
        <v>761607.42</v>
      </c>
      <c r="G14" s="120">
        <f>'Raw Data'!T24</f>
        <v>0.3</v>
      </c>
      <c r="H14" s="36">
        <f>E14/F14</f>
        <v>1.4814719110798579E-2</v>
      </c>
      <c r="I14" s="36">
        <f>E14/SUM(E14:F14)</f>
        <v>1.4598447215842058E-2</v>
      </c>
      <c r="J14" s="47">
        <v>1</v>
      </c>
      <c r="K14" s="47">
        <f>J14/(1+(1-G14)*H14)</f>
        <v>0.98973613600588595</v>
      </c>
    </row>
    <row r="15" spans="1:12" x14ac:dyDescent="0.3">
      <c r="B15" s="119" t="str">
        <f>'Raw Data'!O25</f>
        <v>Infosys Ltd</v>
      </c>
      <c r="C15" s="119"/>
      <c r="D15" s="119" t="str">
        <f>'Raw Data'!Q25</f>
        <v>India</v>
      </c>
      <c r="E15" s="124">
        <f>'Raw Data'!R25</f>
        <v>9176</v>
      </c>
      <c r="F15" s="124">
        <f>'Raw Data'!S25</f>
        <v>426683</v>
      </c>
      <c r="G15" s="120">
        <f>'Raw Data'!T25</f>
        <v>0.3</v>
      </c>
      <c r="H15" s="36">
        <f t="shared" ref="H15:H18" si="0">E15/F15</f>
        <v>2.1505426745382403E-2</v>
      </c>
      <c r="I15" s="36">
        <f t="shared" ref="I15:I18" si="1">E15/SUM(E15:F15)</f>
        <v>2.1052679880420044E-2</v>
      </c>
      <c r="J15" s="47">
        <f>'Beta-Regression'!L15</f>
        <v>0.49172842450913107</v>
      </c>
      <c r="K15" s="47">
        <f t="shared" ref="K15:K18" si="2">J15/(1+(1-G15)*H15)</f>
        <v>0.48443582510439609</v>
      </c>
    </row>
    <row r="16" spans="1:12" x14ac:dyDescent="0.3">
      <c r="B16" s="119" t="str">
        <f>'Raw Data'!O26</f>
        <v>HCL Technologies</v>
      </c>
      <c r="C16" s="119"/>
      <c r="D16" s="119" t="str">
        <f>'Raw Data'!Q26</f>
        <v>India</v>
      </c>
      <c r="E16" s="124">
        <f>'Raw Data'!R26</f>
        <v>5215</v>
      </c>
      <c r="F16" s="124">
        <f>'Raw Data'!S26</f>
        <v>339018.18</v>
      </c>
      <c r="G16" s="120">
        <f>'Raw Data'!T26</f>
        <v>0.3</v>
      </c>
      <c r="H16" s="36">
        <f t="shared" si="0"/>
        <v>1.5382655879988501E-2</v>
      </c>
      <c r="I16" s="36">
        <f t="shared" si="1"/>
        <v>1.5149614572308224E-2</v>
      </c>
      <c r="J16">
        <v>1</v>
      </c>
      <c r="K16" s="47">
        <f t="shared" si="2"/>
        <v>0.98934685247569176</v>
      </c>
    </row>
    <row r="17" spans="2:11" x14ac:dyDescent="0.3">
      <c r="B17" s="119" t="str">
        <f>'Raw Data'!O27</f>
        <v>Wipro</v>
      </c>
      <c r="C17" s="119"/>
      <c r="D17" s="119" t="str">
        <f>'Raw Data'!Q27</f>
        <v>India</v>
      </c>
      <c r="E17" s="124">
        <f>'Raw Data'!R27</f>
        <v>20291</v>
      </c>
      <c r="F17" s="124">
        <f>'Raw Data'!S27</f>
        <v>165244.04</v>
      </c>
      <c r="G17" s="120">
        <f>'Raw Data'!T27</f>
        <v>0.3</v>
      </c>
      <c r="H17" s="36">
        <f t="shared" si="0"/>
        <v>0.12279414131971113</v>
      </c>
      <c r="I17" s="36">
        <f t="shared" si="1"/>
        <v>0.10936478629589322</v>
      </c>
      <c r="J17" s="47">
        <v>1</v>
      </c>
      <c r="K17" s="47">
        <f t="shared" si="2"/>
        <v>0.92084770752755085</v>
      </c>
    </row>
    <row r="18" spans="2:11" x14ac:dyDescent="0.3">
      <c r="B18" s="119" t="str">
        <f>'Raw Data'!O28</f>
        <v>Tech Mahindra</v>
      </c>
      <c r="C18" s="119"/>
      <c r="D18" s="119" t="str">
        <f>'Raw Data'!Q28</f>
        <v>India</v>
      </c>
      <c r="E18" s="124">
        <f>'Raw Data'!R28</f>
        <v>2186</v>
      </c>
      <c r="F18" s="124">
        <f>'Raw Data'!S28</f>
        <v>150656.35999999999</v>
      </c>
      <c r="G18" s="120">
        <f>'Raw Data'!T28</f>
        <v>0.3</v>
      </c>
      <c r="H18" s="36">
        <f t="shared" si="0"/>
        <v>1.45098421334486E-2</v>
      </c>
      <c r="I18" s="36">
        <f t="shared" si="1"/>
        <v>1.4302317760599877E-2</v>
      </c>
      <c r="J18">
        <v>1</v>
      </c>
      <c r="K18" s="47">
        <f t="shared" si="2"/>
        <v>0.98994523563710213</v>
      </c>
    </row>
    <row r="20" spans="2:11" x14ac:dyDescent="0.3">
      <c r="F20" s="122" t="s">
        <v>343</v>
      </c>
      <c r="G20" s="69">
        <f>AVERAGE(G14:G18)</f>
        <v>0.3</v>
      </c>
      <c r="H20" s="69">
        <f t="shared" ref="H20:K20" si="3">AVERAGE(H14:H18)</f>
        <v>3.7801357037865843E-2</v>
      </c>
      <c r="I20" s="69">
        <f t="shared" si="3"/>
        <v>3.4893569145012682E-2</v>
      </c>
      <c r="J20" s="69">
        <f t="shared" si="3"/>
        <v>0.8983456849018262</v>
      </c>
      <c r="K20" s="69">
        <f t="shared" si="3"/>
        <v>0.87486235135012547</v>
      </c>
    </row>
    <row r="21" spans="2:11" x14ac:dyDescent="0.3">
      <c r="F21" s="68" t="s">
        <v>160</v>
      </c>
      <c r="G21" s="70">
        <f>MEDIAN(G14:G18)</f>
        <v>0.3</v>
      </c>
      <c r="H21" s="70">
        <f t="shared" ref="H21:K21" si="4">MEDIAN(H14:H18)</f>
        <v>1.5382655879988501E-2</v>
      </c>
      <c r="I21" s="70">
        <f t="shared" si="4"/>
        <v>1.5149614572308224E-2</v>
      </c>
      <c r="J21" s="70">
        <f t="shared" si="4"/>
        <v>1</v>
      </c>
      <c r="K21" s="70">
        <f t="shared" si="4"/>
        <v>0.98934685247569176</v>
      </c>
    </row>
    <row r="24" spans="2:11" x14ac:dyDescent="0.3">
      <c r="B24" s="49" t="s">
        <v>230</v>
      </c>
      <c r="G24" s="49" t="s">
        <v>231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232</v>
      </c>
      <c r="E26" s="121">
        <v>8.0500000000000002E-2</v>
      </c>
      <c r="G26" t="s">
        <v>236</v>
      </c>
      <c r="K26" s="121">
        <v>7.0000000000000007E-2</v>
      </c>
    </row>
    <row r="27" spans="2:11" x14ac:dyDescent="0.3">
      <c r="B27" t="s">
        <v>111</v>
      </c>
      <c r="E27" s="46">
        <f>G15</f>
        <v>0.3</v>
      </c>
      <c r="G27" t="s">
        <v>235</v>
      </c>
      <c r="K27" s="121">
        <v>6.5000000000000002E-2</v>
      </c>
    </row>
    <row r="28" spans="2:11" x14ac:dyDescent="0.3">
      <c r="B28" s="67" t="s">
        <v>233</v>
      </c>
      <c r="C28" s="64"/>
      <c r="D28" s="64"/>
      <c r="E28" s="66">
        <f>E26*(1-E27)</f>
        <v>5.6349999999999997E-2</v>
      </c>
      <c r="G28" t="s">
        <v>228</v>
      </c>
      <c r="K28" s="47">
        <f>K36</f>
        <v>1.0143858421571457</v>
      </c>
    </row>
    <row r="29" spans="2:11" x14ac:dyDescent="0.3">
      <c r="G29" s="67" t="s">
        <v>231</v>
      </c>
      <c r="H29" s="64"/>
      <c r="I29" s="64"/>
      <c r="J29" s="64"/>
      <c r="K29" s="66">
        <f>K26+K27*K28</f>
        <v>0.13593507974021446</v>
      </c>
    </row>
    <row r="31" spans="2:11" x14ac:dyDescent="0.3">
      <c r="B31" s="68" t="s">
        <v>237</v>
      </c>
      <c r="C31" s="58"/>
      <c r="D31" s="58"/>
      <c r="E31" s="58"/>
      <c r="G31" s="49" t="s">
        <v>228</v>
      </c>
      <c r="H31" s="61"/>
      <c r="I31" s="61"/>
      <c r="J31" s="61"/>
      <c r="K31" s="61"/>
    </row>
    <row r="33" spans="2:11" x14ac:dyDescent="0.3">
      <c r="D33" s="123" t="s">
        <v>239</v>
      </c>
      <c r="E33" s="123" t="s">
        <v>240</v>
      </c>
      <c r="G33" t="s">
        <v>234</v>
      </c>
      <c r="K33" s="47">
        <f>K21</f>
        <v>0.98934685247569176</v>
      </c>
    </row>
    <row r="34" spans="2:11" x14ac:dyDescent="0.3">
      <c r="B34" t="s">
        <v>224</v>
      </c>
      <c r="C34" s="106">
        <f>E15</f>
        <v>9176</v>
      </c>
      <c r="D34" s="36">
        <f>C34/C$36</f>
        <v>2.1052679880420044E-2</v>
      </c>
      <c r="E34" s="46">
        <f>I20</f>
        <v>3.4893569145012682E-2</v>
      </c>
      <c r="G34" t="s">
        <v>238</v>
      </c>
      <c r="K34" s="46">
        <f>E38</f>
        <v>3.6155151421072271E-2</v>
      </c>
    </row>
    <row r="35" spans="2:11" x14ac:dyDescent="0.3">
      <c r="B35" t="s">
        <v>79</v>
      </c>
      <c r="C35" s="106">
        <f>F15</f>
        <v>426683</v>
      </c>
      <c r="D35" s="36">
        <f t="shared" ref="D35:D36" si="5">C35/C$36</f>
        <v>0.97894732011957997</v>
      </c>
      <c r="E35" s="46">
        <f>E36-E34</f>
        <v>0.96510643085498726</v>
      </c>
      <c r="G35" t="s">
        <v>111</v>
      </c>
      <c r="K35" s="46">
        <f>E27</f>
        <v>0.3</v>
      </c>
    </row>
    <row r="36" spans="2:11" x14ac:dyDescent="0.3">
      <c r="B36" t="s">
        <v>241</v>
      </c>
      <c r="C36" s="125">
        <f>SUM(C34:C35)</f>
        <v>435859</v>
      </c>
      <c r="D36" s="63">
        <f t="shared" si="5"/>
        <v>1</v>
      </c>
      <c r="E36" s="62">
        <f>D36</f>
        <v>1</v>
      </c>
      <c r="G36" s="67" t="s">
        <v>228</v>
      </c>
      <c r="H36" s="64"/>
      <c r="I36" s="64"/>
      <c r="J36" s="64"/>
      <c r="K36" s="126">
        <f>K33*(1+(1-K35)*K34)</f>
        <v>1.0143858421571457</v>
      </c>
    </row>
    <row r="38" spans="2:11" x14ac:dyDescent="0.3">
      <c r="B38" t="s">
        <v>226</v>
      </c>
      <c r="D38" s="65">
        <f>D34/D35</f>
        <v>2.1505426745382403E-2</v>
      </c>
      <c r="E38" s="65">
        <f>E34/E35</f>
        <v>3.6155151421072271E-2</v>
      </c>
      <c r="G38" s="37" t="s">
        <v>242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244</v>
      </c>
      <c r="K40" s="46">
        <f>K29</f>
        <v>0.13593507974021446</v>
      </c>
    </row>
    <row r="41" spans="2:11" x14ac:dyDescent="0.3">
      <c r="G41" s="18" t="s">
        <v>243</v>
      </c>
      <c r="K41" s="46">
        <f>E35</f>
        <v>0.96510643085498726</v>
      </c>
    </row>
    <row r="43" spans="2:11" x14ac:dyDescent="0.3">
      <c r="G43" t="s">
        <v>230</v>
      </c>
      <c r="K43" s="46">
        <f>E28</f>
        <v>5.6349999999999997E-2</v>
      </c>
    </row>
    <row r="44" spans="2:11" x14ac:dyDescent="0.3">
      <c r="G44" t="s">
        <v>245</v>
      </c>
      <c r="K44" s="46">
        <f>E34</f>
        <v>3.4893569145012682E-2</v>
      </c>
    </row>
    <row r="45" spans="2:11" ht="3.6" customHeight="1" x14ac:dyDescent="0.3"/>
    <row r="46" spans="2:11" x14ac:dyDescent="0.3">
      <c r="G46" s="67" t="s">
        <v>242</v>
      </c>
      <c r="H46" s="64"/>
      <c r="I46" s="64"/>
      <c r="J46" s="64"/>
      <c r="K46" s="66">
        <f>(K40*K41)+(K43*K44)</f>
        <v>0.13315807225738793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275</v>
      </c>
      <c r="C6" s="32"/>
      <c r="D6" s="32"/>
      <c r="E6" s="32"/>
      <c r="F6" s="32"/>
      <c r="G6" s="32"/>
      <c r="H6" s="40">
        <f>'Raw FS'!J$3</f>
        <v>44621</v>
      </c>
      <c r="I6" s="40">
        <f>'Raw FS'!K$3</f>
        <v>44986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276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10864</v>
      </c>
      <c r="I9" s="130">
        <f>'Raw FS'!K39</f>
        <v>11771</v>
      </c>
      <c r="J9" s="130">
        <f>'Raw FS'!L39</f>
        <v>14153</v>
      </c>
      <c r="K9" s="130">
        <f>'Raw FS'!M39</f>
        <v>15638</v>
      </c>
      <c r="L9" s="130">
        <f>'Raw FS'!N39</f>
        <v>18623</v>
      </c>
    </row>
    <row r="10" spans="1:12" x14ac:dyDescent="0.3">
      <c r="B10" s="72" t="s">
        <v>277</v>
      </c>
      <c r="C10" s="72"/>
      <c r="D10" s="72"/>
      <c r="E10" s="72"/>
      <c r="F10" s="72"/>
      <c r="G10" s="72"/>
      <c r="H10" s="130">
        <f>'Raw FS'!J40</f>
        <v>22698</v>
      </c>
      <c r="I10" s="130">
        <f>'Raw FS'!K40</f>
        <v>25424</v>
      </c>
      <c r="J10" s="130">
        <f>'Raw FS'!L40</f>
        <v>30193</v>
      </c>
      <c r="K10" s="130">
        <f>'Raw FS'!M40</f>
        <v>31158</v>
      </c>
      <c r="L10" s="130">
        <f>'Raw FS'!N40</f>
        <v>35234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2491</v>
      </c>
      <c r="I11" s="130">
        <f>'Raw FS'!K42</f>
        <v>3242</v>
      </c>
      <c r="J11" s="130">
        <f>'Raw FS'!L42</f>
        <v>10330</v>
      </c>
      <c r="K11" s="130">
        <f>'Raw FS'!M42</f>
        <v>6717</v>
      </c>
      <c r="L11" s="130">
        <f>'Raw FS'!N42</f>
        <v>6808</v>
      </c>
    </row>
    <row r="12" spans="1:12" ht="15" thickBot="1" x14ac:dyDescent="0.35">
      <c r="B12" t="str">
        <f>'Raw FS'!B43</f>
        <v>Other asset items</v>
      </c>
      <c r="H12" s="106">
        <f>'Raw FS'!J43</f>
        <v>27528</v>
      </c>
      <c r="I12" s="106">
        <f>'Raw FS'!K43</f>
        <v>34766</v>
      </c>
      <c r="J12" s="106">
        <f>'Raw FS'!L43</f>
        <v>28173</v>
      </c>
      <c r="K12" s="106">
        <f>'Raw FS'!M43</f>
        <v>30149</v>
      </c>
      <c r="L12" s="106">
        <f>'Raw FS'!N43</f>
        <v>33869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63581</v>
      </c>
      <c r="I13" s="138">
        <f t="shared" ref="I13:L13" si="0">SUM(I9:I12)</f>
        <v>75203</v>
      </c>
      <c r="J13" s="138">
        <f t="shared" si="0"/>
        <v>82849</v>
      </c>
      <c r="K13" s="138">
        <f t="shared" si="0"/>
        <v>83662</v>
      </c>
      <c r="L13" s="138">
        <f t="shared" si="0"/>
        <v>94534</v>
      </c>
    </row>
    <row r="15" spans="1:12" x14ac:dyDescent="0.3">
      <c r="B15" s="37" t="s">
        <v>278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4134</v>
      </c>
      <c r="I16" s="130">
        <f>'Raw FS'!K14</f>
        <v>3865</v>
      </c>
      <c r="J16" s="130">
        <f>'Raw FS'!L14</f>
        <v>3956</v>
      </c>
      <c r="K16" s="130">
        <f>'Raw FS'!M14</f>
        <v>4164</v>
      </c>
      <c r="L16" s="130">
        <f>'Raw FS'!N14</f>
        <v>4744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0</v>
      </c>
      <c r="I17" s="130">
        <f>'Raw FS'!K15</f>
        <v>0</v>
      </c>
      <c r="J17" s="130">
        <f>'Raw FS'!L15</f>
        <v>0</v>
      </c>
      <c r="K17" s="130">
        <f>'Raw FS'!M15</f>
        <v>0</v>
      </c>
      <c r="L17" s="130">
        <f>'Raw FS'!N15</f>
        <v>0</v>
      </c>
    </row>
    <row r="18" spans="1:12" ht="15" thickBot="1" x14ac:dyDescent="0.35">
      <c r="B18" t="str">
        <f>'Raw FS'!B16</f>
        <v>Other liability items</v>
      </c>
      <c r="H18" s="106">
        <f>'Raw FS'!J16</f>
        <v>31385</v>
      </c>
      <c r="I18" s="106">
        <f>'Raw FS'!K16</f>
        <v>36637</v>
      </c>
      <c r="J18" s="106">
        <f>'Raw FS'!L16</f>
        <v>35244</v>
      </c>
      <c r="K18" s="106">
        <f>'Raw FS'!M16</f>
        <v>39201</v>
      </c>
      <c r="L18" s="106">
        <f>'Raw FS'!N16</f>
        <v>47071</v>
      </c>
    </row>
    <row r="19" spans="1:12" ht="15" thickTop="1" x14ac:dyDescent="0.3">
      <c r="B19" s="139" t="s">
        <v>279</v>
      </c>
      <c r="C19" s="139"/>
      <c r="D19" s="139"/>
      <c r="E19" s="139"/>
      <c r="F19" s="139"/>
      <c r="G19" s="139"/>
      <c r="H19" s="140">
        <f>SUM(H16:H18)</f>
        <v>35519</v>
      </c>
      <c r="I19" s="140">
        <f t="shared" ref="I19:L19" si="1">SUM(I16:I18)</f>
        <v>40502</v>
      </c>
      <c r="J19" s="140">
        <f t="shared" si="1"/>
        <v>39200</v>
      </c>
      <c r="K19" s="140">
        <f t="shared" si="1"/>
        <v>43365</v>
      </c>
      <c r="L19" s="140">
        <f t="shared" si="1"/>
        <v>51815</v>
      </c>
    </row>
    <row r="20" spans="1:12" ht="15" thickBot="1" x14ac:dyDescent="0.35"/>
    <row r="21" spans="1:12" ht="15" thickBot="1" x14ac:dyDescent="0.35">
      <c r="A21" t="s">
        <v>121</v>
      </c>
      <c r="B21" s="141" t="s">
        <v>280</v>
      </c>
      <c r="C21" s="141"/>
      <c r="D21" s="141"/>
      <c r="E21" s="141"/>
      <c r="F21" s="141"/>
      <c r="G21" s="141"/>
      <c r="H21" s="142">
        <f>H13-H19</f>
        <v>28062</v>
      </c>
      <c r="I21" s="142">
        <f t="shared" ref="I21:L21" si="2">I13-I19</f>
        <v>34701</v>
      </c>
      <c r="J21" s="142">
        <f t="shared" si="2"/>
        <v>43649</v>
      </c>
      <c r="K21" s="142">
        <f t="shared" si="2"/>
        <v>40297</v>
      </c>
      <c r="L21" s="142">
        <f t="shared" si="2"/>
        <v>42719</v>
      </c>
    </row>
    <row r="23" spans="1:12" x14ac:dyDescent="0.3">
      <c r="B23" s="37" t="s">
        <v>282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2066</v>
      </c>
      <c r="I24" s="130">
        <f>'Raw FS'!K22</f>
        <v>2054</v>
      </c>
      <c r="J24" s="130">
        <f>'Raw FS'!L22</f>
        <v>2037</v>
      </c>
      <c r="K24" s="130">
        <f>'Raw FS'!M22</f>
        <v>2079</v>
      </c>
      <c r="L24" s="130">
        <f>'Raw FS'!N22</f>
        <v>1990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16760</v>
      </c>
      <c r="I25" s="130">
        <f>'Raw FS'!K23</f>
        <v>16903</v>
      </c>
      <c r="J25" s="130">
        <f>'Raw FS'!L23</f>
        <v>16515</v>
      </c>
      <c r="K25" s="130">
        <f>'Raw FS'!M23</f>
        <v>16376</v>
      </c>
      <c r="L25" s="130">
        <f>'Raw FS'!N23</f>
        <v>17193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3210</v>
      </c>
      <c r="I26" s="130">
        <f>'Raw FS'!K24</f>
        <v>3302</v>
      </c>
      <c r="J26" s="130">
        <f>'Raw FS'!L24</f>
        <v>3428</v>
      </c>
      <c r="K26" s="130">
        <f>'Raw FS'!M24</f>
        <v>3461</v>
      </c>
      <c r="L26" s="130">
        <f>'Raw FS'!N24</f>
        <v>3714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1427</v>
      </c>
      <c r="I27" s="130">
        <f>'Raw FS'!K25</f>
        <v>1482</v>
      </c>
      <c r="J27" s="130">
        <f>'Raw FS'!L25</f>
        <v>1528</v>
      </c>
      <c r="K27" s="130">
        <f>'Raw FS'!M25</f>
        <v>1628</v>
      </c>
      <c r="L27" s="130">
        <f>'Raw FS'!N25</f>
        <v>1732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2278</v>
      </c>
      <c r="I28" s="130">
        <f>'Raw FS'!K26</f>
        <v>2303</v>
      </c>
      <c r="J28" s="130">
        <f>'Raw FS'!L26</f>
        <v>2326</v>
      </c>
      <c r="K28" s="130">
        <f>'Raw FS'!M26</f>
        <v>2340</v>
      </c>
      <c r="L28" s="130">
        <f>'Raw FS'!N26</f>
        <v>2438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2</v>
      </c>
      <c r="I29" s="130">
        <f>'Raw FS'!K27</f>
        <v>2</v>
      </c>
      <c r="J29" s="130">
        <f>'Raw FS'!L27</f>
        <v>2</v>
      </c>
      <c r="K29" s="130">
        <f>'Raw FS'!M27</f>
        <v>2</v>
      </c>
      <c r="L29" s="130">
        <f>'Raw FS'!N27</f>
        <v>2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71</v>
      </c>
      <c r="I30" s="130">
        <f>'Raw FS'!K28</f>
        <v>60</v>
      </c>
      <c r="J30" s="130">
        <f>'Raw FS'!L28</f>
        <v>62</v>
      </c>
      <c r="K30" s="130">
        <f>'Raw FS'!M28</f>
        <v>72</v>
      </c>
      <c r="L30" s="130">
        <f>'Raw FS'!N28</f>
        <v>70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6495</v>
      </c>
      <c r="I31" s="130">
        <f>'Raw FS'!K29</f>
        <v>7594</v>
      </c>
      <c r="J31" s="130">
        <f>'Raw FS'!L29</f>
        <v>7652</v>
      </c>
      <c r="K31" s="130">
        <f>'Raw FS'!M29</f>
        <v>10626</v>
      </c>
      <c r="L31" s="130">
        <f>'Raw FS'!N29</f>
        <v>12729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2766</v>
      </c>
      <c r="I32" s="130">
        <f>'Raw FS'!K30</f>
        <v>3281</v>
      </c>
      <c r="J32" s="130">
        <f>'Raw FS'!L30</f>
        <v>3294</v>
      </c>
      <c r="K32" s="130">
        <f>'Raw FS'!M30</f>
        <v>5184</v>
      </c>
      <c r="L32" s="130">
        <f>'Raw FS'!N30</f>
        <v>6296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45009</v>
      </c>
      <c r="I33" s="136">
        <f>'Raw FS'!K31</f>
        <v>48877</v>
      </c>
      <c r="J33" s="136">
        <f>'Raw FS'!L31</f>
        <v>49195</v>
      </c>
      <c r="K33" s="136">
        <f>'Raw FS'!M31</f>
        <v>54691</v>
      </c>
      <c r="L33" s="136">
        <f>'Raw FS'!N31</f>
        <v>59762</v>
      </c>
    </row>
    <row r="34" spans="2:12" ht="15" thickBot="1" x14ac:dyDescent="0.35">
      <c r="B34" t="str">
        <f>'Raw FS'!B32</f>
        <v>Accumulated Depreciation</v>
      </c>
      <c r="H34" s="106">
        <f>'Raw FS'!J32</f>
        <v>19209</v>
      </c>
      <c r="I34" s="106">
        <f>'Raw FS'!K32</f>
        <v>19652</v>
      </c>
      <c r="J34" s="106">
        <f>'Raw FS'!L32</f>
        <v>21573</v>
      </c>
      <c r="K34" s="106">
        <f>'Raw FS'!M32</f>
        <v>23730</v>
      </c>
      <c r="L34" s="106">
        <f>'Raw FS'!N32</f>
        <v>25992</v>
      </c>
    </row>
    <row r="35" spans="2:12" ht="15" thickBot="1" x14ac:dyDescent="0.35">
      <c r="B35" s="141" t="s">
        <v>281</v>
      </c>
      <c r="C35" s="141"/>
      <c r="D35" s="141"/>
      <c r="E35" s="141"/>
      <c r="F35" s="141"/>
      <c r="G35" s="141"/>
      <c r="H35" s="142">
        <f>'Raw FS'!J33</f>
        <v>25800</v>
      </c>
      <c r="I35" s="142">
        <f>'Raw FS'!K33</f>
        <v>29225</v>
      </c>
      <c r="J35" s="142">
        <f>'Raw FS'!L33</f>
        <v>27622</v>
      </c>
      <c r="K35" s="142">
        <f>'Raw FS'!M33</f>
        <v>30961</v>
      </c>
      <c r="L35" s="142">
        <f>'Raw FS'!N33</f>
        <v>33770</v>
      </c>
    </row>
    <row r="37" spans="2:12" x14ac:dyDescent="0.3">
      <c r="B37" s="145" t="s">
        <v>283</v>
      </c>
      <c r="C37" s="145"/>
      <c r="D37" s="145"/>
      <c r="E37" s="145"/>
      <c r="F37" s="145"/>
      <c r="G37" s="145"/>
      <c r="H37" s="146">
        <f>H35+H21</f>
        <v>53862</v>
      </c>
      <c r="I37" s="146">
        <f t="shared" ref="I37:L37" si="3">I35+I21</f>
        <v>63926</v>
      </c>
      <c r="J37" s="146">
        <f t="shared" si="3"/>
        <v>71271</v>
      </c>
      <c r="K37" s="146">
        <f t="shared" si="3"/>
        <v>71258</v>
      </c>
      <c r="L37" s="146">
        <f t="shared" si="3"/>
        <v>76489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30310</v>
      </c>
      <c r="I38" s="146">
        <f>'Raw FS'!AA11+'Raw FS'!AA9</f>
        <v>33606</v>
      </c>
      <c r="J38" s="146">
        <f>'Raw FS'!AB11+'Raw FS'!AB9</f>
        <v>36458</v>
      </c>
      <c r="K38" s="146">
        <f>'Raw FS'!AC11+'Raw FS'!AC9</f>
        <v>38024</v>
      </c>
      <c r="L38" s="146">
        <f>'Raw FS'!AD11+'Raw FS'!AD9</f>
        <v>40411</v>
      </c>
    </row>
    <row r="39" spans="2:12" ht="7.8" customHeight="1" thickBot="1" x14ac:dyDescent="0.35"/>
    <row r="40" spans="2:12" ht="15" thickBot="1" x14ac:dyDescent="0.35">
      <c r="B40" s="141" t="s">
        <v>291</v>
      </c>
      <c r="C40" s="141"/>
      <c r="D40" s="141"/>
      <c r="E40" s="141"/>
      <c r="F40" s="141"/>
      <c r="G40" s="141"/>
      <c r="H40" s="144">
        <f>H38/H37</f>
        <v>0.56273439530652403</v>
      </c>
      <c r="I40" s="144">
        <f t="shared" ref="I40:L40" si="4">I38/I37</f>
        <v>0.52570159246628911</v>
      </c>
      <c r="J40" s="144">
        <f t="shared" si="4"/>
        <v>0.51154045825090144</v>
      </c>
      <c r="K40" s="144">
        <f t="shared" si="4"/>
        <v>0.53361026130399392</v>
      </c>
      <c r="L40" s="144">
        <f t="shared" si="4"/>
        <v>0.52832433421799208</v>
      </c>
    </row>
    <row r="42" spans="2:12" x14ac:dyDescent="0.3">
      <c r="B42" s="32" t="s">
        <v>292</v>
      </c>
      <c r="C42" s="32"/>
      <c r="D42" s="32"/>
      <c r="E42" s="32"/>
      <c r="F42" s="32"/>
      <c r="G42" s="32"/>
      <c r="H42" s="40">
        <f>'Raw FS'!J$3</f>
        <v>44621</v>
      </c>
      <c r="I42" s="40">
        <f>'Raw FS'!K$3</f>
        <v>44986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293</v>
      </c>
      <c r="C44" s="72"/>
      <c r="D44" s="72"/>
      <c r="E44" s="72"/>
      <c r="F44" s="72"/>
      <c r="G44" s="72"/>
      <c r="H44" s="130">
        <f>-SUM('Raw FS'!Z27:Z28)</f>
        <v>2028</v>
      </c>
      <c r="I44" s="130">
        <f>-SUM('Raw FS'!AA27:AA28)</f>
        <v>2530</v>
      </c>
      <c r="J44" s="130">
        <f>-SUM('Raw FS'!AB27:AB28)</f>
        <v>2094</v>
      </c>
      <c r="K44" s="130">
        <f>-SUM('Raw FS'!AC27:AC28)</f>
        <v>2062</v>
      </c>
      <c r="L44" s="130">
        <f>-SUM('Raw FS'!AD27:AD28)</f>
        <v>2677</v>
      </c>
    </row>
    <row r="45" spans="2:12" x14ac:dyDescent="0.3">
      <c r="B45" s="72" t="s">
        <v>294</v>
      </c>
      <c r="C45" s="72"/>
      <c r="D45" s="72"/>
      <c r="E45" s="72"/>
      <c r="F45" s="72"/>
      <c r="G45" s="72"/>
      <c r="H45" s="132" t="s">
        <v>120</v>
      </c>
      <c r="I45" s="133">
        <f>I21-H21</f>
        <v>6639</v>
      </c>
      <c r="J45" s="133">
        <f t="shared" ref="J45:L45" si="5">J21-I21</f>
        <v>8948</v>
      </c>
      <c r="K45" s="133">
        <f t="shared" si="5"/>
        <v>-3352</v>
      </c>
      <c r="L45" s="133">
        <f t="shared" si="5"/>
        <v>2422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30310</v>
      </c>
      <c r="I47" s="130">
        <f t="shared" ref="I47:L47" si="6">I38</f>
        <v>33606</v>
      </c>
      <c r="J47" s="130">
        <f t="shared" si="6"/>
        <v>36458</v>
      </c>
      <c r="K47" s="130">
        <f t="shared" si="6"/>
        <v>38024</v>
      </c>
      <c r="L47" s="130">
        <f t="shared" si="6"/>
        <v>40411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0.3</v>
      </c>
      <c r="I48" s="81">
        <f>H48</f>
        <v>0.3</v>
      </c>
      <c r="J48" s="81">
        <f t="shared" ref="J48:L48" si="7">I48</f>
        <v>0.3</v>
      </c>
      <c r="K48" s="81">
        <f t="shared" si="7"/>
        <v>0.3</v>
      </c>
      <c r="L48" s="81">
        <f t="shared" si="7"/>
        <v>0.3</v>
      </c>
    </row>
    <row r="49" spans="2:12" x14ac:dyDescent="0.3">
      <c r="B49" s="72" t="s">
        <v>295</v>
      </c>
      <c r="C49" s="72"/>
      <c r="D49" s="72"/>
      <c r="E49" s="72"/>
      <c r="F49" s="72"/>
      <c r="G49" s="72"/>
      <c r="H49" s="130">
        <f>H47*(1-H48)</f>
        <v>21217</v>
      </c>
      <c r="I49" s="130">
        <f t="shared" ref="I49:L49" si="8">I47*(1-I48)</f>
        <v>23524.199999999997</v>
      </c>
      <c r="J49" s="130">
        <f t="shared" si="8"/>
        <v>25520.6</v>
      </c>
      <c r="K49" s="130">
        <f t="shared" si="8"/>
        <v>26616.799999999999</v>
      </c>
      <c r="L49" s="130">
        <f t="shared" si="8"/>
        <v>28287.699999999997</v>
      </c>
    </row>
    <row r="51" spans="2:12" x14ac:dyDescent="0.3">
      <c r="B51" t="s">
        <v>296</v>
      </c>
      <c r="H51" s="45" t="s">
        <v>120</v>
      </c>
      <c r="I51" s="106">
        <f>SUM(I44:I45)</f>
        <v>9169</v>
      </c>
      <c r="J51" s="106">
        <f t="shared" ref="J51:L51" si="9">SUM(J44:J45)</f>
        <v>11042</v>
      </c>
      <c r="K51" s="106">
        <f t="shared" si="9"/>
        <v>-1290</v>
      </c>
      <c r="L51" s="106">
        <f t="shared" si="9"/>
        <v>5099</v>
      </c>
    </row>
    <row r="52" spans="2:12" ht="15" thickBot="1" x14ac:dyDescent="0.35">
      <c r="B52" s="127" t="s">
        <v>297</v>
      </c>
      <c r="C52" s="127"/>
      <c r="D52" s="127"/>
      <c r="E52" s="127"/>
      <c r="F52" s="127"/>
      <c r="G52" s="127"/>
      <c r="H52" s="147" t="s">
        <v>120</v>
      </c>
      <c r="I52" s="143">
        <f>I51/I49</f>
        <v>0.38976883379668603</v>
      </c>
      <c r="J52" s="143">
        <f t="shared" ref="J52:L52" si="10">J51/J49</f>
        <v>0.43267007828969539</v>
      </c>
      <c r="K52" s="143">
        <f t="shared" si="10"/>
        <v>-4.8465630729464096E-2</v>
      </c>
      <c r="L52" s="143">
        <f t="shared" si="10"/>
        <v>0.18025502250094566</v>
      </c>
    </row>
    <row r="54" spans="2:12" x14ac:dyDescent="0.3">
      <c r="J54" s="37" t="s">
        <v>298</v>
      </c>
      <c r="K54" s="37"/>
      <c r="L54" s="114">
        <f>AVERAGE(I52:L52)</f>
        <v>0.23855707596446574</v>
      </c>
    </row>
    <row r="55" spans="2:12" x14ac:dyDescent="0.3">
      <c r="J55" s="37" t="s">
        <v>299</v>
      </c>
      <c r="K55" s="37"/>
      <c r="L55" s="114">
        <f>MEDIAN(I52:L52)</f>
        <v>0.28501192814881582</v>
      </c>
    </row>
    <row r="57" spans="2:12" x14ac:dyDescent="0.3">
      <c r="B57" s="32" t="s">
        <v>300</v>
      </c>
      <c r="C57" s="32"/>
      <c r="D57" s="32"/>
      <c r="E57" s="32"/>
      <c r="F57" s="32"/>
      <c r="G57" s="32"/>
      <c r="H57" s="40">
        <f>'Raw FS'!J$3</f>
        <v>44621</v>
      </c>
      <c r="I57" s="40">
        <f>'Raw FS'!K$3</f>
        <v>44986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291</v>
      </c>
      <c r="C59" s="72"/>
      <c r="D59" s="72"/>
      <c r="E59" s="72"/>
      <c r="F59" s="72"/>
      <c r="G59" s="72"/>
      <c r="H59" s="81">
        <f>H40</f>
        <v>0.56273439530652403</v>
      </c>
      <c r="I59" s="81">
        <f t="shared" ref="I59:L59" si="11">I40</f>
        <v>0.52570159246628911</v>
      </c>
      <c r="J59" s="81">
        <f t="shared" si="11"/>
        <v>0.51154045825090144</v>
      </c>
      <c r="K59" s="81">
        <f t="shared" si="11"/>
        <v>0.53361026130399392</v>
      </c>
      <c r="L59" s="81">
        <f t="shared" si="11"/>
        <v>0.52832433421799208</v>
      </c>
    </row>
    <row r="60" spans="2:12" x14ac:dyDescent="0.3">
      <c r="B60" s="72" t="s">
        <v>297</v>
      </c>
      <c r="C60" s="72"/>
      <c r="D60" s="72"/>
      <c r="E60" s="72"/>
      <c r="F60" s="72"/>
      <c r="G60" s="72"/>
      <c r="H60" s="82" t="s">
        <v>120</v>
      </c>
      <c r="I60" s="134">
        <f>I52</f>
        <v>0.38976883379668603</v>
      </c>
      <c r="J60" s="134">
        <f t="shared" ref="J60:L60" si="12">J52</f>
        <v>0.43267007828969539</v>
      </c>
      <c r="K60" s="134">
        <f t="shared" si="12"/>
        <v>-4.8465630729464096E-2</v>
      </c>
      <c r="L60" s="134">
        <f t="shared" si="12"/>
        <v>0.18025502250094566</v>
      </c>
    </row>
    <row r="61" spans="2:12" ht="4.2" customHeight="1" x14ac:dyDescent="0.3"/>
    <row r="62" spans="2:12" ht="15" thickBot="1" x14ac:dyDescent="0.35">
      <c r="B62" s="74" t="s">
        <v>301</v>
      </c>
      <c r="C62" s="74"/>
      <c r="D62" s="74"/>
      <c r="E62" s="74"/>
      <c r="F62" s="74"/>
      <c r="G62" s="74"/>
      <c r="H62" s="74"/>
      <c r="I62" s="135">
        <f>I59*I60</f>
        <v>0.20490209662064621</v>
      </c>
      <c r="J62" s="135">
        <f t="shared" ref="J62:L62" si="13">J59*J60</f>
        <v>0.22132825011976417</v>
      </c>
      <c r="K62" s="135">
        <f t="shared" si="13"/>
        <v>-2.5861757877812214E-2</v>
      </c>
      <c r="L62" s="135">
        <f t="shared" si="13"/>
        <v>9.5233114752261303E-2</v>
      </c>
    </row>
    <row r="64" spans="2:12" x14ac:dyDescent="0.3">
      <c r="J64" s="37" t="s">
        <v>298</v>
      </c>
      <c r="K64" s="37"/>
      <c r="L64" s="114">
        <f>AVERAGE(I62:L62)</f>
        <v>0.12390042590371488</v>
      </c>
    </row>
    <row r="65" spans="10:12" x14ac:dyDescent="0.3">
      <c r="J65" s="37" t="s">
        <v>299</v>
      </c>
      <c r="K65" s="37"/>
      <c r="L65" s="114">
        <f>MEDIAN(I62:L62)</f>
        <v>0.15006760568645375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M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3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3" x14ac:dyDescent="0.3">
      <c r="B6" s="32" t="s">
        <v>303</v>
      </c>
      <c r="C6" s="32"/>
      <c r="D6" s="32"/>
      <c r="E6" s="32"/>
      <c r="F6" s="32"/>
      <c r="G6" s="32"/>
      <c r="H6" s="77">
        <f>'Data Sheet'!K56</f>
        <v>46082</v>
      </c>
      <c r="I6" s="78">
        <f>H6+365</f>
        <v>46447</v>
      </c>
      <c r="J6" s="78">
        <f t="shared" ref="J6:M6" si="0">I6+365</f>
        <v>46812</v>
      </c>
      <c r="K6" s="78">
        <f t="shared" si="0"/>
        <v>47177</v>
      </c>
      <c r="L6" s="78">
        <f t="shared" si="0"/>
        <v>47542</v>
      </c>
      <c r="M6" s="78">
        <f t="shared" si="0"/>
        <v>47907</v>
      </c>
    </row>
    <row r="7" spans="1:13" ht="6.6" customHeight="1" x14ac:dyDescent="0.3"/>
    <row r="8" spans="1:13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40411</v>
      </c>
      <c r="I8" s="130">
        <f>H8*(1+$D$18)</f>
        <v>42512.372000000003</v>
      </c>
      <c r="J8" s="130">
        <f>I8*(1+$D$18)</f>
        <v>44723.015344000007</v>
      </c>
      <c r="K8" s="130">
        <f>J8*(1+$D$18)</f>
        <v>47048.612141888007</v>
      </c>
      <c r="L8" s="130">
        <f>K8*(1+$D$18)</f>
        <v>49495.139973266188</v>
      </c>
      <c r="M8" s="130">
        <f>L8*(1+$D$18)</f>
        <v>52068.887251876033</v>
      </c>
    </row>
    <row r="9" spans="1:13" x14ac:dyDescent="0.3">
      <c r="B9" s="72" t="s">
        <v>111</v>
      </c>
      <c r="C9" s="72"/>
      <c r="D9" s="72"/>
      <c r="E9" s="72"/>
      <c r="F9" s="72"/>
      <c r="G9" s="72"/>
      <c r="H9" s="81">
        <f>WACC!G14</f>
        <v>0.3</v>
      </c>
      <c r="I9" s="81">
        <f>H9</f>
        <v>0.3</v>
      </c>
      <c r="J9" s="81">
        <f t="shared" ref="J9:M9" si="1">I9</f>
        <v>0.3</v>
      </c>
      <c r="K9" s="81">
        <f t="shared" si="1"/>
        <v>0.3</v>
      </c>
      <c r="L9" s="81">
        <f t="shared" si="1"/>
        <v>0.3</v>
      </c>
      <c r="M9" s="81">
        <f t="shared" si="1"/>
        <v>0.3</v>
      </c>
    </row>
    <row r="10" spans="1:13" x14ac:dyDescent="0.3">
      <c r="B10" s="72" t="s">
        <v>295</v>
      </c>
      <c r="C10" s="72"/>
      <c r="D10" s="72"/>
      <c r="E10" s="72"/>
      <c r="F10" s="72"/>
      <c r="G10" s="72"/>
      <c r="H10" s="130">
        <f>H8*(1-H9)</f>
        <v>28287.699999999997</v>
      </c>
      <c r="I10" s="130">
        <f t="shared" ref="I10:M10" si="2">I8*(1-I9)</f>
        <v>29758.660400000001</v>
      </c>
      <c r="J10" s="130">
        <f t="shared" si="2"/>
        <v>31306.110740800003</v>
      </c>
      <c r="K10" s="130">
        <f t="shared" si="2"/>
        <v>32934.028499321605</v>
      </c>
      <c r="L10" s="130">
        <f t="shared" si="2"/>
        <v>34646.59798128633</v>
      </c>
      <c r="M10" s="130">
        <f t="shared" si="2"/>
        <v>36448.221076313217</v>
      </c>
    </row>
    <row r="11" spans="1:13" x14ac:dyDescent="0.3">
      <c r="B11" s="72" t="s">
        <v>307</v>
      </c>
      <c r="C11" s="72"/>
      <c r="D11" s="72"/>
      <c r="E11" s="72"/>
      <c r="F11" s="72"/>
      <c r="G11" s="72"/>
      <c r="H11" s="81">
        <f>'Intrinsic Valuation'!$L$55</f>
        <v>0.28501192814881582</v>
      </c>
      <c r="I11" s="81">
        <f>MIN(0.85, MAX(0.15, 'Intrinsic Valuation'!$L$55))</f>
        <v>0.28501192814881582</v>
      </c>
      <c r="J11" s="81">
        <f>$I$11+($M$11-$I$11)/4*1</f>
        <v>0.28885766022239068</v>
      </c>
      <c r="K11" s="81">
        <f>$I$11+($M$11-$I$11)/4*2</f>
        <v>0.29270339229596548</v>
      </c>
      <c r="L11" s="81">
        <f>$I$11+($M$11-$I$11)/4*3</f>
        <v>0.29654912436954028</v>
      </c>
      <c r="M11" s="81">
        <f>D21</f>
        <v>0.30039485644311514</v>
      </c>
    </row>
    <row r="12" spans="1:13" x14ac:dyDescent="0.3">
      <c r="B12" s="72" t="s">
        <v>308</v>
      </c>
      <c r="C12" s="72"/>
      <c r="D12" s="72"/>
      <c r="E12" s="72"/>
      <c r="F12" s="72"/>
      <c r="G12" s="72"/>
      <c r="H12" s="130">
        <f>H10*(1-H11)</f>
        <v>20225.368080104741</v>
      </c>
      <c r="I12" s="130">
        <f>I10*(1-MIN(0.85, I11))</f>
        <v>21277.08722027019</v>
      </c>
      <c r="J12" s="130">
        <f>J10*(1-MIN(0.85, J11))</f>
        <v>22263.100841549462</v>
      </c>
      <c r="K12" s="130">
        <f>K10*(1-MIN(0.85, K11))</f>
        <v>23294.126635598168</v>
      </c>
      <c r="L12" s="130">
        <f>L10*(1-MIN(0.85, L11))</f>
        <v>24372.179687552387</v>
      </c>
      <c r="M12" s="130">
        <f>M10*(1-MIN(0.85, M11))</f>
        <v>25499.362938487186</v>
      </c>
    </row>
    <row r="13" spans="1:13" x14ac:dyDescent="0.3">
      <c r="B13" s="72" t="s">
        <v>304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3">J13+1</f>
        <v>2.5</v>
      </c>
      <c r="L13" s="72">
        <f t="shared" si="3"/>
        <v>3.5</v>
      </c>
      <c r="M13" s="72">
        <f t="shared" si="3"/>
        <v>4.5</v>
      </c>
    </row>
    <row r="14" spans="1:13" x14ac:dyDescent="0.3">
      <c r="B14" s="72" t="s">
        <v>305</v>
      </c>
      <c r="C14" s="72"/>
      <c r="D14" s="72"/>
      <c r="E14" s="72"/>
      <c r="F14" s="72"/>
      <c r="G14" s="72"/>
      <c r="H14" s="72"/>
      <c r="I14" s="72">
        <f>1/(1+$D$20)^I13</f>
        <v>0.93940907554432695</v>
      </c>
      <c r="J14" s="72">
        <f t="shared" ref="J14:M14" si="4">1/(1+$D$20)^J13</f>
        <v>0.82901856196718482</v>
      </c>
      <c r="K14" s="72">
        <f t="shared" si="4"/>
        <v>0.73160010263676578</v>
      </c>
      <c r="L14" s="72">
        <f t="shared" si="4"/>
        <v>0.6456293438207874</v>
      </c>
      <c r="M14" s="72">
        <f t="shared" si="4"/>
        <v>0.56976105949156375</v>
      </c>
    </row>
    <row r="15" spans="1:13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ht="15" thickBot="1" x14ac:dyDescent="0.35">
      <c r="B16" s="74" t="s">
        <v>306</v>
      </c>
      <c r="C16" s="74"/>
      <c r="D16" s="74"/>
      <c r="E16" s="74"/>
      <c r="F16" s="74"/>
      <c r="G16" s="74"/>
      <c r="H16" s="74"/>
      <c r="I16" s="131">
        <f>I12*I14</f>
        <v>19987.888835870031</v>
      </c>
      <c r="J16" s="131">
        <f t="shared" ref="J16:M16" si="5">J12*J14</f>
        <v>18456.523844591757</v>
      </c>
      <c r="K16" s="131">
        <f t="shared" si="5"/>
        <v>17041.985437437441</v>
      </c>
      <c r="L16" s="131">
        <f t="shared" si="5"/>
        <v>15735.394379156771</v>
      </c>
      <c r="M16" s="131">
        <f t="shared" si="5"/>
        <v>14528.544044192373</v>
      </c>
    </row>
    <row r="18" spans="2:4" x14ac:dyDescent="0.3">
      <c r="B18" s="79" t="s">
        <v>309</v>
      </c>
      <c r="C18" s="79"/>
      <c r="D18" s="80">
        <v>5.1999999999999998E-2</v>
      </c>
    </row>
    <row r="19" spans="2:4" x14ac:dyDescent="0.3">
      <c r="B19" s="79" t="s">
        <v>310</v>
      </c>
      <c r="C19" s="79"/>
      <c r="D19" s="80">
        <v>0.04</v>
      </c>
    </row>
    <row r="20" spans="2:4" x14ac:dyDescent="0.3">
      <c r="B20" s="79" t="s">
        <v>242</v>
      </c>
      <c r="C20" s="79"/>
      <c r="D20" s="80">
        <f>WACC!K46</f>
        <v>0.13315807225738793</v>
      </c>
    </row>
    <row r="21" spans="2:4" x14ac:dyDescent="0.3">
      <c r="B21" s="79" t="s">
        <v>311</v>
      </c>
      <c r="C21" s="79"/>
      <c r="D21" s="80">
        <f>D19/D20</f>
        <v>0.30039485644311514</v>
      </c>
    </row>
    <row r="23" spans="2:4" x14ac:dyDescent="0.3">
      <c r="B23" s="32" t="s">
        <v>312</v>
      </c>
      <c r="C23" s="32"/>
      <c r="D23" s="32"/>
    </row>
    <row r="25" spans="2:4" x14ac:dyDescent="0.3">
      <c r="B25" t="s">
        <v>313</v>
      </c>
      <c r="D25" s="106">
        <f>M12*(1+D19)</f>
        <v>26519.337456026675</v>
      </c>
    </row>
    <row r="26" spans="2:4" x14ac:dyDescent="0.3">
      <c r="B26" t="s">
        <v>242</v>
      </c>
      <c r="D26" s="46">
        <f>D20</f>
        <v>0.13315807225738793</v>
      </c>
    </row>
    <row r="27" spans="2:4" x14ac:dyDescent="0.3">
      <c r="B27" t="s">
        <v>310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314</v>
      </c>
      <c r="C29" s="127"/>
      <c r="D29" s="128">
        <f>D25/(D26-D27)</f>
        <v>284670.3115834769</v>
      </c>
    </row>
    <row r="31" spans="2:4" x14ac:dyDescent="0.3">
      <c r="B31" s="32" t="s">
        <v>315</v>
      </c>
      <c r="C31" s="32"/>
      <c r="D31" s="32"/>
    </row>
    <row r="33" spans="2:4" x14ac:dyDescent="0.3">
      <c r="B33" t="s">
        <v>306</v>
      </c>
      <c r="D33" s="106">
        <f>SUM(I16:M16)</f>
        <v>85750.336541248369</v>
      </c>
    </row>
    <row r="34" spans="2:4" x14ac:dyDescent="0.3">
      <c r="B34" t="s">
        <v>314</v>
      </c>
      <c r="D34" s="106">
        <f>D29*M14</f>
        <v>162194.05833359537</v>
      </c>
    </row>
    <row r="35" spans="2:4" x14ac:dyDescent="0.3">
      <c r="B35" s="37" t="s">
        <v>318</v>
      </c>
      <c r="C35" s="37"/>
      <c r="D35" s="129">
        <f>SUM(D33:D34)</f>
        <v>247944.39487484374</v>
      </c>
    </row>
    <row r="37" spans="2:4" x14ac:dyDescent="0.3">
      <c r="B37" t="s">
        <v>316</v>
      </c>
      <c r="D37" s="106">
        <f>'Data Sheet'!K69</f>
        <v>22201</v>
      </c>
    </row>
    <row r="38" spans="2:4" x14ac:dyDescent="0.3">
      <c r="B38" t="s">
        <v>317</v>
      </c>
      <c r="D38" s="106">
        <f>'Data Sheet'!K59</f>
        <v>9176</v>
      </c>
    </row>
    <row r="39" spans="2:4" x14ac:dyDescent="0.3">
      <c r="B39" s="37" t="s">
        <v>319</v>
      </c>
      <c r="C39" s="37"/>
      <c r="D39" s="129">
        <f>D35+D37-D38</f>
        <v>260969.39487484377</v>
      </c>
    </row>
    <row r="40" spans="2:4" x14ac:dyDescent="0.3">
      <c r="B40" t="s">
        <v>320</v>
      </c>
      <c r="D40">
        <f>'Data Sheet'!K70/10000000</f>
        <v>404.8</v>
      </c>
    </row>
    <row r="42" spans="2:4" ht="15" thickBot="1" x14ac:dyDescent="0.35">
      <c r="B42" s="127" t="s">
        <v>321</v>
      </c>
      <c r="C42" s="127"/>
      <c r="D42" s="128">
        <f>D39/D40</f>
        <v>644.68724030346777</v>
      </c>
    </row>
    <row r="44" spans="2:4" x14ac:dyDescent="0.3">
      <c r="B44" t="s">
        <v>322</v>
      </c>
      <c r="D44" s="106">
        <v>1051</v>
      </c>
    </row>
    <row r="45" spans="2:4" x14ac:dyDescent="0.3">
      <c r="B45" t="s">
        <v>323</v>
      </c>
      <c r="D45" s="83">
        <f>D44/D42</f>
        <v>1.6302478695022291</v>
      </c>
    </row>
  </sheetData>
  <pageMargins left="0.7" right="0.7" top="0.75" bottom="0.75" header="0.3" footer="0.3"/>
  <ignoredErrors>
    <ignoredError sqref="H11" formula="1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48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46233</v>
      </c>
      <c r="H6">
        <v>2107.9</v>
      </c>
      <c r="J6">
        <v>24474.3</v>
      </c>
    </row>
    <row r="7" spans="2:24" x14ac:dyDescent="0.3">
      <c r="B7">
        <v>2024</v>
      </c>
      <c r="C7" s="46">
        <v>8.7499999999999994E-2</v>
      </c>
      <c r="G7" s="34">
        <v>46232</v>
      </c>
      <c r="H7">
        <v>2117.8000000000002</v>
      </c>
      <c r="J7">
        <v>24566.799999999999</v>
      </c>
    </row>
    <row r="8" spans="2:24" x14ac:dyDescent="0.3">
      <c r="B8">
        <v>2023</v>
      </c>
      <c r="C8" s="46">
        <v>0.19420000000000001</v>
      </c>
      <c r="G8" s="34">
        <v>46231</v>
      </c>
      <c r="H8">
        <v>2022.7</v>
      </c>
      <c r="J8">
        <v>24236.799999999999</v>
      </c>
    </row>
    <row r="9" spans="2:24" x14ac:dyDescent="0.3">
      <c r="B9">
        <v>2022</v>
      </c>
      <c r="C9" s="46">
        <v>4.3200000000000002E-2</v>
      </c>
      <c r="G9" s="34">
        <v>46230</v>
      </c>
      <c r="H9">
        <v>2174.6</v>
      </c>
      <c r="J9">
        <v>24101.8</v>
      </c>
    </row>
    <row r="10" spans="2:24" x14ac:dyDescent="0.3">
      <c r="B10">
        <v>2021</v>
      </c>
      <c r="C10" s="46">
        <v>0.2412</v>
      </c>
      <c r="G10" s="34">
        <v>46227</v>
      </c>
      <c r="H10">
        <v>2145</v>
      </c>
      <c r="J10">
        <v>23874.6</v>
      </c>
    </row>
    <row r="11" spans="2:24" x14ac:dyDescent="0.3">
      <c r="B11">
        <v>2020</v>
      </c>
      <c r="C11" s="46">
        <v>0.14899999999999999</v>
      </c>
      <c r="G11" s="34">
        <v>46226</v>
      </c>
      <c r="H11">
        <v>2161.8000000000002</v>
      </c>
      <c r="J11">
        <v>24082.5</v>
      </c>
      <c r="N11" t="s">
        <v>202</v>
      </c>
      <c r="O11" t="s">
        <v>203</v>
      </c>
      <c r="P11" t="s">
        <v>204</v>
      </c>
      <c r="Q11" t="s">
        <v>205</v>
      </c>
      <c r="R11" t="s">
        <v>206</v>
      </c>
      <c r="S11" t="s">
        <v>207</v>
      </c>
      <c r="T11" t="s">
        <v>208</v>
      </c>
      <c r="U11" t="s">
        <v>209</v>
      </c>
      <c r="V11" t="s">
        <v>210</v>
      </c>
      <c r="W11" t="s">
        <v>211</v>
      </c>
      <c r="X11" t="s">
        <v>212</v>
      </c>
    </row>
    <row r="12" spans="2:24" x14ac:dyDescent="0.3">
      <c r="B12">
        <v>2019</v>
      </c>
      <c r="C12" s="46">
        <v>0.1202</v>
      </c>
      <c r="G12" s="34">
        <v>46225</v>
      </c>
      <c r="H12">
        <v>2154.6</v>
      </c>
      <c r="J12">
        <v>23988.400000000001</v>
      </c>
      <c r="N12">
        <v>1</v>
      </c>
      <c r="O12" t="s">
        <v>213</v>
      </c>
      <c r="P12">
        <v>2087.1999999999998</v>
      </c>
      <c r="Q12">
        <v>234.96</v>
      </c>
      <c r="R12">
        <v>494084.03</v>
      </c>
      <c r="S12">
        <v>1478</v>
      </c>
      <c r="T12">
        <v>3248</v>
      </c>
      <c r="U12">
        <v>492314.03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46224</v>
      </c>
      <c r="H13">
        <v>2142.5</v>
      </c>
      <c r="J13">
        <v>24180.6</v>
      </c>
      <c r="N13">
        <v>2</v>
      </c>
      <c r="O13" t="s">
        <v>214</v>
      </c>
      <c r="P13">
        <v>282.64999999999998</v>
      </c>
      <c r="Q13">
        <v>1252.95</v>
      </c>
      <c r="R13">
        <v>354889.69</v>
      </c>
      <c r="S13">
        <v>2399.06</v>
      </c>
      <c r="T13">
        <v>3008.79</v>
      </c>
      <c r="U13">
        <v>354279.96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46223</v>
      </c>
      <c r="H14">
        <v>2139.6999999999998</v>
      </c>
      <c r="J14">
        <v>24487.8</v>
      </c>
      <c r="N14">
        <v>3</v>
      </c>
      <c r="O14" t="s">
        <v>215</v>
      </c>
      <c r="P14">
        <v>585.6</v>
      </c>
      <c r="Q14">
        <v>12.12</v>
      </c>
      <c r="R14">
        <v>7105.77</v>
      </c>
      <c r="S14">
        <v>1088.26</v>
      </c>
      <c r="T14">
        <v>51.71</v>
      </c>
      <c r="U14">
        <v>8142.32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46220</v>
      </c>
      <c r="H15">
        <v>2143.8000000000002</v>
      </c>
      <c r="J15">
        <v>24321.7</v>
      </c>
      <c r="N15">
        <v>4</v>
      </c>
      <c r="O15" t="s">
        <v>216</v>
      </c>
      <c r="P15">
        <v>240.1</v>
      </c>
      <c r="Q15">
        <v>5.12</v>
      </c>
      <c r="R15">
        <v>1227</v>
      </c>
      <c r="S15">
        <v>530.76</v>
      </c>
      <c r="T15">
        <v>32.15</v>
      </c>
      <c r="U15">
        <v>1725.61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46219</v>
      </c>
      <c r="H16">
        <v>2098.4</v>
      </c>
      <c r="J16">
        <v>24190.6</v>
      </c>
      <c r="N16">
        <v>5</v>
      </c>
      <c r="O16" t="s">
        <v>217</v>
      </c>
      <c r="P16">
        <v>3.08</v>
      </c>
      <c r="Q16">
        <v>143</v>
      </c>
      <c r="R16">
        <v>440.44</v>
      </c>
      <c r="S16">
        <v>250.05</v>
      </c>
      <c r="T16">
        <v>6.57</v>
      </c>
      <c r="U16">
        <v>683.92</v>
      </c>
      <c r="V16">
        <v>238.77</v>
      </c>
      <c r="W16">
        <v>13.43</v>
      </c>
      <c r="X16">
        <v>8.51</v>
      </c>
    </row>
    <row r="17" spans="2:20" x14ac:dyDescent="0.3">
      <c r="B17">
        <v>2014</v>
      </c>
      <c r="C17" s="46">
        <v>0.31390000000000001</v>
      </c>
      <c r="G17" s="34">
        <v>46218</v>
      </c>
      <c r="H17">
        <v>2102.6</v>
      </c>
      <c r="J17">
        <v>24067.8</v>
      </c>
    </row>
    <row r="18" spans="2:20" x14ac:dyDescent="0.3">
      <c r="B18">
        <v>2013</v>
      </c>
      <c r="C18" s="46">
        <v>6.7599999999999993E-2</v>
      </c>
      <c r="G18" s="34">
        <v>46217</v>
      </c>
      <c r="H18">
        <v>2120.1999999999998</v>
      </c>
      <c r="J18">
        <v>24266.400000000001</v>
      </c>
    </row>
    <row r="19" spans="2:20" x14ac:dyDescent="0.3">
      <c r="B19">
        <v>2012</v>
      </c>
      <c r="C19" s="46">
        <v>0.27700000000000002</v>
      </c>
      <c r="G19" s="34">
        <v>46216</v>
      </c>
      <c r="H19">
        <v>2130.6</v>
      </c>
      <c r="J19">
        <v>24472.6</v>
      </c>
    </row>
    <row r="20" spans="2:20" x14ac:dyDescent="0.3">
      <c r="B20">
        <v>2011</v>
      </c>
      <c r="C20" s="46">
        <v>-0.2462</v>
      </c>
      <c r="G20" s="34">
        <v>46213</v>
      </c>
      <c r="H20">
        <v>2150.6</v>
      </c>
      <c r="J20">
        <v>24328.7</v>
      </c>
    </row>
    <row r="21" spans="2:20" x14ac:dyDescent="0.3">
      <c r="B21">
        <v>2010</v>
      </c>
      <c r="C21" s="46">
        <v>0.17949999999999999</v>
      </c>
      <c r="G21" s="34">
        <v>46212</v>
      </c>
      <c r="H21">
        <v>2144.5</v>
      </c>
      <c r="J21">
        <v>24090.799999999999</v>
      </c>
    </row>
    <row r="22" spans="2:20" x14ac:dyDescent="0.3">
      <c r="B22">
        <v>2009</v>
      </c>
      <c r="C22" s="46">
        <v>0.75760000000000005</v>
      </c>
      <c r="G22" s="34">
        <v>46211</v>
      </c>
      <c r="H22">
        <v>2135.8000000000002</v>
      </c>
      <c r="J22">
        <v>24170</v>
      </c>
    </row>
    <row r="23" spans="2:20" x14ac:dyDescent="0.3">
      <c r="B23">
        <v>2008</v>
      </c>
      <c r="C23" s="46">
        <v>-0.51790000000000003</v>
      </c>
      <c r="G23" s="34">
        <v>46210</v>
      </c>
      <c r="H23">
        <v>2208.8000000000002</v>
      </c>
      <c r="J23">
        <v>24440.3</v>
      </c>
    </row>
    <row r="24" spans="2:20" x14ac:dyDescent="0.3">
      <c r="B24">
        <v>2007</v>
      </c>
      <c r="C24" s="46">
        <v>0.54769999999999996</v>
      </c>
      <c r="G24" s="34">
        <v>46209</v>
      </c>
      <c r="H24">
        <v>2202</v>
      </c>
      <c r="J24">
        <v>24482.9</v>
      </c>
      <c r="O24" t="s">
        <v>6499</v>
      </c>
      <c r="Q24" t="s">
        <v>218</v>
      </c>
      <c r="R24">
        <v>11283</v>
      </c>
      <c r="S24">
        <v>761607.42</v>
      </c>
      <c r="T24" s="46">
        <v>0.3</v>
      </c>
    </row>
    <row r="25" spans="2:20" x14ac:dyDescent="0.3">
      <c r="B25">
        <v>2006</v>
      </c>
      <c r="C25" s="46">
        <v>0.39829999999999999</v>
      </c>
      <c r="G25" s="34">
        <v>46206</v>
      </c>
      <c r="H25">
        <v>2201.1999999999998</v>
      </c>
      <c r="J25">
        <v>24614.3</v>
      </c>
      <c r="O25" t="s">
        <v>8616</v>
      </c>
      <c r="Q25" t="str">
        <f>Q24</f>
        <v>India</v>
      </c>
      <c r="R25">
        <v>9176</v>
      </c>
      <c r="S25">
        <v>426683</v>
      </c>
      <c r="T25" s="46">
        <f>T24</f>
        <v>0.3</v>
      </c>
    </row>
    <row r="26" spans="2:20" x14ac:dyDescent="0.3">
      <c r="B26">
        <v>2005</v>
      </c>
      <c r="C26" s="46">
        <v>0.3634</v>
      </c>
      <c r="G26" s="34">
        <v>46205</v>
      </c>
      <c r="H26">
        <v>2210.6</v>
      </c>
      <c r="J26">
        <v>24265</v>
      </c>
      <c r="O26" t="s">
        <v>8618</v>
      </c>
      <c r="Q26" t="str">
        <f>Q25</f>
        <v>India</v>
      </c>
      <c r="R26">
        <v>5215</v>
      </c>
      <c r="S26">
        <v>339018.18</v>
      </c>
      <c r="T26" s="46">
        <f>T25</f>
        <v>0.3</v>
      </c>
    </row>
    <row r="27" spans="2:20" x14ac:dyDescent="0.3">
      <c r="B27">
        <v>2004</v>
      </c>
      <c r="C27" s="46">
        <v>0.10680000000000001</v>
      </c>
      <c r="G27" s="34">
        <v>46204</v>
      </c>
      <c r="H27">
        <v>2182</v>
      </c>
      <c r="J27">
        <v>24195.3</v>
      </c>
      <c r="O27" t="s">
        <v>8619</v>
      </c>
      <c r="Q27" t="str">
        <f>Q26</f>
        <v>India</v>
      </c>
      <c r="R27">
        <v>20291</v>
      </c>
      <c r="S27">
        <v>165244.04</v>
      </c>
      <c r="T27" s="46">
        <f>T26</f>
        <v>0.3</v>
      </c>
    </row>
    <row r="28" spans="2:20" x14ac:dyDescent="0.3">
      <c r="B28">
        <v>2003</v>
      </c>
      <c r="C28" s="46">
        <v>0.71899999999999997</v>
      </c>
      <c r="G28" s="34">
        <v>46203</v>
      </c>
      <c r="H28">
        <v>2118.1999999999998</v>
      </c>
      <c r="J28">
        <v>24111.9</v>
      </c>
      <c r="O28" t="s">
        <v>8620</v>
      </c>
      <c r="Q28" t="str">
        <f>Q27</f>
        <v>India</v>
      </c>
      <c r="R28">
        <v>2186</v>
      </c>
      <c r="S28">
        <v>150656.35999999999</v>
      </c>
      <c r="T28" s="46">
        <f>T27</f>
        <v>0.3</v>
      </c>
    </row>
    <row r="29" spans="2:20" x14ac:dyDescent="0.3">
      <c r="B29">
        <v>2002</v>
      </c>
      <c r="C29" s="46">
        <v>3.2500000000000001E-2</v>
      </c>
      <c r="G29" s="34">
        <v>46202</v>
      </c>
      <c r="H29">
        <v>2151.3000000000002</v>
      </c>
      <c r="J29">
        <v>24142.3</v>
      </c>
    </row>
    <row r="30" spans="2:20" x14ac:dyDescent="0.3">
      <c r="G30" s="34">
        <v>46198</v>
      </c>
      <c r="H30">
        <v>2174.1999999999998</v>
      </c>
      <c r="J30">
        <v>24170.5</v>
      </c>
    </row>
    <row r="31" spans="2:20" x14ac:dyDescent="0.3">
      <c r="G31" s="34">
        <v>46197</v>
      </c>
      <c r="H31">
        <v>2157.8000000000002</v>
      </c>
      <c r="J31">
        <v>24125.200000000001</v>
      </c>
    </row>
    <row r="32" spans="2:20" x14ac:dyDescent="0.3">
      <c r="G32" s="34">
        <v>46196</v>
      </c>
      <c r="H32">
        <v>2160.1</v>
      </c>
      <c r="J32">
        <v>24070.5</v>
      </c>
    </row>
    <row r="33" spans="7:10" x14ac:dyDescent="0.3">
      <c r="G33" s="34">
        <v>46195</v>
      </c>
      <c r="H33">
        <v>2184.9</v>
      </c>
      <c r="J33">
        <v>24123.8</v>
      </c>
    </row>
    <row r="34" spans="7:10" x14ac:dyDescent="0.3">
      <c r="G34" s="34">
        <v>46192</v>
      </c>
      <c r="H34">
        <v>2194.6</v>
      </c>
      <c r="J34">
        <v>24056.9</v>
      </c>
    </row>
    <row r="35" spans="7:10" x14ac:dyDescent="0.3">
      <c r="G35" s="34">
        <v>46191</v>
      </c>
      <c r="H35">
        <v>2218.5</v>
      </c>
      <c r="J35">
        <v>24382.400000000001</v>
      </c>
    </row>
    <row r="36" spans="7:10" x14ac:dyDescent="0.3">
      <c r="G36" s="34">
        <v>46190</v>
      </c>
      <c r="H36">
        <v>2197.6</v>
      </c>
      <c r="J36">
        <v>24094</v>
      </c>
    </row>
    <row r="37" spans="7:10" x14ac:dyDescent="0.3">
      <c r="G37" s="34">
        <v>46189</v>
      </c>
      <c r="H37">
        <v>2199.9</v>
      </c>
      <c r="J37">
        <v>24087.9</v>
      </c>
    </row>
    <row r="38" spans="7:10" x14ac:dyDescent="0.3">
      <c r="G38" s="34">
        <v>46188</v>
      </c>
      <c r="H38">
        <v>2156.1</v>
      </c>
      <c r="J38">
        <v>23916.6</v>
      </c>
    </row>
    <row r="39" spans="7:10" x14ac:dyDescent="0.3">
      <c r="G39" s="34">
        <v>46185</v>
      </c>
      <c r="H39">
        <v>2168.8000000000002</v>
      </c>
      <c r="J39">
        <v>23873.5</v>
      </c>
    </row>
    <row r="40" spans="7:10" x14ac:dyDescent="0.3">
      <c r="G40" s="34">
        <v>46184</v>
      </c>
      <c r="H40">
        <v>2139.8000000000002</v>
      </c>
      <c r="J40">
        <v>23397.4</v>
      </c>
    </row>
    <row r="41" spans="7:10" x14ac:dyDescent="0.3">
      <c r="G41" s="34">
        <v>46183</v>
      </c>
      <c r="H41">
        <v>2169.5</v>
      </c>
      <c r="J41">
        <v>23344.9</v>
      </c>
    </row>
    <row r="42" spans="7:10" x14ac:dyDescent="0.3">
      <c r="G42" s="34">
        <v>46182</v>
      </c>
      <c r="H42">
        <v>2132.8000000000002</v>
      </c>
      <c r="J42">
        <v>23425.200000000001</v>
      </c>
    </row>
    <row r="43" spans="7:10" x14ac:dyDescent="0.3">
      <c r="G43" s="34">
        <v>46181</v>
      </c>
      <c r="H43">
        <v>2110.1</v>
      </c>
      <c r="J43">
        <v>23382.2</v>
      </c>
    </row>
    <row r="44" spans="7:10" x14ac:dyDescent="0.3">
      <c r="G44" s="34">
        <v>46178</v>
      </c>
      <c r="H44">
        <v>2121.5</v>
      </c>
      <c r="J44">
        <v>23451.7</v>
      </c>
    </row>
    <row r="45" spans="7:10" x14ac:dyDescent="0.3">
      <c r="G45" s="34">
        <v>46177</v>
      </c>
      <c r="H45">
        <v>2079.4</v>
      </c>
      <c r="J45">
        <v>23511.599999999999</v>
      </c>
    </row>
    <row r="46" spans="7:10" x14ac:dyDescent="0.3">
      <c r="G46" s="34">
        <v>46176</v>
      </c>
      <c r="H46">
        <v>2090.6</v>
      </c>
      <c r="J46">
        <v>23709.200000000001</v>
      </c>
    </row>
    <row r="47" spans="7:10" x14ac:dyDescent="0.3">
      <c r="G47" s="34">
        <v>46175</v>
      </c>
      <c r="H47">
        <v>2093.6999999999998</v>
      </c>
      <c r="J47">
        <v>23603.1</v>
      </c>
    </row>
    <row r="48" spans="7:10" x14ac:dyDescent="0.3">
      <c r="G48" s="34">
        <v>46174</v>
      </c>
      <c r="H48">
        <v>2084.3000000000002</v>
      </c>
      <c r="J48">
        <v>23568.5</v>
      </c>
    </row>
    <row r="49" spans="7:10" x14ac:dyDescent="0.3">
      <c r="G49" s="34">
        <v>46171</v>
      </c>
      <c r="H49">
        <v>2153.5</v>
      </c>
      <c r="J49">
        <v>23748.799999999999</v>
      </c>
    </row>
    <row r="50" spans="7:10" x14ac:dyDescent="0.3">
      <c r="G50" s="34">
        <v>46169</v>
      </c>
      <c r="H50">
        <v>2198.4</v>
      </c>
      <c r="J50">
        <v>24206.9</v>
      </c>
    </row>
    <row r="51" spans="7:10" x14ac:dyDescent="0.3">
      <c r="G51" s="34">
        <v>46168</v>
      </c>
      <c r="H51">
        <v>2209.4</v>
      </c>
      <c r="J51">
        <v>23913</v>
      </c>
    </row>
    <row r="52" spans="7:10" x14ac:dyDescent="0.3">
      <c r="G52" s="34">
        <v>46167</v>
      </c>
      <c r="H52">
        <v>2196.5</v>
      </c>
      <c r="J52">
        <v>24106.400000000001</v>
      </c>
    </row>
    <row r="53" spans="7:10" x14ac:dyDescent="0.3">
      <c r="G53" s="34">
        <v>46164</v>
      </c>
      <c r="H53">
        <v>2203.6</v>
      </c>
      <c r="J53">
        <v>23801.4</v>
      </c>
    </row>
    <row r="54" spans="7:10" x14ac:dyDescent="0.3">
      <c r="G54" s="34">
        <v>46163</v>
      </c>
      <c r="H54">
        <v>2179</v>
      </c>
      <c r="J54">
        <v>23631.4</v>
      </c>
    </row>
    <row r="55" spans="7:10" x14ac:dyDescent="0.3">
      <c r="G55" s="34">
        <v>46162</v>
      </c>
      <c r="H55">
        <v>2209.3000000000002</v>
      </c>
      <c r="J55">
        <v>23846.2</v>
      </c>
    </row>
    <row r="56" spans="7:10" x14ac:dyDescent="0.3">
      <c r="G56" s="34">
        <v>46161</v>
      </c>
      <c r="H56">
        <v>2232.9</v>
      </c>
      <c r="J56">
        <v>23612</v>
      </c>
    </row>
    <row r="57" spans="7:10" x14ac:dyDescent="0.3">
      <c r="G57" s="34">
        <v>46160</v>
      </c>
      <c r="H57">
        <v>2254.1999999999998</v>
      </c>
      <c r="J57">
        <v>23740.1</v>
      </c>
    </row>
    <row r="58" spans="7:10" x14ac:dyDescent="0.3">
      <c r="G58" s="34">
        <v>46157</v>
      </c>
      <c r="H58">
        <v>2272.1999999999998</v>
      </c>
      <c r="J58">
        <v>23643.9</v>
      </c>
    </row>
    <row r="59" spans="7:10" x14ac:dyDescent="0.3">
      <c r="G59" s="34">
        <v>46156</v>
      </c>
      <c r="H59">
        <v>2248.6999999999998</v>
      </c>
      <c r="J59">
        <v>23700.1</v>
      </c>
    </row>
    <row r="60" spans="7:10" x14ac:dyDescent="0.3">
      <c r="G60" s="34">
        <v>46155</v>
      </c>
      <c r="H60">
        <v>2267.3000000000002</v>
      </c>
      <c r="J60">
        <v>23675.1</v>
      </c>
    </row>
    <row r="61" spans="7:10" x14ac:dyDescent="0.3">
      <c r="G61" s="34">
        <v>46154</v>
      </c>
      <c r="H61">
        <v>2262</v>
      </c>
      <c r="J61">
        <v>23424.7</v>
      </c>
    </row>
    <row r="62" spans="7:10" x14ac:dyDescent="0.3">
      <c r="G62" s="34">
        <v>46153</v>
      </c>
      <c r="H62">
        <v>2307.1999999999998</v>
      </c>
      <c r="J62">
        <v>23974.6</v>
      </c>
    </row>
    <row r="63" spans="7:10" x14ac:dyDescent="0.3">
      <c r="G63" s="34">
        <v>46150</v>
      </c>
      <c r="H63">
        <v>2287.6999999999998</v>
      </c>
      <c r="J63">
        <v>24339.200000000001</v>
      </c>
    </row>
    <row r="64" spans="7:10" x14ac:dyDescent="0.3">
      <c r="G64" s="34">
        <v>46149</v>
      </c>
      <c r="H64">
        <v>2272.1999999999998</v>
      </c>
      <c r="J64">
        <v>24382.799999999999</v>
      </c>
    </row>
    <row r="65" spans="7:10" x14ac:dyDescent="0.3">
      <c r="G65" s="34">
        <v>46148</v>
      </c>
      <c r="H65">
        <v>2317.1</v>
      </c>
      <c r="J65">
        <v>24683.8</v>
      </c>
    </row>
    <row r="66" spans="7:10" x14ac:dyDescent="0.3">
      <c r="G66" s="34">
        <v>46147</v>
      </c>
      <c r="H66">
        <v>2327.4</v>
      </c>
      <c r="J66">
        <v>24106.3</v>
      </c>
    </row>
    <row r="67" spans="7:10" x14ac:dyDescent="0.3">
      <c r="G67" s="34">
        <v>46146</v>
      </c>
      <c r="H67">
        <v>2309.3000000000002</v>
      </c>
      <c r="J67">
        <v>24312.799999999999</v>
      </c>
    </row>
    <row r="68" spans="7:10" x14ac:dyDescent="0.3">
      <c r="G68" s="34">
        <v>46142</v>
      </c>
      <c r="H68">
        <v>2250.9</v>
      </c>
      <c r="J68">
        <v>24340</v>
      </c>
    </row>
    <row r="69" spans="7:10" x14ac:dyDescent="0.3">
      <c r="G69" s="34">
        <v>46141</v>
      </c>
      <c r="H69">
        <v>2314.4</v>
      </c>
      <c r="J69">
        <v>24528.400000000001</v>
      </c>
    </row>
    <row r="70" spans="7:10" x14ac:dyDescent="0.3">
      <c r="G70" s="34">
        <v>46140</v>
      </c>
      <c r="H70">
        <v>2289.5</v>
      </c>
      <c r="J70">
        <v>24069</v>
      </c>
    </row>
    <row r="71" spans="7:10" x14ac:dyDescent="0.3">
      <c r="G71" s="34">
        <v>46139</v>
      </c>
      <c r="H71">
        <v>2328.3000000000002</v>
      </c>
      <c r="J71">
        <v>24209.7</v>
      </c>
    </row>
    <row r="72" spans="7:10" x14ac:dyDescent="0.3">
      <c r="G72" s="34">
        <v>46136</v>
      </c>
      <c r="H72">
        <v>2327.3000000000002</v>
      </c>
      <c r="J72">
        <v>24151.5</v>
      </c>
    </row>
    <row r="73" spans="7:10" x14ac:dyDescent="0.3">
      <c r="G73" s="34">
        <v>46135</v>
      </c>
      <c r="H73">
        <v>2366.4</v>
      </c>
      <c r="J73">
        <v>24163</v>
      </c>
    </row>
    <row r="74" spans="7:10" x14ac:dyDescent="0.3">
      <c r="G74" s="34">
        <v>46134</v>
      </c>
      <c r="H74">
        <v>2368.8000000000002</v>
      </c>
      <c r="J74">
        <v>24381.200000000001</v>
      </c>
    </row>
    <row r="75" spans="7:10" x14ac:dyDescent="0.3">
      <c r="G75" s="34">
        <v>46133</v>
      </c>
      <c r="H75">
        <v>2310.6999999999998</v>
      </c>
      <c r="J75">
        <v>24840.1</v>
      </c>
    </row>
    <row r="76" spans="7:10" x14ac:dyDescent="0.3">
      <c r="G76" s="34">
        <v>46132</v>
      </c>
      <c r="H76">
        <v>2231.5</v>
      </c>
      <c r="J76">
        <v>24331.8</v>
      </c>
    </row>
    <row r="77" spans="7:10" x14ac:dyDescent="0.3">
      <c r="G77" s="34">
        <v>46129</v>
      </c>
      <c r="H77">
        <v>2240.8000000000002</v>
      </c>
      <c r="J77">
        <v>24368</v>
      </c>
    </row>
    <row r="78" spans="7:10" x14ac:dyDescent="0.3">
      <c r="G78" s="34">
        <v>46128</v>
      </c>
      <c r="H78">
        <v>2139.1</v>
      </c>
      <c r="J78">
        <v>24328.2</v>
      </c>
    </row>
    <row r="79" spans="7:10" x14ac:dyDescent="0.3">
      <c r="G79" s="34">
        <v>46127</v>
      </c>
      <c r="H79">
        <v>2157.6</v>
      </c>
      <c r="J79">
        <v>24237.7</v>
      </c>
    </row>
    <row r="80" spans="7:10" x14ac:dyDescent="0.3">
      <c r="G80" s="34">
        <v>46125</v>
      </c>
      <c r="H80">
        <v>2127.1999999999998</v>
      </c>
      <c r="J80">
        <v>24152.9</v>
      </c>
    </row>
    <row r="81" spans="7:10" x14ac:dyDescent="0.3">
      <c r="G81" s="34">
        <v>46122</v>
      </c>
      <c r="H81">
        <v>2155.3000000000002</v>
      </c>
      <c r="J81">
        <v>24101</v>
      </c>
    </row>
    <row r="82" spans="7:10" x14ac:dyDescent="0.3">
      <c r="G82" s="34">
        <v>46121</v>
      </c>
      <c r="H82">
        <v>2133.1999999999998</v>
      </c>
      <c r="J82">
        <v>23989.1</v>
      </c>
    </row>
    <row r="83" spans="7:10" x14ac:dyDescent="0.3">
      <c r="G83" s="34">
        <v>46120</v>
      </c>
      <c r="H83">
        <v>2145.6</v>
      </c>
      <c r="J83">
        <v>24182.5</v>
      </c>
    </row>
    <row r="84" spans="7:10" x14ac:dyDescent="0.3">
      <c r="G84" s="34">
        <v>46119</v>
      </c>
      <c r="H84">
        <v>2110.6</v>
      </c>
      <c r="J84">
        <v>23151.1</v>
      </c>
    </row>
    <row r="85" spans="7:10" x14ac:dyDescent="0.3">
      <c r="G85" s="34">
        <v>46118</v>
      </c>
      <c r="H85">
        <v>2084.8000000000002</v>
      </c>
      <c r="J85">
        <v>23347.4</v>
      </c>
    </row>
    <row r="86" spans="7:10" x14ac:dyDescent="0.3">
      <c r="G86" s="34">
        <v>46114</v>
      </c>
      <c r="H86">
        <v>2065.3000000000002</v>
      </c>
      <c r="J86">
        <v>22766.6</v>
      </c>
    </row>
    <row r="87" spans="7:10" x14ac:dyDescent="0.3">
      <c r="G87" s="34">
        <v>46113</v>
      </c>
      <c r="H87">
        <v>2064.6999999999998</v>
      </c>
      <c r="J87">
        <v>22934.799999999999</v>
      </c>
    </row>
    <row r="88" spans="7:10" x14ac:dyDescent="0.3">
      <c r="G88" s="34">
        <v>46111</v>
      </c>
      <c r="H88">
        <v>2055.1999999999998</v>
      </c>
      <c r="J88">
        <v>22318.400000000001</v>
      </c>
    </row>
    <row r="89" spans="7:10" x14ac:dyDescent="0.3">
      <c r="G89" s="34">
        <v>46108</v>
      </c>
      <c r="H89">
        <v>2074.4</v>
      </c>
      <c r="J89">
        <v>23043.9</v>
      </c>
    </row>
    <row r="90" spans="7:10" x14ac:dyDescent="0.3">
      <c r="G90" s="34">
        <v>46106</v>
      </c>
      <c r="H90">
        <v>2134.8000000000002</v>
      </c>
      <c r="J90">
        <v>23300</v>
      </c>
    </row>
    <row r="91" spans="7:10" x14ac:dyDescent="0.3">
      <c r="G91" s="34">
        <v>46105</v>
      </c>
      <c r="H91">
        <v>2085</v>
      </c>
      <c r="J91">
        <v>23055.9</v>
      </c>
    </row>
    <row r="92" spans="7:10" x14ac:dyDescent="0.3">
      <c r="G92" s="34">
        <v>46104</v>
      </c>
      <c r="H92">
        <v>2052.1999999999998</v>
      </c>
      <c r="J92">
        <v>22648.2</v>
      </c>
    </row>
    <row r="93" spans="7:10" x14ac:dyDescent="0.3">
      <c r="G93" s="34">
        <v>46101</v>
      </c>
      <c r="H93">
        <v>2082.6999999999998</v>
      </c>
      <c r="J93">
        <v>23140.5</v>
      </c>
    </row>
    <row r="94" spans="7:10" x14ac:dyDescent="0.3">
      <c r="G94" s="34">
        <v>46100</v>
      </c>
      <c r="H94">
        <v>2077.3000000000002</v>
      </c>
      <c r="J94">
        <v>23333</v>
      </c>
    </row>
    <row r="95" spans="7:10" x14ac:dyDescent="0.3">
      <c r="G95" s="34">
        <v>46099</v>
      </c>
      <c r="H95">
        <v>2135.3000000000002</v>
      </c>
      <c r="J95">
        <v>23776.400000000001</v>
      </c>
    </row>
    <row r="96" spans="7:10" x14ac:dyDescent="0.3">
      <c r="G96" s="34">
        <v>46098</v>
      </c>
      <c r="H96">
        <v>2158.1999999999998</v>
      </c>
      <c r="J96">
        <v>23767.4</v>
      </c>
    </row>
    <row r="97" spans="7:10" x14ac:dyDescent="0.3">
      <c r="G97" s="34">
        <v>46097</v>
      </c>
      <c r="H97">
        <v>2175.6999999999998</v>
      </c>
      <c r="J97">
        <v>23429.200000000001</v>
      </c>
    </row>
    <row r="98" spans="7:10" x14ac:dyDescent="0.3">
      <c r="G98" s="34">
        <v>46094</v>
      </c>
      <c r="H98">
        <v>2160</v>
      </c>
      <c r="J98">
        <v>23199.3</v>
      </c>
    </row>
    <row r="99" spans="7:10" x14ac:dyDescent="0.3">
      <c r="G99" s="34">
        <v>46093</v>
      </c>
      <c r="H99">
        <v>2136.9</v>
      </c>
      <c r="J99">
        <v>24010.3</v>
      </c>
    </row>
    <row r="100" spans="7:10" x14ac:dyDescent="0.3">
      <c r="G100" s="34">
        <v>46092</v>
      </c>
      <c r="H100">
        <v>2161.4</v>
      </c>
      <c r="J100">
        <v>23939.1</v>
      </c>
    </row>
    <row r="101" spans="7:10" x14ac:dyDescent="0.3">
      <c r="G101" s="34">
        <v>46091</v>
      </c>
      <c r="H101">
        <v>2190.1999999999998</v>
      </c>
      <c r="J101">
        <v>24545.599999999999</v>
      </c>
    </row>
    <row r="102" spans="7:10" x14ac:dyDescent="0.3">
      <c r="G102" s="34">
        <v>46090</v>
      </c>
      <c r="H102">
        <v>2194.6</v>
      </c>
      <c r="J102">
        <v>24285.8</v>
      </c>
    </row>
    <row r="103" spans="7:10" x14ac:dyDescent="0.3">
      <c r="G103" s="34">
        <v>46087</v>
      </c>
      <c r="H103">
        <v>2225.6999999999998</v>
      </c>
      <c r="J103">
        <v>24545.7</v>
      </c>
    </row>
    <row r="104" spans="7:10" x14ac:dyDescent="0.3">
      <c r="G104" s="34">
        <v>46086</v>
      </c>
      <c r="H104">
        <v>2255</v>
      </c>
      <c r="J104">
        <v>25118.5</v>
      </c>
    </row>
    <row r="105" spans="7:10" x14ac:dyDescent="0.3">
      <c r="G105" s="34">
        <v>46085</v>
      </c>
      <c r="H105">
        <v>2261.3000000000002</v>
      </c>
      <c r="J105">
        <v>24584.7</v>
      </c>
    </row>
    <row r="106" spans="7:10" x14ac:dyDescent="0.3">
      <c r="G106" s="34">
        <v>46083</v>
      </c>
      <c r="H106">
        <v>2320.6</v>
      </c>
      <c r="J106">
        <v>25140.2</v>
      </c>
    </row>
    <row r="107" spans="7:10" x14ac:dyDescent="0.3">
      <c r="G107" s="34">
        <v>46080</v>
      </c>
      <c r="H107">
        <v>2338.1</v>
      </c>
      <c r="J107">
        <v>25598.2</v>
      </c>
    </row>
    <row r="108" spans="7:10" x14ac:dyDescent="0.3">
      <c r="G108" s="34">
        <v>46079</v>
      </c>
      <c r="H108">
        <v>2383.3000000000002</v>
      </c>
      <c r="J108">
        <v>25912.5</v>
      </c>
    </row>
    <row r="109" spans="7:10" x14ac:dyDescent="0.3">
      <c r="G109" s="34">
        <v>46078</v>
      </c>
      <c r="H109">
        <v>2374.9</v>
      </c>
      <c r="J109">
        <v>25791.8</v>
      </c>
    </row>
    <row r="110" spans="7:10" x14ac:dyDescent="0.3">
      <c r="G110" s="34">
        <v>46077</v>
      </c>
      <c r="H110">
        <v>2358.6</v>
      </c>
      <c r="J110">
        <v>25600.3</v>
      </c>
    </row>
    <row r="111" spans="7:10" x14ac:dyDescent="0.3">
      <c r="G111" s="34">
        <v>46076</v>
      </c>
      <c r="H111">
        <v>2345.4</v>
      </c>
      <c r="J111">
        <v>26015</v>
      </c>
    </row>
    <row r="112" spans="7:10" x14ac:dyDescent="0.3">
      <c r="G112" s="34">
        <v>46073</v>
      </c>
      <c r="H112">
        <v>2314.5</v>
      </c>
      <c r="J112">
        <v>25584.7</v>
      </c>
    </row>
    <row r="113" spans="7:10" x14ac:dyDescent="0.3">
      <c r="G113" s="34">
        <v>46072</v>
      </c>
      <c r="H113">
        <v>2279.3000000000002</v>
      </c>
      <c r="J113">
        <v>25446</v>
      </c>
    </row>
    <row r="114" spans="7:10" x14ac:dyDescent="0.3">
      <c r="G114" s="34">
        <v>46071</v>
      </c>
      <c r="H114">
        <v>2323.5</v>
      </c>
      <c r="J114">
        <v>26144.5</v>
      </c>
    </row>
    <row r="115" spans="7:10" x14ac:dyDescent="0.3">
      <c r="G115" s="34">
        <v>46070</v>
      </c>
      <c r="H115">
        <v>2312.3000000000002</v>
      </c>
      <c r="J115">
        <v>25898.7</v>
      </c>
    </row>
    <row r="116" spans="7:10" x14ac:dyDescent="0.3">
      <c r="G116" s="34">
        <v>46069</v>
      </c>
      <c r="H116">
        <v>2319</v>
      </c>
      <c r="J116">
        <v>25879</v>
      </c>
    </row>
    <row r="117" spans="7:10" x14ac:dyDescent="0.3">
      <c r="G117" s="34">
        <v>46066</v>
      </c>
      <c r="H117">
        <v>2305.1999999999998</v>
      </c>
      <c r="J117">
        <v>25688.6</v>
      </c>
    </row>
    <row r="118" spans="7:10" x14ac:dyDescent="0.3">
      <c r="G118" s="34">
        <v>46065</v>
      </c>
      <c r="H118">
        <v>2409.6999999999998</v>
      </c>
      <c r="J118">
        <v>26025.3</v>
      </c>
    </row>
    <row r="119" spans="7:10" x14ac:dyDescent="0.3">
      <c r="G119" s="34">
        <v>46064</v>
      </c>
      <c r="H119">
        <v>2462.9</v>
      </c>
      <c r="J119">
        <v>26151</v>
      </c>
    </row>
    <row r="120" spans="7:10" x14ac:dyDescent="0.3">
      <c r="G120" s="34">
        <v>46063</v>
      </c>
      <c r="H120">
        <v>2453.6</v>
      </c>
      <c r="J120">
        <v>26295.3</v>
      </c>
    </row>
    <row r="121" spans="7:10" x14ac:dyDescent="0.3">
      <c r="G121" s="34">
        <v>46062</v>
      </c>
      <c r="H121">
        <v>2435</v>
      </c>
      <c r="J121">
        <v>26068.799999999999</v>
      </c>
    </row>
    <row r="122" spans="7:10" x14ac:dyDescent="0.3">
      <c r="G122" s="34">
        <v>46059</v>
      </c>
      <c r="H122">
        <v>2424.1999999999998</v>
      </c>
      <c r="J122">
        <v>26045.5</v>
      </c>
    </row>
    <row r="123" spans="7:10" x14ac:dyDescent="0.3">
      <c r="G123" s="34">
        <v>46058</v>
      </c>
      <c r="H123">
        <v>2354.4</v>
      </c>
      <c r="J123">
        <v>25725</v>
      </c>
    </row>
    <row r="124" spans="7:10" x14ac:dyDescent="0.3">
      <c r="G124" s="34">
        <v>46057</v>
      </c>
      <c r="H124">
        <v>2371</v>
      </c>
      <c r="J124">
        <v>25848.799999999999</v>
      </c>
    </row>
    <row r="125" spans="7:10" x14ac:dyDescent="0.3">
      <c r="G125" s="34">
        <v>46056</v>
      </c>
      <c r="H125">
        <v>2368.6</v>
      </c>
      <c r="J125">
        <v>25976.7</v>
      </c>
    </row>
    <row r="126" spans="7:10" x14ac:dyDescent="0.3">
      <c r="G126" s="34">
        <v>46055</v>
      </c>
      <c r="H126">
        <v>2357.3000000000002</v>
      </c>
      <c r="J126">
        <v>25297.4</v>
      </c>
    </row>
    <row r="127" spans="7:10" x14ac:dyDescent="0.3">
      <c r="G127" s="34">
        <v>46054</v>
      </c>
      <c r="H127">
        <v>2350.6999999999998</v>
      </c>
      <c r="J127">
        <v>25029.599999999999</v>
      </c>
    </row>
    <row r="128" spans="7:10" x14ac:dyDescent="0.3">
      <c r="G128" s="34">
        <v>46052</v>
      </c>
      <c r="H128">
        <v>2373</v>
      </c>
      <c r="J128">
        <v>25582.799999999999</v>
      </c>
    </row>
    <row r="129" spans="7:10" x14ac:dyDescent="0.3">
      <c r="G129" s="34">
        <v>46051</v>
      </c>
      <c r="H129">
        <v>2352.6</v>
      </c>
      <c r="J129">
        <v>25707.1</v>
      </c>
    </row>
    <row r="130" spans="7:10" x14ac:dyDescent="0.3">
      <c r="G130" s="34">
        <v>46050</v>
      </c>
      <c r="H130">
        <v>2378.4</v>
      </c>
      <c r="J130">
        <v>25778.799999999999</v>
      </c>
    </row>
    <row r="131" spans="7:10" x14ac:dyDescent="0.3">
      <c r="G131" s="34">
        <v>46049</v>
      </c>
      <c r="H131">
        <v>2400.9</v>
      </c>
      <c r="J131">
        <v>25569.3</v>
      </c>
    </row>
    <row r="132" spans="7:10" x14ac:dyDescent="0.3">
      <c r="G132" s="34">
        <v>46045</v>
      </c>
      <c r="H132">
        <v>2409.5</v>
      </c>
      <c r="J132">
        <v>25202.6</v>
      </c>
    </row>
    <row r="133" spans="7:10" x14ac:dyDescent="0.3">
      <c r="G133" s="34">
        <v>46044</v>
      </c>
      <c r="H133">
        <v>2390.6</v>
      </c>
      <c r="J133">
        <v>25688.400000000001</v>
      </c>
    </row>
    <row r="134" spans="7:10" x14ac:dyDescent="0.3">
      <c r="G134" s="34">
        <v>46043</v>
      </c>
      <c r="H134">
        <v>2368</v>
      </c>
      <c r="J134">
        <v>25397.9</v>
      </c>
    </row>
    <row r="135" spans="7:10" x14ac:dyDescent="0.3">
      <c r="G135" s="34">
        <v>46042</v>
      </c>
      <c r="H135">
        <v>2379.1</v>
      </c>
      <c r="J135">
        <v>25737.8</v>
      </c>
    </row>
    <row r="136" spans="7:10" x14ac:dyDescent="0.3">
      <c r="G136" s="34">
        <v>46041</v>
      </c>
      <c r="H136">
        <v>2413.9</v>
      </c>
      <c r="J136">
        <v>26071.1</v>
      </c>
    </row>
    <row r="137" spans="7:10" x14ac:dyDescent="0.3">
      <c r="G137" s="34">
        <v>46038</v>
      </c>
      <c r="H137">
        <v>2360.4</v>
      </c>
      <c r="J137">
        <v>26046.9</v>
      </c>
    </row>
    <row r="138" spans="7:10" x14ac:dyDescent="0.3">
      <c r="G138" s="34">
        <v>46036</v>
      </c>
      <c r="H138">
        <v>2353.5</v>
      </c>
      <c r="J138">
        <v>26109</v>
      </c>
    </row>
    <row r="139" spans="7:10" x14ac:dyDescent="0.3">
      <c r="G139" s="34">
        <v>46035</v>
      </c>
      <c r="H139">
        <v>2389.5</v>
      </c>
      <c r="J139">
        <v>25876</v>
      </c>
    </row>
    <row r="140" spans="7:10" x14ac:dyDescent="0.3">
      <c r="G140" s="34">
        <v>46034</v>
      </c>
      <c r="H140">
        <v>2406.1999999999998</v>
      </c>
      <c r="J140">
        <v>25933.599999999999</v>
      </c>
    </row>
    <row r="141" spans="7:10" x14ac:dyDescent="0.3">
      <c r="G141" s="34">
        <v>46031</v>
      </c>
      <c r="H141">
        <v>2372.6</v>
      </c>
      <c r="J141">
        <v>26327.4</v>
      </c>
    </row>
    <row r="142" spans="7:10" x14ac:dyDescent="0.3">
      <c r="G142" s="34">
        <v>46030</v>
      </c>
      <c r="H142">
        <v>2386.6999999999998</v>
      </c>
      <c r="J142">
        <v>26567.7</v>
      </c>
    </row>
    <row r="143" spans="7:10" x14ac:dyDescent="0.3">
      <c r="G143" s="34">
        <v>46029</v>
      </c>
      <c r="H143">
        <v>2399.4</v>
      </c>
      <c r="J143">
        <v>26285.1</v>
      </c>
    </row>
    <row r="144" spans="7:10" x14ac:dyDescent="0.3">
      <c r="G144" s="34">
        <v>46028</v>
      </c>
      <c r="H144">
        <v>2424.6999999999998</v>
      </c>
      <c r="J144">
        <v>26331.3</v>
      </c>
    </row>
    <row r="145" spans="7:10" x14ac:dyDescent="0.3">
      <c r="G145" s="34">
        <v>46027</v>
      </c>
      <c r="H145">
        <v>2384.1</v>
      </c>
      <c r="J145">
        <v>26591.5</v>
      </c>
    </row>
    <row r="146" spans="7:10" x14ac:dyDescent="0.3">
      <c r="G146" s="34">
        <v>46024</v>
      </c>
      <c r="H146">
        <v>2348</v>
      </c>
      <c r="J146">
        <v>26436.9</v>
      </c>
    </row>
    <row r="147" spans="7:10" x14ac:dyDescent="0.3">
      <c r="G147" s="34">
        <v>46023</v>
      </c>
      <c r="H147">
        <v>2323</v>
      </c>
      <c r="J147">
        <v>26296.3</v>
      </c>
    </row>
    <row r="148" spans="7:10" x14ac:dyDescent="0.3">
      <c r="G148" s="34">
        <v>46022</v>
      </c>
      <c r="H148">
        <v>2315.9</v>
      </c>
      <c r="J148">
        <v>26258.400000000001</v>
      </c>
    </row>
    <row r="149" spans="7:10" x14ac:dyDescent="0.3">
      <c r="G149" s="34">
        <v>46021</v>
      </c>
      <c r="H149">
        <v>2290.1999999999998</v>
      </c>
      <c r="J149">
        <v>26265.4</v>
      </c>
    </row>
    <row r="150" spans="7:10" x14ac:dyDescent="0.3">
      <c r="G150" s="34">
        <v>46020</v>
      </c>
      <c r="H150">
        <v>2293.3000000000002</v>
      </c>
      <c r="J150">
        <v>26060.2</v>
      </c>
    </row>
    <row r="151" spans="7:10" x14ac:dyDescent="0.3">
      <c r="G151" s="34">
        <v>46017</v>
      </c>
      <c r="H151">
        <v>2285.4</v>
      </c>
      <c r="J151">
        <v>26498.6</v>
      </c>
    </row>
    <row r="152" spans="7:10" x14ac:dyDescent="0.3">
      <c r="G152" s="34">
        <v>46015</v>
      </c>
      <c r="H152">
        <v>2282.1999999999998</v>
      </c>
      <c r="J152">
        <v>26392.799999999999</v>
      </c>
    </row>
    <row r="153" spans="7:10" x14ac:dyDescent="0.3">
      <c r="G153" s="34">
        <v>46014</v>
      </c>
      <c r="H153">
        <v>2302.6</v>
      </c>
      <c r="J153">
        <v>26197.9</v>
      </c>
    </row>
    <row r="154" spans="7:10" x14ac:dyDescent="0.3">
      <c r="G154" s="34">
        <v>46013</v>
      </c>
      <c r="H154">
        <v>2289.5</v>
      </c>
      <c r="J154">
        <v>26331.5</v>
      </c>
    </row>
    <row r="155" spans="7:10" x14ac:dyDescent="0.3">
      <c r="G155" s="34">
        <v>46010</v>
      </c>
      <c r="H155">
        <v>2280</v>
      </c>
      <c r="J155">
        <v>25880.6</v>
      </c>
    </row>
    <row r="156" spans="7:10" x14ac:dyDescent="0.3">
      <c r="G156" s="34">
        <v>46009</v>
      </c>
      <c r="H156">
        <v>2265.5</v>
      </c>
      <c r="J156">
        <v>26061.8</v>
      </c>
    </row>
    <row r="157" spans="7:10" x14ac:dyDescent="0.3">
      <c r="G157" s="34">
        <v>46008</v>
      </c>
      <c r="H157">
        <v>2275.6</v>
      </c>
      <c r="J157">
        <v>26112.9</v>
      </c>
    </row>
    <row r="158" spans="7:10" x14ac:dyDescent="0.3">
      <c r="G158" s="34">
        <v>46007</v>
      </c>
      <c r="H158">
        <v>2281.1</v>
      </c>
      <c r="J158">
        <v>26407.3</v>
      </c>
    </row>
    <row r="159" spans="7:10" x14ac:dyDescent="0.3">
      <c r="G159" s="34">
        <v>46006</v>
      </c>
      <c r="H159">
        <v>2293.5</v>
      </c>
      <c r="J159">
        <v>26145.4</v>
      </c>
    </row>
    <row r="160" spans="7:10" x14ac:dyDescent="0.3">
      <c r="G160" s="34">
        <v>46003</v>
      </c>
      <c r="H160">
        <v>2260.6</v>
      </c>
      <c r="J160">
        <v>26009.5</v>
      </c>
    </row>
    <row r="161" spans="7:10" x14ac:dyDescent="0.3">
      <c r="G161" s="34">
        <v>46002</v>
      </c>
      <c r="H161">
        <v>2305.6</v>
      </c>
      <c r="J161">
        <v>26032.400000000001</v>
      </c>
    </row>
    <row r="162" spans="7:10" x14ac:dyDescent="0.3">
      <c r="G162" s="34">
        <v>46001</v>
      </c>
      <c r="H162">
        <v>2301.6999999999998</v>
      </c>
      <c r="J162">
        <v>25960.2</v>
      </c>
    </row>
    <row r="163" spans="7:10" x14ac:dyDescent="0.3">
      <c r="G163" s="34">
        <v>46000</v>
      </c>
      <c r="H163">
        <v>2306.5</v>
      </c>
      <c r="J163">
        <v>26064.7</v>
      </c>
    </row>
    <row r="164" spans="7:10" x14ac:dyDescent="0.3">
      <c r="G164" s="34">
        <v>45999</v>
      </c>
      <c r="H164">
        <v>2314</v>
      </c>
      <c r="J164">
        <v>26333.200000000001</v>
      </c>
    </row>
    <row r="165" spans="7:10" x14ac:dyDescent="0.3">
      <c r="G165" s="34">
        <v>45996</v>
      </c>
      <c r="H165">
        <v>2338.6</v>
      </c>
      <c r="J165">
        <v>26350.5</v>
      </c>
    </row>
    <row r="166" spans="7:10" x14ac:dyDescent="0.3">
      <c r="G166" s="34">
        <v>45995</v>
      </c>
      <c r="H166">
        <v>2462.1999999999998</v>
      </c>
      <c r="J166">
        <v>26302.6</v>
      </c>
    </row>
    <row r="167" spans="7:10" x14ac:dyDescent="0.3">
      <c r="G167" s="34">
        <v>45994</v>
      </c>
      <c r="H167">
        <v>2448</v>
      </c>
      <c r="J167">
        <v>26530</v>
      </c>
    </row>
    <row r="168" spans="7:10" x14ac:dyDescent="0.3">
      <c r="G168" s="34">
        <v>45993</v>
      </c>
      <c r="H168">
        <v>2477.8000000000002</v>
      </c>
      <c r="J168">
        <v>26503.1</v>
      </c>
    </row>
    <row r="169" spans="7:10" x14ac:dyDescent="0.3">
      <c r="G169" s="34">
        <v>45992</v>
      </c>
      <c r="H169">
        <v>2464.5</v>
      </c>
      <c r="J169">
        <v>26387.4</v>
      </c>
    </row>
    <row r="170" spans="7:10" x14ac:dyDescent="0.3">
      <c r="G170" s="34">
        <v>45989</v>
      </c>
      <c r="H170">
        <v>2466.6</v>
      </c>
      <c r="J170">
        <v>26699.1</v>
      </c>
    </row>
    <row r="171" spans="7:10" x14ac:dyDescent="0.3">
      <c r="G171" s="34">
        <v>45988</v>
      </c>
      <c r="H171">
        <v>2451.6999999999998</v>
      </c>
      <c r="J171">
        <v>26381.200000000001</v>
      </c>
    </row>
    <row r="172" spans="7:10" x14ac:dyDescent="0.3">
      <c r="G172" s="34">
        <v>45987</v>
      </c>
      <c r="H172">
        <v>2425.1999999999998</v>
      </c>
      <c r="J172">
        <v>25886.799999999999</v>
      </c>
    </row>
    <row r="173" spans="7:10" x14ac:dyDescent="0.3">
      <c r="G173" s="34">
        <v>45986</v>
      </c>
      <c r="H173">
        <v>2414.1</v>
      </c>
      <c r="J173">
        <v>26358.6</v>
      </c>
    </row>
    <row r="174" spans="7:10" x14ac:dyDescent="0.3">
      <c r="G174" s="34">
        <v>45985</v>
      </c>
      <c r="H174">
        <v>2424.1999999999998</v>
      </c>
      <c r="J174">
        <v>26077.5</v>
      </c>
    </row>
    <row r="175" spans="7:10" x14ac:dyDescent="0.3">
      <c r="G175" s="34">
        <v>45982</v>
      </c>
      <c r="H175">
        <v>2433.6999999999998</v>
      </c>
      <c r="J175">
        <v>26220.799999999999</v>
      </c>
    </row>
    <row r="176" spans="7:10" x14ac:dyDescent="0.3">
      <c r="G176" s="34">
        <v>45981</v>
      </c>
      <c r="H176">
        <v>2428.4</v>
      </c>
      <c r="J176">
        <v>26415</v>
      </c>
    </row>
    <row r="177" spans="7:10" x14ac:dyDescent="0.3">
      <c r="G177" s="34">
        <v>45980</v>
      </c>
      <c r="H177">
        <v>2441.6</v>
      </c>
      <c r="J177">
        <v>26316.400000000001</v>
      </c>
    </row>
    <row r="178" spans="7:10" x14ac:dyDescent="0.3">
      <c r="G178" s="34">
        <v>45979</v>
      </c>
      <c r="H178">
        <v>2404</v>
      </c>
      <c r="J178">
        <v>26240</v>
      </c>
    </row>
    <row r="179" spans="7:10" x14ac:dyDescent="0.3">
      <c r="G179" s="34">
        <v>45978</v>
      </c>
      <c r="H179">
        <v>2425</v>
      </c>
      <c r="J179">
        <v>25951.4</v>
      </c>
    </row>
    <row r="180" spans="7:10" x14ac:dyDescent="0.3">
      <c r="G180" s="34">
        <v>45975</v>
      </c>
      <c r="H180">
        <v>2427.6999999999998</v>
      </c>
      <c r="J180">
        <v>26134.9</v>
      </c>
    </row>
    <row r="181" spans="7:10" x14ac:dyDescent="0.3">
      <c r="G181" s="34">
        <v>45974</v>
      </c>
      <c r="H181">
        <v>2407.6</v>
      </c>
      <c r="J181">
        <v>25986.1</v>
      </c>
    </row>
    <row r="182" spans="7:10" x14ac:dyDescent="0.3">
      <c r="G182" s="34">
        <v>45973</v>
      </c>
      <c r="H182">
        <v>2424.5</v>
      </c>
      <c r="J182">
        <v>26165</v>
      </c>
    </row>
    <row r="183" spans="7:10" x14ac:dyDescent="0.3">
      <c r="G183" s="34">
        <v>45972</v>
      </c>
      <c r="H183">
        <v>2427.5</v>
      </c>
      <c r="J183">
        <v>25882.9</v>
      </c>
    </row>
    <row r="184" spans="7:10" x14ac:dyDescent="0.3">
      <c r="G184" s="34">
        <v>45971</v>
      </c>
      <c r="H184">
        <v>2408.8000000000002</v>
      </c>
      <c r="J184">
        <v>25589.200000000001</v>
      </c>
    </row>
    <row r="185" spans="7:10" x14ac:dyDescent="0.3">
      <c r="G185" s="34">
        <v>45968</v>
      </c>
      <c r="H185">
        <v>2414</v>
      </c>
      <c r="J185">
        <v>25807.1</v>
      </c>
    </row>
    <row r="186" spans="7:10" x14ac:dyDescent="0.3">
      <c r="G186" s="34">
        <v>45967</v>
      </c>
      <c r="H186">
        <v>2436</v>
      </c>
      <c r="J186">
        <v>25708.3</v>
      </c>
    </row>
    <row r="187" spans="7:10" x14ac:dyDescent="0.3">
      <c r="G187" s="34">
        <v>45965</v>
      </c>
      <c r="H187">
        <v>2445.6999999999998</v>
      </c>
      <c r="J187">
        <v>25898.9</v>
      </c>
    </row>
    <row r="188" spans="7:10" x14ac:dyDescent="0.3">
      <c r="G188" s="34">
        <v>45964</v>
      </c>
      <c r="H188">
        <v>2460</v>
      </c>
      <c r="J188">
        <v>26088.5</v>
      </c>
    </row>
    <row r="189" spans="7:10" x14ac:dyDescent="0.3">
      <c r="G189" s="34">
        <v>45961</v>
      </c>
      <c r="H189">
        <v>2465.5</v>
      </c>
      <c r="J189">
        <v>26031.599999999999</v>
      </c>
    </row>
    <row r="190" spans="7:10" x14ac:dyDescent="0.3">
      <c r="G190" s="34">
        <v>45960</v>
      </c>
      <c r="H190">
        <v>2469.6</v>
      </c>
      <c r="J190">
        <v>26577.4</v>
      </c>
    </row>
    <row r="191" spans="7:10" x14ac:dyDescent="0.3">
      <c r="G191" s="34">
        <v>45959</v>
      </c>
      <c r="H191">
        <v>2488.1</v>
      </c>
      <c r="J191">
        <v>26090.1</v>
      </c>
    </row>
    <row r="192" spans="7:10" x14ac:dyDescent="0.3">
      <c r="G192" s="34">
        <v>45958</v>
      </c>
      <c r="H192">
        <v>2497.1</v>
      </c>
      <c r="J192">
        <v>26347.3</v>
      </c>
    </row>
    <row r="193" spans="7:10" x14ac:dyDescent="0.3">
      <c r="G193" s="34">
        <v>45957</v>
      </c>
      <c r="H193">
        <v>2511.8000000000002</v>
      </c>
      <c r="J193">
        <v>26130.2</v>
      </c>
    </row>
    <row r="194" spans="7:10" x14ac:dyDescent="0.3">
      <c r="G194" s="34">
        <v>45954</v>
      </c>
      <c r="H194">
        <v>2516.4</v>
      </c>
      <c r="J194">
        <v>26279.8</v>
      </c>
    </row>
    <row r="195" spans="7:10" x14ac:dyDescent="0.3">
      <c r="G195" s="34">
        <v>45953</v>
      </c>
      <c r="H195">
        <v>2601.6</v>
      </c>
      <c r="J195">
        <v>26194.799999999999</v>
      </c>
    </row>
    <row r="196" spans="7:10" x14ac:dyDescent="0.3">
      <c r="G196" s="34">
        <v>45951</v>
      </c>
      <c r="H196">
        <v>2591.6999999999998</v>
      </c>
      <c r="J196">
        <v>26046.3</v>
      </c>
    </row>
    <row r="197" spans="7:10" x14ac:dyDescent="0.3">
      <c r="G197" s="34">
        <v>45950</v>
      </c>
      <c r="H197">
        <v>2594.4</v>
      </c>
      <c r="J197">
        <v>25757.8</v>
      </c>
    </row>
    <row r="198" spans="7:10" x14ac:dyDescent="0.3">
      <c r="G198" s="34">
        <v>45947</v>
      </c>
      <c r="H198">
        <v>2603.6999999999998</v>
      </c>
      <c r="J198">
        <v>25943.1</v>
      </c>
    </row>
    <row r="199" spans="7:10" x14ac:dyDescent="0.3">
      <c r="G199" s="34">
        <v>45946</v>
      </c>
      <c r="H199">
        <v>2561.5</v>
      </c>
      <c r="J199">
        <v>25713.599999999999</v>
      </c>
    </row>
    <row r="200" spans="7:10" x14ac:dyDescent="0.3">
      <c r="G200" s="34">
        <v>45945</v>
      </c>
      <c r="H200">
        <v>2519</v>
      </c>
      <c r="J200">
        <v>25503.4</v>
      </c>
    </row>
    <row r="201" spans="7:10" x14ac:dyDescent="0.3">
      <c r="G201" s="34">
        <v>45944</v>
      </c>
      <c r="H201">
        <v>2502.3000000000002</v>
      </c>
      <c r="J201">
        <v>25309.3</v>
      </c>
    </row>
    <row r="202" spans="7:10" x14ac:dyDescent="0.3">
      <c r="G202" s="34">
        <v>45943</v>
      </c>
      <c r="H202">
        <v>2492.8000000000002</v>
      </c>
      <c r="J202">
        <v>25540.1</v>
      </c>
    </row>
    <row r="203" spans="7:10" x14ac:dyDescent="0.3">
      <c r="G203" s="34">
        <v>45940</v>
      </c>
      <c r="H203">
        <v>2528.9</v>
      </c>
      <c r="J203">
        <v>25403</v>
      </c>
    </row>
    <row r="204" spans="7:10" x14ac:dyDescent="0.3">
      <c r="G204" s="34">
        <v>45939</v>
      </c>
      <c r="H204">
        <v>2517.6</v>
      </c>
      <c r="J204">
        <v>25247.7</v>
      </c>
    </row>
    <row r="205" spans="7:10" x14ac:dyDescent="0.3">
      <c r="G205" s="34">
        <v>45938</v>
      </c>
      <c r="H205">
        <v>2500.1</v>
      </c>
      <c r="J205">
        <v>25514.5</v>
      </c>
    </row>
    <row r="206" spans="7:10" x14ac:dyDescent="0.3">
      <c r="G206" s="34">
        <v>45937</v>
      </c>
      <c r="H206">
        <v>2517.1999999999998</v>
      </c>
      <c r="J206">
        <v>25314.2</v>
      </c>
    </row>
    <row r="207" spans="7:10" x14ac:dyDescent="0.3">
      <c r="G207" s="34">
        <v>45936</v>
      </c>
      <c r="H207">
        <v>2541.8000000000002</v>
      </c>
      <c r="J207">
        <v>25290.7</v>
      </c>
    </row>
    <row r="208" spans="7:10" x14ac:dyDescent="0.3">
      <c r="G208" s="34">
        <v>45933</v>
      </c>
      <c r="H208">
        <v>2544.9</v>
      </c>
      <c r="J208">
        <v>24967.200000000001</v>
      </c>
    </row>
    <row r="209" spans="7:10" x14ac:dyDescent="0.3">
      <c r="G209" s="34">
        <v>45931</v>
      </c>
      <c r="H209">
        <v>2536.1999999999998</v>
      </c>
      <c r="J209">
        <v>24914.3</v>
      </c>
    </row>
    <row r="210" spans="7:10" x14ac:dyDescent="0.3">
      <c r="G210" s="34">
        <v>45930</v>
      </c>
      <c r="H210">
        <v>2514.4</v>
      </c>
      <c r="J210">
        <v>24944.799999999999</v>
      </c>
    </row>
    <row r="211" spans="7:10" x14ac:dyDescent="0.3">
      <c r="G211" s="34">
        <v>45929</v>
      </c>
      <c r="H211">
        <v>2497.9</v>
      </c>
      <c r="J211">
        <v>24812</v>
      </c>
    </row>
    <row r="212" spans="7:10" x14ac:dyDescent="0.3">
      <c r="G212" s="34">
        <v>45926</v>
      </c>
      <c r="H212">
        <v>2511.8000000000002</v>
      </c>
      <c r="J212">
        <v>25093.7</v>
      </c>
    </row>
    <row r="213" spans="7:10" x14ac:dyDescent="0.3">
      <c r="G213" s="34">
        <v>45925</v>
      </c>
      <c r="H213">
        <v>2538.3000000000002</v>
      </c>
      <c r="J213">
        <v>25373.599999999999</v>
      </c>
    </row>
    <row r="214" spans="7:10" x14ac:dyDescent="0.3">
      <c r="G214" s="34">
        <v>45924</v>
      </c>
      <c r="H214">
        <v>2549.5</v>
      </c>
      <c r="J214">
        <v>25383.3</v>
      </c>
    </row>
    <row r="215" spans="7:10" x14ac:dyDescent="0.3">
      <c r="G215" s="34">
        <v>45923</v>
      </c>
      <c r="H215">
        <v>2522.1999999999998</v>
      </c>
      <c r="J215">
        <v>25403.4</v>
      </c>
    </row>
    <row r="216" spans="7:10" x14ac:dyDescent="0.3">
      <c r="G216" s="34">
        <v>45922</v>
      </c>
      <c r="H216">
        <v>2572.1999999999998</v>
      </c>
      <c r="J216">
        <v>25534.5</v>
      </c>
    </row>
    <row r="217" spans="7:10" x14ac:dyDescent="0.3">
      <c r="G217" s="34">
        <v>45919</v>
      </c>
      <c r="H217">
        <v>2559.6</v>
      </c>
      <c r="J217">
        <v>25510.9</v>
      </c>
    </row>
    <row r="218" spans="7:10" x14ac:dyDescent="0.3">
      <c r="G218" s="34">
        <v>45918</v>
      </c>
      <c r="H218">
        <v>2586.8000000000002</v>
      </c>
      <c r="J218">
        <v>25540</v>
      </c>
    </row>
    <row r="219" spans="7:10" x14ac:dyDescent="0.3">
      <c r="G219" s="34">
        <v>45917</v>
      </c>
      <c r="H219">
        <v>2569.6999999999998</v>
      </c>
      <c r="J219">
        <v>25331.4</v>
      </c>
    </row>
    <row r="220" spans="7:10" x14ac:dyDescent="0.3">
      <c r="G220" s="34">
        <v>45916</v>
      </c>
      <c r="H220">
        <v>2580.9</v>
      </c>
      <c r="J220">
        <v>25284</v>
      </c>
    </row>
    <row r="221" spans="7:10" x14ac:dyDescent="0.3">
      <c r="G221" s="34">
        <v>45915</v>
      </c>
      <c r="H221">
        <v>2581</v>
      </c>
      <c r="J221">
        <v>25438.799999999999</v>
      </c>
    </row>
    <row r="222" spans="7:10" x14ac:dyDescent="0.3">
      <c r="G222" s="34">
        <v>45912</v>
      </c>
      <c r="H222">
        <v>2580.5</v>
      </c>
      <c r="J222">
        <v>25104.5</v>
      </c>
    </row>
    <row r="223" spans="7:10" x14ac:dyDescent="0.3">
      <c r="G223" s="34">
        <v>45911</v>
      </c>
      <c r="H223">
        <v>2622</v>
      </c>
      <c r="J223">
        <v>25072.3</v>
      </c>
    </row>
    <row r="224" spans="7:10" x14ac:dyDescent="0.3">
      <c r="G224" s="34">
        <v>45910</v>
      </c>
      <c r="H224">
        <v>2643.5</v>
      </c>
      <c r="J224">
        <v>24950.3</v>
      </c>
    </row>
    <row r="225" spans="7:10" x14ac:dyDescent="0.3">
      <c r="G225" s="34">
        <v>45909</v>
      </c>
      <c r="H225">
        <v>2642</v>
      </c>
      <c r="J225">
        <v>24892.7</v>
      </c>
    </row>
    <row r="226" spans="7:10" x14ac:dyDescent="0.3">
      <c r="G226" s="34">
        <v>45908</v>
      </c>
      <c r="H226">
        <v>2623.9</v>
      </c>
      <c r="J226">
        <v>24964.5</v>
      </c>
    </row>
    <row r="227" spans="7:10" x14ac:dyDescent="0.3">
      <c r="G227" s="34">
        <v>45905</v>
      </c>
      <c r="H227">
        <v>2633.4</v>
      </c>
      <c r="J227">
        <v>24827.5</v>
      </c>
    </row>
    <row r="228" spans="7:10" x14ac:dyDescent="0.3">
      <c r="G228" s="34">
        <v>45904</v>
      </c>
      <c r="H228">
        <v>2666.6</v>
      </c>
      <c r="J228">
        <v>24933</v>
      </c>
    </row>
    <row r="229" spans="7:10" x14ac:dyDescent="0.3">
      <c r="G229" s="34">
        <v>45903</v>
      </c>
      <c r="H229">
        <v>2664.7</v>
      </c>
      <c r="J229">
        <v>24808.9</v>
      </c>
    </row>
    <row r="230" spans="7:10" x14ac:dyDescent="0.3">
      <c r="G230" s="34">
        <v>45902</v>
      </c>
      <c r="H230">
        <v>2677</v>
      </c>
      <c r="J230">
        <v>24990.6</v>
      </c>
    </row>
    <row r="231" spans="7:10" x14ac:dyDescent="0.3">
      <c r="G231" s="34">
        <v>45901</v>
      </c>
      <c r="H231">
        <v>2649.5</v>
      </c>
      <c r="J231">
        <v>24684.3</v>
      </c>
    </row>
    <row r="232" spans="7:10" x14ac:dyDescent="0.3">
      <c r="G232" s="34">
        <v>45898</v>
      </c>
      <c r="H232">
        <v>2659.8</v>
      </c>
      <c r="J232">
        <v>24651.7</v>
      </c>
    </row>
    <row r="233" spans="7:10" x14ac:dyDescent="0.3">
      <c r="G233" s="34">
        <v>45897</v>
      </c>
      <c r="H233">
        <v>2654.4</v>
      </c>
      <c r="J233">
        <v>24857.5</v>
      </c>
    </row>
    <row r="234" spans="7:10" x14ac:dyDescent="0.3">
      <c r="G234" s="34">
        <v>45895</v>
      </c>
      <c r="H234">
        <v>2692.6</v>
      </c>
      <c r="J234">
        <v>24989.7</v>
      </c>
    </row>
    <row r="235" spans="7:10" x14ac:dyDescent="0.3">
      <c r="G235" s="34">
        <v>45894</v>
      </c>
      <c r="H235">
        <v>2631.6</v>
      </c>
      <c r="J235">
        <v>25039.200000000001</v>
      </c>
    </row>
    <row r="236" spans="7:10" x14ac:dyDescent="0.3">
      <c r="G236" s="34">
        <v>45891</v>
      </c>
      <c r="H236">
        <v>2629.9</v>
      </c>
      <c r="J236">
        <v>25386.3</v>
      </c>
    </row>
    <row r="237" spans="7:10" x14ac:dyDescent="0.3">
      <c r="G237" s="34">
        <v>45890</v>
      </c>
      <c r="H237">
        <v>2648</v>
      </c>
      <c r="J237">
        <v>25083.3</v>
      </c>
    </row>
    <row r="238" spans="7:10" x14ac:dyDescent="0.3">
      <c r="G238" s="34">
        <v>45889</v>
      </c>
      <c r="H238">
        <v>2669.8</v>
      </c>
      <c r="J238">
        <v>25174.6</v>
      </c>
    </row>
    <row r="239" spans="7:10" x14ac:dyDescent="0.3">
      <c r="G239" s="34">
        <v>45888</v>
      </c>
      <c r="H239">
        <v>2604.8000000000002</v>
      </c>
      <c r="J239">
        <v>25224.1</v>
      </c>
    </row>
    <row r="240" spans="7:10" x14ac:dyDescent="0.3">
      <c r="G240" s="34">
        <v>45887</v>
      </c>
      <c r="H240">
        <v>2568.1</v>
      </c>
      <c r="J240">
        <v>24822.5</v>
      </c>
    </row>
    <row r="241" spans="7:10" x14ac:dyDescent="0.3">
      <c r="G241" s="34">
        <v>45883</v>
      </c>
      <c r="H241">
        <v>2480.6</v>
      </c>
      <c r="J241">
        <v>24712.2</v>
      </c>
    </row>
    <row r="242" spans="7:10" x14ac:dyDescent="0.3">
      <c r="G242" s="34">
        <v>45882</v>
      </c>
      <c r="H242">
        <v>2495.1</v>
      </c>
      <c r="J242">
        <v>24805.3</v>
      </c>
    </row>
    <row r="243" spans="7:10" x14ac:dyDescent="0.3">
      <c r="G243" s="34">
        <v>45881</v>
      </c>
      <c r="H243">
        <v>2483.8000000000002</v>
      </c>
      <c r="J243">
        <v>24755.5</v>
      </c>
    </row>
    <row r="244" spans="7:10" x14ac:dyDescent="0.3">
      <c r="G244" s="34">
        <v>45880</v>
      </c>
      <c r="H244">
        <v>2518.4</v>
      </c>
      <c r="J244">
        <v>24576.799999999999</v>
      </c>
    </row>
    <row r="245" spans="7:10" x14ac:dyDescent="0.3">
      <c r="G245" s="34">
        <v>45877</v>
      </c>
      <c r="H245">
        <v>2498.6</v>
      </c>
      <c r="J245">
        <v>24673.4</v>
      </c>
    </row>
    <row r="246" spans="7:10" x14ac:dyDescent="0.3">
      <c r="G246" s="34">
        <v>45876</v>
      </c>
      <c r="H246">
        <v>2517.5</v>
      </c>
      <c r="J246">
        <v>24769.8</v>
      </c>
    </row>
    <row r="247" spans="7:10" x14ac:dyDescent="0.3">
      <c r="G247" s="34">
        <v>45875</v>
      </c>
      <c r="H247">
        <v>2535.6</v>
      </c>
      <c r="J247">
        <v>24959.7</v>
      </c>
    </row>
    <row r="248" spans="7:10" x14ac:dyDescent="0.3">
      <c r="G248" s="34">
        <v>45874</v>
      </c>
      <c r="H248">
        <v>2534.6999999999998</v>
      </c>
      <c r="J248">
        <v>25041.8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324</v>
      </c>
    </row>
    <row r="7" spans="1:17" x14ac:dyDescent="0.3">
      <c r="B7" s="148" t="s">
        <v>325</v>
      </c>
      <c r="C7" s="58"/>
    </row>
    <row r="8" spans="1:17" ht="7.2" customHeight="1" x14ac:dyDescent="0.3"/>
    <row r="9" spans="1:17" x14ac:dyDescent="0.3">
      <c r="B9" s="84"/>
      <c r="C9" s="84"/>
      <c r="D9" s="167" t="s">
        <v>336</v>
      </c>
      <c r="E9" s="167"/>
      <c r="F9" s="167"/>
      <c r="G9" s="167"/>
      <c r="H9" s="167"/>
      <c r="I9" s="167"/>
      <c r="J9" s="32"/>
      <c r="K9" s="167" t="s">
        <v>337</v>
      </c>
      <c r="L9" s="167"/>
      <c r="M9" s="167"/>
      <c r="N9" s="32"/>
      <c r="O9" s="167" t="s">
        <v>338</v>
      </c>
      <c r="P9" s="167"/>
      <c r="Q9" s="167"/>
    </row>
    <row r="10" spans="1:17" ht="30" customHeight="1" x14ac:dyDescent="0.3">
      <c r="B10" s="32" t="s">
        <v>326</v>
      </c>
      <c r="C10" s="32" t="s">
        <v>327</v>
      </c>
      <c r="D10" s="85" t="s">
        <v>322</v>
      </c>
      <c r="E10" s="85" t="s">
        <v>328</v>
      </c>
      <c r="F10" s="85" t="s">
        <v>319</v>
      </c>
      <c r="G10" s="85" t="s">
        <v>329</v>
      </c>
      <c r="H10" s="85" t="s">
        <v>330</v>
      </c>
      <c r="I10" s="32"/>
      <c r="J10" s="32"/>
      <c r="K10" s="32" t="s">
        <v>334</v>
      </c>
      <c r="L10" s="32" t="s">
        <v>94</v>
      </c>
      <c r="M10" s="32" t="s">
        <v>335</v>
      </c>
      <c r="N10" s="32"/>
      <c r="O10" s="85" t="s">
        <v>331</v>
      </c>
      <c r="P10" s="85" t="s">
        <v>332</v>
      </c>
      <c r="Q10" s="32" t="s">
        <v>333</v>
      </c>
    </row>
    <row r="11" spans="1:17" ht="4.8" customHeight="1" x14ac:dyDescent="0.3"/>
    <row r="12" spans="1:17" x14ac:dyDescent="0.3">
      <c r="B12" s="150" t="str">
        <f>'Raw FS'!L57</f>
        <v>TCS</v>
      </c>
      <c r="C12" s="150"/>
      <c r="D12" s="155">
        <f>'Raw FS'!M57</f>
        <v>2105</v>
      </c>
      <c r="E12" s="155">
        <f>'Raw FS'!N57</f>
        <v>361.81</v>
      </c>
      <c r="F12" s="155">
        <f>D12*E12</f>
        <v>761610.05</v>
      </c>
      <c r="G12" s="155">
        <f>'Raw FS'!AS56</f>
        <v>152321.49</v>
      </c>
      <c r="H12" s="155">
        <f>'Raw FS'!AT56</f>
        <v>913928.91</v>
      </c>
      <c r="I12" s="150"/>
      <c r="J12" s="150"/>
      <c r="K12" s="155">
        <f>'Raw FS'!AU56</f>
        <v>289100</v>
      </c>
      <c r="L12" s="155">
        <f>'Raw FS'!AV56</f>
        <v>14499.90337934317</v>
      </c>
      <c r="M12" s="155">
        <f>'Raw FS'!AW56</f>
        <v>53680</v>
      </c>
      <c r="N12" s="150"/>
      <c r="O12" s="151">
        <f>$H12/K12</f>
        <v>3.1612898996886893</v>
      </c>
      <c r="P12" s="151">
        <f>$H12/L12</f>
        <v>63.03</v>
      </c>
      <c r="Q12" s="151">
        <f>F12/M12</f>
        <v>14.187966654247393</v>
      </c>
    </row>
    <row r="13" spans="1:17" x14ac:dyDescent="0.3">
      <c r="B13" s="150" t="str">
        <f>'Raw FS'!L58</f>
        <v>Infosys</v>
      </c>
      <c r="C13" s="150"/>
      <c r="D13" s="155">
        <f>'Raw FS'!M58</f>
        <v>1051.4000000000001</v>
      </c>
      <c r="E13" s="155">
        <f>'Raw FS'!N58</f>
        <v>405.82</v>
      </c>
      <c r="F13" s="155">
        <f t="shared" ref="F13:F21" si="0">D13*E13</f>
        <v>426679.14800000004</v>
      </c>
      <c r="G13" s="155">
        <f>'Raw FS'!AS57</f>
        <v>-13025</v>
      </c>
      <c r="H13" s="155">
        <f>'Raw FS'!AT57</f>
        <v>413657.56</v>
      </c>
      <c r="I13" s="150"/>
      <c r="J13" s="150"/>
      <c r="K13" s="155">
        <f>'Raw FS'!AU57</f>
        <v>192844</v>
      </c>
      <c r="L13" s="155">
        <f>'Raw FS'!AV57</f>
        <v>10354.381977471839</v>
      </c>
      <c r="M13" s="155">
        <f>'Raw FS'!AW57</f>
        <v>31100</v>
      </c>
      <c r="N13" s="150"/>
      <c r="O13" s="151">
        <f t="shared" ref="O13:O20" si="1">$H13/K13</f>
        <v>2.1450372321669327</v>
      </c>
      <c r="P13" s="151">
        <f t="shared" ref="P13:P20" si="2">$H13/L13</f>
        <v>39.950000000000003</v>
      </c>
      <c r="Q13" s="151">
        <f t="shared" ref="Q13:Q21" si="3">F13/M13</f>
        <v>13.719586752411576</v>
      </c>
    </row>
    <row r="14" spans="1:17" x14ac:dyDescent="0.3">
      <c r="B14" s="150" t="str">
        <f>'Raw FS'!L59</f>
        <v>HCL Technologies</v>
      </c>
      <c r="C14" s="150"/>
      <c r="D14" s="155">
        <f>'Raw FS'!M59</f>
        <v>1249.3</v>
      </c>
      <c r="E14" s="155">
        <f>'Raw FS'!N59</f>
        <v>271.37</v>
      </c>
      <c r="F14" s="155">
        <f t="shared" si="0"/>
        <v>339022.54099999997</v>
      </c>
      <c r="G14" s="155">
        <f>'Raw FS'!AS58</f>
        <v>67803.62999999999</v>
      </c>
      <c r="H14" s="155">
        <f>'Raw FS'!AT58</f>
        <v>406821.81</v>
      </c>
      <c r="I14" s="150"/>
      <c r="J14" s="150"/>
      <c r="K14" s="155">
        <f>'Raw FS'!AU58</f>
        <v>138316</v>
      </c>
      <c r="L14" s="155">
        <f>'Raw FS'!AV58</f>
        <v>13382.296381578948</v>
      </c>
      <c r="M14" s="155">
        <f>'Raw FS'!AW58</f>
        <v>18504</v>
      </c>
      <c r="N14" s="150"/>
      <c r="O14" s="151">
        <f t="shared" si="1"/>
        <v>2.9412490962723039</v>
      </c>
      <c r="P14" s="151">
        <f t="shared" si="2"/>
        <v>30.4</v>
      </c>
      <c r="Q14" s="151">
        <f t="shared" si="3"/>
        <v>18.321581333765671</v>
      </c>
    </row>
    <row r="15" spans="1:17" x14ac:dyDescent="0.3">
      <c r="B15" s="150" t="str">
        <f>'Raw FS'!L60</f>
        <v>Wipro</v>
      </c>
      <c r="C15" s="150"/>
      <c r="D15" s="155">
        <f>'Raw FS'!M60</f>
        <v>166.83</v>
      </c>
      <c r="E15" s="155">
        <f>'Raw FS'!N60</f>
        <v>990.49</v>
      </c>
      <c r="F15" s="155">
        <f t="shared" si="0"/>
        <v>165243.4467</v>
      </c>
      <c r="G15" s="155">
        <f>'Raw FS'!AS59</f>
        <v>33048.81</v>
      </c>
      <c r="H15" s="155">
        <f>'Raw FS'!AT59</f>
        <v>198292.85</v>
      </c>
      <c r="I15" s="150"/>
      <c r="J15" s="150"/>
      <c r="K15" s="155">
        <f>'Raw FS'!AU59</f>
        <v>97914.4</v>
      </c>
      <c r="L15" s="155">
        <f>'Raw FS'!AV59</f>
        <v>11115.070067264574</v>
      </c>
      <c r="M15" s="155">
        <f>'Raw FS'!AW59</f>
        <v>13425.2</v>
      </c>
      <c r="N15" s="150"/>
      <c r="O15" s="151">
        <f t="shared" si="1"/>
        <v>2.0251653485084935</v>
      </c>
      <c r="P15" s="151">
        <f t="shared" si="2"/>
        <v>17.84</v>
      </c>
      <c r="Q15" s="151">
        <f t="shared" si="3"/>
        <v>12.308453259541757</v>
      </c>
    </row>
    <row r="16" spans="1:17" x14ac:dyDescent="0.3">
      <c r="B16" s="150" t="str">
        <f>'Raw FS'!L61</f>
        <v>Tech Mahindra</v>
      </c>
      <c r="C16" s="150"/>
      <c r="D16" s="155">
        <f>'Raw FS'!M61</f>
        <v>1537.1</v>
      </c>
      <c r="E16" s="155">
        <f>'Raw FS'!N61</f>
        <v>98.01</v>
      </c>
      <c r="F16" s="155">
        <f t="shared" si="0"/>
        <v>150651.171</v>
      </c>
      <c r="G16" s="155">
        <f>'Raw FS'!AS60</f>
        <v>30131.269999999997</v>
      </c>
      <c r="H16" s="155">
        <f>'Raw FS'!AT60</f>
        <v>180787.62999999998</v>
      </c>
      <c r="I16" s="150"/>
      <c r="J16" s="150"/>
      <c r="K16" s="155">
        <f>'Raw FS'!AU60</f>
        <v>62847.6</v>
      </c>
      <c r="L16" s="155">
        <f>'Raw FS'!AV60</f>
        <v>7819.534169550172</v>
      </c>
      <c r="M16" s="155">
        <f>'Raw FS'!AW60</f>
        <v>5945.2</v>
      </c>
      <c r="N16" s="150"/>
      <c r="O16" s="151">
        <f t="shared" si="1"/>
        <v>2.876603561631629</v>
      </c>
      <c r="P16" s="151">
        <f t="shared" si="2"/>
        <v>23.12</v>
      </c>
      <c r="Q16" s="151">
        <f t="shared" si="3"/>
        <v>25.33996686402476</v>
      </c>
    </row>
    <row r="17" spans="2:17" x14ac:dyDescent="0.3">
      <c r="B17" s="150" t="str">
        <f>'Raw FS'!L62</f>
        <v>LTM</v>
      </c>
      <c r="C17" s="150"/>
      <c r="D17" s="155">
        <f>'Raw FS'!M62</f>
        <v>4275.1000000000004</v>
      </c>
      <c r="E17" s="155">
        <f>'Raw FS'!N62</f>
        <v>29.66</v>
      </c>
      <c r="F17" s="155">
        <f t="shared" si="0"/>
        <v>126799.46600000001</v>
      </c>
      <c r="G17" s="155">
        <f>'Raw FS'!AS61</f>
        <v>25361.72</v>
      </c>
      <c r="H17" s="155">
        <f>'Raw FS'!AT61</f>
        <v>152170.29999999999</v>
      </c>
      <c r="I17" s="150"/>
      <c r="J17" s="150"/>
      <c r="K17" s="155">
        <f>'Raw FS'!AU61</f>
        <v>46432</v>
      </c>
      <c r="L17" s="155">
        <f>'Raw FS'!AV61</f>
        <v>5140.8885135135133</v>
      </c>
      <c r="M17" s="155">
        <f>'Raw FS'!AW61</f>
        <v>5874.4</v>
      </c>
      <c r="N17" s="150"/>
      <c r="O17" s="151">
        <f t="shared" si="1"/>
        <v>3.2772721399035145</v>
      </c>
      <c r="P17" s="151">
        <f t="shared" si="2"/>
        <v>29.599999999999998</v>
      </c>
      <c r="Q17" s="151">
        <f t="shared" si="3"/>
        <v>21.585092264741935</v>
      </c>
    </row>
    <row r="18" spans="2:17" x14ac:dyDescent="0.3">
      <c r="B18" s="150" t="str">
        <f>'Raw FS'!L63</f>
        <v>Oracle Fin.Serv.</v>
      </c>
      <c r="C18" s="150"/>
      <c r="D18" s="155">
        <f>'Raw FS'!M63</f>
        <v>11896</v>
      </c>
      <c r="E18" s="155">
        <f>'Raw FS'!N63</f>
        <v>8.7100000000000009</v>
      </c>
      <c r="F18" s="155">
        <f t="shared" si="0"/>
        <v>103614.16</v>
      </c>
      <c r="G18" s="155">
        <f>'Raw FS'!AS62</f>
        <v>20718.82</v>
      </c>
      <c r="H18" s="155">
        <f>'Raw FS'!AT62</f>
        <v>124312.91</v>
      </c>
      <c r="I18" s="150"/>
      <c r="J18" s="150"/>
      <c r="K18" s="155">
        <f>'Raw FS'!AU62</f>
        <v>12500.8</v>
      </c>
      <c r="L18" s="155">
        <f>'Raw FS'!AV62</f>
        <v>2745.4264575971733</v>
      </c>
      <c r="M18" s="155">
        <f>'Raw FS'!AW62</f>
        <v>5662</v>
      </c>
      <c r="N18" s="150"/>
      <c r="O18" s="151">
        <f t="shared" si="1"/>
        <v>9.9443963586330479</v>
      </c>
      <c r="P18" s="151">
        <f t="shared" si="2"/>
        <v>45.28</v>
      </c>
      <c r="Q18" s="151">
        <f t="shared" si="3"/>
        <v>18.299922288943836</v>
      </c>
    </row>
    <row r="19" spans="2:17" x14ac:dyDescent="0.3">
      <c r="B19" s="150" t="str">
        <f>'Raw FS'!L64</f>
        <v>Persistent Systems</v>
      </c>
      <c r="C19" s="150"/>
      <c r="D19" s="155">
        <f>'Raw FS'!M64</f>
        <v>5416</v>
      </c>
      <c r="E19" s="155">
        <f>'Raw FS'!N64</f>
        <v>15.77</v>
      </c>
      <c r="F19" s="155">
        <f t="shared" si="0"/>
        <v>85410.319999999992</v>
      </c>
      <c r="G19" s="155">
        <f>'Raw FS'!AS63</f>
        <v>17087.48</v>
      </c>
      <c r="H19" s="155">
        <f>'Raw FS'!AT63</f>
        <v>102524.87999999999</v>
      </c>
      <c r="I19" s="150"/>
      <c r="J19" s="150"/>
      <c r="K19" s="155">
        <f>'Raw FS'!AU63</f>
        <v>17212.919999999998</v>
      </c>
      <c r="L19" s="155">
        <f>'Raw FS'!AV63</f>
        <v>2983.844004656577</v>
      </c>
      <c r="M19" s="155">
        <f>'Raw FS'!AW63</f>
        <v>1932.16</v>
      </c>
      <c r="N19" s="150"/>
      <c r="O19" s="151">
        <f t="shared" si="1"/>
        <v>5.9562747052795224</v>
      </c>
      <c r="P19" s="151">
        <f t="shared" si="2"/>
        <v>34.36</v>
      </c>
      <c r="Q19" s="151">
        <f t="shared" si="3"/>
        <v>44.204579330904266</v>
      </c>
    </row>
    <row r="20" spans="2:17" x14ac:dyDescent="0.3">
      <c r="B20" s="150" t="str">
        <f>'Raw FS'!L65</f>
        <v>Coforge</v>
      </c>
      <c r="C20" s="150"/>
      <c r="D20" s="155">
        <f>'Raw FS'!M65</f>
        <v>1841</v>
      </c>
      <c r="E20" s="155">
        <f>'Raw FS'!N65</f>
        <v>44.3</v>
      </c>
      <c r="F20" s="155">
        <f t="shared" si="0"/>
        <v>81556.299999999988</v>
      </c>
      <c r="G20" s="155">
        <f>'Raw FS'!AS64</f>
        <v>16310.46</v>
      </c>
      <c r="H20" s="155">
        <f>'Raw FS'!AT64</f>
        <v>97862.73000000001</v>
      </c>
      <c r="I20" s="150"/>
      <c r="J20" s="150"/>
      <c r="K20" s="155">
        <f>'Raw FS'!AU64</f>
        <v>22110.799999999999</v>
      </c>
      <c r="L20" s="155">
        <f>'Raw FS'!AV64</f>
        <v>4164.3714893617025</v>
      </c>
      <c r="M20" s="155">
        <f>'Raw FS'!AW64</f>
        <v>2126.8000000000002</v>
      </c>
      <c r="N20" s="150"/>
      <c r="O20" s="151">
        <f t="shared" si="1"/>
        <v>4.4260148886517001</v>
      </c>
      <c r="P20" s="151">
        <f t="shared" si="2"/>
        <v>23.5</v>
      </c>
      <c r="Q20" s="151">
        <f t="shared" si="3"/>
        <v>38.346953169080301</v>
      </c>
    </row>
    <row r="21" spans="2:17" x14ac:dyDescent="0.3">
      <c r="B21" s="150" t="str">
        <f>'Raw FS'!L66</f>
        <v>Mphasis</v>
      </c>
      <c r="C21" s="150"/>
      <c r="D21" s="155">
        <f>'Raw FS'!M66</f>
        <v>2300.4</v>
      </c>
      <c r="E21" s="155">
        <f>'Raw FS'!N66</f>
        <v>19.09</v>
      </c>
      <c r="F21" s="155">
        <f t="shared" si="0"/>
        <v>43914.635999999999</v>
      </c>
      <c r="G21" s="155">
        <f>'Raw FS'!AS65</f>
        <v>8785.2000000000007</v>
      </c>
      <c r="H21" s="155">
        <f>'Raw FS'!AT65</f>
        <v>52711.19</v>
      </c>
      <c r="I21" s="150"/>
      <c r="J21" s="150"/>
      <c r="K21" s="155">
        <f>'Raw FS'!AU65</f>
        <v>17536.2</v>
      </c>
      <c r="L21" s="155">
        <f>'Raw FS'!AV65</f>
        <v>2386.2014486192847</v>
      </c>
      <c r="M21" s="155">
        <f>'Raw FS'!AW65</f>
        <v>1958.04</v>
      </c>
      <c r="N21" s="150"/>
      <c r="O21" s="151">
        <f>$H21/K21</f>
        <v>3.0058501841904177</v>
      </c>
      <c r="P21" s="151">
        <f>$H21/L21</f>
        <v>22.09</v>
      </c>
      <c r="Q21" s="151">
        <f t="shared" si="3"/>
        <v>22.427854384997243</v>
      </c>
    </row>
    <row r="22" spans="2:17" ht="6.6" customHeight="1" x14ac:dyDescent="0.3"/>
    <row r="23" spans="2:17" x14ac:dyDescent="0.3">
      <c r="B23" s="79" t="s">
        <v>341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6">
        <f>MAX((O12,O14:O21))</f>
        <v>9.9443963586330479</v>
      </c>
      <c r="P23" s="86">
        <f>MAX((P12,P14:P21))</f>
        <v>63.03</v>
      </c>
      <c r="Q23" s="86">
        <f>MAX((Q12,Q14:Q21))</f>
        <v>44.204579330904266</v>
      </c>
    </row>
    <row r="24" spans="2:17" x14ac:dyDescent="0.3">
      <c r="B24" s="79" t="s">
        <v>342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7">
        <f>QUARTILE((O12,O14:O21),1)</f>
        <v>2.9412490962723039</v>
      </c>
      <c r="P24" s="87">
        <f>QUARTILE((P12,P14:P21),1)</f>
        <v>23.12</v>
      </c>
      <c r="Q24" s="87">
        <f>QUARTILE((Q12,Q14:Q21),1)</f>
        <v>18.299922288943836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3">
        <f>MEDIAN((O12,O14:O21))</f>
        <v>3.1612898996886893</v>
      </c>
      <c r="P25" s="153">
        <f>MEDIAN((P12,P14:P21))</f>
        <v>29.599999999999998</v>
      </c>
      <c r="Q25" s="153">
        <f>MEDIAN((Q12,Q14:Q21))</f>
        <v>21.585092264741935</v>
      </c>
    </row>
    <row r="26" spans="2:17" x14ac:dyDescent="0.3">
      <c r="B26" s="152" t="s">
        <v>343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3">
        <f>AVERAGE((O12,O14:O21))</f>
        <v>4.1793462425288119</v>
      </c>
      <c r="P26" s="153">
        <f>AVERAGE((P12,P14:P21))</f>
        <v>32.135555555555555</v>
      </c>
      <c r="Q26" s="153">
        <f>AVERAGE((Q12,Q14:Q21))</f>
        <v>23.891374394471907</v>
      </c>
    </row>
    <row r="27" spans="2:17" x14ac:dyDescent="0.3">
      <c r="B27" s="79" t="s">
        <v>344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7">
        <f>QUARTILE((O12,O14:O21),3)</f>
        <v>4.4260148886517001</v>
      </c>
      <c r="P27" s="87">
        <f>QUARTILE((P12,P14:P21),3)</f>
        <v>34.36</v>
      </c>
      <c r="Q27" s="87">
        <f>QUARTILE((Q12,Q14:Q21),3)</f>
        <v>25.33996686402476</v>
      </c>
    </row>
    <row r="28" spans="2:17" x14ac:dyDescent="0.3">
      <c r="B28" s="79" t="s">
        <v>8606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6">
        <f>MIN((O12,O14:O21))</f>
        <v>2.0251653485084935</v>
      </c>
      <c r="P28" s="86">
        <f>MIN((P12,P14:P21))</f>
        <v>17.84</v>
      </c>
      <c r="Q28" s="86">
        <f>MIN((Q12,Q14:Q21))</f>
        <v>12.308453259541757</v>
      </c>
    </row>
    <row r="30" spans="2:17" x14ac:dyDescent="0.3">
      <c r="B30" s="32" t="s">
        <v>8626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85" t="s">
        <v>331</v>
      </c>
      <c r="P30" s="85" t="s">
        <v>332</v>
      </c>
      <c r="Q30" s="32" t="s">
        <v>333</v>
      </c>
    </row>
    <row r="32" spans="2:17" x14ac:dyDescent="0.3">
      <c r="B32" s="150" t="s">
        <v>345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5">
        <f>K13*O26</f>
        <v>805961.84679422621</v>
      </c>
      <c r="P32" s="155">
        <f>L13*P26</f>
        <v>332743.81728048949</v>
      </c>
      <c r="Q32" s="155">
        <f>M13*Q26</f>
        <v>743021.74366807635</v>
      </c>
    </row>
    <row r="33" spans="2:17" x14ac:dyDescent="0.3">
      <c r="B33" s="150" t="s">
        <v>347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5">
        <f>$G$13</f>
        <v>-13025</v>
      </c>
      <c r="P33" s="155">
        <f>$G$13</f>
        <v>-13025</v>
      </c>
      <c r="Q33" s="155">
        <f>$G$13</f>
        <v>-13025</v>
      </c>
    </row>
    <row r="34" spans="2:17" x14ac:dyDescent="0.3">
      <c r="B34" s="150" t="s">
        <v>346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5">
        <f>O32-O33</f>
        <v>818986.84679422621</v>
      </c>
      <c r="P34" s="155">
        <f>P32-P33</f>
        <v>345768.81728048949</v>
      </c>
      <c r="Q34" s="155">
        <f>Q32</f>
        <v>743021.74366807635</v>
      </c>
    </row>
    <row r="35" spans="2:17" x14ac:dyDescent="0.3">
      <c r="B35" s="150" t="s">
        <v>328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5">
        <f>$E$13</f>
        <v>405.82</v>
      </c>
      <c r="P35" s="155">
        <f>$E$13</f>
        <v>405.82</v>
      </c>
      <c r="Q35" s="155">
        <f>$E$13</f>
        <v>405.82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348</v>
      </c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7">
        <f>O34/O35</f>
        <v>2018.1037080336755</v>
      </c>
      <c r="P37" s="157">
        <f>P34/P35</f>
        <v>852.02507831178718</v>
      </c>
      <c r="Q37" s="157">
        <f>Q34/Q35</f>
        <v>1830.914552432301</v>
      </c>
    </row>
    <row r="38" spans="2:17" x14ac:dyDescent="0.3">
      <c r="B38" s="52" t="s">
        <v>349</v>
      </c>
    </row>
    <row r="39" spans="2:17" x14ac:dyDescent="0.3">
      <c r="O39" t="str">
        <f>IF(O37&gt;$D$13,"Overvalued","Undervalued")</f>
        <v>Overvalued</v>
      </c>
      <c r="P39" t="str">
        <f>IF(P37&gt;$D$13,"Overvalued","Undervalued")</f>
        <v>Undervalued</v>
      </c>
      <c r="Q39" t="str">
        <f>IF(Q37&gt;$D$13,"Overvalued","Undervalued")</f>
        <v>Overvalued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Infosys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",VLOOKUP('Dupont Analysis'!B2,'List of Stocks'!B2:E5442,2,FALSE))</f>
        <v>(INFY | BSE Code: 500209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1051</v>
      </c>
      <c r="C4" s="93"/>
      <c r="D4" s="93"/>
      <c r="E4" s="93"/>
      <c r="F4" s="93"/>
      <c r="H4" s="93"/>
      <c r="I4" s="93"/>
    </row>
    <row r="5" spans="1:9" x14ac:dyDescent="0.3">
      <c r="B5" s="58" t="s">
        <v>8627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8586</v>
      </c>
    </row>
    <row r="7" spans="1:9" ht="4.2" customHeight="1" x14ac:dyDescent="0.3">
      <c r="B7" s="37"/>
    </row>
    <row r="8" spans="1:9" x14ac:dyDescent="0.3">
      <c r="B8" s="168" t="s">
        <v>8628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8587</v>
      </c>
    </row>
    <row r="35" spans="1:9" ht="18" x14ac:dyDescent="0.35">
      <c r="B35" s="101" t="s">
        <v>8588</v>
      </c>
    </row>
    <row r="37" spans="1:9" x14ac:dyDescent="0.3">
      <c r="A37" t="s">
        <v>8589</v>
      </c>
      <c r="B37" s="169" t="s">
        <v>8629</v>
      </c>
      <c r="C37" s="169"/>
      <c r="D37" s="169"/>
      <c r="E37" s="169"/>
      <c r="F37" s="169"/>
      <c r="G37" s="169"/>
      <c r="H37" s="169"/>
      <c r="I37" s="169"/>
    </row>
    <row r="38" spans="1:9" x14ac:dyDescent="0.3">
      <c r="B38" s="169"/>
      <c r="C38" s="169"/>
      <c r="D38" s="169"/>
      <c r="E38" s="169"/>
      <c r="F38" s="169"/>
      <c r="G38" s="169"/>
      <c r="H38" s="169"/>
      <c r="I38" s="169"/>
    </row>
    <row r="39" spans="1:9" x14ac:dyDescent="0.3">
      <c r="A39" t="s">
        <v>8589</v>
      </c>
      <c r="B39" s="169" t="s">
        <v>8630</v>
      </c>
      <c r="C39" s="169"/>
      <c r="D39" s="169"/>
      <c r="E39" s="169"/>
      <c r="F39" s="169"/>
      <c r="G39" s="169"/>
      <c r="H39" s="169"/>
      <c r="I39" s="169"/>
    </row>
    <row r="40" spans="1:9" x14ac:dyDescent="0.3">
      <c r="B40" s="169"/>
      <c r="C40" s="169"/>
      <c r="D40" s="169"/>
      <c r="E40" s="169"/>
      <c r="F40" s="169"/>
      <c r="G40" s="169"/>
      <c r="H40" s="169"/>
      <c r="I40" s="169"/>
    </row>
    <row r="41" spans="1:9" x14ac:dyDescent="0.3">
      <c r="A41" t="s">
        <v>8589</v>
      </c>
      <c r="B41" s="169" t="s">
        <v>8631</v>
      </c>
      <c r="C41" s="169"/>
      <c r="D41" s="169"/>
      <c r="E41" s="169"/>
      <c r="F41" s="169"/>
      <c r="G41" s="169"/>
      <c r="H41" s="169"/>
      <c r="I41" s="169"/>
    </row>
    <row r="42" spans="1:9" x14ac:dyDescent="0.3">
      <c r="B42" s="169"/>
      <c r="C42" s="169"/>
      <c r="D42" s="169"/>
      <c r="E42" s="169"/>
      <c r="F42" s="169"/>
      <c r="G42" s="169"/>
      <c r="H42" s="169"/>
      <c r="I42" s="169"/>
    </row>
    <row r="43" spans="1:9" x14ac:dyDescent="0.3">
      <c r="A43" t="s">
        <v>8589</v>
      </c>
      <c r="B43" s="169" t="s">
        <v>8632</v>
      </c>
      <c r="C43" s="169"/>
      <c r="D43" s="169"/>
      <c r="E43" s="169"/>
      <c r="F43" s="169"/>
      <c r="G43" s="169"/>
      <c r="H43" s="169"/>
      <c r="I43" s="169"/>
    </row>
    <row r="44" spans="1:9" x14ac:dyDescent="0.3">
      <c r="B44" s="169"/>
      <c r="C44" s="169"/>
      <c r="D44" s="169"/>
      <c r="E44" s="169"/>
      <c r="F44" s="169"/>
      <c r="G44" s="169"/>
      <c r="H44" s="169"/>
      <c r="I44" s="169"/>
    </row>
    <row r="45" spans="1:9" x14ac:dyDescent="0.3">
      <c r="A45" t="s">
        <v>8589</v>
      </c>
      <c r="B45" s="169" t="s">
        <v>8633</v>
      </c>
      <c r="C45" s="169"/>
      <c r="D45" s="169"/>
      <c r="E45" s="169"/>
      <c r="F45" s="169"/>
      <c r="G45" s="169"/>
      <c r="H45" s="169"/>
      <c r="I45" s="169"/>
    </row>
    <row r="46" spans="1:9" x14ac:dyDescent="0.3">
      <c r="B46" s="169"/>
      <c r="C46" s="169"/>
      <c r="D46" s="169"/>
      <c r="E46" s="169"/>
      <c r="F46" s="169"/>
      <c r="G46" s="169"/>
      <c r="H46" s="169"/>
      <c r="I46" s="169"/>
    </row>
    <row r="47" spans="1:9" x14ac:dyDescent="0.3">
      <c r="A47" t="s">
        <v>8589</v>
      </c>
      <c r="B47" s="169" t="s">
        <v>8607</v>
      </c>
      <c r="C47" s="169"/>
      <c r="D47" s="169"/>
      <c r="E47" s="169"/>
      <c r="F47" s="169"/>
      <c r="G47" s="169"/>
      <c r="H47" s="169"/>
      <c r="I47" s="169"/>
    </row>
    <row r="48" spans="1:9" x14ac:dyDescent="0.3">
      <c r="B48" s="169"/>
      <c r="C48" s="169"/>
      <c r="D48" s="169"/>
      <c r="E48" s="169"/>
      <c r="F48" s="169"/>
      <c r="G48" s="169"/>
      <c r="H48" s="169"/>
      <c r="I48" s="169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360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61" t="s">
        <v>59</v>
      </c>
      <c r="C58" s="161"/>
      <c r="D58" s="161"/>
      <c r="E58" s="161"/>
      <c r="F58" s="161"/>
      <c r="G58" s="161"/>
      <c r="H58" s="161"/>
      <c r="I58" s="161"/>
    </row>
    <row r="59" spans="2:9" x14ac:dyDescent="0.3">
      <c r="E59" s="38">
        <f>'Data Sheet'!G$56</f>
        <v>44621</v>
      </c>
      <c r="F59" s="38">
        <f>'Data Sheet'!H$56</f>
        <v>44986</v>
      </c>
      <c r="G59" s="38">
        <f>'Data Sheet'!I$56</f>
        <v>45352</v>
      </c>
      <c r="H59" s="38">
        <f>'Data Sheet'!J$56</f>
        <v>45717</v>
      </c>
      <c r="I59" s="38">
        <f>'Data Sheet'!K$56</f>
        <v>46082</v>
      </c>
    </row>
    <row r="60" spans="2:9" x14ac:dyDescent="0.3">
      <c r="B60" t="s">
        <v>123</v>
      </c>
      <c r="E60" s="106">
        <f>E66</f>
        <v>24108</v>
      </c>
      <c r="F60" s="106">
        <f t="shared" ref="F60:I60" si="0">F66</f>
        <v>26248</v>
      </c>
      <c r="G60" s="106">
        <f t="shared" si="0"/>
        <v>26750</v>
      </c>
      <c r="H60" s="106">
        <f t="shared" si="0"/>
        <v>29474</v>
      </c>
      <c r="I60" s="106">
        <f t="shared" si="0"/>
        <v>30325</v>
      </c>
    </row>
    <row r="61" spans="2:9" x14ac:dyDescent="0.3">
      <c r="B61" t="s">
        <v>350</v>
      </c>
      <c r="E61" s="106">
        <f>E75</f>
        <v>75850.5</v>
      </c>
      <c r="F61" s="106">
        <f t="shared" ref="F61:I61" si="1">F75</f>
        <v>75378.5</v>
      </c>
      <c r="G61" s="106">
        <f t="shared" si="1"/>
        <v>81761.5</v>
      </c>
      <c r="H61" s="106">
        <f t="shared" si="1"/>
        <v>91967</v>
      </c>
      <c r="I61" s="106">
        <f t="shared" si="1"/>
        <v>94335</v>
      </c>
    </row>
    <row r="62" spans="2:9" x14ac:dyDescent="0.3">
      <c r="B62" s="89" t="s">
        <v>59</v>
      </c>
      <c r="C62" s="89"/>
      <c r="D62" s="89"/>
      <c r="E62" s="90">
        <f>E60/E61</f>
        <v>0.31783574267803111</v>
      </c>
      <c r="F62" s="90">
        <f t="shared" ref="F62:I62" si="2">F60/F61</f>
        <v>0.34821600323699731</v>
      </c>
      <c r="G62" s="90">
        <f t="shared" si="2"/>
        <v>0.32717110131296517</v>
      </c>
      <c r="H62" s="90">
        <f t="shared" si="2"/>
        <v>0.32048452162188612</v>
      </c>
      <c r="I62" s="90">
        <f t="shared" si="2"/>
        <v>0.32146075157682724</v>
      </c>
    </row>
    <row r="64" spans="2:9" x14ac:dyDescent="0.3">
      <c r="B64" s="161" t="s">
        <v>351</v>
      </c>
      <c r="C64" s="161"/>
      <c r="D64" s="161"/>
      <c r="E64" s="161"/>
      <c r="F64" s="161"/>
      <c r="G64" s="161"/>
      <c r="H64" s="161"/>
      <c r="I64" s="161"/>
    </row>
    <row r="65" spans="2:9" x14ac:dyDescent="0.3">
      <c r="E65" s="38">
        <f>'Data Sheet'!G$56</f>
        <v>44621</v>
      </c>
      <c r="F65" s="38">
        <f>'Data Sheet'!H$56</f>
        <v>44986</v>
      </c>
      <c r="G65" s="38">
        <f>'Data Sheet'!I$56</f>
        <v>45352</v>
      </c>
      <c r="H65" s="38">
        <f>'Data Sheet'!J$56</f>
        <v>45717</v>
      </c>
      <c r="I65" s="38">
        <f>'Data Sheet'!K$56</f>
        <v>46082</v>
      </c>
    </row>
    <row r="66" spans="2:9" x14ac:dyDescent="0.3">
      <c r="B66" t="s">
        <v>123</v>
      </c>
      <c r="E66" s="106">
        <f>'Data Sheet'!G30</f>
        <v>24108</v>
      </c>
      <c r="F66" s="106">
        <f>'Data Sheet'!H30</f>
        <v>26248</v>
      </c>
      <c r="G66" s="106">
        <f>'Data Sheet'!I30</f>
        <v>26750</v>
      </c>
      <c r="H66" s="106">
        <f>'Data Sheet'!J30</f>
        <v>29474</v>
      </c>
      <c r="I66" s="106">
        <f>'Data Sheet'!K30</f>
        <v>30325</v>
      </c>
    </row>
    <row r="67" spans="2:9" x14ac:dyDescent="0.3">
      <c r="B67" t="s">
        <v>334</v>
      </c>
      <c r="E67" s="106">
        <f>'Data Sheet'!G17</f>
        <v>146767</v>
      </c>
      <c r="F67" s="106">
        <f>'Data Sheet'!H17</f>
        <v>153670</v>
      </c>
      <c r="G67" s="106">
        <f>'Data Sheet'!I17</f>
        <v>162990</v>
      </c>
      <c r="H67" s="106">
        <f>'Data Sheet'!J17</f>
        <v>178650</v>
      </c>
      <c r="I67" s="106">
        <f>'Data Sheet'!K17</f>
        <v>184582</v>
      </c>
    </row>
    <row r="68" spans="2:9" x14ac:dyDescent="0.3">
      <c r="B68" s="89" t="s">
        <v>352</v>
      </c>
      <c r="C68" s="89"/>
      <c r="D68" s="89"/>
      <c r="E68" s="90">
        <f>E66/E67</f>
        <v>0.16426035825492105</v>
      </c>
      <c r="F68" s="90">
        <f t="shared" ref="F68:I68" si="3">F66/F67</f>
        <v>0.17080757467300059</v>
      </c>
      <c r="G68" s="90">
        <f t="shared" si="3"/>
        <v>0.16412049819007302</v>
      </c>
      <c r="H68" s="90">
        <f t="shared" si="3"/>
        <v>0.16498180800447804</v>
      </c>
      <c r="I68" s="90">
        <f t="shared" si="3"/>
        <v>0.16429012579774843</v>
      </c>
    </row>
    <row r="70" spans="2:9" x14ac:dyDescent="0.3">
      <c r="B70" t="s">
        <v>334</v>
      </c>
      <c r="E70" s="106">
        <f>E67</f>
        <v>146767</v>
      </c>
      <c r="F70" s="106">
        <f t="shared" ref="F70:I70" si="4">F67</f>
        <v>153670</v>
      </c>
      <c r="G70" s="106">
        <f t="shared" si="4"/>
        <v>162990</v>
      </c>
      <c r="H70" s="106">
        <f t="shared" si="4"/>
        <v>178650</v>
      </c>
      <c r="I70" s="106">
        <f t="shared" si="4"/>
        <v>184582</v>
      </c>
    </row>
    <row r="71" spans="2:9" x14ac:dyDescent="0.3">
      <c r="B71" t="s">
        <v>353</v>
      </c>
      <c r="E71" s="106">
        <f>SUM('Data Sheet'!F66:G66)/2</f>
        <v>112120</v>
      </c>
      <c r="F71" s="106">
        <f>SUM('Data Sheet'!G66:H66)/2</f>
        <v>120662.5</v>
      </c>
      <c r="G71" s="106">
        <f>SUM('Data Sheet'!H66:I66)/2</f>
        <v>130308</v>
      </c>
      <c r="H71" s="106">
        <f>SUM('Data Sheet'!I66:J66)/2</f>
        <v>141907.5</v>
      </c>
      <c r="I71" s="106">
        <f>SUM('Data Sheet'!J66:K66)/2</f>
        <v>151041.5</v>
      </c>
    </row>
    <row r="72" spans="2:9" x14ac:dyDescent="0.3">
      <c r="B72" s="89" t="s">
        <v>354</v>
      </c>
      <c r="C72" s="89"/>
      <c r="D72" s="89"/>
      <c r="E72" s="154">
        <f>E70/E71</f>
        <v>1.3090171245094542</v>
      </c>
      <c r="F72" s="154">
        <f t="shared" ref="F72:I72" si="5">F70/F71</f>
        <v>1.2735522635450118</v>
      </c>
      <c r="G72" s="154">
        <f t="shared" si="5"/>
        <v>1.2508057832212911</v>
      </c>
      <c r="H72" s="154">
        <f t="shared" si="5"/>
        <v>1.2589186618043444</v>
      </c>
      <c r="I72" s="154">
        <f t="shared" si="5"/>
        <v>1.2220614864126746</v>
      </c>
    </row>
    <row r="74" spans="2:9" x14ac:dyDescent="0.3">
      <c r="B74" t="s">
        <v>353</v>
      </c>
      <c r="E74" s="106">
        <f>E71</f>
        <v>112120</v>
      </c>
      <c r="F74" s="106">
        <f t="shared" ref="F74:I74" si="6">F71</f>
        <v>120662.5</v>
      </c>
      <c r="G74" s="106">
        <f t="shared" si="6"/>
        <v>130308</v>
      </c>
      <c r="H74" s="106">
        <f t="shared" si="6"/>
        <v>141907.5</v>
      </c>
      <c r="I74" s="106">
        <f t="shared" si="6"/>
        <v>151041.5</v>
      </c>
    </row>
    <row r="75" spans="2:9" x14ac:dyDescent="0.3">
      <c r="B75" t="s">
        <v>350</v>
      </c>
      <c r="E75" s="106">
        <f>(SUM('Data Sheet'!F57:F58)+SUM('Data Sheet'!G57:G58))/2</f>
        <v>75850.5</v>
      </c>
      <c r="F75" s="106">
        <f>(SUM('Data Sheet'!G57:G58)+SUM('Data Sheet'!H57:H58))/2</f>
        <v>75378.5</v>
      </c>
      <c r="G75" s="106">
        <f>(SUM('Data Sheet'!H57:H58)+SUM('Data Sheet'!I57:I58))/2</f>
        <v>81761.5</v>
      </c>
      <c r="H75" s="106">
        <f>(SUM('Data Sheet'!I57:I58)+SUM('Data Sheet'!J57:J58))/2</f>
        <v>91967</v>
      </c>
      <c r="I75" s="106">
        <f>(SUM('Data Sheet'!J57:J58)+SUM('Data Sheet'!K57:K58))/2</f>
        <v>94335</v>
      </c>
    </row>
    <row r="76" spans="2:9" x14ac:dyDescent="0.3">
      <c r="B76" s="89" t="s">
        <v>355</v>
      </c>
      <c r="C76" s="89"/>
      <c r="D76" s="89"/>
      <c r="E76" s="100">
        <f>E74/E75</f>
        <v>1.4781708756039842</v>
      </c>
      <c r="F76" s="100">
        <f t="shared" ref="F76:I76" si="7">F74/F75</f>
        <v>1.6007548571542283</v>
      </c>
      <c r="G76" s="100">
        <f t="shared" si="7"/>
        <v>1.5937574530799949</v>
      </c>
      <c r="H76" s="100">
        <f t="shared" si="7"/>
        <v>1.5430263029130014</v>
      </c>
      <c r="I76" s="100">
        <f t="shared" si="7"/>
        <v>1.6011183547993852</v>
      </c>
    </row>
    <row r="78" spans="2:9" x14ac:dyDescent="0.3">
      <c r="B78" s="89" t="s">
        <v>356</v>
      </c>
      <c r="C78" s="89"/>
      <c r="D78" s="89"/>
      <c r="E78" s="90">
        <f>E68*E72*E76</f>
        <v>0.31783574267803111</v>
      </c>
      <c r="F78" s="90">
        <f t="shared" ref="F78:I78" si="8">F68*F72*F76</f>
        <v>0.34821600323699725</v>
      </c>
      <c r="G78" s="90">
        <f t="shared" si="8"/>
        <v>0.32717110131296517</v>
      </c>
      <c r="H78" s="90">
        <f t="shared" si="8"/>
        <v>0.32048452162188612</v>
      </c>
      <c r="I78" s="90">
        <f t="shared" si="8"/>
        <v>0.3214607515768273</v>
      </c>
    </row>
    <row r="80" spans="2:9" x14ac:dyDescent="0.3">
      <c r="B80" s="161" t="s">
        <v>357</v>
      </c>
      <c r="C80" s="161"/>
      <c r="D80" s="161"/>
      <c r="E80" s="161"/>
      <c r="F80" s="161"/>
      <c r="G80" s="161"/>
      <c r="H80" s="161"/>
      <c r="I80" s="161"/>
    </row>
    <row r="81" spans="2:9" x14ac:dyDescent="0.3">
      <c r="E81" s="38">
        <f>'Data Sheet'!G$56</f>
        <v>44621</v>
      </c>
      <c r="F81" s="38">
        <f>'Data Sheet'!H$56</f>
        <v>44986</v>
      </c>
      <c r="G81" s="38">
        <f>'Data Sheet'!I$56</f>
        <v>45352</v>
      </c>
      <c r="H81" s="38">
        <f>'Data Sheet'!J$56</f>
        <v>45717</v>
      </c>
      <c r="I81" s="38">
        <f>'Data Sheet'!K$56</f>
        <v>46082</v>
      </c>
    </row>
    <row r="82" spans="2:9" x14ac:dyDescent="0.3">
      <c r="B82" t="s">
        <v>123</v>
      </c>
      <c r="E82" s="106">
        <f>E66</f>
        <v>24108</v>
      </c>
      <c r="F82" s="106">
        <f t="shared" ref="F82:I82" si="9">F66</f>
        <v>26248</v>
      </c>
      <c r="G82" s="106">
        <f t="shared" si="9"/>
        <v>26750</v>
      </c>
      <c r="H82" s="106">
        <f t="shared" si="9"/>
        <v>29474</v>
      </c>
      <c r="I82" s="106">
        <f t="shared" si="9"/>
        <v>30325</v>
      </c>
    </row>
    <row r="83" spans="2:9" x14ac:dyDescent="0.3">
      <c r="B83" t="s">
        <v>353</v>
      </c>
      <c r="E83" s="106">
        <f>E74</f>
        <v>112120</v>
      </c>
      <c r="F83" s="106">
        <f t="shared" ref="F83:I83" si="10">F74</f>
        <v>120662.5</v>
      </c>
      <c r="G83" s="106">
        <f t="shared" si="10"/>
        <v>130308</v>
      </c>
      <c r="H83" s="106">
        <f t="shared" si="10"/>
        <v>141907.5</v>
      </c>
      <c r="I83" s="106">
        <f t="shared" si="10"/>
        <v>151041.5</v>
      </c>
    </row>
    <row r="84" spans="2:9" x14ac:dyDescent="0.3">
      <c r="B84" s="89" t="s">
        <v>357</v>
      </c>
      <c r="C84" s="89"/>
      <c r="D84" s="89"/>
      <c r="E84" s="90">
        <f>E82/E83</f>
        <v>0.21501962183374956</v>
      </c>
      <c r="F84" s="90">
        <f t="shared" ref="F84:I84" si="11">F82/F83</f>
        <v>0.21753237335543354</v>
      </c>
      <c r="G84" s="90">
        <f t="shared" si="11"/>
        <v>0.20528286828130277</v>
      </c>
      <c r="H84" s="90">
        <f t="shared" si="11"/>
        <v>0.20769867695505875</v>
      </c>
      <c r="I84" s="90">
        <f t="shared" si="11"/>
        <v>0.20077263533532175</v>
      </c>
    </row>
    <row r="86" spans="2:9" x14ac:dyDescent="0.3">
      <c r="B86" s="161" t="s">
        <v>358</v>
      </c>
      <c r="C86" s="161"/>
      <c r="D86" s="161"/>
      <c r="E86" s="161"/>
      <c r="F86" s="161"/>
      <c r="G86" s="161"/>
      <c r="H86" s="161"/>
      <c r="I86" s="161"/>
    </row>
    <row r="87" spans="2:9" x14ac:dyDescent="0.3">
      <c r="E87" s="38">
        <f>'Data Sheet'!G$56</f>
        <v>44621</v>
      </c>
      <c r="F87" s="38">
        <f>'Data Sheet'!H$56</f>
        <v>44986</v>
      </c>
      <c r="G87" s="38">
        <f>'Data Sheet'!I$56</f>
        <v>45352</v>
      </c>
      <c r="H87" s="38">
        <f>'Data Sheet'!J$56</f>
        <v>45717</v>
      </c>
      <c r="I87" s="38">
        <f>'Data Sheet'!K$56</f>
        <v>46082</v>
      </c>
    </row>
    <row r="88" spans="2:9" x14ac:dyDescent="0.3">
      <c r="B88" t="s">
        <v>123</v>
      </c>
      <c r="E88" s="106">
        <f>E66</f>
        <v>24108</v>
      </c>
      <c r="F88" s="106">
        <f t="shared" ref="F88:I88" si="12">F66</f>
        <v>26248</v>
      </c>
      <c r="G88" s="106">
        <f t="shared" si="12"/>
        <v>26750</v>
      </c>
      <c r="H88" s="106">
        <f t="shared" si="12"/>
        <v>29474</v>
      </c>
      <c r="I88" s="106">
        <f t="shared" si="12"/>
        <v>30325</v>
      </c>
    </row>
    <row r="89" spans="2:9" x14ac:dyDescent="0.3">
      <c r="B89" t="s">
        <v>334</v>
      </c>
      <c r="E89" s="106">
        <f>E67</f>
        <v>146767</v>
      </c>
      <c r="F89" s="106">
        <f t="shared" ref="F89:I89" si="13">F67</f>
        <v>153670</v>
      </c>
      <c r="G89" s="106">
        <f t="shared" si="13"/>
        <v>162990</v>
      </c>
      <c r="H89" s="106">
        <f t="shared" si="13"/>
        <v>178650</v>
      </c>
      <c r="I89" s="106">
        <f t="shared" si="13"/>
        <v>184582</v>
      </c>
    </row>
    <row r="90" spans="2:9" x14ac:dyDescent="0.3">
      <c r="B90" s="89" t="s">
        <v>352</v>
      </c>
      <c r="C90" s="89"/>
      <c r="D90" s="89"/>
      <c r="E90" s="91">
        <f>E68</f>
        <v>0.16426035825492105</v>
      </c>
      <c r="F90" s="91">
        <f t="shared" ref="F90:I90" si="14">F68</f>
        <v>0.17080757467300059</v>
      </c>
      <c r="G90" s="91">
        <f t="shared" si="14"/>
        <v>0.16412049819007302</v>
      </c>
      <c r="H90" s="91">
        <f t="shared" si="14"/>
        <v>0.16498180800447804</v>
      </c>
      <c r="I90" s="91">
        <f t="shared" si="14"/>
        <v>0.16429012579774843</v>
      </c>
    </row>
    <row r="92" spans="2:9" x14ac:dyDescent="0.3">
      <c r="B92" t="s">
        <v>334</v>
      </c>
      <c r="E92" s="106">
        <f>E67</f>
        <v>146767</v>
      </c>
      <c r="F92" s="106">
        <f t="shared" ref="F92:I92" si="15">F67</f>
        <v>153670</v>
      </c>
      <c r="G92" s="106">
        <f t="shared" si="15"/>
        <v>162990</v>
      </c>
      <c r="H92" s="106">
        <f t="shared" si="15"/>
        <v>178650</v>
      </c>
      <c r="I92" s="106">
        <f t="shared" si="15"/>
        <v>184582</v>
      </c>
    </row>
    <row r="93" spans="2:9" x14ac:dyDescent="0.3">
      <c r="B93" t="s">
        <v>353</v>
      </c>
      <c r="E93" s="106">
        <f>E71</f>
        <v>112120</v>
      </c>
      <c r="F93" s="106">
        <f t="shared" ref="F93:I93" si="16">F71</f>
        <v>120662.5</v>
      </c>
      <c r="G93" s="106">
        <f t="shared" si="16"/>
        <v>130308</v>
      </c>
      <c r="H93" s="106">
        <f t="shared" si="16"/>
        <v>141907.5</v>
      </c>
      <c r="I93" s="106">
        <f t="shared" si="16"/>
        <v>151041.5</v>
      </c>
    </row>
    <row r="94" spans="2:9" x14ac:dyDescent="0.3">
      <c r="B94" s="89" t="s">
        <v>354</v>
      </c>
      <c r="C94" s="89"/>
      <c r="D94" s="89"/>
      <c r="E94" s="90">
        <f>E72</f>
        <v>1.3090171245094542</v>
      </c>
      <c r="F94" s="90">
        <f t="shared" ref="F94:I94" si="17">F72</f>
        <v>1.2735522635450118</v>
      </c>
      <c r="G94" s="90">
        <f t="shared" si="17"/>
        <v>1.2508057832212911</v>
      </c>
      <c r="H94" s="90">
        <f t="shared" si="17"/>
        <v>1.2589186618043444</v>
      </c>
      <c r="I94" s="90">
        <f t="shared" si="17"/>
        <v>1.2220614864126746</v>
      </c>
    </row>
    <row r="96" spans="2:9" x14ac:dyDescent="0.3">
      <c r="B96" s="89" t="s">
        <v>359</v>
      </c>
      <c r="C96" s="89"/>
      <c r="D96" s="89"/>
      <c r="E96" s="90">
        <f>E90*E94</f>
        <v>0.21501962183374954</v>
      </c>
      <c r="F96" s="90">
        <f t="shared" ref="F96:I96" si="18">F90*F94</f>
        <v>0.21753237335543354</v>
      </c>
      <c r="G96" s="90">
        <f t="shared" si="18"/>
        <v>0.20528286828130277</v>
      </c>
      <c r="H96" s="90">
        <f t="shared" si="18"/>
        <v>0.20769867695505878</v>
      </c>
      <c r="I96" s="90">
        <f t="shared" si="18"/>
        <v>0.20077263533532175</v>
      </c>
    </row>
  </sheetData>
  <mergeCells count="11">
    <mergeCell ref="B86:I86"/>
    <mergeCell ref="B37:I38"/>
    <mergeCell ref="B39:I40"/>
    <mergeCell ref="B58:I58"/>
    <mergeCell ref="B64:I64"/>
    <mergeCell ref="B80:I80"/>
    <mergeCell ref="B8:I11"/>
    <mergeCell ref="B41:I42"/>
    <mergeCell ref="B43:I44"/>
    <mergeCell ref="B45:I46"/>
    <mergeCell ref="B47:I48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Infosys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",VLOOKUP('Altman''s Z Score'!B2,'List of Stocks'!B2:E5442,2,FALSE))</f>
        <v>(INFY | BSE Code: 500209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1051</v>
      </c>
      <c r="C4" s="93"/>
      <c r="D4" s="93"/>
      <c r="E4" s="93"/>
      <c r="F4" s="93"/>
      <c r="H4" s="93"/>
      <c r="I4" s="93"/>
    </row>
    <row r="5" spans="1:9" x14ac:dyDescent="0.3">
      <c r="B5" s="58" t="s">
        <v>8627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8586</v>
      </c>
    </row>
    <row r="7" spans="1:9" ht="6.6" customHeight="1" x14ac:dyDescent="0.3"/>
    <row r="8" spans="1:9" x14ac:dyDescent="0.3">
      <c r="B8" s="168" t="s">
        <v>8628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ht="5.4" customHeight="1" x14ac:dyDescent="0.3"/>
    <row r="14" spans="1:9" ht="21" x14ac:dyDescent="0.4">
      <c r="B14" s="99" t="s">
        <v>8587</v>
      </c>
    </row>
    <row r="34" spans="1:9" ht="18" x14ac:dyDescent="0.35">
      <c r="B34" s="101" t="s">
        <v>8588</v>
      </c>
    </row>
    <row r="36" spans="1:9" x14ac:dyDescent="0.3">
      <c r="A36" t="s">
        <v>8589</v>
      </c>
      <c r="B36" s="169" t="s">
        <v>8629</v>
      </c>
      <c r="C36" s="169"/>
      <c r="D36" s="169"/>
      <c r="E36" s="169"/>
      <c r="F36" s="169"/>
      <c r="G36" s="169"/>
      <c r="H36" s="169"/>
      <c r="I36" s="169"/>
    </row>
    <row r="37" spans="1:9" x14ac:dyDescent="0.3">
      <c r="B37" s="169"/>
      <c r="C37" s="169"/>
      <c r="D37" s="169"/>
      <c r="E37" s="169"/>
      <c r="F37" s="169"/>
      <c r="G37" s="169"/>
      <c r="H37" s="169"/>
      <c r="I37" s="169"/>
    </row>
    <row r="38" spans="1:9" ht="14.4" customHeight="1" x14ac:dyDescent="0.3">
      <c r="A38" t="s">
        <v>8589</v>
      </c>
      <c r="B38" s="169" t="s">
        <v>8630</v>
      </c>
      <c r="C38" s="169"/>
      <c r="D38" s="169"/>
      <c r="E38" s="169"/>
      <c r="F38" s="169"/>
      <c r="G38" s="169"/>
      <c r="H38" s="169"/>
      <c r="I38" s="169"/>
    </row>
    <row r="39" spans="1:9" x14ac:dyDescent="0.3">
      <c r="B39" s="169"/>
      <c r="C39" s="169"/>
      <c r="D39" s="169"/>
      <c r="E39" s="169"/>
      <c r="F39" s="169"/>
      <c r="G39" s="169"/>
      <c r="H39" s="169"/>
      <c r="I39" s="169"/>
    </row>
    <row r="40" spans="1:9" ht="20.399999999999999" customHeight="1" x14ac:dyDescent="0.3">
      <c r="A40" t="s">
        <v>8589</v>
      </c>
      <c r="B40" s="169" t="s">
        <v>8631</v>
      </c>
      <c r="C40" s="169"/>
      <c r="D40" s="169"/>
      <c r="E40" s="169"/>
      <c r="F40" s="169"/>
      <c r="G40" s="169"/>
      <c r="H40" s="169"/>
      <c r="I40" s="169"/>
    </row>
    <row r="41" spans="1:9" x14ac:dyDescent="0.3">
      <c r="B41" s="169"/>
      <c r="C41" s="169"/>
      <c r="D41" s="169"/>
      <c r="E41" s="169"/>
      <c r="F41" s="169"/>
      <c r="G41" s="169"/>
      <c r="H41" s="169"/>
      <c r="I41" s="169"/>
    </row>
    <row r="42" spans="1:9" x14ac:dyDescent="0.3">
      <c r="A42" t="s">
        <v>8589</v>
      </c>
      <c r="B42" s="169" t="s">
        <v>8632</v>
      </c>
      <c r="C42" s="169"/>
      <c r="D42" s="169"/>
      <c r="E42" s="169"/>
      <c r="F42" s="169"/>
      <c r="G42" s="169"/>
      <c r="H42" s="169"/>
      <c r="I42" s="169"/>
    </row>
    <row r="43" spans="1:9" x14ac:dyDescent="0.3">
      <c r="B43" s="169"/>
      <c r="C43" s="169"/>
      <c r="D43" s="169"/>
      <c r="E43" s="169"/>
      <c r="F43" s="169"/>
      <c r="G43" s="169"/>
      <c r="H43" s="169"/>
      <c r="I43" s="169"/>
    </row>
    <row r="44" spans="1:9" x14ac:dyDescent="0.3">
      <c r="A44" t="s">
        <v>8589</v>
      </c>
      <c r="B44" s="169" t="s">
        <v>8633</v>
      </c>
      <c r="C44" s="169"/>
      <c r="D44" s="169"/>
      <c r="E44" s="169"/>
      <c r="F44" s="169"/>
      <c r="G44" s="169"/>
      <c r="H44" s="169"/>
      <c r="I44" s="169"/>
    </row>
    <row r="45" spans="1:9" x14ac:dyDescent="0.3">
      <c r="B45" s="169"/>
      <c r="C45" s="169"/>
      <c r="D45" s="169"/>
      <c r="E45" s="169"/>
      <c r="F45" s="169"/>
      <c r="G45" s="169"/>
      <c r="H45" s="169"/>
      <c r="I45" s="169"/>
    </row>
    <row r="46" spans="1:9" x14ac:dyDescent="0.3">
      <c r="A46" t="s">
        <v>8589</v>
      </c>
      <c r="B46" s="169" t="s">
        <v>8607</v>
      </c>
      <c r="C46" s="169"/>
      <c r="D46" s="169"/>
      <c r="E46" s="169"/>
      <c r="F46" s="169"/>
      <c r="G46" s="169"/>
      <c r="H46" s="169"/>
      <c r="I46" s="169"/>
    </row>
    <row r="47" spans="1:9" x14ac:dyDescent="0.3">
      <c r="B47" s="169"/>
      <c r="C47" s="169"/>
      <c r="D47" s="169"/>
      <c r="E47" s="169"/>
      <c r="F47" s="169"/>
      <c r="G47" s="169"/>
      <c r="H47" s="169"/>
      <c r="I47" s="169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8590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61" t="s">
        <v>8591</v>
      </c>
      <c r="C57" s="161"/>
      <c r="D57" s="161"/>
      <c r="E57" s="161"/>
      <c r="F57" s="161"/>
      <c r="G57" s="161"/>
      <c r="H57" s="161"/>
      <c r="I57" s="161"/>
    </row>
    <row r="58" spans="2:9" x14ac:dyDescent="0.3">
      <c r="E58" s="38">
        <f>'Data Sheet'!G$56</f>
        <v>44621</v>
      </c>
      <c r="F58" s="38">
        <f>'Data Sheet'!H$56</f>
        <v>44986</v>
      </c>
      <c r="G58" s="38">
        <f>'Data Sheet'!I$56</f>
        <v>45352</v>
      </c>
      <c r="H58" s="38">
        <f>'Data Sheet'!J$56</f>
        <v>45717</v>
      </c>
      <c r="I58" s="38">
        <f>'Data Sheet'!K$56</f>
        <v>46082</v>
      </c>
    </row>
    <row r="59" spans="2:9" x14ac:dyDescent="0.3">
      <c r="B59" t="s">
        <v>30</v>
      </c>
      <c r="E59" s="106">
        <f>'Data Sheet'!G65-'Data Sheet'!G60</f>
        <v>34284</v>
      </c>
      <c r="F59" s="106">
        <f>'Data Sheet'!H65-'Data Sheet'!H60</f>
        <v>34715</v>
      </c>
      <c r="G59" s="106">
        <f>'Data Sheet'!I65-'Data Sheet'!I60</f>
        <v>43937</v>
      </c>
      <c r="H59" s="106">
        <f>'Data Sheet'!J65-'Data Sheet'!J60</f>
        <v>48729</v>
      </c>
      <c r="I59" s="106">
        <f>'Data Sheet'!K65-'Data Sheet'!K60</f>
        <v>45852</v>
      </c>
    </row>
    <row r="60" spans="2:9" x14ac:dyDescent="0.3">
      <c r="B60" t="s">
        <v>96</v>
      </c>
      <c r="E60" s="106">
        <f>'Data Sheet'!G66</f>
        <v>116729</v>
      </c>
      <c r="F60" s="106">
        <f>'Data Sheet'!H66</f>
        <v>124596</v>
      </c>
      <c r="G60" s="106">
        <f>'Data Sheet'!I66</f>
        <v>136020</v>
      </c>
      <c r="H60" s="106">
        <f>'Data Sheet'!J66</f>
        <v>147795</v>
      </c>
      <c r="I60" s="106">
        <f>'Data Sheet'!K66</f>
        <v>154288</v>
      </c>
    </row>
    <row r="61" spans="2:9" x14ac:dyDescent="0.3">
      <c r="B61" s="89" t="s">
        <v>8592</v>
      </c>
      <c r="C61" s="89"/>
      <c r="D61" s="89"/>
      <c r="E61" s="90">
        <f>E59/E60</f>
        <v>0.29370593425798214</v>
      </c>
      <c r="F61" s="90">
        <f t="shared" ref="F61:I61" si="0">F59/F60</f>
        <v>0.27862050146072104</v>
      </c>
      <c r="G61" s="90">
        <f t="shared" si="0"/>
        <v>0.32301867372445231</v>
      </c>
      <c r="H61" s="90">
        <f t="shared" si="0"/>
        <v>0.32970668831827871</v>
      </c>
      <c r="I61" s="90">
        <f t="shared" si="0"/>
        <v>0.29718448615576065</v>
      </c>
    </row>
    <row r="63" spans="2:9" x14ac:dyDescent="0.3">
      <c r="B63" s="161" t="s">
        <v>8593</v>
      </c>
      <c r="C63" s="161"/>
      <c r="D63" s="161"/>
      <c r="E63" s="161"/>
      <c r="F63" s="161"/>
      <c r="G63" s="161"/>
      <c r="H63" s="161"/>
      <c r="I63" s="161"/>
    </row>
    <row r="64" spans="2:9" x14ac:dyDescent="0.3">
      <c r="E64" s="38">
        <f>'Data Sheet'!G$56</f>
        <v>44621</v>
      </c>
      <c r="F64" s="38">
        <f>'Data Sheet'!H$56</f>
        <v>44986</v>
      </c>
      <c r="G64" s="38">
        <f>'Data Sheet'!I$56</f>
        <v>45352</v>
      </c>
      <c r="H64" s="38">
        <f>'Data Sheet'!J$56</f>
        <v>45717</v>
      </c>
      <c r="I64" s="38">
        <f>'Data Sheet'!K$56</f>
        <v>46082</v>
      </c>
    </row>
    <row r="65" spans="2:9" x14ac:dyDescent="0.3">
      <c r="B65" t="s">
        <v>117</v>
      </c>
      <c r="E65" s="106">
        <f>'Data Sheet'!G58</f>
        <v>73252</v>
      </c>
      <c r="F65" s="106">
        <f>'Data Sheet'!H58</f>
        <v>73338</v>
      </c>
      <c r="G65" s="106">
        <f>'Data Sheet'!I58</f>
        <v>86045</v>
      </c>
      <c r="H65" s="106">
        <f>'Data Sheet'!J58</f>
        <v>93745</v>
      </c>
      <c r="I65" s="106">
        <f>'Data Sheet'!K58</f>
        <v>90828</v>
      </c>
    </row>
    <row r="66" spans="2:9" x14ac:dyDescent="0.3">
      <c r="B66" t="s">
        <v>96</v>
      </c>
      <c r="E66" s="106">
        <f>E60</f>
        <v>116729</v>
      </c>
      <c r="F66" s="106">
        <f t="shared" ref="F66:I66" si="1">F60</f>
        <v>124596</v>
      </c>
      <c r="G66" s="106">
        <f t="shared" si="1"/>
        <v>136020</v>
      </c>
      <c r="H66" s="106">
        <f t="shared" si="1"/>
        <v>147795</v>
      </c>
      <c r="I66" s="106">
        <f t="shared" si="1"/>
        <v>154288</v>
      </c>
    </row>
    <row r="67" spans="2:9" x14ac:dyDescent="0.3">
      <c r="B67" s="89" t="s">
        <v>8593</v>
      </c>
      <c r="C67" s="89"/>
      <c r="D67" s="89"/>
      <c r="E67" s="90">
        <f>E65/E66</f>
        <v>0.62753900059111278</v>
      </c>
      <c r="F67" s="90">
        <f t="shared" ref="F67:I67" si="2">F65/F66</f>
        <v>0.58860637580660691</v>
      </c>
      <c r="G67" s="90">
        <f t="shared" si="2"/>
        <v>0.63259079547125419</v>
      </c>
      <c r="H67" s="90">
        <f t="shared" si="2"/>
        <v>0.63429074055279266</v>
      </c>
      <c r="I67" s="90">
        <f t="shared" si="2"/>
        <v>0.58869127864772375</v>
      </c>
    </row>
    <row r="69" spans="2:9" x14ac:dyDescent="0.3">
      <c r="B69" s="161" t="s">
        <v>8594</v>
      </c>
      <c r="C69" s="161"/>
      <c r="D69" s="161"/>
      <c r="E69" s="161"/>
      <c r="F69" s="161"/>
      <c r="G69" s="161"/>
      <c r="H69" s="161"/>
      <c r="I69" s="161"/>
    </row>
    <row r="70" spans="2:9" x14ac:dyDescent="0.3">
      <c r="E70" s="38">
        <f>'Data Sheet'!G$56</f>
        <v>44621</v>
      </c>
      <c r="F70" s="38">
        <f>'Data Sheet'!H$56</f>
        <v>44986</v>
      </c>
      <c r="G70" s="38">
        <f>'Data Sheet'!I$56</f>
        <v>45352</v>
      </c>
      <c r="H70" s="38">
        <f>'Data Sheet'!J$56</f>
        <v>45717</v>
      </c>
      <c r="I70" s="38">
        <f>'Data Sheet'!K$56</f>
        <v>46082</v>
      </c>
    </row>
    <row r="71" spans="2:9" x14ac:dyDescent="0.3">
      <c r="B71" t="s">
        <v>106</v>
      </c>
      <c r="E71" s="106">
        <f>'Intrinsic Valuation'!H47</f>
        <v>30310</v>
      </c>
      <c r="F71" s="106">
        <f>'Intrinsic Valuation'!I47</f>
        <v>33606</v>
      </c>
      <c r="G71" s="106">
        <f>'Intrinsic Valuation'!J47</f>
        <v>36458</v>
      </c>
      <c r="H71" s="106">
        <f>'Intrinsic Valuation'!K47</f>
        <v>38024</v>
      </c>
      <c r="I71" s="106">
        <f>'Intrinsic Valuation'!L47</f>
        <v>40411</v>
      </c>
    </row>
    <row r="72" spans="2:9" x14ac:dyDescent="0.3">
      <c r="B72" t="s">
        <v>96</v>
      </c>
      <c r="E72" s="106">
        <f>E66</f>
        <v>116729</v>
      </c>
      <c r="F72" s="106">
        <f t="shared" ref="F72:I72" si="3">F66</f>
        <v>124596</v>
      </c>
      <c r="G72" s="106">
        <f t="shared" si="3"/>
        <v>136020</v>
      </c>
      <c r="H72" s="106">
        <f t="shared" si="3"/>
        <v>147795</v>
      </c>
      <c r="I72" s="106">
        <f t="shared" si="3"/>
        <v>154288</v>
      </c>
    </row>
    <row r="73" spans="2:9" x14ac:dyDescent="0.3">
      <c r="B73" s="89" t="s">
        <v>8594</v>
      </c>
      <c r="C73" s="89"/>
      <c r="D73" s="89"/>
      <c r="E73" s="90">
        <f>E71/E72</f>
        <v>0.25966126669465173</v>
      </c>
      <c r="F73" s="90">
        <f t="shared" ref="F73:I73" si="4">F71/F72</f>
        <v>0.26971973418087258</v>
      </c>
      <c r="G73" s="90">
        <f t="shared" si="4"/>
        <v>0.26803411263049554</v>
      </c>
      <c r="H73" s="90">
        <f t="shared" si="4"/>
        <v>0.25727527994857741</v>
      </c>
      <c r="I73" s="90">
        <f t="shared" si="4"/>
        <v>0.26191926786269831</v>
      </c>
    </row>
    <row r="75" spans="2:9" x14ac:dyDescent="0.3">
      <c r="B75" s="161" t="s">
        <v>8595</v>
      </c>
      <c r="C75" s="161"/>
      <c r="D75" s="161"/>
      <c r="E75" s="161"/>
      <c r="F75" s="161"/>
      <c r="G75" s="161"/>
      <c r="H75" s="161"/>
      <c r="I75" s="161"/>
    </row>
    <row r="76" spans="2:9" x14ac:dyDescent="0.3">
      <c r="E76" s="38">
        <f>'Data Sheet'!G$56</f>
        <v>44621</v>
      </c>
      <c r="F76" s="38">
        <f>'Data Sheet'!H$56</f>
        <v>44986</v>
      </c>
      <c r="G76" s="38">
        <f>'Data Sheet'!I$56</f>
        <v>45352</v>
      </c>
      <c r="H76" s="38">
        <f>'Data Sheet'!J$56</f>
        <v>45717</v>
      </c>
      <c r="I76" s="38">
        <f>'Data Sheet'!K$56</f>
        <v>46082</v>
      </c>
    </row>
    <row r="77" spans="2:9" x14ac:dyDescent="0.3">
      <c r="B77" t="s">
        <v>8596</v>
      </c>
      <c r="E77" s="106">
        <f>'Data Sheet'!G90*'Data Sheet'!G93</f>
        <v>482839.91000000003</v>
      </c>
      <c r="F77" s="106">
        <f>'Data Sheet'!H90*'Data Sheet'!H93</f>
        <v>482839.91000000003</v>
      </c>
      <c r="G77" s="106">
        <f>'Data Sheet'!I90*'Data Sheet'!I93</f>
        <v>482839.91000000003</v>
      </c>
      <c r="H77" s="106">
        <f>'Data Sheet'!J90*'Data Sheet'!J93</f>
        <v>482839.91000000003</v>
      </c>
      <c r="I77" s="106">
        <f>'Data Sheet'!K90*'Data Sheet'!K93</f>
        <v>482839.91000000003</v>
      </c>
    </row>
    <row r="78" spans="2:9" x14ac:dyDescent="0.3">
      <c r="B78" t="s">
        <v>8597</v>
      </c>
      <c r="E78" s="106">
        <f>SUM('Data Sheet'!G59:G60)</f>
        <v>41379</v>
      </c>
      <c r="F78" s="106">
        <f>SUM('Data Sheet'!H59:H60)</f>
        <v>49189</v>
      </c>
      <c r="G78" s="106">
        <f>SUM('Data Sheet'!I59:I60)</f>
        <v>47904</v>
      </c>
      <c r="H78" s="106">
        <f>SUM('Data Sheet'!J59:J60)</f>
        <v>51977</v>
      </c>
      <c r="I78" s="106">
        <f>SUM('Data Sheet'!K59:K60)</f>
        <v>61436</v>
      </c>
    </row>
    <row r="79" spans="2:9" x14ac:dyDescent="0.3">
      <c r="B79" s="89" t="s">
        <v>8595</v>
      </c>
      <c r="C79" s="89"/>
      <c r="D79" s="89"/>
      <c r="E79" s="90">
        <f>E77/E78</f>
        <v>11.668718673723387</v>
      </c>
      <c r="F79" s="90">
        <f t="shared" ref="F79:I79" si="5">F77/F78</f>
        <v>9.8160139462074856</v>
      </c>
      <c r="G79" s="90">
        <f t="shared" si="5"/>
        <v>10.079323438543755</v>
      </c>
      <c r="H79" s="90">
        <f t="shared" si="5"/>
        <v>9.2894916982511493</v>
      </c>
      <c r="I79" s="90">
        <f t="shared" si="5"/>
        <v>7.8592341623803641</v>
      </c>
    </row>
    <row r="81" spans="2:9" x14ac:dyDescent="0.3">
      <c r="B81" s="161" t="s">
        <v>8599</v>
      </c>
      <c r="C81" s="161"/>
      <c r="D81" s="161"/>
      <c r="E81" s="161"/>
      <c r="F81" s="161"/>
      <c r="G81" s="161"/>
      <c r="H81" s="161"/>
      <c r="I81" s="161"/>
    </row>
    <row r="82" spans="2:9" x14ac:dyDescent="0.3">
      <c r="E82" s="38">
        <f>'Data Sheet'!G$56</f>
        <v>44621</v>
      </c>
      <c r="F82" s="38">
        <f>'Data Sheet'!H$56</f>
        <v>44986</v>
      </c>
      <c r="G82" s="38">
        <f>'Data Sheet'!I$56</f>
        <v>45352</v>
      </c>
      <c r="H82" s="38">
        <f>'Data Sheet'!J$56</f>
        <v>45717</v>
      </c>
      <c r="I82" s="38">
        <f>'Data Sheet'!K$56</f>
        <v>46082</v>
      </c>
    </row>
    <row r="83" spans="2:9" x14ac:dyDescent="0.3">
      <c r="B83" t="s">
        <v>8598</v>
      </c>
      <c r="E83" s="106">
        <f>'Data Sheet'!G17</f>
        <v>146767</v>
      </c>
      <c r="F83" s="106">
        <f>'Data Sheet'!H17</f>
        <v>153670</v>
      </c>
      <c r="G83" s="106">
        <f>'Data Sheet'!I17</f>
        <v>162990</v>
      </c>
      <c r="H83" s="106">
        <f>'Data Sheet'!J17</f>
        <v>178650</v>
      </c>
      <c r="I83" s="106">
        <f>'Data Sheet'!K17</f>
        <v>184582</v>
      </c>
    </row>
    <row r="84" spans="2:9" x14ac:dyDescent="0.3">
      <c r="B84" t="s">
        <v>96</v>
      </c>
      <c r="E84" s="106">
        <f>E72</f>
        <v>116729</v>
      </c>
      <c r="F84" s="106">
        <f t="shared" ref="F84:I84" si="6">F72</f>
        <v>124596</v>
      </c>
      <c r="G84" s="106">
        <f t="shared" si="6"/>
        <v>136020</v>
      </c>
      <c r="H84" s="106">
        <f t="shared" si="6"/>
        <v>147795</v>
      </c>
      <c r="I84" s="106">
        <f t="shared" si="6"/>
        <v>154288</v>
      </c>
    </row>
    <row r="85" spans="2:9" x14ac:dyDescent="0.3">
      <c r="B85" s="89" t="s">
        <v>8599</v>
      </c>
      <c r="C85" s="89"/>
      <c r="D85" s="89"/>
      <c r="E85" s="91">
        <f>E83/E84</f>
        <v>1.2573310831070257</v>
      </c>
      <c r="F85" s="91">
        <f t="shared" ref="F85:I85" si="7">F83/F84</f>
        <v>1.2333461748370733</v>
      </c>
      <c r="G85" s="91">
        <f t="shared" si="7"/>
        <v>1.198279664755183</v>
      </c>
      <c r="H85" s="91">
        <f t="shared" si="7"/>
        <v>1.2087689028722217</v>
      </c>
      <c r="I85" s="91">
        <f t="shared" si="7"/>
        <v>1.1963470911542051</v>
      </c>
    </row>
    <row r="87" spans="2:9" x14ac:dyDescent="0.3">
      <c r="B87" s="161" t="s">
        <v>8600</v>
      </c>
      <c r="C87" s="161"/>
      <c r="D87" s="161"/>
      <c r="E87" s="161"/>
      <c r="F87" s="161"/>
      <c r="G87" s="161"/>
      <c r="H87" s="161"/>
      <c r="I87" s="161"/>
    </row>
    <row r="88" spans="2:9" x14ac:dyDescent="0.3">
      <c r="E88" s="38">
        <f>'Data Sheet'!G$56</f>
        <v>44621</v>
      </c>
      <c r="F88" s="38">
        <f>'Data Sheet'!H$56</f>
        <v>44986</v>
      </c>
      <c r="G88" s="38">
        <f>'Data Sheet'!I$56</f>
        <v>45352</v>
      </c>
      <c r="H88" s="38">
        <f>'Data Sheet'!J$56</f>
        <v>45717</v>
      </c>
      <c r="I88" s="38">
        <f>'Data Sheet'!K$56</f>
        <v>46082</v>
      </c>
    </row>
    <row r="89" spans="2:9" x14ac:dyDescent="0.3">
      <c r="B89" t="s">
        <v>8601</v>
      </c>
      <c r="E89" s="76">
        <f>(1.2*E61)+(1.4*E67)+(3.3*E73)+(0.6*E79)+(E85*1)</f>
        <v>10.346446189370544</v>
      </c>
      <c r="F89" s="76">
        <f t="shared" ref="F89:I89" si="8">(1.2*F61)+(1.4*F67)+(3.3*F73)+(0.6*F79)+(F85*1)</f>
        <v>9.1714231932405585</v>
      </c>
      <c r="G89" s="76">
        <f t="shared" si="8"/>
        <v>9.4036358216911697</v>
      </c>
      <c r="H89" s="76">
        <f t="shared" si="8"/>
        <v>8.9151274084090613</v>
      </c>
      <c r="I89" s="76">
        <f t="shared" si="8"/>
        <v>7.9570103460230541</v>
      </c>
    </row>
    <row r="90" spans="2:9" x14ac:dyDescent="0.3">
      <c r="B90" t="s">
        <v>8602</v>
      </c>
      <c r="E90" s="93" t="str">
        <f>IF(E89&lt;1.81,"Distressed",IF(E89&gt;3,"Strong","Grey Zone"))</f>
        <v>Strong</v>
      </c>
      <c r="F90" s="93" t="str">
        <f t="shared" ref="F90:I90" si="9">IF(F89&lt;1.81,"Distressed",IF(F89&gt;3,"Strong","Grey Zone"))</f>
        <v>Strong</v>
      </c>
      <c r="G90" s="93" t="str">
        <f t="shared" si="9"/>
        <v>Strong</v>
      </c>
      <c r="H90" s="93" t="str">
        <f t="shared" si="9"/>
        <v>Strong</v>
      </c>
      <c r="I90" s="93" t="str">
        <f t="shared" si="9"/>
        <v>Strong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70"/>
      <c r="C93" s="170"/>
      <c r="D93" s="170"/>
      <c r="E93" s="170"/>
      <c r="F93" s="170"/>
      <c r="G93" s="170"/>
      <c r="H93" s="170"/>
      <c r="I93" s="170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8:I11"/>
    <mergeCell ref="B36:I37"/>
    <mergeCell ref="B38:I39"/>
    <mergeCell ref="B42:I43"/>
    <mergeCell ref="B44:I45"/>
    <mergeCell ref="B40:I41"/>
    <mergeCell ref="B46:I47"/>
    <mergeCell ref="B93:I93"/>
    <mergeCell ref="B69:I69"/>
    <mergeCell ref="B75:I75"/>
    <mergeCell ref="B81:I81"/>
    <mergeCell ref="B57:I57"/>
    <mergeCell ref="B63:I63"/>
    <mergeCell ref="B87:I87"/>
  </mergeCells>
  <pageMargins left="0.7" right="0.7" top="0.75" bottom="0.75" header="0.3" footer="0.3"/>
  <ignoredErrors>
    <ignoredError sqref="E78:I78" formulaRange="1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42064</v>
      </c>
      <c r="D3" s="40">
        <v>42430</v>
      </c>
      <c r="E3" s="40">
        <v>42795</v>
      </c>
      <c r="F3" s="40">
        <v>43160</v>
      </c>
      <c r="G3" s="40">
        <v>43525</v>
      </c>
      <c r="H3" s="40">
        <v>43891</v>
      </c>
      <c r="I3" s="40">
        <v>44256</v>
      </c>
      <c r="J3" s="40">
        <v>44621</v>
      </c>
      <c r="K3" s="40">
        <v>44986</v>
      </c>
      <c r="L3" s="40">
        <v>45352</v>
      </c>
      <c r="M3" s="40">
        <v>45717</v>
      </c>
      <c r="N3" s="40">
        <v>46082</v>
      </c>
      <c r="O3" s="40"/>
      <c r="S3" s="35">
        <v>42064</v>
      </c>
      <c r="T3" s="35">
        <v>42430</v>
      </c>
      <c r="U3" s="35">
        <v>42795</v>
      </c>
      <c r="V3" s="35">
        <v>43160</v>
      </c>
      <c r="W3" s="35">
        <v>43525</v>
      </c>
      <c r="X3" s="35">
        <v>43891</v>
      </c>
      <c r="Y3" s="35">
        <v>44256</v>
      </c>
      <c r="Z3" s="35">
        <v>44621</v>
      </c>
      <c r="AA3" s="35">
        <v>44986</v>
      </c>
      <c r="AB3" s="35">
        <v>45352</v>
      </c>
      <c r="AC3" s="35">
        <v>45717</v>
      </c>
      <c r="AD3" s="35">
        <v>46082</v>
      </c>
      <c r="AE3" t="s">
        <v>284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285</v>
      </c>
      <c r="S4" s="48">
        <v>53319</v>
      </c>
      <c r="T4" s="48">
        <v>62441</v>
      </c>
      <c r="U4" s="48">
        <v>68484</v>
      </c>
      <c r="V4" s="48">
        <v>70522</v>
      </c>
      <c r="W4" s="48">
        <v>82675</v>
      </c>
      <c r="X4" s="48">
        <v>90791</v>
      </c>
      <c r="Y4" s="48">
        <v>100472</v>
      </c>
      <c r="Z4" s="48">
        <v>121641</v>
      </c>
      <c r="AA4" s="48">
        <v>146767</v>
      </c>
      <c r="AB4" s="48">
        <v>153670</v>
      </c>
      <c r="AC4" s="48">
        <v>162990</v>
      </c>
      <c r="AD4" s="48">
        <v>178650</v>
      </c>
      <c r="AE4" s="48">
        <v>184582</v>
      </c>
    </row>
    <row r="5" spans="2:31" x14ac:dyDescent="0.3">
      <c r="B5" s="35" t="s">
        <v>246</v>
      </c>
      <c r="C5" s="108">
        <v>572</v>
      </c>
      <c r="D5" s="47">
        <v>1144</v>
      </c>
      <c r="E5" s="47">
        <v>1144</v>
      </c>
      <c r="F5" s="47">
        <v>1088</v>
      </c>
      <c r="G5" s="47">
        <v>2170</v>
      </c>
      <c r="H5" s="47">
        <v>2122</v>
      </c>
      <c r="I5" s="47">
        <v>2124</v>
      </c>
      <c r="J5" s="47">
        <v>2098</v>
      </c>
      <c r="K5" s="47">
        <v>2069</v>
      </c>
      <c r="L5" s="47">
        <v>2071</v>
      </c>
      <c r="M5" s="47">
        <v>2073</v>
      </c>
      <c r="N5" s="47">
        <v>2024</v>
      </c>
      <c r="R5" t="s">
        <v>286</v>
      </c>
      <c r="S5" s="48">
        <v>38436</v>
      </c>
      <c r="T5" s="48">
        <v>45362</v>
      </c>
      <c r="U5" s="48">
        <v>49880</v>
      </c>
      <c r="V5" s="48">
        <v>51700</v>
      </c>
      <c r="W5" s="48">
        <v>62505</v>
      </c>
      <c r="X5" s="48">
        <v>68524</v>
      </c>
      <c r="Y5" s="48">
        <v>72583</v>
      </c>
      <c r="Z5" s="48">
        <v>90150</v>
      </c>
      <c r="AA5" s="48">
        <v>111637</v>
      </c>
      <c r="AB5" s="48">
        <v>117245</v>
      </c>
      <c r="AC5" s="48">
        <v>123754</v>
      </c>
      <c r="AD5" s="48">
        <v>136370</v>
      </c>
      <c r="AE5" s="48">
        <v>140837</v>
      </c>
    </row>
    <row r="6" spans="2:31" x14ac:dyDescent="0.3">
      <c r="B6" t="s">
        <v>25</v>
      </c>
      <c r="C6" s="48">
        <v>50164</v>
      </c>
      <c r="D6" s="48">
        <v>60600</v>
      </c>
      <c r="E6" s="48">
        <v>67838</v>
      </c>
      <c r="F6" s="48">
        <v>63835</v>
      </c>
      <c r="G6" s="48">
        <v>62778</v>
      </c>
      <c r="H6" s="48">
        <v>63328</v>
      </c>
      <c r="I6" s="48">
        <v>74227</v>
      </c>
      <c r="J6" s="48">
        <v>73252</v>
      </c>
      <c r="K6" s="48">
        <v>73338</v>
      </c>
      <c r="L6" s="48">
        <v>86045</v>
      </c>
      <c r="M6" s="48">
        <v>93745</v>
      </c>
      <c r="N6" s="48">
        <v>90828</v>
      </c>
      <c r="O6" s="48"/>
      <c r="R6" t="s">
        <v>8</v>
      </c>
      <c r="S6" s="48">
        <v>14883</v>
      </c>
      <c r="T6" s="48">
        <v>17079</v>
      </c>
      <c r="U6" s="48">
        <v>18604</v>
      </c>
      <c r="V6" s="48">
        <v>18822</v>
      </c>
      <c r="W6" s="48">
        <v>20170</v>
      </c>
      <c r="X6" s="48">
        <v>22267</v>
      </c>
      <c r="Y6" s="48">
        <v>27889</v>
      </c>
      <c r="Z6" s="48">
        <v>31491</v>
      </c>
      <c r="AA6" s="48">
        <v>35130</v>
      </c>
      <c r="AB6" s="48">
        <v>36425</v>
      </c>
      <c r="AC6" s="48">
        <v>39236</v>
      </c>
      <c r="AD6" s="48">
        <v>42280</v>
      </c>
      <c r="AE6" s="48">
        <v>43745</v>
      </c>
    </row>
    <row r="7" spans="2:31" x14ac:dyDescent="0.3">
      <c r="B7" s="48" t="s">
        <v>247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4633</v>
      </c>
      <c r="I7" s="48">
        <v>5325</v>
      </c>
      <c r="J7" s="48">
        <v>5474</v>
      </c>
      <c r="K7" s="48">
        <v>8299</v>
      </c>
      <c r="L7" s="48">
        <v>8359</v>
      </c>
      <c r="M7" s="48">
        <v>8227</v>
      </c>
      <c r="N7" s="48">
        <v>9176</v>
      </c>
      <c r="O7" s="48"/>
      <c r="R7" t="s">
        <v>287</v>
      </c>
      <c r="S7" s="75">
        <v>28</v>
      </c>
      <c r="T7" s="75">
        <v>27</v>
      </c>
      <c r="U7" s="75">
        <v>27</v>
      </c>
      <c r="V7" s="75">
        <v>27</v>
      </c>
      <c r="W7" s="75">
        <v>24</v>
      </c>
      <c r="X7" s="75">
        <v>25</v>
      </c>
      <c r="Y7" s="75">
        <v>28</v>
      </c>
      <c r="Z7" s="75">
        <v>26</v>
      </c>
      <c r="AA7" s="75">
        <v>24</v>
      </c>
      <c r="AB7" s="75">
        <v>24</v>
      </c>
      <c r="AC7" s="75">
        <v>24</v>
      </c>
      <c r="AD7" s="75">
        <v>24</v>
      </c>
      <c r="AE7" s="75">
        <v>24</v>
      </c>
    </row>
    <row r="8" spans="2:31" x14ac:dyDescent="0.3">
      <c r="B8" s="48" t="s">
        <v>248</v>
      </c>
      <c r="C8" s="48">
        <v>61</v>
      </c>
      <c r="D8" s="48">
        <v>27</v>
      </c>
      <c r="E8" s="48">
        <v>18</v>
      </c>
      <c r="F8" s="48">
        <v>12</v>
      </c>
      <c r="G8" s="48">
        <v>8</v>
      </c>
      <c r="H8" s="48">
        <v>6</v>
      </c>
      <c r="I8" s="48">
        <v>6</v>
      </c>
      <c r="J8" s="48">
        <v>5</v>
      </c>
      <c r="K8" s="48">
        <v>3</v>
      </c>
      <c r="L8" s="48">
        <v>2</v>
      </c>
      <c r="M8" s="48">
        <v>0</v>
      </c>
      <c r="N8" s="48">
        <v>60</v>
      </c>
      <c r="R8" t="s">
        <v>288</v>
      </c>
      <c r="S8" s="48">
        <v>3430</v>
      </c>
      <c r="T8" s="48">
        <v>3120</v>
      </c>
      <c r="U8" s="48">
        <v>3050</v>
      </c>
      <c r="V8" s="48">
        <v>3311</v>
      </c>
      <c r="W8" s="48">
        <v>2882</v>
      </c>
      <c r="X8" s="48">
        <v>2803</v>
      </c>
      <c r="Y8" s="48">
        <v>2201</v>
      </c>
      <c r="Z8" s="48">
        <v>2295</v>
      </c>
      <c r="AA8" s="48">
        <v>2701</v>
      </c>
      <c r="AB8" s="48">
        <v>4711</v>
      </c>
      <c r="AC8" s="48">
        <v>3600</v>
      </c>
      <c r="AD8" s="48">
        <v>3033</v>
      </c>
      <c r="AE8" s="48">
        <v>2975</v>
      </c>
    </row>
    <row r="9" spans="2:31" x14ac:dyDescent="0.3">
      <c r="B9" t="s">
        <v>249</v>
      </c>
      <c r="C9">
        <v>195</v>
      </c>
      <c r="D9">
        <v>44</v>
      </c>
      <c r="E9">
        <v>19</v>
      </c>
      <c r="F9">
        <v>17</v>
      </c>
      <c r="G9">
        <v>2</v>
      </c>
      <c r="H9">
        <v>1</v>
      </c>
      <c r="I9">
        <v>4</v>
      </c>
      <c r="J9">
        <v>1</v>
      </c>
      <c r="K9">
        <v>35</v>
      </c>
      <c r="L9">
        <v>10</v>
      </c>
      <c r="M9">
        <v>91</v>
      </c>
      <c r="N9" s="48">
        <v>2126</v>
      </c>
      <c r="R9" t="s">
        <v>11</v>
      </c>
      <c r="S9">
        <v>12</v>
      </c>
      <c r="T9">
        <v>0</v>
      </c>
      <c r="U9">
        <v>0</v>
      </c>
      <c r="V9">
        <v>0</v>
      </c>
      <c r="W9">
        <v>0</v>
      </c>
      <c r="X9">
        <v>170</v>
      </c>
      <c r="Y9">
        <v>195</v>
      </c>
      <c r="Z9">
        <v>200</v>
      </c>
      <c r="AA9">
        <v>284</v>
      </c>
      <c r="AB9">
        <v>470</v>
      </c>
      <c r="AC9">
        <v>416</v>
      </c>
      <c r="AD9">
        <v>416</v>
      </c>
      <c r="AE9">
        <v>430</v>
      </c>
    </row>
    <row r="10" spans="2:31" x14ac:dyDescent="0.3">
      <c r="B10" t="s">
        <v>250</v>
      </c>
      <c r="C10">
        <v>0</v>
      </c>
      <c r="D10">
        <v>0</v>
      </c>
      <c r="E10">
        <v>0</v>
      </c>
      <c r="F10">
        <v>0</v>
      </c>
      <c r="G10">
        <v>0</v>
      </c>
      <c r="H10">
        <v>4633</v>
      </c>
      <c r="I10">
        <v>5325</v>
      </c>
      <c r="J10">
        <v>5474</v>
      </c>
      <c r="K10">
        <v>8299</v>
      </c>
      <c r="L10">
        <v>8359</v>
      </c>
      <c r="M10">
        <v>8227</v>
      </c>
      <c r="N10">
        <v>9176</v>
      </c>
      <c r="O10" s="48"/>
      <c r="R10" t="s">
        <v>10</v>
      </c>
      <c r="S10" s="48">
        <v>1017</v>
      </c>
      <c r="T10" s="48">
        <v>1459</v>
      </c>
      <c r="U10" s="48">
        <v>1703</v>
      </c>
      <c r="V10" s="48">
        <v>1863</v>
      </c>
      <c r="W10" s="48">
        <v>2011</v>
      </c>
      <c r="X10" s="48">
        <v>2893</v>
      </c>
      <c r="Y10" s="48">
        <v>3267</v>
      </c>
      <c r="Z10" s="48">
        <v>3476</v>
      </c>
      <c r="AA10" s="48">
        <v>4225</v>
      </c>
      <c r="AB10" s="48">
        <v>4678</v>
      </c>
      <c r="AC10" s="48">
        <v>4812</v>
      </c>
      <c r="AD10" s="48">
        <v>4902</v>
      </c>
      <c r="AE10" s="48">
        <v>5007</v>
      </c>
    </row>
    <row r="11" spans="2:31" x14ac:dyDescent="0.3">
      <c r="B11" s="48" t="s">
        <v>8605</v>
      </c>
      <c r="C11" s="48">
        <v>13</v>
      </c>
      <c r="D11" s="48">
        <v>13</v>
      </c>
      <c r="E11" s="48">
        <v>8</v>
      </c>
      <c r="F11" s="48">
        <v>7</v>
      </c>
      <c r="G11" s="48">
        <v>3</v>
      </c>
      <c r="H11" s="48">
        <v>2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/>
      <c r="R11" t="s">
        <v>12</v>
      </c>
      <c r="S11" s="48">
        <v>17284</v>
      </c>
      <c r="T11" s="48">
        <v>18740</v>
      </c>
      <c r="U11" s="48">
        <v>19951</v>
      </c>
      <c r="V11" s="48">
        <v>20270</v>
      </c>
      <c r="W11" s="48">
        <v>21041</v>
      </c>
      <c r="X11" s="48">
        <v>22007</v>
      </c>
      <c r="Y11" s="48">
        <v>26628</v>
      </c>
      <c r="Z11" s="48">
        <v>30110</v>
      </c>
      <c r="AA11" s="48">
        <v>33322</v>
      </c>
      <c r="AB11" s="48">
        <v>35988</v>
      </c>
      <c r="AC11" s="48">
        <v>37608</v>
      </c>
      <c r="AD11" s="48">
        <v>39995</v>
      </c>
      <c r="AE11" s="48">
        <v>41283</v>
      </c>
    </row>
    <row r="12" spans="2:31" x14ac:dyDescent="0.3">
      <c r="B12" s="48" t="s">
        <v>251</v>
      </c>
      <c r="C12" s="48">
        <v>15553</v>
      </c>
      <c r="D12" s="48">
        <v>13354</v>
      </c>
      <c r="E12" s="48">
        <v>14166</v>
      </c>
      <c r="F12" s="48">
        <v>14426</v>
      </c>
      <c r="G12" s="48">
        <v>19118</v>
      </c>
      <c r="H12" s="48">
        <v>21717</v>
      </c>
      <c r="I12" s="48">
        <v>25835</v>
      </c>
      <c r="J12" s="48">
        <v>35905</v>
      </c>
      <c r="K12" s="48">
        <v>40890</v>
      </c>
      <c r="L12" s="48">
        <v>39545</v>
      </c>
      <c r="M12" s="48">
        <v>43750</v>
      </c>
      <c r="N12" s="48">
        <v>52260</v>
      </c>
      <c r="R12" t="s">
        <v>289</v>
      </c>
      <c r="S12" s="75">
        <v>28</v>
      </c>
      <c r="T12" s="75">
        <v>28</v>
      </c>
      <c r="U12" s="75">
        <v>28</v>
      </c>
      <c r="V12" s="75">
        <v>21</v>
      </c>
      <c r="W12" s="75">
        <v>27</v>
      </c>
      <c r="X12" s="75">
        <v>24</v>
      </c>
      <c r="Y12" s="75">
        <v>27</v>
      </c>
      <c r="Z12" s="75">
        <v>26</v>
      </c>
      <c r="AA12" s="75">
        <v>28</v>
      </c>
      <c r="AB12" s="75">
        <v>27</v>
      </c>
      <c r="AC12" s="75">
        <v>29</v>
      </c>
      <c r="AD12" s="75">
        <v>26</v>
      </c>
      <c r="AE12">
        <v>65535</v>
      </c>
    </row>
    <row r="13" spans="2:31" x14ac:dyDescent="0.3">
      <c r="B13" t="s">
        <v>252</v>
      </c>
      <c r="C13">
        <v>0</v>
      </c>
      <c r="D13">
        <v>0</v>
      </c>
      <c r="E13">
        <v>0</v>
      </c>
      <c r="F13">
        <v>1</v>
      </c>
      <c r="G13">
        <v>58</v>
      </c>
      <c r="H13">
        <v>394</v>
      </c>
      <c r="I13">
        <v>431</v>
      </c>
      <c r="J13">
        <v>386</v>
      </c>
      <c r="K13">
        <v>388</v>
      </c>
      <c r="L13">
        <v>345</v>
      </c>
      <c r="M13">
        <v>385</v>
      </c>
      <c r="N13">
        <v>445</v>
      </c>
      <c r="O13" s="48"/>
      <c r="R13" t="s">
        <v>290</v>
      </c>
      <c r="S13" s="48">
        <v>12372</v>
      </c>
      <c r="T13" s="48">
        <v>13489</v>
      </c>
      <c r="U13" s="48">
        <v>14353</v>
      </c>
      <c r="V13" s="48">
        <v>16029</v>
      </c>
      <c r="W13" s="48">
        <v>15410</v>
      </c>
      <c r="X13" s="48">
        <v>16639</v>
      </c>
      <c r="Y13" s="48">
        <v>19423</v>
      </c>
      <c r="Z13" s="48">
        <v>22146</v>
      </c>
      <c r="AA13" s="48">
        <v>24108</v>
      </c>
      <c r="AB13" s="48">
        <v>26248</v>
      </c>
      <c r="AC13" s="48">
        <v>26750</v>
      </c>
      <c r="AD13" s="48">
        <v>29474</v>
      </c>
      <c r="AE13" s="48">
        <v>30325</v>
      </c>
    </row>
    <row r="14" spans="2:31" x14ac:dyDescent="0.3">
      <c r="B14" s="48" t="s">
        <v>253</v>
      </c>
      <c r="C14" s="48">
        <v>140</v>
      </c>
      <c r="D14" s="48">
        <v>386</v>
      </c>
      <c r="E14" s="48">
        <v>367</v>
      </c>
      <c r="F14" s="48">
        <v>694</v>
      </c>
      <c r="G14" s="48">
        <v>1655</v>
      </c>
      <c r="H14" s="48">
        <v>2852</v>
      </c>
      <c r="I14" s="48">
        <v>2645</v>
      </c>
      <c r="J14" s="48">
        <v>4134</v>
      </c>
      <c r="K14" s="48">
        <v>3865</v>
      </c>
      <c r="L14" s="48">
        <v>3956</v>
      </c>
      <c r="M14" s="48">
        <v>4164</v>
      </c>
      <c r="N14" s="48">
        <v>4744</v>
      </c>
      <c r="S14">
        <v>26.93</v>
      </c>
      <c r="T14">
        <v>29.36</v>
      </c>
      <c r="U14">
        <v>31.24</v>
      </c>
      <c r="V14">
        <v>36.69</v>
      </c>
      <c r="W14">
        <v>35.26</v>
      </c>
      <c r="X14">
        <v>38.96</v>
      </c>
      <c r="Y14">
        <v>45.42</v>
      </c>
      <c r="Z14">
        <v>52.56</v>
      </c>
      <c r="AA14">
        <v>58.08</v>
      </c>
      <c r="AB14">
        <v>63.2</v>
      </c>
      <c r="AC14">
        <v>64.319999999999993</v>
      </c>
      <c r="AD14">
        <v>72.59</v>
      </c>
      <c r="AE14">
        <v>74.25</v>
      </c>
    </row>
    <row r="15" spans="2:31" x14ac:dyDescent="0.3">
      <c r="B15" t="s">
        <v>254</v>
      </c>
      <c r="C15">
        <v>27</v>
      </c>
      <c r="D15">
        <v>28</v>
      </c>
      <c r="E15">
        <v>0</v>
      </c>
      <c r="F15">
        <v>0</v>
      </c>
      <c r="G15">
        <v>0</v>
      </c>
      <c r="H15">
        <v>0</v>
      </c>
      <c r="I15">
        <v>0</v>
      </c>
      <c r="J15" s="48">
        <v>0</v>
      </c>
      <c r="K15" s="48">
        <v>0</v>
      </c>
      <c r="L15">
        <v>0</v>
      </c>
      <c r="M15" s="48">
        <v>0</v>
      </c>
      <c r="N15" s="48">
        <v>0</v>
      </c>
      <c r="O15" s="48"/>
      <c r="S15">
        <v>55</v>
      </c>
      <c r="T15">
        <v>41</v>
      </c>
      <c r="U15">
        <v>41</v>
      </c>
      <c r="V15">
        <v>59</v>
      </c>
      <c r="W15">
        <v>60</v>
      </c>
      <c r="X15">
        <v>45</v>
      </c>
      <c r="Y15">
        <v>59</v>
      </c>
      <c r="Z15">
        <v>59</v>
      </c>
      <c r="AA15">
        <v>58</v>
      </c>
      <c r="AB15">
        <v>73</v>
      </c>
      <c r="AC15">
        <v>67</v>
      </c>
      <c r="AD15">
        <v>66</v>
      </c>
      <c r="AE15">
        <v>65535</v>
      </c>
    </row>
    <row r="16" spans="2:31" x14ac:dyDescent="0.3">
      <c r="B16" s="48" t="s">
        <v>255</v>
      </c>
      <c r="C16" s="48">
        <v>15386</v>
      </c>
      <c r="D16" s="48">
        <v>12940</v>
      </c>
      <c r="E16" s="48">
        <v>13799</v>
      </c>
      <c r="F16" s="48">
        <v>13731</v>
      </c>
      <c r="G16" s="48">
        <v>17405</v>
      </c>
      <c r="H16" s="48">
        <v>18471</v>
      </c>
      <c r="I16" s="48">
        <v>22759</v>
      </c>
      <c r="J16" s="48">
        <v>31385</v>
      </c>
      <c r="K16" s="48">
        <v>36637</v>
      </c>
      <c r="L16" s="48">
        <v>35244</v>
      </c>
      <c r="M16" s="48">
        <v>39201</v>
      </c>
      <c r="N16" s="48">
        <v>47071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v>66289</v>
      </c>
      <c r="D18" s="71">
        <v>75098</v>
      </c>
      <c r="E18" s="71">
        <v>83148</v>
      </c>
      <c r="F18" s="71">
        <v>79349</v>
      </c>
      <c r="G18" s="71">
        <v>84066</v>
      </c>
      <c r="H18" s="71">
        <v>91800</v>
      </c>
      <c r="I18" s="71">
        <v>107511</v>
      </c>
      <c r="J18" s="71">
        <v>116729</v>
      </c>
      <c r="K18" s="71">
        <v>124596</v>
      </c>
      <c r="L18" s="71">
        <v>136020</v>
      </c>
      <c r="M18" s="71">
        <v>147795</v>
      </c>
      <c r="N18" s="71">
        <v>154288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8353</v>
      </c>
      <c r="T19" s="48">
        <v>10028</v>
      </c>
      <c r="U19" s="48">
        <v>11531</v>
      </c>
      <c r="V19" s="48">
        <v>13218</v>
      </c>
      <c r="W19" s="48">
        <v>14841</v>
      </c>
      <c r="X19" s="48">
        <v>17003</v>
      </c>
      <c r="Y19" s="48">
        <v>23224</v>
      </c>
      <c r="Z19" s="48">
        <v>23885</v>
      </c>
      <c r="AA19" s="48">
        <v>22467</v>
      </c>
      <c r="AB19" s="48">
        <v>25210</v>
      </c>
      <c r="AC19" s="48">
        <v>35694</v>
      </c>
      <c r="AD19" s="48">
        <v>33986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15946</v>
      </c>
      <c r="T20" s="48">
        <v>17839</v>
      </c>
      <c r="U20" s="48">
        <v>19340</v>
      </c>
      <c r="V20" s="48">
        <v>19963</v>
      </c>
      <c r="W20" s="48">
        <v>22126</v>
      </c>
      <c r="X20" s="48">
        <v>23920</v>
      </c>
      <c r="Y20" s="48">
        <v>28845</v>
      </c>
      <c r="Z20" s="48">
        <v>32921</v>
      </c>
      <c r="AA20" s="48">
        <v>37605</v>
      </c>
      <c r="AB20" s="48">
        <v>39523</v>
      </c>
      <c r="AC20" s="48">
        <v>41591</v>
      </c>
      <c r="AD20" s="48">
        <v>45273</v>
      </c>
    </row>
    <row r="21" spans="2:30" x14ac:dyDescent="0.3">
      <c r="B21" s="73" t="s">
        <v>256</v>
      </c>
      <c r="C21" s="73">
        <v>11346</v>
      </c>
      <c r="D21" s="73">
        <v>13386</v>
      </c>
      <c r="E21" s="73">
        <v>14179</v>
      </c>
      <c r="F21" s="73">
        <v>12574</v>
      </c>
      <c r="G21" s="73">
        <v>15710</v>
      </c>
      <c r="H21" s="73">
        <v>23789</v>
      </c>
      <c r="I21" s="73">
        <v>25505</v>
      </c>
      <c r="J21" s="73">
        <v>25800</v>
      </c>
      <c r="K21" s="73">
        <v>29225</v>
      </c>
      <c r="L21" s="73">
        <v>27622</v>
      </c>
      <c r="M21" s="73">
        <v>30961</v>
      </c>
      <c r="N21" s="73">
        <v>33770</v>
      </c>
      <c r="R21" t="s">
        <v>78</v>
      </c>
      <c r="S21">
        <v>-1475</v>
      </c>
      <c r="T21">
        <v>-1654</v>
      </c>
      <c r="U21">
        <v>-1743</v>
      </c>
      <c r="V21">
        <v>-1523</v>
      </c>
      <c r="W21">
        <v>-2881</v>
      </c>
      <c r="X21" s="48">
        <v>-3861</v>
      </c>
      <c r="Y21">
        <v>-1835</v>
      </c>
      <c r="Z21">
        <v>-7937</v>
      </c>
      <c r="AA21">
        <v>-7076</v>
      </c>
      <c r="AB21">
        <v>-2667</v>
      </c>
      <c r="AC21" s="48">
        <v>-1769</v>
      </c>
      <c r="AD21">
        <v>-5177</v>
      </c>
    </row>
    <row r="22" spans="2:30" x14ac:dyDescent="0.3">
      <c r="B22" s="48" t="s">
        <v>257</v>
      </c>
      <c r="C22" s="48">
        <v>1564</v>
      </c>
      <c r="D22" s="48">
        <v>1622</v>
      </c>
      <c r="E22" s="48">
        <v>1095</v>
      </c>
      <c r="F22" s="48">
        <v>1229</v>
      </c>
      <c r="G22" s="48">
        <v>1307</v>
      </c>
      <c r="H22" s="48">
        <v>1950</v>
      </c>
      <c r="I22" s="48">
        <v>2035</v>
      </c>
      <c r="J22" s="48">
        <v>2066</v>
      </c>
      <c r="K22" s="48">
        <v>2054</v>
      </c>
      <c r="L22" s="48">
        <v>2037</v>
      </c>
      <c r="M22" s="48">
        <v>2079</v>
      </c>
      <c r="N22" s="48">
        <v>1990</v>
      </c>
      <c r="O22" s="48"/>
      <c r="R22" t="s">
        <v>45</v>
      </c>
      <c r="S22">
        <v>-505</v>
      </c>
      <c r="T22">
        <v>-693</v>
      </c>
      <c r="U22">
        <v>593</v>
      </c>
      <c r="V22">
        <v>602</v>
      </c>
      <c r="W22">
        <v>-359</v>
      </c>
      <c r="X22">
        <v>-508</v>
      </c>
      <c r="Y22" s="48">
        <v>-1460</v>
      </c>
      <c r="Z22">
        <v>-466</v>
      </c>
      <c r="AA22" s="48">
        <v>-1098</v>
      </c>
      <c r="AB22" s="48">
        <v>-2545</v>
      </c>
      <c r="AC22" s="48">
        <v>-2975</v>
      </c>
      <c r="AD22" s="48">
        <v>-3306</v>
      </c>
    </row>
    <row r="23" spans="2:30" x14ac:dyDescent="0.3">
      <c r="B23" s="48" t="s">
        <v>258</v>
      </c>
      <c r="C23" s="48">
        <v>6102</v>
      </c>
      <c r="D23" s="48">
        <v>6325</v>
      </c>
      <c r="E23" s="48">
        <v>8419</v>
      </c>
      <c r="F23" s="48">
        <v>9334</v>
      </c>
      <c r="G23" s="48">
        <v>10270</v>
      </c>
      <c r="H23" s="48">
        <v>15104</v>
      </c>
      <c r="I23" s="48">
        <v>16394</v>
      </c>
      <c r="J23" s="48">
        <v>16760</v>
      </c>
      <c r="K23" s="48">
        <v>16903</v>
      </c>
      <c r="L23" s="48">
        <v>16515</v>
      </c>
      <c r="M23" s="48">
        <v>16376</v>
      </c>
      <c r="N23" s="48">
        <v>17193</v>
      </c>
      <c r="O23" s="48"/>
      <c r="R23" t="s">
        <v>131</v>
      </c>
      <c r="S23">
        <v>0</v>
      </c>
      <c r="T23">
        <v>242</v>
      </c>
      <c r="U23">
        <v>-19</v>
      </c>
      <c r="V23" s="48">
        <v>328</v>
      </c>
      <c r="W23">
        <v>916</v>
      </c>
      <c r="X23">
        <v>-373</v>
      </c>
      <c r="Y23" s="48">
        <v>-245</v>
      </c>
      <c r="Z23" s="48">
        <v>1489</v>
      </c>
      <c r="AA23" s="48">
        <v>-279</v>
      </c>
      <c r="AB23">
        <v>91</v>
      </c>
      <c r="AC23" s="48">
        <v>176</v>
      </c>
      <c r="AD23">
        <v>-26</v>
      </c>
    </row>
    <row r="24" spans="2:30" x14ac:dyDescent="0.3">
      <c r="B24" s="48" t="s">
        <v>259</v>
      </c>
      <c r="C24" s="48">
        <v>1427</v>
      </c>
      <c r="D24" s="48">
        <v>1759</v>
      </c>
      <c r="E24" s="48">
        <v>2048</v>
      </c>
      <c r="F24" s="48">
        <v>2306</v>
      </c>
      <c r="G24" s="48">
        <v>2709</v>
      </c>
      <c r="H24" s="48">
        <v>3185</v>
      </c>
      <c r="I24" s="48">
        <v>3296</v>
      </c>
      <c r="J24" s="48">
        <v>3210</v>
      </c>
      <c r="K24" s="48">
        <v>3302</v>
      </c>
      <c r="L24" s="48">
        <v>3428</v>
      </c>
      <c r="M24" s="48">
        <v>3461</v>
      </c>
      <c r="N24" s="48">
        <v>3714</v>
      </c>
      <c r="R24" t="s">
        <v>132</v>
      </c>
      <c r="S24">
        <v>-842</v>
      </c>
      <c r="T24">
        <v>-1946</v>
      </c>
      <c r="U24">
        <v>-2156</v>
      </c>
      <c r="V24" s="48">
        <v>84</v>
      </c>
      <c r="W24">
        <v>-453</v>
      </c>
      <c r="X24">
        <v>-2367</v>
      </c>
      <c r="Y24">
        <v>768</v>
      </c>
      <c r="Z24">
        <v>-1424</v>
      </c>
      <c r="AA24">
        <v>-6344</v>
      </c>
      <c r="AB24" s="48">
        <v>-5082</v>
      </c>
      <c r="AC24" s="48">
        <v>-295</v>
      </c>
      <c r="AD24" s="48">
        <v>-2639</v>
      </c>
    </row>
    <row r="25" spans="2:30" x14ac:dyDescent="0.3">
      <c r="B25" t="s">
        <v>260</v>
      </c>
      <c r="C25">
        <v>676</v>
      </c>
      <c r="D25">
        <v>839</v>
      </c>
      <c r="E25">
        <v>922</v>
      </c>
      <c r="F25">
        <v>1002</v>
      </c>
      <c r="G25">
        <v>1101</v>
      </c>
      <c r="H25">
        <v>1265</v>
      </c>
      <c r="I25">
        <v>1371</v>
      </c>
      <c r="J25">
        <v>1427</v>
      </c>
      <c r="K25">
        <v>1482</v>
      </c>
      <c r="L25">
        <v>1528</v>
      </c>
      <c r="M25">
        <v>1628</v>
      </c>
      <c r="N25">
        <v>1732</v>
      </c>
      <c r="R25" t="s">
        <v>133</v>
      </c>
      <c r="S25" s="48">
        <v>-6751</v>
      </c>
      <c r="T25" s="48">
        <v>-5865</v>
      </c>
      <c r="U25" s="48">
        <v>-5653</v>
      </c>
      <c r="V25" s="48">
        <v>-6829</v>
      </c>
      <c r="W25" s="48">
        <v>-6832</v>
      </c>
      <c r="X25" s="48">
        <v>-4550</v>
      </c>
      <c r="Y25" s="48">
        <v>-6389</v>
      </c>
      <c r="Z25" s="48">
        <v>-7612</v>
      </c>
      <c r="AA25" s="48">
        <v>-8794</v>
      </c>
      <c r="AB25" s="48">
        <v>-9231</v>
      </c>
      <c r="AC25" s="48">
        <v>-5602</v>
      </c>
      <c r="AD25" s="48">
        <v>-8648</v>
      </c>
    </row>
    <row r="26" spans="2:30" x14ac:dyDescent="0.3">
      <c r="B26" s="48" t="s">
        <v>261</v>
      </c>
      <c r="C26" s="48">
        <v>958</v>
      </c>
      <c r="D26" s="48">
        <v>1444</v>
      </c>
      <c r="E26" s="48">
        <v>1277</v>
      </c>
      <c r="F26" s="48">
        <v>1393</v>
      </c>
      <c r="G26" s="48">
        <v>1620</v>
      </c>
      <c r="H26" s="48">
        <v>2073</v>
      </c>
      <c r="I26" s="48">
        <v>2149</v>
      </c>
      <c r="J26" s="48">
        <v>2278</v>
      </c>
      <c r="K26" s="48">
        <v>2303</v>
      </c>
      <c r="L26" s="48">
        <v>2326</v>
      </c>
      <c r="M26" s="48">
        <v>2340</v>
      </c>
      <c r="N26" s="48">
        <v>2438</v>
      </c>
      <c r="R26" t="s">
        <v>134</v>
      </c>
      <c r="S26" s="48">
        <v>999</v>
      </c>
      <c r="T26" s="48">
        <v>-885</v>
      </c>
      <c r="U26" s="48">
        <v>-14664</v>
      </c>
      <c r="V26" s="48">
        <v>4533</v>
      </c>
      <c r="W26" s="48">
        <v>-632</v>
      </c>
      <c r="X26" s="48">
        <v>-331</v>
      </c>
      <c r="Y26" s="48">
        <v>-7373</v>
      </c>
      <c r="Z26" s="48">
        <v>-6485</v>
      </c>
      <c r="AA26" s="48">
        <v>-1071</v>
      </c>
      <c r="AB26" s="48">
        <v>-5093</v>
      </c>
      <c r="AC26">
        <v>-1864</v>
      </c>
      <c r="AD26" s="48">
        <v>3546</v>
      </c>
    </row>
    <row r="27" spans="2:30" x14ac:dyDescent="0.3">
      <c r="B27" s="48" t="s">
        <v>262</v>
      </c>
      <c r="C27" s="48">
        <v>2</v>
      </c>
      <c r="D27" s="48">
        <v>2</v>
      </c>
      <c r="E27" s="48">
        <v>2</v>
      </c>
      <c r="F27" s="48">
        <v>2</v>
      </c>
      <c r="G27" s="48">
        <v>2</v>
      </c>
      <c r="H27" s="48">
        <v>2</v>
      </c>
      <c r="I27" s="48">
        <v>2</v>
      </c>
      <c r="J27" s="48">
        <v>2</v>
      </c>
      <c r="K27" s="48">
        <v>2</v>
      </c>
      <c r="L27" s="48">
        <v>2</v>
      </c>
      <c r="M27" s="48">
        <v>2</v>
      </c>
      <c r="N27" s="48">
        <v>2</v>
      </c>
      <c r="R27" t="s">
        <v>135</v>
      </c>
      <c r="S27" s="48">
        <v>-2247</v>
      </c>
      <c r="T27" s="48">
        <v>-2723</v>
      </c>
      <c r="U27" s="48">
        <v>-2760</v>
      </c>
      <c r="V27" s="48">
        <v>-1998</v>
      </c>
      <c r="W27" s="48">
        <v>-2445</v>
      </c>
      <c r="X27" s="48">
        <v>-3307</v>
      </c>
      <c r="Y27" s="48">
        <v>-2107</v>
      </c>
      <c r="Z27" s="48">
        <v>-2161</v>
      </c>
      <c r="AA27" s="48">
        <v>-2579</v>
      </c>
      <c r="AB27" s="48">
        <v>-2201</v>
      </c>
      <c r="AC27" s="48">
        <v>-2237</v>
      </c>
      <c r="AD27" s="48">
        <v>-2727</v>
      </c>
    </row>
    <row r="28" spans="2:30" x14ac:dyDescent="0.3">
      <c r="B28" t="s">
        <v>263</v>
      </c>
      <c r="C28">
        <v>34</v>
      </c>
      <c r="D28">
        <v>29</v>
      </c>
      <c r="E28">
        <v>31</v>
      </c>
      <c r="F28">
        <v>31</v>
      </c>
      <c r="G28">
        <v>38</v>
      </c>
      <c r="H28">
        <v>69</v>
      </c>
      <c r="I28">
        <v>73</v>
      </c>
      <c r="J28">
        <v>71</v>
      </c>
      <c r="K28">
        <v>60</v>
      </c>
      <c r="L28">
        <v>62</v>
      </c>
      <c r="M28">
        <v>72</v>
      </c>
      <c r="N28">
        <v>70</v>
      </c>
      <c r="O28" s="48"/>
      <c r="R28" t="s">
        <v>136</v>
      </c>
      <c r="S28" s="48">
        <v>9</v>
      </c>
      <c r="T28" s="48">
        <v>8</v>
      </c>
      <c r="U28" s="48">
        <v>50</v>
      </c>
      <c r="V28" s="48">
        <v>80</v>
      </c>
      <c r="W28" s="48">
        <v>28</v>
      </c>
      <c r="X28" s="48">
        <v>27</v>
      </c>
      <c r="Y28" s="48">
        <v>3</v>
      </c>
      <c r="Z28" s="48">
        <v>133</v>
      </c>
      <c r="AA28" s="48">
        <v>49</v>
      </c>
      <c r="AB28">
        <v>107</v>
      </c>
      <c r="AC28" s="48">
        <v>175</v>
      </c>
      <c r="AD28" s="48">
        <v>50</v>
      </c>
    </row>
    <row r="29" spans="2:30" x14ac:dyDescent="0.3">
      <c r="B29" t="s">
        <v>264</v>
      </c>
      <c r="C29">
        <v>3637</v>
      </c>
      <c r="D29">
        <v>3858</v>
      </c>
      <c r="E29">
        <v>3743</v>
      </c>
      <c r="F29">
        <v>2237</v>
      </c>
      <c r="G29">
        <v>3640</v>
      </c>
      <c r="H29">
        <v>5528</v>
      </c>
      <c r="I29" s="48">
        <v>6373</v>
      </c>
      <c r="J29" s="48">
        <v>6495</v>
      </c>
      <c r="K29" s="48">
        <v>7594</v>
      </c>
      <c r="L29" s="48">
        <v>7652</v>
      </c>
      <c r="M29" s="48">
        <v>10626</v>
      </c>
      <c r="N29" s="48">
        <v>12729</v>
      </c>
      <c r="R29" t="s">
        <v>137</v>
      </c>
      <c r="S29" s="48">
        <v>-23923</v>
      </c>
      <c r="T29" s="48">
        <v>-24577</v>
      </c>
      <c r="U29" s="48">
        <v>-66410</v>
      </c>
      <c r="V29" s="48">
        <v>-69159</v>
      </c>
      <c r="W29" s="48">
        <v>-79410</v>
      </c>
      <c r="X29" s="48">
        <v>-37482</v>
      </c>
      <c r="Y29" s="48">
        <v>-46738</v>
      </c>
      <c r="Z29" s="48">
        <v>-59951</v>
      </c>
      <c r="AA29" s="48">
        <v>-75800</v>
      </c>
      <c r="AB29" s="48">
        <v>-78092</v>
      </c>
      <c r="AC29" s="48">
        <v>-82742</v>
      </c>
      <c r="AD29" s="48">
        <v>-82617</v>
      </c>
    </row>
    <row r="30" spans="2:30" x14ac:dyDescent="0.3">
      <c r="B30" t="s">
        <v>265</v>
      </c>
      <c r="C30">
        <v>71</v>
      </c>
      <c r="D30">
        <v>931</v>
      </c>
      <c r="E30">
        <v>899</v>
      </c>
      <c r="F30">
        <v>545</v>
      </c>
      <c r="G30">
        <v>1093</v>
      </c>
      <c r="H30">
        <v>2289</v>
      </c>
      <c r="I30">
        <v>2730</v>
      </c>
      <c r="J30">
        <v>2766</v>
      </c>
      <c r="K30">
        <v>3281</v>
      </c>
      <c r="L30">
        <v>3294</v>
      </c>
      <c r="M30">
        <v>5184</v>
      </c>
      <c r="N30" s="48">
        <v>6296</v>
      </c>
      <c r="O30" s="48"/>
      <c r="R30" t="s">
        <v>138</v>
      </c>
      <c r="S30" s="48">
        <v>25253</v>
      </c>
      <c r="T30" s="48">
        <v>24980</v>
      </c>
      <c r="U30" s="48">
        <v>52048</v>
      </c>
      <c r="V30" s="48">
        <v>74003</v>
      </c>
      <c r="W30" s="48">
        <v>78098</v>
      </c>
      <c r="X30" s="48">
        <v>38861</v>
      </c>
      <c r="Y30" s="48">
        <v>40381</v>
      </c>
      <c r="Z30" s="48">
        <v>57356</v>
      </c>
      <c r="AA30" s="48">
        <v>76722</v>
      </c>
      <c r="AB30" s="48">
        <v>72930</v>
      </c>
      <c r="AC30" s="48">
        <v>84877</v>
      </c>
      <c r="AD30" s="48">
        <v>89699</v>
      </c>
    </row>
    <row r="31" spans="2:30" x14ac:dyDescent="0.3">
      <c r="B31" t="s">
        <v>266</v>
      </c>
      <c r="C31" s="48">
        <v>17816</v>
      </c>
      <c r="D31" s="48">
        <v>21293</v>
      </c>
      <c r="E31" s="48">
        <v>23379</v>
      </c>
      <c r="F31" s="48">
        <v>22980</v>
      </c>
      <c r="G31" s="48">
        <v>28065</v>
      </c>
      <c r="H31" s="48">
        <v>38886</v>
      </c>
      <c r="I31" s="48">
        <v>43153</v>
      </c>
      <c r="J31" s="48">
        <v>45009</v>
      </c>
      <c r="K31" s="48">
        <v>48877</v>
      </c>
      <c r="L31" s="48">
        <v>49195</v>
      </c>
      <c r="M31" s="48">
        <v>54691</v>
      </c>
      <c r="N31" s="48">
        <v>59762</v>
      </c>
      <c r="O31" s="73"/>
      <c r="R31" t="s">
        <v>139</v>
      </c>
      <c r="S31">
        <v>2551</v>
      </c>
      <c r="T31">
        <v>2383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</row>
    <row r="32" spans="2:30" x14ac:dyDescent="0.3">
      <c r="B32" s="48" t="s">
        <v>267</v>
      </c>
      <c r="C32" s="48">
        <v>6470</v>
      </c>
      <c r="D32" s="48">
        <v>7907</v>
      </c>
      <c r="E32" s="48">
        <v>9200</v>
      </c>
      <c r="F32" s="48">
        <v>10406</v>
      </c>
      <c r="G32" s="48">
        <v>12355</v>
      </c>
      <c r="H32" s="48">
        <v>15097</v>
      </c>
      <c r="I32" s="48">
        <v>17648</v>
      </c>
      <c r="J32" s="48">
        <v>19209</v>
      </c>
      <c r="K32" s="48">
        <v>19652</v>
      </c>
      <c r="L32" s="48">
        <v>21573</v>
      </c>
      <c r="M32" s="48">
        <v>23730</v>
      </c>
      <c r="N32" s="48">
        <v>25992</v>
      </c>
      <c r="O32" s="48"/>
      <c r="R32" t="s">
        <v>140</v>
      </c>
      <c r="S32">
        <v>0</v>
      </c>
      <c r="T32">
        <v>0</v>
      </c>
      <c r="U32" s="48">
        <v>2753</v>
      </c>
      <c r="V32">
        <v>1768</v>
      </c>
      <c r="W32">
        <v>1557</v>
      </c>
      <c r="X32">
        <v>1929</v>
      </c>
      <c r="Y32" s="48">
        <v>1418</v>
      </c>
      <c r="Z32" s="48">
        <v>1898</v>
      </c>
      <c r="AA32" s="48">
        <v>1525</v>
      </c>
      <c r="AB32" s="48">
        <v>1768</v>
      </c>
      <c r="AC32" s="48">
        <v>2040</v>
      </c>
      <c r="AD32" s="48">
        <v>2713</v>
      </c>
    </row>
    <row r="33" spans="2:58" x14ac:dyDescent="0.3">
      <c r="B33" t="s">
        <v>27</v>
      </c>
      <c r="C33" s="48">
        <v>11346</v>
      </c>
      <c r="D33" s="48">
        <v>13386</v>
      </c>
      <c r="E33" s="48">
        <v>14179</v>
      </c>
      <c r="F33" s="48">
        <v>12574</v>
      </c>
      <c r="G33" s="48">
        <v>15710</v>
      </c>
      <c r="H33" s="48">
        <v>23789</v>
      </c>
      <c r="I33" s="48">
        <v>25505</v>
      </c>
      <c r="J33" s="48">
        <v>25800</v>
      </c>
      <c r="K33" s="48">
        <v>29225</v>
      </c>
      <c r="L33" s="48">
        <v>27622</v>
      </c>
      <c r="M33" s="48">
        <v>30961</v>
      </c>
      <c r="N33" s="48">
        <v>33770</v>
      </c>
      <c r="O33" s="48"/>
      <c r="R33" t="s">
        <v>8603</v>
      </c>
      <c r="S33">
        <v>0</v>
      </c>
      <c r="T33">
        <v>-8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8604</v>
      </c>
      <c r="S34" s="48">
        <v>741</v>
      </c>
      <c r="T34" s="48">
        <v>-59</v>
      </c>
      <c r="U34" s="48">
        <v>-131</v>
      </c>
      <c r="V34" s="48">
        <v>49</v>
      </c>
      <c r="W34" s="48">
        <v>1592</v>
      </c>
      <c r="X34" s="48">
        <v>-224</v>
      </c>
      <c r="Y34" s="48">
        <v>-327</v>
      </c>
      <c r="Z34" s="48">
        <v>-3627</v>
      </c>
      <c r="AA34" s="48">
        <v>-939</v>
      </c>
      <c r="AB34" s="48">
        <v>502</v>
      </c>
      <c r="AC34" s="48">
        <v>-3802</v>
      </c>
      <c r="AD34" s="48">
        <v>-3522</v>
      </c>
    </row>
    <row r="35" spans="2:58" x14ac:dyDescent="0.3">
      <c r="B35" t="s">
        <v>268</v>
      </c>
      <c r="C35" s="48">
        <v>776</v>
      </c>
      <c r="D35" s="48">
        <v>960</v>
      </c>
      <c r="E35" s="48">
        <v>1365</v>
      </c>
      <c r="F35" s="48">
        <v>1606</v>
      </c>
      <c r="G35" s="48">
        <v>1388</v>
      </c>
      <c r="H35" s="48">
        <v>954</v>
      </c>
      <c r="I35" s="48">
        <v>922</v>
      </c>
      <c r="J35" s="48">
        <v>416</v>
      </c>
      <c r="K35" s="48">
        <v>288</v>
      </c>
      <c r="L35" s="48">
        <v>293</v>
      </c>
      <c r="M35" s="48">
        <v>814</v>
      </c>
      <c r="N35" s="48">
        <v>526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2270</v>
      </c>
      <c r="D36" s="48">
        <v>1892</v>
      </c>
      <c r="E36" s="48">
        <v>16423</v>
      </c>
      <c r="F36" s="48">
        <v>12163</v>
      </c>
      <c r="G36" s="48">
        <v>11261</v>
      </c>
      <c r="H36" s="48">
        <v>8792</v>
      </c>
      <c r="I36" s="48">
        <v>14205</v>
      </c>
      <c r="J36" s="48">
        <v>20324</v>
      </c>
      <c r="K36" s="48">
        <v>19478</v>
      </c>
      <c r="L36" s="48">
        <v>24623</v>
      </c>
      <c r="M36" s="48">
        <v>23541</v>
      </c>
      <c r="N36" s="48">
        <v>21880</v>
      </c>
      <c r="O36" s="48"/>
      <c r="R36" t="s">
        <v>142</v>
      </c>
      <c r="S36" s="48">
        <v>-4935</v>
      </c>
      <c r="T36" s="48">
        <v>-6813</v>
      </c>
      <c r="U36" s="48">
        <v>-6939</v>
      </c>
      <c r="V36" s="48">
        <v>-20505</v>
      </c>
      <c r="W36" s="48">
        <v>-14512</v>
      </c>
      <c r="X36" s="48">
        <v>-17591</v>
      </c>
      <c r="Y36" s="48">
        <v>-9786</v>
      </c>
      <c r="Z36" s="48">
        <v>-24642</v>
      </c>
      <c r="AA36">
        <v>-26695</v>
      </c>
      <c r="AB36" s="48">
        <v>-17504</v>
      </c>
      <c r="AC36">
        <v>-24161</v>
      </c>
      <c r="AD36" s="48">
        <v>-39786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0</v>
      </c>
      <c r="T37" s="48">
        <v>0</v>
      </c>
      <c r="U37" s="48">
        <v>0</v>
      </c>
      <c r="V37" s="48">
        <v>5</v>
      </c>
      <c r="W37" s="48">
        <v>6</v>
      </c>
      <c r="X37" s="48">
        <v>6</v>
      </c>
      <c r="Y37" s="48">
        <v>15</v>
      </c>
      <c r="Z37" s="48">
        <v>21</v>
      </c>
      <c r="AA37" s="48">
        <v>35</v>
      </c>
      <c r="AB37" s="48">
        <v>5</v>
      </c>
      <c r="AC37" s="48">
        <v>6</v>
      </c>
      <c r="AD37" s="48">
        <v>2</v>
      </c>
    </row>
    <row r="38" spans="2:58" x14ac:dyDescent="0.3">
      <c r="B38" t="s">
        <v>269</v>
      </c>
      <c r="C38" s="73">
        <v>51897</v>
      </c>
      <c r="D38" s="73">
        <v>58860</v>
      </c>
      <c r="E38" s="73">
        <v>51181</v>
      </c>
      <c r="F38" s="73">
        <v>53006</v>
      </c>
      <c r="G38" s="73">
        <v>55707</v>
      </c>
      <c r="H38" s="73">
        <v>58265</v>
      </c>
      <c r="I38" s="73">
        <v>66879</v>
      </c>
      <c r="J38" s="73">
        <v>70189</v>
      </c>
      <c r="K38" s="73">
        <v>75605</v>
      </c>
      <c r="L38" s="73">
        <v>83482</v>
      </c>
      <c r="M38" s="73">
        <v>92479</v>
      </c>
      <c r="N38" s="73">
        <v>98112</v>
      </c>
      <c r="O38" s="48"/>
      <c r="R38" t="s">
        <v>144</v>
      </c>
      <c r="S38">
        <v>979</v>
      </c>
      <c r="T38">
        <v>532</v>
      </c>
      <c r="U38" s="48">
        <v>1067</v>
      </c>
      <c r="V38">
        <v>913</v>
      </c>
      <c r="W38">
        <v>969</v>
      </c>
      <c r="X38">
        <v>625</v>
      </c>
      <c r="Y38">
        <v>291</v>
      </c>
      <c r="Z38">
        <v>292</v>
      </c>
      <c r="AA38" s="48">
        <v>2477</v>
      </c>
      <c r="AB38" s="48">
        <v>1443</v>
      </c>
      <c r="AC38">
        <v>797</v>
      </c>
      <c r="AD38">
        <v>405</v>
      </c>
    </row>
    <row r="39" spans="2:58" x14ac:dyDescent="0.3">
      <c r="B39" t="s">
        <v>270</v>
      </c>
      <c r="C39" s="48">
        <v>8587</v>
      </c>
      <c r="D39" s="48">
        <v>9062</v>
      </c>
      <c r="E39" s="48">
        <v>8116</v>
      </c>
      <c r="F39" s="48">
        <v>7495</v>
      </c>
      <c r="G39" s="48">
        <v>7860</v>
      </c>
      <c r="H39" s="48">
        <v>8879</v>
      </c>
      <c r="I39" s="48">
        <v>10397</v>
      </c>
      <c r="J39" s="48">
        <v>10864</v>
      </c>
      <c r="K39" s="48">
        <v>11771</v>
      </c>
      <c r="L39" s="48">
        <v>14153</v>
      </c>
      <c r="M39" s="48">
        <v>15638</v>
      </c>
      <c r="N39" s="48">
        <v>18623</v>
      </c>
      <c r="O39" s="48"/>
      <c r="R39" t="s">
        <v>145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-985</v>
      </c>
      <c r="AD39" s="48">
        <v>0</v>
      </c>
    </row>
    <row r="40" spans="2:58" x14ac:dyDescent="0.3">
      <c r="B40" t="s">
        <v>271</v>
      </c>
      <c r="C40" s="48">
        <v>9713</v>
      </c>
      <c r="D40" s="48">
        <v>11330</v>
      </c>
      <c r="E40" s="48">
        <v>12322</v>
      </c>
      <c r="F40" s="48">
        <v>13142</v>
      </c>
      <c r="G40" s="48">
        <v>14827</v>
      </c>
      <c r="H40" s="48">
        <v>18487</v>
      </c>
      <c r="I40" s="48">
        <v>19294</v>
      </c>
      <c r="J40" s="48">
        <v>22698</v>
      </c>
      <c r="K40" s="48">
        <v>25424</v>
      </c>
      <c r="L40" s="48">
        <v>30193</v>
      </c>
      <c r="M40" s="48">
        <v>31158</v>
      </c>
      <c r="N40" s="48">
        <v>35234</v>
      </c>
      <c r="O40" s="48"/>
      <c r="R40" t="s">
        <v>146</v>
      </c>
      <c r="S40">
        <v>-20</v>
      </c>
      <c r="T40">
        <v>-13</v>
      </c>
      <c r="U40">
        <v>-13</v>
      </c>
      <c r="V40" s="48">
        <v>-8</v>
      </c>
      <c r="W40">
        <v>-18</v>
      </c>
      <c r="X40">
        <v>-3</v>
      </c>
      <c r="Y40" s="48">
        <v>-2</v>
      </c>
      <c r="Z40">
        <v>-1</v>
      </c>
      <c r="AA40" s="48">
        <v>-1</v>
      </c>
      <c r="AB40" s="48">
        <v>-2</v>
      </c>
      <c r="AC40" s="48">
        <v>-54</v>
      </c>
      <c r="AD40" s="48">
        <v>-105</v>
      </c>
    </row>
    <row r="41" spans="2:58" x14ac:dyDescent="0.3">
      <c r="B41" t="s">
        <v>272</v>
      </c>
      <c r="C41" s="48">
        <v>30367</v>
      </c>
      <c r="D41" s="48">
        <v>32697</v>
      </c>
      <c r="E41" s="48">
        <v>22625</v>
      </c>
      <c r="F41" s="48">
        <v>19818</v>
      </c>
      <c r="G41" s="48">
        <v>19568</v>
      </c>
      <c r="H41" s="48">
        <v>18649</v>
      </c>
      <c r="I41" s="48">
        <v>24714</v>
      </c>
      <c r="J41" s="48">
        <v>17472</v>
      </c>
      <c r="K41" s="48">
        <v>12173</v>
      </c>
      <c r="L41" s="48">
        <v>14786</v>
      </c>
      <c r="M41" s="48">
        <v>24455</v>
      </c>
      <c r="N41" s="48">
        <v>22201</v>
      </c>
      <c r="O41" s="48"/>
      <c r="R41" t="s">
        <v>147</v>
      </c>
      <c r="S41" s="48">
        <v>-4935</v>
      </c>
      <c r="T41" s="48">
        <v>-6813</v>
      </c>
      <c r="U41" s="48">
        <v>-6939</v>
      </c>
      <c r="V41" s="48">
        <v>-7464</v>
      </c>
      <c r="W41" s="48">
        <v>-13705</v>
      </c>
      <c r="X41" s="48">
        <v>-9548</v>
      </c>
      <c r="Y41" s="48">
        <v>-9137</v>
      </c>
      <c r="Z41" s="48">
        <v>-12731</v>
      </c>
      <c r="AA41" s="48">
        <v>-13653</v>
      </c>
      <c r="AB41" s="48">
        <v>-14731</v>
      </c>
      <c r="AC41" s="48">
        <v>-20289</v>
      </c>
      <c r="AD41" s="48">
        <v>-18656</v>
      </c>
    </row>
    <row r="42" spans="2:58" x14ac:dyDescent="0.3">
      <c r="B42" t="s">
        <v>273</v>
      </c>
      <c r="C42" s="48">
        <v>399</v>
      </c>
      <c r="D42" s="48">
        <v>614</v>
      </c>
      <c r="E42" s="48">
        <v>844</v>
      </c>
      <c r="F42" s="48">
        <v>830</v>
      </c>
      <c r="G42" s="48">
        <v>1524</v>
      </c>
      <c r="H42" s="48">
        <v>1359</v>
      </c>
      <c r="I42" s="48">
        <v>1460</v>
      </c>
      <c r="J42" s="48">
        <v>2491</v>
      </c>
      <c r="K42" s="48">
        <v>3242</v>
      </c>
      <c r="L42" s="48">
        <v>10330</v>
      </c>
      <c r="M42" s="48">
        <v>6717</v>
      </c>
      <c r="N42" s="48">
        <v>6808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274</v>
      </c>
      <c r="C43" s="48">
        <v>11418</v>
      </c>
      <c r="D43" s="48">
        <v>14219</v>
      </c>
      <c r="E43" s="48">
        <v>15390</v>
      </c>
      <c r="F43" s="48">
        <v>19216</v>
      </c>
      <c r="G43" s="48">
        <v>19788</v>
      </c>
      <c r="H43" s="48">
        <v>19770</v>
      </c>
      <c r="I43" s="48">
        <v>21411</v>
      </c>
      <c r="J43" s="48">
        <v>27528</v>
      </c>
      <c r="K43" s="48">
        <v>34766</v>
      </c>
      <c r="L43" s="48">
        <v>28173</v>
      </c>
      <c r="M43" s="48">
        <v>30149</v>
      </c>
      <c r="N43" s="48">
        <v>33869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66289</v>
      </c>
      <c r="D44" s="48">
        <v>75098</v>
      </c>
      <c r="E44" s="48">
        <v>83148</v>
      </c>
      <c r="F44" s="48">
        <v>79349</v>
      </c>
      <c r="G44" s="48">
        <v>84066</v>
      </c>
      <c r="H44" s="48">
        <v>91800</v>
      </c>
      <c r="I44" s="48">
        <v>107511</v>
      </c>
      <c r="J44" s="48">
        <v>116729</v>
      </c>
      <c r="K44" s="48">
        <v>124596</v>
      </c>
      <c r="L44" s="48">
        <v>136020</v>
      </c>
      <c r="M44" s="48">
        <v>147795</v>
      </c>
      <c r="N44" s="48">
        <v>154288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4417</v>
      </c>
      <c r="T45">
        <v>2330</v>
      </c>
      <c r="U45">
        <v>-10072</v>
      </c>
      <c r="V45">
        <v>-2754</v>
      </c>
      <c r="W45">
        <v>-303</v>
      </c>
      <c r="X45">
        <v>-919</v>
      </c>
      <c r="Y45">
        <v>6065</v>
      </c>
      <c r="Z45">
        <v>-7242</v>
      </c>
      <c r="AA45">
        <v>-5299</v>
      </c>
      <c r="AB45">
        <v>2613</v>
      </c>
      <c r="AC45">
        <v>9669</v>
      </c>
      <c r="AD45">
        <v>-2254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339</v>
      </c>
      <c r="AS55" t="s">
        <v>340</v>
      </c>
      <c r="AT55" t="s">
        <v>209</v>
      </c>
      <c r="AU55" t="s">
        <v>210</v>
      </c>
      <c r="AV55" t="s">
        <v>94</v>
      </c>
      <c r="AW55" t="s">
        <v>212</v>
      </c>
      <c r="AX55" t="s">
        <v>211</v>
      </c>
      <c r="AZ55" t="s">
        <v>207</v>
      </c>
      <c r="BA55" t="s">
        <v>208</v>
      </c>
    </row>
    <row r="56" spans="11:58" x14ac:dyDescent="0.3">
      <c r="K56" t="s">
        <v>202</v>
      </c>
      <c r="L56" t="s">
        <v>8616</v>
      </c>
      <c r="M56">
        <v>1051</v>
      </c>
      <c r="N56">
        <v>404.8</v>
      </c>
      <c r="AR56">
        <v>761607.42</v>
      </c>
      <c r="AS56">
        <f>AZ56-BA56</f>
        <v>152321.49</v>
      </c>
      <c r="AT56">
        <f>AR56+AS56</f>
        <v>913928.91</v>
      </c>
      <c r="AU56">
        <v>289100</v>
      </c>
      <c r="AV56">
        <f t="shared" ref="AV56:AV65" si="0">AT56/AX56</f>
        <v>14499.90337934317</v>
      </c>
      <c r="AW56">
        <v>53680</v>
      </c>
      <c r="AX56">
        <v>63.03</v>
      </c>
      <c r="AZ56">
        <v>190401.86</v>
      </c>
      <c r="BA56">
        <v>38080.370000000003</v>
      </c>
    </row>
    <row r="57" spans="11:58" x14ac:dyDescent="0.3">
      <c r="K57">
        <v>1</v>
      </c>
      <c r="L57" t="s">
        <v>6499</v>
      </c>
      <c r="M57">
        <v>2105</v>
      </c>
      <c r="N57">
        <v>361.81</v>
      </c>
      <c r="AR57">
        <v>426682.56</v>
      </c>
      <c r="AS57">
        <f>AZ57-BA57</f>
        <v>-13025</v>
      </c>
      <c r="AT57">
        <f>AR57+AS57</f>
        <v>413657.56</v>
      </c>
      <c r="AU57">
        <v>192844</v>
      </c>
      <c r="AV57">
        <f t="shared" si="0"/>
        <v>10354.381977471839</v>
      </c>
      <c r="AW57">
        <v>31100</v>
      </c>
      <c r="AX57">
        <v>39.950000000000003</v>
      </c>
      <c r="AZ57">
        <v>9176</v>
      </c>
      <c r="BA57">
        <v>22201</v>
      </c>
    </row>
    <row r="58" spans="11:58" x14ac:dyDescent="0.3">
      <c r="K58">
        <v>2</v>
      </c>
      <c r="L58" t="s">
        <v>8617</v>
      </c>
      <c r="M58">
        <v>1051.4000000000001</v>
      </c>
      <c r="N58">
        <v>405.82</v>
      </c>
      <c r="AR58">
        <v>339018.18</v>
      </c>
      <c r="AS58">
        <f>AZ58-BA58</f>
        <v>67803.62999999999</v>
      </c>
      <c r="AT58">
        <f>AR58+AS58</f>
        <v>406821.81</v>
      </c>
      <c r="AU58">
        <v>138316</v>
      </c>
      <c r="AV58">
        <f t="shared" si="0"/>
        <v>13382.296381578948</v>
      </c>
      <c r="AW58">
        <v>18504</v>
      </c>
      <c r="AX58">
        <v>30.4</v>
      </c>
      <c r="AZ58">
        <v>84754.54</v>
      </c>
      <c r="BA58">
        <v>16950.91</v>
      </c>
    </row>
    <row r="59" spans="11:58" x14ac:dyDescent="0.3">
      <c r="K59">
        <v>3</v>
      </c>
      <c r="L59" t="s">
        <v>8618</v>
      </c>
      <c r="M59">
        <v>1249.3</v>
      </c>
      <c r="N59">
        <v>271.37</v>
      </c>
      <c r="AR59">
        <v>165244.04</v>
      </c>
      <c r="AS59">
        <f>AZ59-BA59</f>
        <v>33048.81</v>
      </c>
      <c r="AT59">
        <f>AR59+AS59</f>
        <v>198292.85</v>
      </c>
      <c r="AU59">
        <v>97914.4</v>
      </c>
      <c r="AV59">
        <f t="shared" si="0"/>
        <v>11115.070067264574</v>
      </c>
      <c r="AW59">
        <v>13425.2</v>
      </c>
      <c r="AX59">
        <v>17.84</v>
      </c>
      <c r="AZ59">
        <v>41311.01</v>
      </c>
      <c r="BA59">
        <v>8262.2000000000007</v>
      </c>
    </row>
    <row r="60" spans="11:58" x14ac:dyDescent="0.3">
      <c r="K60">
        <v>4</v>
      </c>
      <c r="L60" t="s">
        <v>8619</v>
      </c>
      <c r="M60">
        <v>166.83</v>
      </c>
      <c r="N60">
        <v>990.49</v>
      </c>
      <c r="AR60">
        <v>150656.35999999999</v>
      </c>
      <c r="AS60">
        <f>AZ60-BA60</f>
        <v>30131.269999999997</v>
      </c>
      <c r="AT60">
        <f>AR60+AS60</f>
        <v>180787.62999999998</v>
      </c>
      <c r="AU60">
        <v>62847.6</v>
      </c>
      <c r="AV60">
        <f t="shared" si="0"/>
        <v>7819.534169550172</v>
      </c>
      <c r="AW60">
        <v>5945.2</v>
      </c>
      <c r="AX60">
        <v>23.12</v>
      </c>
      <c r="AZ60">
        <v>37664.089999999997</v>
      </c>
      <c r="BA60">
        <v>7532.82</v>
      </c>
    </row>
    <row r="61" spans="11:58" x14ac:dyDescent="0.3">
      <c r="K61">
        <v>5</v>
      </c>
      <c r="L61" t="s">
        <v>8620</v>
      </c>
      <c r="M61">
        <v>1537.1</v>
      </c>
      <c r="N61">
        <v>98.01</v>
      </c>
      <c r="AR61">
        <v>126808.58</v>
      </c>
      <c r="AS61">
        <f>AZ61-BA61</f>
        <v>25361.72</v>
      </c>
      <c r="AT61">
        <f>AR61+AS61</f>
        <v>152170.29999999999</v>
      </c>
      <c r="AU61">
        <v>46432</v>
      </c>
      <c r="AV61">
        <f t="shared" si="0"/>
        <v>5140.8885135135133</v>
      </c>
      <c r="AW61">
        <v>5874.4</v>
      </c>
      <c r="AX61">
        <v>29.6</v>
      </c>
      <c r="AZ61">
        <v>31702.15</v>
      </c>
      <c r="BA61">
        <v>6340.43</v>
      </c>
    </row>
    <row r="62" spans="11:58" x14ac:dyDescent="0.3">
      <c r="K62">
        <v>6</v>
      </c>
      <c r="L62" t="s">
        <v>118</v>
      </c>
      <c r="M62">
        <v>4275.1000000000004</v>
      </c>
      <c r="N62">
        <v>29.66</v>
      </c>
      <c r="AR62">
        <v>103594.09</v>
      </c>
      <c r="AS62">
        <f>AZ62-BA62</f>
        <v>20718.82</v>
      </c>
      <c r="AT62">
        <f>AR62+AS62</f>
        <v>124312.91</v>
      </c>
      <c r="AU62">
        <v>12500.8</v>
      </c>
      <c r="AV62">
        <f t="shared" si="0"/>
        <v>2745.4264575971733</v>
      </c>
      <c r="AW62">
        <v>5662</v>
      </c>
      <c r="AX62">
        <v>45.28</v>
      </c>
      <c r="AZ62">
        <v>25898.52</v>
      </c>
      <c r="BA62">
        <v>5179.7</v>
      </c>
    </row>
    <row r="63" spans="11:58" x14ac:dyDescent="0.3">
      <c r="K63">
        <v>7</v>
      </c>
      <c r="L63" t="s">
        <v>8621</v>
      </c>
      <c r="M63">
        <v>11896</v>
      </c>
      <c r="N63">
        <v>8.7100000000000009</v>
      </c>
      <c r="AR63">
        <v>85437.4</v>
      </c>
      <c r="AS63">
        <f>AZ63-BA63</f>
        <v>17087.48</v>
      </c>
      <c r="AT63">
        <f>AR63+AS63</f>
        <v>102524.87999999999</v>
      </c>
      <c r="AU63">
        <v>17212.919999999998</v>
      </c>
      <c r="AV63">
        <f t="shared" si="0"/>
        <v>2983.844004656577</v>
      </c>
      <c r="AW63">
        <v>1932.16</v>
      </c>
      <c r="AX63">
        <v>34.36</v>
      </c>
      <c r="AZ63">
        <v>21359.35</v>
      </c>
      <c r="BA63">
        <v>4271.87</v>
      </c>
    </row>
    <row r="64" spans="11:58" x14ac:dyDescent="0.3">
      <c r="K64">
        <v>8</v>
      </c>
      <c r="L64" t="s">
        <v>8622</v>
      </c>
      <c r="M64">
        <v>5416</v>
      </c>
      <c r="N64">
        <v>15.77</v>
      </c>
      <c r="AR64">
        <v>81552.27</v>
      </c>
      <c r="AS64">
        <f>AZ64-BA64</f>
        <v>16310.46</v>
      </c>
      <c r="AT64">
        <f>AR64+AS64</f>
        <v>97862.73000000001</v>
      </c>
      <c r="AU64">
        <v>22110.799999999999</v>
      </c>
      <c r="AV64">
        <f t="shared" si="0"/>
        <v>4164.3714893617025</v>
      </c>
      <c r="AW64">
        <v>2126.8000000000002</v>
      </c>
      <c r="AX64">
        <v>23.5</v>
      </c>
      <c r="AZ64">
        <v>20388.07</v>
      </c>
      <c r="BA64">
        <v>4077.61</v>
      </c>
    </row>
    <row r="65" spans="11:53" x14ac:dyDescent="0.3">
      <c r="K65">
        <v>9</v>
      </c>
      <c r="L65" t="s">
        <v>8623</v>
      </c>
      <c r="M65">
        <v>1841</v>
      </c>
      <c r="N65">
        <v>44.3</v>
      </c>
      <c r="AR65">
        <v>43925.99</v>
      </c>
      <c r="AS65">
        <f>AZ65-BA65</f>
        <v>8785.2000000000007</v>
      </c>
      <c r="AT65">
        <f>AR65+AS65</f>
        <v>52711.19</v>
      </c>
      <c r="AU65">
        <v>17536.2</v>
      </c>
      <c r="AV65">
        <f t="shared" si="0"/>
        <v>2386.2014486192847</v>
      </c>
      <c r="AW65">
        <v>1958.04</v>
      </c>
      <c r="AX65">
        <v>22.09</v>
      </c>
      <c r="AZ65">
        <v>10981.5</v>
      </c>
      <c r="BA65">
        <v>2196.3000000000002</v>
      </c>
    </row>
    <row r="66" spans="11:53" x14ac:dyDescent="0.3">
      <c r="K66">
        <v>10</v>
      </c>
      <c r="L66" t="s">
        <v>8624</v>
      </c>
      <c r="M66">
        <v>2300.4</v>
      </c>
      <c r="N66">
        <v>19.09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2026-09-19T11:34:29Z</dcterms:modified>
</cp:coreProperties>
</file>