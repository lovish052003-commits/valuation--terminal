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32">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s>
  <fills count="18">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34">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N7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t="inlineStr">
        <is>
          <t>Hindustan Unilever Ltd (HINDUNILVR) - Institutional Equity Valuation Model</t>
        </is>
      </c>
    </row>
    <row r="2"/>
    <row r="3"/>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row>
    <row r="5" ht="15.6" customHeight="1" s="176">
      <c r="A5" s="211">
        <f>DCF!D44</f>
        <v/>
      </c>
      <c r="B5" s="211">
        <f>DCF!D42</f>
        <v/>
      </c>
      <c r="C5" s="212">
        <f>(B5-A5)/A5</f>
        <v/>
      </c>
      <c r="D5" s="212">
        <f>(B5-A5)/B5</f>
        <v/>
      </c>
      <c r="E5" s="213">
        <f>IF(C5&gt;0.15,"UNDERVALUED / BUY",IF(C5&lt;-0.15,"OVERVALUED / SELL","FAIRLY VALUED / HOLD"))</f>
        <v/>
      </c>
      <c r="F5" s="213">
        <f>DCF!D20</f>
        <v/>
      </c>
      <c r="G5" s="214">
        <f>'Altman''s Z Score'!I89</f>
        <v/>
      </c>
      <c r="H5" s="213">
        <f>'Dupont Analysis'!I78</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(RBI 10Y G-Sec)</t>
        </is>
      </c>
    </row>
    <row r="11">
      <c r="A11" s="37" t="n"/>
      <c r="B11" s="216" t="inlineStr">
        <is>
          <t>Equity Risk Premium (ERP)</t>
        </is>
      </c>
      <c r="C11" s="217">
        <f>WACC!K27</f>
        <v/>
      </c>
      <c r="D11" s="218" t="inlineStr">
        <is>
          <t>% (Damodaran)</t>
        </is>
      </c>
    </row>
    <row r="12">
      <c r="B12" s="216" t="inlineStr">
        <is>
          <t>Levered Beta</t>
        </is>
      </c>
      <c r="C12" s="219">
        <f>WACC!K28</f>
        <v/>
      </c>
      <c r="D12" s="218" t="inlineStr">
        <is>
          <t>Regression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5">
        <f>DCF!D37</f>
        <v/>
      </c>
      <c r="D16" s="224" t="inlineStr">
        <is>
          <t>₹ Cr</t>
        </is>
      </c>
      <c r="E16" s="172" t="n"/>
      <c r="F16" s="173" t="n"/>
      <c r="G16" s="172" t="n"/>
    </row>
    <row r="17">
      <c r="A17" s="180" t="n"/>
      <c r="B17" s="223" t="inlineStr">
        <is>
          <t>Total Debt &amp; Borrowings</t>
        </is>
      </c>
      <c r="C17" s="225">
        <f>DCF!D38</f>
        <v/>
      </c>
      <c r="D17" s="224" t="inlineStr">
        <is>
          <t>₹ Cr</t>
        </is>
      </c>
      <c r="E17" s="172" t="n"/>
      <c r="F17" s="173" t="n"/>
      <c r="G17" s="172" t="n"/>
    </row>
    <row r="18">
      <c r="A18" s="180" t="n"/>
      <c r="B18" s="223" t="inlineStr">
        <is>
          <t>Shares Outstanding</t>
        </is>
      </c>
      <c r="C18" s="226">
        <f>DCF!D40</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Net Equity Value</t>
        </is>
      </c>
      <c r="C35" s="225">
        <f>DCF!D39</f>
        <v/>
      </c>
      <c r="D35" s="218" t="inlineStr">
        <is>
          <t>₹ Cr</t>
        </is>
      </c>
    </row>
    <row r="36">
      <c r="B36" s="216" t="inlineStr">
        <is>
          <t>Shares Outstanding</t>
        </is>
      </c>
      <c r="C36" s="226">
        <f>DCF!D40</f>
        <v/>
      </c>
      <c r="D36" s="218" t="inlineStr">
        <is>
          <t>Cr shares</t>
        </is>
      </c>
    </row>
    <row r="37">
      <c r="B37" s="216" t="inlineStr">
        <is>
          <t>Intrinsic Value per Share</t>
        </is>
      </c>
      <c r="C37" s="225">
        <f>DCF!D42</f>
        <v/>
      </c>
      <c r="D37" s="218" t="inlineStr">
        <is>
          <t>₹</t>
        </is>
      </c>
    </row>
    <row r="38">
      <c r="B38" s="216" t="inlineStr">
        <is>
          <t>Current Market Price</t>
        </is>
      </c>
      <c r="C38" s="225">
        <f>DCF!D44</f>
        <v/>
      </c>
      <c r="D38" s="218" t="inlineStr">
        <is>
          <t>₹</t>
        </is>
      </c>
    </row>
    <row r="39">
      <c r="B39" s="216" t="inlineStr">
        <is>
          <t>Upside / (Downside)</t>
        </is>
      </c>
      <c r="C39" s="233">
        <f>(C37-C38)/C38</f>
        <v/>
      </c>
      <c r="D39" s="218" t="inlineStr">
        <is>
          <t>%</t>
        </is>
      </c>
    </row>
    <row r="40">
      <c r="B40" s="216" t="inlineStr">
        <is>
          <t>Margin of Safety (Standard)</t>
        </is>
      </c>
      <c r="C40" s="233">
        <f>(C37-C38)/C37</f>
        <v/>
      </c>
      <c r="D40" s="218" t="inlineStr">
        <is>
          <t>%</t>
        </is>
      </c>
    </row>
    <row r="41"/>
    <row r="42"/>
    <row r="43">
      <c r="B43" s="215" t="inlineStr">
        <is>
          <t>Pillar 4: Relative Multiples Implied Valuation &amp; Synthesis</t>
        </is>
      </c>
    </row>
    <row r="44">
      <c r="B44" s="216" t="inlineStr">
        <is>
          <t>Peer P/E Implied Price</t>
        </is>
      </c>
      <c r="C44" s="225">
        <f>IF(ISNUMBER(Comp_Valuation!Q25), Comp_Valuation!Q25*'Data Sheet'!K30/'Data Sheet'!B6, 'Data Sheet'!B8)</f>
        <v/>
      </c>
      <c r="D44" s="218" t="inlineStr">
        <is>
          <t>₹</t>
        </is>
      </c>
    </row>
    <row r="45">
      <c r="B45" s="216" t="inlineStr">
        <is>
          <t>Peer EV/EBITDA Implied Price</t>
        </is>
      </c>
      <c r="C45" s="225">
        <f>IF(ISNUMBER(Comp_Valuation!P25), (Comp_Valuation!P25*'Data Sheet'!K32+DCF!D37-DCF!D38)/'Data Sheet'!B6, 'Data Sheet'!B8)</f>
        <v/>
      </c>
      <c r="D45" s="218" t="inlineStr">
        <is>
          <t>₹</t>
        </is>
      </c>
    </row>
    <row r="46">
      <c r="B46" s="216" t="inlineStr">
        <is>
          <t>DCF Model Intrinsic Price</t>
        </is>
      </c>
      <c r="C46" s="225">
        <f>DCF!D42</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1478</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4359</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2349600000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234.96</v>
      </c>
      <c r="C93" s="198" t="n">
        <v>234.96</v>
      </c>
      <c r="D93" s="198" t="n">
        <v>234.96</v>
      </c>
      <c r="E93" s="198" t="n">
        <v>234.96</v>
      </c>
      <c r="F93" s="198" t="n">
        <v>234.96</v>
      </c>
      <c r="G93" s="198" t="n">
        <v>234.96</v>
      </c>
      <c r="H93" s="198" t="n">
        <v>234.96</v>
      </c>
      <c r="I93" s="198" t="n">
        <v>234.96</v>
      </c>
      <c r="J93" s="198" t="n">
        <v>234.96</v>
      </c>
      <c r="K93" s="198" t="n">
        <v>234.96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0.58</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0.72</v>
      </c>
      <c r="K17" s="47">
        <f>J17/(1+(1-G17)*H17)</f>
        <v/>
      </c>
    </row>
    <row r="18">
      <c r="B18" s="119">
        <f>'Raw Data'!O28</f>
        <v/>
      </c>
      <c r="C18" s="119" t="n"/>
      <c r="D18" s="119">
        <f>'Raw Data'!Q28</f>
        <v/>
      </c>
      <c r="E18" s="124">
        <f>'Raw Data'!R28</f>
        <v/>
      </c>
      <c r="F18" s="124">
        <f>'Raw Data'!S28</f>
        <v/>
      </c>
      <c r="G18" s="120">
        <f>'Raw Data'!T28</f>
        <v/>
      </c>
      <c r="H18" s="36">
        <f>E18/F18</f>
        <v/>
      </c>
      <c r="I18" s="36">
        <f>E18/SUM(E18:F18)</f>
        <v/>
      </c>
      <c r="J18" t="n">
        <v>0.65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0.078</v>
      </c>
      <c r="G26" t="inlineStr">
        <is>
          <t>Risk Free Rate (RBI 10Y G-Sec)</t>
        </is>
      </c>
      <c r="K26" s="121" t="n">
        <v>0.07000000000000001</v>
      </c>
    </row>
    <row r="27">
      <c r="B27" t="inlineStr">
        <is>
          <t>Tax Rate</t>
        </is>
      </c>
      <c r="E27" s="46">
        <f>'Raw Data'!T24</f>
        <v/>
      </c>
      <c r="G27" t="inlineStr">
        <is>
          <t>Equity Risk Premium (Damodaran)</t>
        </is>
      </c>
      <c r="K27" s="121" t="n">
        <v>0.065</v>
      </c>
    </row>
    <row r="28">
      <c r="B28" s="67" t="inlineStr">
        <is>
          <t>Post-Tax Cost of Debt</t>
        </is>
      </c>
      <c r="C28" s="64" t="n"/>
      <c r="D28" s="64" t="n"/>
      <c r="E28" s="66">
        <f>E26*(1-E27)</f>
        <v/>
      </c>
      <c r="G28" t="inlineStr">
        <is>
          <t>Levered Beta (Regression Beta-Regression!O11)</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H48</f>
        <v/>
      </c>
      <c r="J48" s="81">
        <f>H48</f>
        <v/>
      </c>
      <c r="K48" s="81">
        <f>H48</f>
        <v/>
      </c>
      <c r="L48" s="81">
        <f>H48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t="inlineStr">
        <is>
          <t>-</t>
        </is>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'Intrinsic Valuation'!$L$55)</f>
        <v/>
      </c>
      <c r="J11" s="81">
        <f>MIN(0.85, $I$11+($M$11-$I$11)/4*1)</f>
        <v/>
      </c>
      <c r="K11" s="81">
        <f>MIN(0.85, $I$11+($M$11-$I$11)/4*2)</f>
        <v/>
      </c>
      <c r="L11" s="81">
        <f>MIN(0.85, $I$11+($M$11-$I$11)/4*3)</f>
        <v/>
      </c>
      <c r="M11" s="81">
        <f>MIN(0.85, 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Valuation'!L65</f>
        <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D19/D22</f>
        <v/>
      </c>
    </row>
    <row r="22">
      <c r="B22" t="inlineStr">
        <is>
          <t>Terminal ROIC (Stable)</t>
        </is>
      </c>
      <c r="D22" s="46">
        <f>MAX(0.15, MIN(0.25, 'Intrinsic Valuation'!L40))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 &amp; Liquid Investments</t>
        </is>
      </c>
      <c r="D37" s="107">
        <f>'Data Sheet'!K69+'Data Sheet'!K64</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f>'Data Sheet'!B8</f>
        <v/>
      </c>
    </row>
    <row r="45">
      <c r="B45" t="inlineStr">
        <is>
          <t>Upside / (Downside)</t>
        </is>
      </c>
      <c r="D45" s="165">
        <f>D42/D44-1</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ITC Ltd</t>
        </is>
      </c>
      <c r="P12" t="n">
        <v>465</v>
      </c>
      <c r="Q12">
        <f>IF(P12&gt;0, R12/P12, 0)</f>
        <v/>
      </c>
      <c r="R12" t="n">
        <v>580000</v>
      </c>
      <c r="S12" t="n">
        <v>2399</v>
      </c>
      <c r="T12" t="n">
        <v>38128</v>
      </c>
      <c r="U12">
        <f>R12+S12-T12</f>
        <v/>
      </c>
      <c r="V12" t="n">
        <v>76488</v>
      </c>
      <c r="W12">
        <f>IF(X12&gt;0, U12/(X12*1.5), 15.0)</f>
        <v/>
      </c>
      <c r="X12" t="n">
        <v>20183</v>
      </c>
    </row>
    <row r="13">
      <c r="B13" t="n">
        <v>2018</v>
      </c>
      <c r="C13" s="46" t="n">
        <v>0.0315</v>
      </c>
      <c r="G13" s="34" t="n">
        <v>46273</v>
      </c>
      <c r="H13" t="n">
        <v>12641</v>
      </c>
      <c r="J13" t="n">
        <v>23635.1</v>
      </c>
      <c r="N13" t="n">
        <v>2</v>
      </c>
      <c r="O13" t="inlineStr">
        <is>
          <t>Nestle India</t>
        </is>
      </c>
      <c r="P13" t="n">
        <v>2250</v>
      </c>
      <c r="Q13">
        <f>IF(P13&gt;0, R13/P13, 0)</f>
        <v/>
      </c>
      <c r="R13" t="n">
        <v>217000</v>
      </c>
      <c r="S13" t="n">
        <v>444</v>
      </c>
      <c r="T13" t="n">
        <v>2100</v>
      </c>
      <c r="U13">
        <f>R13+S13-T13</f>
        <v/>
      </c>
      <c r="V13" t="n">
        <v>19800</v>
      </c>
      <c r="W13">
        <f>IF(X13&gt;0, U13/(X13*1.5), 15.0)</f>
        <v/>
      </c>
      <c r="X13" t="n">
        <v>3100</v>
      </c>
    </row>
    <row r="14">
      <c r="B14" t="n">
        <v>2017</v>
      </c>
      <c r="C14" s="46" t="n">
        <v>0.2865</v>
      </c>
      <c r="G14" s="34" t="n">
        <v>46272</v>
      </c>
      <c r="H14" t="n">
        <v>12760</v>
      </c>
      <c r="J14" t="n">
        <v>23779.15</v>
      </c>
      <c r="N14" t="n">
        <v>3</v>
      </c>
      <c r="O14" t="inlineStr">
        <is>
          <t>Hindustan Unilever Ltd</t>
        </is>
      </c>
      <c r="P14" t="n">
        <v>1841</v>
      </c>
      <c r="Q14">
        <f>IF(P14&gt;0, R14/P14, 0)</f>
        <v/>
      </c>
      <c r="R14" t="n">
        <v>431951</v>
      </c>
      <c r="S14" t="n">
        <v>1478</v>
      </c>
      <c r="T14" t="n">
        <v>5939</v>
      </c>
      <c r="U14">
        <f>R14+S14-T14</f>
        <v/>
      </c>
      <c r="V14" t="n">
        <v>61896</v>
      </c>
      <c r="W14">
        <f>IF(X14&gt;0, U14/(X14*1.5), 15.0)</f>
        <v/>
      </c>
      <c r="X14" t="n">
        <v>10280</v>
      </c>
    </row>
    <row r="15">
      <c r="B15" t="n">
        <v>2016</v>
      </c>
      <c r="C15" s="46" t="n">
        <v>0.0301</v>
      </c>
      <c r="G15" s="34" t="n">
        <v>46269</v>
      </c>
      <c r="H15" t="n">
        <v>12694</v>
      </c>
      <c r="J15" t="n">
        <v>23897.7</v>
      </c>
      <c r="N15" t="n">
        <v>4</v>
      </c>
      <c r="O15" t="inlineStr">
        <is>
          <t>Varun Beverages</t>
        </is>
      </c>
      <c r="P15" t="n">
        <v>580</v>
      </c>
      <c r="Q15">
        <f>IF(P15&gt;0, R15/P15, 0)</f>
        <v/>
      </c>
      <c r="R15" t="n">
        <v>188000</v>
      </c>
      <c r="S15" t="n">
        <v>2508</v>
      </c>
      <c r="T15" t="n">
        <v>1200</v>
      </c>
      <c r="U15">
        <f>R15+S15-T15</f>
        <v/>
      </c>
      <c r="V15" t="n">
        <v>18500</v>
      </c>
      <c r="W15">
        <f>IF(X15&gt;0, U15/(X15*1.5), 15.0)</f>
        <v/>
      </c>
      <c r="X15" t="n">
        <v>2300</v>
      </c>
    </row>
    <row r="16">
      <c r="B16" t="n">
        <v>2015</v>
      </c>
      <c r="C16" s="46" t="n">
        <v>-0.0406</v>
      </c>
      <c r="G16" s="34" t="n">
        <v>46268</v>
      </c>
      <c r="H16" t="n">
        <v>12857</v>
      </c>
      <c r="J16" t="n">
        <v>23873.45</v>
      </c>
      <c r="N16" t="n">
        <v>5</v>
      </c>
      <c r="O16" t="inlineStr">
        <is>
          <t>Britannia Industries</t>
        </is>
      </c>
      <c r="P16" t="n">
        <v>5200</v>
      </c>
      <c r="Q16">
        <f>IF(P16&gt;0, R16/P16, 0)</f>
        <v/>
      </c>
      <c r="R16" t="n">
        <v>125000</v>
      </c>
      <c r="S16" t="n">
        <v>1380</v>
      </c>
      <c r="T16" t="n">
        <v>3610</v>
      </c>
      <c r="U16">
        <f>R16+S16-T16</f>
        <v/>
      </c>
      <c r="V16" t="n">
        <v>17200</v>
      </c>
      <c r="W16">
        <f>IF(X16&gt;0, U16/(X16*1.5), 15.0)</f>
        <v/>
      </c>
      <c r="X16" t="n">
        <v>2250</v>
      </c>
    </row>
    <row r="17">
      <c r="B17" t="n">
        <v>2014</v>
      </c>
      <c r="C17" s="46" t="n">
        <v>0.3139</v>
      </c>
      <c r="G17" s="34" t="n">
        <v>46267</v>
      </c>
      <c r="H17" t="n">
        <v>12849</v>
      </c>
      <c r="J17" t="n">
        <v>23914.45</v>
      </c>
      <c r="N17" t="n">
        <v>6</v>
      </c>
      <c r="O17" t="inlineStr">
        <is>
          <t>Godrej Consumer</t>
        </is>
      </c>
      <c r="P17" t="n">
        <v>1200</v>
      </c>
      <c r="Q17">
        <f>IF(P17&gt;0, R17/P17, 0)</f>
        <v/>
      </c>
      <c r="R17" t="n">
        <v>122000</v>
      </c>
      <c r="S17" t="n">
        <v>4421</v>
      </c>
      <c r="T17" t="n">
        <v>2767</v>
      </c>
      <c r="U17">
        <f>R17+S17-T17</f>
        <v/>
      </c>
      <c r="V17" t="n">
        <v>14200</v>
      </c>
      <c r="W17">
        <f>IF(X17&gt;0, U17/(X17*1.5), 15.0)</f>
        <v/>
      </c>
      <c r="X17" t="n">
        <v>1950</v>
      </c>
    </row>
    <row r="18">
      <c r="B18" t="n">
        <v>2013</v>
      </c>
      <c r="C18" s="46" t="n">
        <v>0.06759999999999999</v>
      </c>
      <c r="G18" s="34" t="n">
        <v>46266</v>
      </c>
      <c r="H18" t="n">
        <v>12950</v>
      </c>
      <c r="J18" t="n">
        <v>24055.8</v>
      </c>
      <c r="N18" t="n">
        <v>7</v>
      </c>
      <c r="O18" t="inlineStr">
        <is>
          <t>Dabur India</t>
        </is>
      </c>
      <c r="P18" t="n">
        <v>540</v>
      </c>
      <c r="Q18">
        <f>IF(P18&gt;0, R18/P18, 0)</f>
        <v/>
      </c>
      <c r="R18" t="n">
        <v>95000</v>
      </c>
      <c r="S18" t="n">
        <v>1120</v>
      </c>
      <c r="T18" t="n">
        <v>1450</v>
      </c>
      <c r="U18">
        <f>R18+S18-T18</f>
        <v/>
      </c>
      <c r="V18" t="n">
        <v>12500</v>
      </c>
      <c r="W18">
        <f>IF(X18&gt;0, U18/(X18*1.5), 15.0)</f>
        <v/>
      </c>
      <c r="X18" t="n">
        <v>1850</v>
      </c>
    </row>
    <row r="19">
      <c r="B19" t="n">
        <v>2012</v>
      </c>
      <c r="C19" s="46" t="n">
        <v>0.277</v>
      </c>
      <c r="G19" s="34" t="n">
        <v>46265</v>
      </c>
      <c r="H19" t="n">
        <v>13547</v>
      </c>
      <c r="J19" t="n">
        <v>24080.4</v>
      </c>
      <c r="N19" t="n">
        <v>8</v>
      </c>
      <c r="O19" t="inlineStr">
        <is>
          <t>Marico Ltd</t>
        </is>
      </c>
      <c r="P19" t="n">
        <v>640</v>
      </c>
      <c r="Q19">
        <f>IF(P19&gt;0, R19/P19, 0)</f>
        <v/>
      </c>
      <c r="R19" t="n">
        <v>82000</v>
      </c>
      <c r="S19" t="n">
        <v>557</v>
      </c>
      <c r="T19" t="n">
        <v>2083</v>
      </c>
      <c r="U19">
        <f>R19+S19-T19</f>
        <v/>
      </c>
      <c r="V19" t="n">
        <v>10200</v>
      </c>
      <c r="W19">
        <f>IF(X19&gt;0, U19/(X19*1.5), 15.0)</f>
        <v/>
      </c>
      <c r="X19" t="n">
        <v>1550</v>
      </c>
    </row>
    <row r="20">
      <c r="B20" t="n">
        <v>2011</v>
      </c>
      <c r="C20" s="46" t="n">
        <v>-0.2462</v>
      </c>
      <c r="G20" s="34" t="n">
        <v>46262</v>
      </c>
      <c r="H20" t="n">
        <v>13376</v>
      </c>
      <c r="J20" t="n">
        <v>24175.65</v>
      </c>
      <c r="N20" t="n">
        <v>9</v>
      </c>
      <c r="O20" t="inlineStr">
        <is>
          <t>Colgate-Palmolive</t>
        </is>
      </c>
      <c r="P20" t="n">
        <v>2850</v>
      </c>
      <c r="Q20">
        <f>IF(P20&gt;0, R20/P20, 0)</f>
        <v/>
      </c>
      <c r="R20" t="n">
        <v>77000</v>
      </c>
      <c r="S20" t="n">
        <v>0</v>
      </c>
      <c r="T20" t="n">
        <v>1200</v>
      </c>
      <c r="U20">
        <f>R20+S20-T20</f>
        <v/>
      </c>
      <c r="V20" t="n">
        <v>5800</v>
      </c>
      <c r="W20">
        <f>IF(X20&gt;0, U20/(X20*1.5), 15.0)</f>
        <v/>
      </c>
      <c r="X20" t="n">
        <v>1350</v>
      </c>
    </row>
    <row r="21">
      <c r="B21" t="n">
        <v>2010</v>
      </c>
      <c r="C21" s="46" t="n">
        <v>0.1795</v>
      </c>
      <c r="G21" s="34" t="n">
        <v>46261</v>
      </c>
      <c r="H21" t="n">
        <v>13440</v>
      </c>
      <c r="J21" t="n">
        <v>24090.85</v>
      </c>
      <c r="N21" t="n">
        <v>10</v>
      </c>
      <c r="O21" t="inlineStr">
        <is>
          <t>Hero Motocorp</t>
        </is>
      </c>
      <c r="P21" t="n">
        <v>5285.5</v>
      </c>
      <c r="Q21">
        <f>IF(P21&gt;0, R21/P21, 0)</f>
        <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ITC Ltd</t>
        </is>
      </c>
      <c r="Q24" t="inlineStr">
        <is>
          <t>India</t>
        </is>
      </c>
      <c r="R24" t="n">
        <v>2399</v>
      </c>
      <c r="S24" t="n">
        <v>580000</v>
      </c>
      <c r="T24" s="46" t="n">
        <v>0.2517</v>
      </c>
    </row>
    <row r="25">
      <c r="B25" t="n">
        <v>2006</v>
      </c>
      <c r="C25" s="46" t="n">
        <v>0.3983</v>
      </c>
      <c r="G25" s="34" t="n">
        <v>46255</v>
      </c>
      <c r="H25" t="n">
        <v>13565</v>
      </c>
      <c r="J25" t="n">
        <v>24252</v>
      </c>
      <c r="O25" t="inlineStr">
        <is>
          <t>Nestle India</t>
        </is>
      </c>
      <c r="Q25">
        <f>Q24</f>
        <v/>
      </c>
      <c r="R25" t="n">
        <v>444</v>
      </c>
      <c r="S25" t="n">
        <v>217000</v>
      </c>
      <c r="T25" s="46">
        <f>T24</f>
        <v/>
      </c>
    </row>
    <row r="26">
      <c r="B26" t="n">
        <v>2005</v>
      </c>
      <c r="C26" s="46" t="n">
        <v>0.3634</v>
      </c>
      <c r="G26" s="34" t="n">
        <v>46254</v>
      </c>
      <c r="H26" t="n">
        <v>13809</v>
      </c>
      <c r="J26" t="n">
        <v>24231.85</v>
      </c>
      <c r="O26" t="inlineStr">
        <is>
          <t>Hindustan Unilever Ltd</t>
        </is>
      </c>
      <c r="Q26">
        <f>Q25</f>
        <v/>
      </c>
      <c r="R26" t="n">
        <v>1478</v>
      </c>
      <c r="S26" t="n">
        <v>431951</v>
      </c>
      <c r="T26" s="46">
        <f>T25</f>
        <v/>
      </c>
    </row>
    <row r="27">
      <c r="B27" t="n">
        <v>2004</v>
      </c>
      <c r="C27" s="46" t="n">
        <v>0.1068</v>
      </c>
      <c r="G27" s="34" t="n">
        <v>46253</v>
      </c>
      <c r="H27" t="n">
        <v>13690</v>
      </c>
      <c r="J27" t="n">
        <v>24078.3</v>
      </c>
      <c r="O27" t="inlineStr">
        <is>
          <t>Varun Beverages</t>
        </is>
      </c>
      <c r="Q27">
        <f>Q26</f>
        <v/>
      </c>
      <c r="R27" t="n">
        <v>2508</v>
      </c>
      <c r="S27" t="n">
        <v>188000</v>
      </c>
      <c r="T27" s="46">
        <f>T26</f>
        <v/>
      </c>
    </row>
    <row r="28">
      <c r="B28" t="n">
        <v>2003</v>
      </c>
      <c r="C28" s="46" t="n">
        <v>0.719</v>
      </c>
      <c r="G28" s="34" t="n">
        <v>46252</v>
      </c>
      <c r="H28" t="n">
        <v>13691</v>
      </c>
      <c r="J28" t="n">
        <v>24154.9</v>
      </c>
      <c r="O28" t="inlineStr">
        <is>
          <t>Britannia Industries</t>
        </is>
      </c>
      <c r="Q28">
        <f>Q27</f>
        <v/>
      </c>
      <c r="R28" t="n">
        <v>1380</v>
      </c>
      <c r="S28" t="n">
        <v>125000</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6.5" customWidth="1" style="176" min="2" max="2"/>
    <col width="16.5" customWidth="1" style="176" min="3" max="3"/>
    <col width="16.5" bestFit="1" customWidth="1" style="176" min="4" max="4"/>
    <col width="16.5" customWidth="1" style="176" min="5" max="5"/>
    <col width="16.5" bestFit="1" customWidth="1" style="176" min="6" max="6"/>
    <col width="16.5" bestFit="1" customWidth="1" style="176" min="7" max="7"/>
    <col width="16.5" customWidth="1" style="176" min="8" max="8"/>
    <col width="16.5" customWidth="1" style="176" min="9" max="9"/>
    <col width="16.5" customWidth="1" style="176" min="10" max="10"/>
    <col width="16.5" bestFit="1" customWidth="1" style="176" min="11" max="13"/>
    <col width="16.5" customWidth="1" style="176" min="12" max="12"/>
    <col width="16.5" customWidth="1" style="176" min="13" max="13"/>
    <col width="16.5" customWidth="1" style="176" min="15" max="16"/>
    <col width="16.5" customWidth="1" style="176" min="16" max="16"/>
    <col width="16.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row r="12">
      <c r="B12" s="201">
        <f>'Raw FS'!L57</f>
        <v/>
      </c>
      <c r="C12" s="201" t="n"/>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n"/>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n"/>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n"/>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n"/>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n"/>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n"/>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n"/>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f>'Raw FS'!L65</f>
        <v/>
      </c>
      <c r="C20" s="201" t="n"/>
      <c r="D20" s="202">
        <f>'Raw FS'!M65</f>
        <v/>
      </c>
      <c r="E20" s="202">
        <f>'Raw FS'!N65</f>
        <v/>
      </c>
      <c r="F20" s="202">
        <f>D20*E20</f>
        <v/>
      </c>
      <c r="G20" s="202">
        <f>'Raw FS'!AS65</f>
        <v/>
      </c>
      <c r="H20" s="202">
        <f>'Raw FS'!AT65</f>
        <v/>
      </c>
      <c r="I20" s="201">
        <f>IF(OR(ISBLANK(K20), K20&lt;=0), "N/A", IFERROR($H20/K20, "N/A"))</f>
        <v/>
      </c>
      <c r="J20" s="201">
        <f>IF(OR(ISBLANK(L20), L20&lt;=0), "N/A", IFERROR($H20/L20, "N/A"))</f>
        <v/>
      </c>
      <c r="K20" s="202">
        <f>'Raw FS'!AU65</f>
        <v/>
      </c>
      <c r="L20" s="202">
        <f>'Raw FS'!AV65</f>
        <v/>
      </c>
      <c r="M20" s="202">
        <f>'Raw FS'!AW65</f>
        <v/>
      </c>
      <c r="N20" s="150" t="n"/>
      <c r="O20" s="203">
        <f>IF(OR(ISBLANK(K20), K20&lt;=0), "N/A", IFERROR($H20/K20, "N/A"))</f>
        <v/>
      </c>
      <c r="P20" s="203">
        <f>IF(OR(ISBLANK(L20), L20&lt;=0), "N/A", IFERROR($H20/L20, "N/A"))</f>
        <v/>
      </c>
      <c r="Q20" s="203">
        <f>IF(OR(ISBLANK(M20), M20&lt;=0), "N/A", IFERROR(F20/M20, "N/A"))</f>
        <v/>
      </c>
    </row>
    <row r="21">
      <c r="B21" s="201">
        <f>'Raw FS'!L66</f>
        <v/>
      </c>
      <c r="C21" s="201" t="n"/>
      <c r="D21" s="202">
        <f>'Raw FS'!M66</f>
        <v/>
      </c>
      <c r="E21" s="202">
        <f>'Raw FS'!N66</f>
        <v/>
      </c>
      <c r="F21" s="202">
        <f>D21*E21</f>
        <v/>
      </c>
      <c r="G21" s="202">
        <f>'Raw FS'!AS66</f>
        <v/>
      </c>
      <c r="H21" s="202">
        <f>'Raw FS'!AT66</f>
        <v/>
      </c>
      <c r="I21" s="201">
        <f>IF(OR(ISBLANK(K21), K21&lt;=0), "N/A", IFERROR($H21/K21, "N/A"))</f>
        <v/>
      </c>
      <c r="J21" s="201">
        <f>IF(OR(ISBLANK(L21), L21&lt;=0), "N/A", IFERROR($H21/L21, "N/A"))</f>
        <v/>
      </c>
      <c r="K21" s="202">
        <f>'Raw FS'!AU66</f>
        <v/>
      </c>
      <c r="L21" s="202">
        <f>'Raw FS'!AV66</f>
        <v/>
      </c>
      <c r="M21" s="202">
        <f>'Raw FS'!AW66</f>
        <v/>
      </c>
      <c r="N21" s="150" t="n"/>
      <c r="O21" s="203">
        <f>IF(OR(ISBLANK(K21), K21&lt;=0), "N/A", IFERROR($H21/K21, "N/A"))</f>
        <v/>
      </c>
      <c r="P21" s="203">
        <f>IF(OR(ISBLANK(L21), L21&lt;=0), "N/A", IFERROR($H21/L21, "N/A"))</f>
        <v/>
      </c>
      <c r="Q21" s="203">
        <f>IF(OR(ISBLANK(M21), M21&lt;=0), "N/A", IFERROR(F21/M21, "N/A"))</f>
        <v/>
      </c>
    </row>
    <row r="22" ht="6.6" customHeight="1" s="176"/>
    <row r="23">
      <c r="B23" s="204" t="inlineStr">
        <is>
          <t>High</t>
        </is>
      </c>
      <c r="C23" s="79" t="n"/>
      <c r="D23" s="79" t="n"/>
      <c r="E23" s="79" t="n"/>
      <c r="F23" s="79" t="n"/>
      <c r="G23" s="79" t="n"/>
      <c r="H23" s="79" t="n"/>
      <c r="I23" s="204">
        <f>MAX(I12:I21)</f>
        <v/>
      </c>
      <c r="J23" s="204">
        <f>MAX(J12:J21)</f>
        <v/>
      </c>
      <c r="K23" s="79" t="n"/>
      <c r="L23" s="79" t="n"/>
      <c r="M23" s="79" t="n"/>
      <c r="N23" s="79" t="n"/>
      <c r="O23" s="205">
        <f>MAX(O12:O21)</f>
        <v/>
      </c>
      <c r="P23" s="205">
        <f>MAX(P12:P21)</f>
        <v/>
      </c>
      <c r="Q23" s="205">
        <f>MAX(Q12:Q21)</f>
        <v/>
      </c>
    </row>
    <row r="24">
      <c r="B24" s="204" t="inlineStr">
        <is>
          <t>25th Percentile</t>
        </is>
      </c>
      <c r="C24" s="79" t="n"/>
      <c r="D24" s="79" t="n"/>
      <c r="E24" s="79" t="n"/>
      <c r="F24" s="79" t="n"/>
      <c r="G24" s="79" t="n"/>
      <c r="H24" s="79" t="n"/>
      <c r="I24" s="204">
        <f>_xlfn.QUARTILE.INC(I12:I21,1)</f>
        <v/>
      </c>
      <c r="J24" s="204">
        <f>_xlfn.QUARTILE.INC(J12:J21,1)</f>
        <v/>
      </c>
      <c r="K24" s="79" t="n"/>
      <c r="L24" s="79" t="n"/>
      <c r="M24" s="79" t="n"/>
      <c r="N24" s="79" t="n"/>
      <c r="O24" s="206">
        <f>_xlfn.QUARTILE.INC(O12:O21,1)</f>
        <v/>
      </c>
      <c r="P24" s="206">
        <f>_xlfn.QUARTILE.INC(P12:P21,1)</f>
        <v/>
      </c>
      <c r="Q24" s="206">
        <f>_xlfn.QUARTILE.INC(Q12:Q21,1)</f>
        <v/>
      </c>
    </row>
    <row r="25">
      <c r="B25" s="152" t="inlineStr">
        <is>
          <t>Median</t>
        </is>
      </c>
      <c r="C25" s="152" t="n"/>
      <c r="D25" s="152" t="n"/>
      <c r="E25" s="152" t="n"/>
      <c r="F25" s="152" t="n"/>
      <c r="G25" s="152" t="n"/>
      <c r="H25" s="152" t="n"/>
      <c r="I25" s="152">
        <f>MEDIAN(I12:I21)</f>
        <v/>
      </c>
      <c r="J25" s="152">
        <f>MEDIAN(J12:J21)</f>
        <v/>
      </c>
      <c r="K25" s="152" t="n"/>
      <c r="L25" s="152" t="n"/>
      <c r="M25" s="152" t="n"/>
      <c r="N25" s="152" t="n"/>
      <c r="O25" s="153">
        <f>MEDIAN(O12:O21)</f>
        <v/>
      </c>
      <c r="P25" s="153">
        <f>MEDIAN(P12:P21)</f>
        <v/>
      </c>
      <c r="Q25" s="153">
        <f>MEDIAN(Q12:Q21)</f>
        <v/>
      </c>
    </row>
    <row r="26">
      <c r="B26" s="152" t="inlineStr">
        <is>
          <t>Average</t>
        </is>
      </c>
      <c r="C26" s="152" t="n"/>
      <c r="D26" s="152" t="n"/>
      <c r="E26" s="152" t="n"/>
      <c r="F26" s="152" t="n"/>
      <c r="G26" s="152" t="n"/>
      <c r="H26" s="152" t="n"/>
      <c r="I26" s="152">
        <f>AVERAGE(I12:I21)</f>
        <v/>
      </c>
      <c r="J26" s="152">
        <f>AVERAGE(J12:J21)</f>
        <v/>
      </c>
      <c r="K26" s="152" t="n"/>
      <c r="L26" s="152" t="n"/>
      <c r="M26" s="152" t="n"/>
      <c r="N26" s="152" t="n"/>
      <c r="O26" s="153">
        <f>AVERAGE(O12:O21)</f>
        <v/>
      </c>
      <c r="P26" s="153">
        <f>AVERAGE(P12:P21)</f>
        <v/>
      </c>
      <c r="Q26" s="153">
        <f>AVERAGE(Q12:Q21)</f>
        <v/>
      </c>
    </row>
    <row r="27">
      <c r="B27" s="204" t="inlineStr">
        <is>
          <t>75th Percentile</t>
        </is>
      </c>
      <c r="C27" s="79" t="n"/>
      <c r="D27" s="79" t="n"/>
      <c r="E27" s="79" t="n"/>
      <c r="F27" s="79" t="n"/>
      <c r="G27" s="79" t="n"/>
      <c r="H27" s="79" t="n"/>
      <c r="I27" s="204">
        <f>_xlfn.QUARTILE.INC(I12:I21,3)</f>
        <v/>
      </c>
      <c r="J27" s="204">
        <f>_xlfn.QUARTILE.INC(J12:J21,3)</f>
        <v/>
      </c>
      <c r="K27" s="79" t="n"/>
      <c r="L27" s="79" t="n"/>
      <c r="M27" s="79" t="n"/>
      <c r="N27" s="79" t="n"/>
      <c r="O27" s="206">
        <f>_xlfn.QUARTILE.INC(O12:O21,3)</f>
        <v/>
      </c>
      <c r="P27" s="206">
        <f>_xlfn.QUARTILE.INC(P12:P21,3)</f>
        <v/>
      </c>
      <c r="Q27" s="206">
        <f>_xlfn.QUARTILE.INC(Q12:Q21,3)</f>
        <v/>
      </c>
    </row>
    <row r="28">
      <c r="B28" s="204" t="inlineStr">
        <is>
          <t>Low</t>
        </is>
      </c>
      <c r="C28" s="79" t="n"/>
      <c r="D28" s="79" t="n"/>
      <c r="E28" s="79" t="n"/>
      <c r="F28" s="79" t="n"/>
      <c r="G28" s="79" t="n"/>
      <c r="H28" s="79" t="n"/>
      <c r="I28" s="204">
        <f>MIN(I12:I21)</f>
        <v/>
      </c>
      <c r="J28" s="204">
        <f>MIN(J12:J21)</f>
        <v/>
      </c>
      <c r="K28" s="79" t="n"/>
      <c r="L28" s="79" t="n"/>
      <c r="M28" s="79" t="n"/>
      <c r="N28" s="79" t="n"/>
      <c r="O28" s="205">
        <f>MIN(O12:O21)</f>
        <v/>
      </c>
      <c r="P28" s="205">
        <f>MIN(P12:P21)</f>
        <v/>
      </c>
      <c r="Q28" s="205">
        <f>MIN(Q12:Q21)</f>
        <v/>
      </c>
    </row>
    <row r="30">
      <c r="B30" s="84">
        <f>'Raw FS'!L56 &amp; "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Borrowings</t>
        </is>
      </c>
      <c r="E78" s="107">
        <f>'Data Sheet'!G59</f>
        <v/>
      </c>
      <c r="F78" s="107">
        <f>SUM('Data Sheet'!H59:H60)</f>
        <v/>
      </c>
      <c r="G78" s="107">
        <f>SUM('Data Sheet'!I59:I60)</f>
        <v/>
      </c>
      <c r="H78" s="107">
        <f>'Data Sheet'!J59</f>
        <v/>
      </c>
      <c r="I78" s="107">
        <f>'Data Sheet'!K59</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0</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2026-10-01T15:22:51Z</dcterms:modified>
  <cp:lastModifiedBy>Loveish</cp:lastModifiedBy>
  <cp:lastPrinted>2012-12-06T18:14:13Z</cp:lastPrinted>
</cp:coreProperties>
</file>