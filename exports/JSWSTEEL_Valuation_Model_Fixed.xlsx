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worksheets/sheet17.xml" ContentType="application/vnd.openxmlformats-officedocument.spreadsheetml.worksheet+xml"/>
  <Override PartName="/xl/drawings/drawing5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6.xml" ContentType="application/vnd.openxmlformats-officedocument.drawing+xml"/>
  <Override PartName="/xl/worksheets/sheet20.xml" ContentType="application/vnd.openxmlformats-officedocument.spreadsheetml.worksheet+xml"/>
  <Override PartName="/xl/drawings/drawing7.xml" ContentType="application/vnd.openxmlformats-officedocument.drawing+xml"/>
  <Override PartName="/xl/worksheets/sheet21.xml" ContentType="application/vnd.openxmlformats-officedocument.spreadsheetml.worksheet+xml"/>
  <Override PartName="/xl/drawings/drawing8.xml" ContentType="application/vnd.openxmlformats-officedocument.drawing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272" yWindow="6180" windowWidth="3768" windowHeight="6060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Profit &amp; Loss" sheetId="2" state="visible" r:id="rId2"/>
    <sheet xmlns:r="http://schemas.openxmlformats.org/officeDocument/2006/relationships" name="Quart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Customization" sheetId="6" state="visible" r:id="rId6"/>
    <sheet xmlns:r="http://schemas.openxmlformats.org/officeDocument/2006/relationships" name="Common Size Statement" sheetId="7" state="visible" r:id="rId7"/>
    <sheet xmlns:r="http://schemas.openxmlformats.org/officeDocument/2006/relationships" name="Data Sheet" sheetId="8" state="visible" r:id="rId8"/>
    <sheet xmlns:r="http://schemas.openxmlformats.org/officeDocument/2006/relationships" name="Cash Flow Statement" sheetId="9" state="visible" r:id="rId9"/>
    <sheet xmlns:r="http://schemas.openxmlformats.org/officeDocument/2006/relationships" name="Historical FS" sheetId="10" state="visible" r:id="rId10"/>
    <sheet xmlns:r="http://schemas.openxmlformats.org/officeDocument/2006/relationships" name="Ratio Analysis" sheetId="11" state="visible" r:id="rId11"/>
    <sheet xmlns:r="http://schemas.openxmlformats.org/officeDocument/2006/relationships" name="Forecasting" sheetId="12" state="visible" r:id="rId12"/>
    <sheet xmlns:r="http://schemas.openxmlformats.org/officeDocument/2006/relationships" name="Rm" sheetId="13" state="visible" r:id="rId13"/>
    <sheet xmlns:r="http://schemas.openxmlformats.org/officeDocument/2006/relationships" name="Beta-Regression" sheetId="14" state="visible" r:id="rId14"/>
    <sheet xmlns:r="http://schemas.openxmlformats.org/officeDocument/2006/relationships" name="WACC" sheetId="15" state="visible" r:id="rId15"/>
    <sheet xmlns:r="http://schemas.openxmlformats.org/officeDocument/2006/relationships" name="Intrinsic Valuation" sheetId="16" state="visible" r:id="rId16"/>
    <sheet xmlns:r="http://schemas.openxmlformats.org/officeDocument/2006/relationships" name="DCF" sheetId="17" state="visible" r:id="rId17"/>
    <sheet xmlns:r="http://schemas.openxmlformats.org/officeDocument/2006/relationships" name="Raw Data" sheetId="18" state="visible" r:id="rId18"/>
    <sheet xmlns:r="http://schemas.openxmlformats.org/officeDocument/2006/relationships" name="Comp_Valuation" sheetId="19" state="visible" r:id="rId19"/>
    <sheet xmlns:r="http://schemas.openxmlformats.org/officeDocument/2006/relationships" name="Dupont Analysis" sheetId="20" state="visible" r:id="rId20"/>
    <sheet xmlns:r="http://schemas.openxmlformats.org/officeDocument/2006/relationships" name="Altman's Z Score" sheetId="21" state="visible" r:id="rId21"/>
    <sheet xmlns:r="http://schemas.openxmlformats.org/officeDocument/2006/relationships" name="Raw FS" sheetId="22" state="visible" r:id="rId22"/>
    <sheet xmlns:r="http://schemas.openxmlformats.org/officeDocument/2006/relationships" name="List of Stocks" sheetId="23" state="visible" r:id="rId23"/>
  </sheets>
  <externalReferences>
    <externalReference xmlns:r="http://schemas.openxmlformats.org/officeDocument/2006/relationships" r:id="rId24"/>
  </externalReferences>
  <definedNames>
    <definedName name="UPDATE">'Data Sheet'!$E$1</definedName>
    <definedName name="UPDATE" localSheetId="22">'[1]Data Sheet'!$E$1</definedName>
    <definedName name="_xlnm._FilterDatabase" localSheetId="22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</numFmts>
  <fonts count="2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color rgb="FF64748B"/>
      <sz val="11"/>
      <scheme val="minor"/>
    </font>
    <font>
      <name val="Calibri"/>
      <family val="2"/>
      <b val="1"/>
      <color rgb="FFFFFFFF"/>
      <sz val="11"/>
      <scheme val="minor"/>
    </font>
  </fonts>
  <fills count="1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02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center"/>
    </xf>
    <xf numFmtId="14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1" fillId="15" borderId="0" applyAlignment="1" pivotButton="0" quotePrefix="0" xfId="0">
      <alignment horizontal="center"/>
    </xf>
    <xf numFmtId="175" fontId="0" fillId="0" borderId="0" pivotButton="0" quotePrefix="0" xfId="0"/>
    <xf numFmtId="175" fontId="21" fillId="15" borderId="0" applyAlignment="1" pivotButton="0" quotePrefix="0" xfId="0">
      <alignment horizontal="center"/>
    </xf>
    <xf numFmtId="0" fontId="21" fillId="15" borderId="0" applyAlignment="1" pivotButton="0" quotePrefix="0" xfId="0">
      <alignment horizontal="center"/>
    </xf>
    <xf numFmtId="10" fontId="21" fillId="15" borderId="0" applyAlignment="1" pivotButton="0" quotePrefix="0" xfId="0">
      <alignment horizontal="center"/>
    </xf>
    <xf numFmtId="2" fontId="21" fillId="15" borderId="0" applyAlignment="1" pivotButton="0" quotePrefix="0" xfId="0">
      <alignment horizontal="center"/>
    </xf>
    <xf numFmtId="10" fontId="22" fillId="0" borderId="0" pivotButton="0" quotePrefix="0" xfId="0"/>
    <xf numFmtId="0" fontId="22" fillId="0" borderId="0" pivotButton="0" quotePrefix="0" xfId="0"/>
    <xf numFmtId="4" fontId="0" fillId="0" borderId="0" pivotButton="0" quotePrefix="0" xfId="0"/>
    <xf numFmtId="0" fontId="23" fillId="14" borderId="0" applyAlignment="1" pivotButton="0" quotePrefix="0" xfId="0">
      <alignment horizontal="center"/>
    </xf>
    <xf numFmtId="176" fontId="0" fillId="0" borderId="0" pivotButton="0" quotePrefix="0" xfId="0"/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externalLink" Target="/xl/externalLinks/externalLink1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165960</v>
                </pt>
                <pt idx="1">
                  <v>175006</v>
                </pt>
                <pt idx="2">
                  <v>168824</v>
                </pt>
                <pt idx="3">
                  <v>185470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4139</v>
                </pt>
                <pt idx="1">
                  <v>8973</v>
                </pt>
                <pt idx="2">
                  <v>3491</v>
                </pt>
                <pt idx="3">
                  <v>25508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203512</v>
                </pt>
                <pt idx="1">
                  <v>219218.5</v>
                </pt>
                <pt idx="2">
                  <v>234171.5</v>
                </pt>
                <pt idx="3">
                  <v>255051.5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165960</v>
                </pt>
                <pt idx="1">
                  <v>175006</v>
                </pt>
                <pt idx="2">
                  <v>168824</v>
                </pt>
                <pt idx="3">
                  <v>185470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0.06224434552454283</v>
                </pt>
                <pt idx="1">
                  <v>0.1251778689210681</v>
                </pt>
                <pt idx="2">
                  <v>0.04442464925396877</v>
                </pt>
                <pt idx="3">
                  <v>0.284134136085414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165960</v>
                </pt>
                <pt idx="1">
                  <v>175006</v>
                </pt>
                <pt idx="2">
                  <v>168824</v>
                </pt>
                <pt idx="3">
                  <v>185470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165960</v>
                </pt>
                <pt idx="1">
                  <v>175006</v>
                </pt>
                <pt idx="2">
                  <v>168824</v>
                </pt>
                <pt idx="3">
                  <v>185470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0.02033786705452258</v>
                </pt>
                <pt idx="1">
                  <v>0.04093176442681617</v>
                </pt>
                <pt idx="2">
                  <v>0.01490787734630388</v>
                </pt>
                <pt idx="3">
                  <v>0.1000111742138352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3.060514918190568</v>
                </pt>
                <pt idx="1">
                  <v>3.058208476325996</v>
                </pt>
                <pt idx="2">
                  <v>2.979944644163777</v>
                </pt>
                <pt idx="3">
                  <v>2.841023898768581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65394</v>
                </pt>
                <pt idx="1">
                  <v>77364</v>
                </pt>
                <pt idx="2">
                  <v>79191</v>
                </pt>
                <pt idx="3">
                  <v>99748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1.133702294330743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1.09172522161774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1.303514048552543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1.36896925112924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1.728173532619911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0.7449474514593989</v>
                </pt>
                <pt idx="1">
                  <v>0.7882625071839422</v>
                </pt>
                <pt idx="2">
                  <v>0.7679137157851319</v>
                </pt>
                <pt idx="3">
                  <v>0.7021314645760984</v>
                </pt>
                <pt idx="4">
                  <v>0.6877971356310586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2.594306930203047</v>
                </pt>
                <pt idx="1">
                  <v>2.161162263811011</v>
                </pt>
                <pt idx="2">
                  <v>2.422053053481015</v>
                </pt>
                <pt idx="3">
                  <v>2.257363583990776</v>
                </pt>
                <pt idx="4">
                  <v>2.933083724849743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tabSelected="1" workbookViewId="0">
      <selection activeCell="A1" sqref="A1"/>
    </sheetView>
  </sheetViews>
  <sheetFormatPr baseColWidth="8" defaultRowHeight="14.4"/>
  <cols>
    <col width="54.44140625" bestFit="1" customWidth="1" style="109" min="1" max="1"/>
    <col width="47.109375" bestFit="1" customWidth="1" style="109" min="2" max="2"/>
    <col width="12.109375" bestFit="1" customWidth="1" style="109" min="3" max="3"/>
    <col width="20" bestFit="1" customWidth="1" style="109" min="4" max="4"/>
    <col width="9" bestFit="1" customWidth="1" style="109" min="5" max="5"/>
    <col width="14.109375" bestFit="1" customWidth="1" style="109" min="6" max="6"/>
    <col width="9.77734375" bestFit="1" customWidth="1" style="109" min="7" max="7"/>
  </cols>
  <sheetData>
    <row r="1">
      <c r="A1" s="172" t="inlineStr">
        <is>
          <t>JSW STEEL LTD (JSWSTEEL) - Institutional Valuation</t>
        </is>
      </c>
    </row>
    <row r="2"/>
    <row r="4">
      <c r="A4" s="174" t="inlineStr">
        <is>
          <t>Current Price</t>
        </is>
      </c>
      <c r="B4" s="174" t="inlineStr">
        <is>
          <t>Intrinsic Value</t>
        </is>
      </c>
      <c r="C4" s="174" t="inlineStr">
        <is>
          <t>Margin of Safety</t>
        </is>
      </c>
      <c r="D4" s="174" t="inlineStr">
        <is>
          <t>Verdict</t>
        </is>
      </c>
      <c r="E4" s="174" t="inlineStr">
        <is>
          <t>WACC</t>
        </is>
      </c>
      <c r="F4" s="174" t="inlineStr">
        <is>
          <t>Altman Z-Score</t>
        </is>
      </c>
      <c r="G4" s="174" t="inlineStr">
        <is>
          <t>DuPont ROE</t>
        </is>
      </c>
    </row>
    <row r="5" ht="15.6" customHeight="1" s="109">
      <c r="A5" s="176">
        <f>DCF!D44</f>
        <v/>
      </c>
      <c r="B5" s="176">
        <f>DCF!D42</f>
        <v/>
      </c>
      <c r="C5" s="178">
        <f>(B5-A5)/A5</f>
        <v/>
      </c>
      <c r="D5" s="179">
        <f>IF(C5&gt;0.15,"UNDERVALUED / BUY",IF(C5&lt;-0.15,"OVERVALUED / SELL","FAIRLY VALUED / HOLD"))</f>
        <v/>
      </c>
      <c r="E5" s="180">
        <f>DCF!D20</f>
        <v/>
      </c>
      <c r="F5" s="181">
        <f>'Altman''s Z Score'!I89</f>
        <v/>
      </c>
      <c r="G5" s="180">
        <f>'Dupont Analysis'!I78</f>
        <v/>
      </c>
    </row>
    <row r="7">
      <c r="B7" s="37" t="inlineStr">
        <is>
          <t>KEY VALUATION PARAMETERS &amp; LIVE MODEL INPUTS</t>
        </is>
      </c>
    </row>
    <row r="8">
      <c r="B8" s="37" t="inlineStr">
        <is>
          <t>Discount Rate (WACC)</t>
        </is>
      </c>
      <c r="C8" s="46">
        <f>WACC!K46</f>
        <v/>
      </c>
      <c r="D8" s="182" t="n">
        <v>0</v>
      </c>
    </row>
    <row r="9">
      <c r="B9" s="37" t="inlineStr">
        <is>
          <t>Cost of Equity (Ke)</t>
        </is>
      </c>
      <c r="C9" s="46">
        <f>WACC!K29</f>
        <v/>
      </c>
      <c r="D9" s="182" t="n">
        <v>0</v>
      </c>
    </row>
    <row r="10">
      <c r="B10" s="37" t="inlineStr">
        <is>
          <t>Risk-Free Rate (Rf)</t>
        </is>
      </c>
      <c r="C10" s="46">
        <f>WACC!K26</f>
        <v/>
      </c>
      <c r="D10" s="182" t="n">
        <v>0</v>
      </c>
    </row>
    <row r="11">
      <c r="B11" s="37" t="inlineStr">
        <is>
          <t>Equity Risk Premium (ERP)</t>
        </is>
      </c>
      <c r="C11" s="46">
        <f>WACC!K27</f>
        <v/>
      </c>
      <c r="D11" s="182" t="n">
        <v>0</v>
      </c>
    </row>
    <row r="12">
      <c r="B12" s="37" t="inlineStr">
        <is>
          <t>Levered Beta</t>
        </is>
      </c>
      <c r="C12" s="47">
        <f>WACC!K28</f>
        <v/>
      </c>
      <c r="D12" s="183" t="n">
        <v>0</v>
      </c>
    </row>
    <row r="13">
      <c r="B13" s="37" t="inlineStr">
        <is>
          <t>Terminal Growth Rate</t>
        </is>
      </c>
      <c r="C13" s="46">
        <f>DCF!D19</f>
        <v/>
      </c>
      <c r="D13" s="182" t="n">
        <v>0</v>
      </c>
    </row>
    <row r="14">
      <c r="B14" s="37" t="inlineStr">
        <is>
          <t>Cost of Debt (Kd)</t>
        </is>
      </c>
      <c r="C14" s="46">
        <f>WACC!K39</f>
        <v/>
      </c>
      <c r="D14" s="182" t="n">
        <v>0</v>
      </c>
    </row>
    <row r="15">
      <c r="B15" s="37" t="inlineStr">
        <is>
          <t>Cash &amp; Liquid Investments</t>
        </is>
      </c>
      <c r="C15" s="184">
        <f>'Data Sheet'!K69</f>
        <v/>
      </c>
      <c r="D15" s="183" t="inlineStr">
        <is>
          <t>#,##0.00</t>
        </is>
      </c>
    </row>
    <row r="16">
      <c r="B16" s="37" t="inlineStr">
        <is>
          <t>Total Debt &amp; Borrowings</t>
        </is>
      </c>
      <c r="C16" s="184">
        <f>'Data Sheet'!K59</f>
        <v/>
      </c>
      <c r="D16" s="183" t="inlineStr">
        <is>
          <t>#,##0.00</t>
        </is>
      </c>
    </row>
    <row r="17">
      <c r="B17" s="37" t="inlineStr">
        <is>
          <t>Shares Outstanding</t>
        </is>
      </c>
      <c r="C17" s="184">
        <f>'Data Sheet'!K70/10000000</f>
        <v/>
      </c>
      <c r="D17" s="183" t="inlineStr">
        <is>
          <t>#,##0.00</t>
        </is>
      </c>
    </row>
    <row r="18">
      <c r="B18" s="37" t="inlineStr">
        <is>
          <t>Sector Median EV/Revenue</t>
        </is>
      </c>
      <c r="C18" s="158">
        <f>Comp_Valuation!O25</f>
        <v/>
      </c>
      <c r="D18" s="183" t="inlineStr">
        <is>
          <t>0.00"x"</t>
        </is>
      </c>
    </row>
    <row r="19">
      <c r="B19" s="37" t="inlineStr">
        <is>
          <t>Sector Median EV/EBITDA</t>
        </is>
      </c>
      <c r="C19" s="158">
        <f>Comp_Valuation!P25</f>
        <v/>
      </c>
      <c r="D19" s="183" t="inlineStr">
        <is>
          <t>0.00"x"</t>
        </is>
      </c>
    </row>
    <row r="20">
      <c r="A20" s="37" t="inlineStr">
        <is>
          <t>5-Year Discounted Cash Flow (DCF) Schedule (Amounts in ₹ Cr)</t>
        </is>
      </c>
      <c r="B20" s="37" t="inlineStr">
        <is>
          <t>Sector Median P/E</t>
        </is>
      </c>
      <c r="C20" s="158">
        <f>Comp_Valuation!Q25</f>
        <v/>
      </c>
      <c r="D20" s="183" t="inlineStr">
        <is>
          <t>0.00"x"</t>
        </is>
      </c>
    </row>
    <row r="21">
      <c r="A21" s="185" t="inlineStr">
        <is>
          <t>Year</t>
        </is>
      </c>
      <c r="B21" s="185" t="inlineStr">
        <is>
          <t>EBIT</t>
        </is>
      </c>
      <c r="C21" s="185" t="inlineStr">
        <is>
          <t>NOPAT</t>
        </is>
      </c>
      <c r="D21" s="185" t="inlineStr">
        <is>
          <t>Reinvest Rate</t>
        </is>
      </c>
      <c r="E21" s="185" t="inlineStr">
        <is>
          <t>FCFF</t>
        </is>
      </c>
      <c r="F21" s="185" t="inlineStr">
        <is>
          <t>Discount Factor</t>
        </is>
      </c>
      <c r="G21" s="185" t="inlineStr">
        <is>
          <t>PV of FCFF</t>
        </is>
      </c>
    </row>
    <row r="22">
      <c r="A22" s="164" t="inlineStr">
        <is>
          <t>Year 1</t>
        </is>
      </c>
      <c r="B22" s="184">
        <f>DCF!I8</f>
        <v/>
      </c>
      <c r="C22" s="184">
        <f>DCF!I10</f>
        <v/>
      </c>
      <c r="D22" s="46">
        <f>DCF!I11</f>
        <v/>
      </c>
      <c r="E22" s="184">
        <f>DCF!I12</f>
        <v/>
      </c>
      <c r="F22" s="186">
        <f>DCF!I14</f>
        <v/>
      </c>
      <c r="G22" s="184">
        <f>DCF!I16</f>
        <v/>
      </c>
    </row>
    <row r="23">
      <c r="A23" s="164" t="inlineStr">
        <is>
          <t>Year 2</t>
        </is>
      </c>
      <c r="B23" s="184">
        <f>DCF!J8</f>
        <v/>
      </c>
      <c r="C23" s="184">
        <f>DCF!J10</f>
        <v/>
      </c>
      <c r="D23" s="46">
        <f>DCF!J11</f>
        <v/>
      </c>
      <c r="E23" s="184">
        <f>DCF!J12</f>
        <v/>
      </c>
      <c r="F23" s="186">
        <f>DCF!J14</f>
        <v/>
      </c>
      <c r="G23" s="184">
        <f>DCF!J16</f>
        <v/>
      </c>
    </row>
    <row r="24">
      <c r="A24" s="164" t="inlineStr">
        <is>
          <t>Year 3</t>
        </is>
      </c>
      <c r="B24" s="184">
        <f>DCF!K8</f>
        <v/>
      </c>
      <c r="C24" s="184">
        <f>DCF!K10</f>
        <v/>
      </c>
      <c r="D24" s="46">
        <f>DCF!K11</f>
        <v/>
      </c>
      <c r="E24" s="184">
        <f>DCF!K12</f>
        <v/>
      </c>
      <c r="F24" s="186">
        <f>DCF!K14</f>
        <v/>
      </c>
      <c r="G24" s="184">
        <f>DCF!K16</f>
        <v/>
      </c>
    </row>
    <row r="25">
      <c r="A25" s="164" t="inlineStr">
        <is>
          <t>Year 4</t>
        </is>
      </c>
      <c r="B25" s="184">
        <f>DCF!L8</f>
        <v/>
      </c>
      <c r="C25" s="184">
        <f>DCF!L10</f>
        <v/>
      </c>
      <c r="D25" s="46">
        <f>DCF!L11</f>
        <v/>
      </c>
      <c r="E25" s="184">
        <f>DCF!L12</f>
        <v/>
      </c>
      <c r="F25" s="186">
        <f>DCF!L14</f>
        <v/>
      </c>
      <c r="G25" s="184">
        <f>DCF!L16</f>
        <v/>
      </c>
    </row>
    <row r="26">
      <c r="A26" s="164" t="inlineStr">
        <is>
          <t>Year 5</t>
        </is>
      </c>
      <c r="B26" s="184">
        <f>DCF!M8</f>
        <v/>
      </c>
      <c r="C26" s="184">
        <f>DCF!M10</f>
        <v/>
      </c>
      <c r="D26" s="46">
        <f>DCF!M11</f>
        <v/>
      </c>
      <c r="E26" s="184">
        <f>DCF!M12</f>
        <v/>
      </c>
      <c r="F26" s="186">
        <f>DCF!M14</f>
        <v/>
      </c>
      <c r="G26" s="184">
        <f>DCF!M16</f>
        <v/>
      </c>
    </row>
    <row r="28">
      <c r="B28" s="37" t="inlineStr">
        <is>
          <t>Enterprise to Equity Value Bridge</t>
        </is>
      </c>
    </row>
    <row r="29">
      <c r="B29" s="37" t="inlineStr">
        <is>
          <t>PV of 5-Year FCFFs</t>
        </is>
      </c>
      <c r="C29" s="175">
        <f>DCF!D33</f>
        <v/>
      </c>
      <c r="D29" s="183" t="inlineStr">
        <is>
          <t>₹ Cr</t>
        </is>
      </c>
    </row>
    <row r="30">
      <c r="B30" s="37" t="inlineStr">
        <is>
          <t>Terminal Value</t>
        </is>
      </c>
      <c r="C30" s="175">
        <f>DCF!D29</f>
        <v/>
      </c>
      <c r="D30" s="183" t="inlineStr">
        <is>
          <t>₹ Cr</t>
        </is>
      </c>
    </row>
    <row r="31">
      <c r="B31" s="37" t="inlineStr">
        <is>
          <t>PV of Terminal Value</t>
        </is>
      </c>
      <c r="C31" s="175">
        <f>DCF!D34</f>
        <v/>
      </c>
      <c r="D31" s="183" t="inlineStr">
        <is>
          <t>₹ Cr</t>
        </is>
      </c>
    </row>
    <row r="32">
      <c r="B32" s="37" t="inlineStr">
        <is>
          <t>Enterprise Value (Operating Assets)</t>
        </is>
      </c>
      <c r="C32" s="175">
        <f>DCF!D35</f>
        <v/>
      </c>
      <c r="D32" s="183" t="inlineStr">
        <is>
          <t>₹ Cr</t>
        </is>
      </c>
    </row>
    <row r="33">
      <c r="B33" s="37" t="inlineStr">
        <is>
          <t>Add: Estimated Cash &amp; Liquid Assets</t>
        </is>
      </c>
      <c r="C33" s="175">
        <f>DCF!D37</f>
        <v/>
      </c>
      <c r="D33" s="183" t="inlineStr">
        <is>
          <t>₹ Cr</t>
        </is>
      </c>
    </row>
    <row r="34">
      <c r="B34" s="37" t="inlineStr">
        <is>
          <t>Less: Total Debt &amp; Borrowings</t>
        </is>
      </c>
      <c r="C34" s="175">
        <f>DCF!D38</f>
        <v/>
      </c>
      <c r="D34" s="183" t="inlineStr">
        <is>
          <t>₹ Cr</t>
        </is>
      </c>
    </row>
    <row r="35">
      <c r="B35" s="37" t="inlineStr">
        <is>
          <t>Net Equity Value</t>
        </is>
      </c>
      <c r="C35" s="175">
        <f>DCF!D39</f>
        <v/>
      </c>
      <c r="D35" s="183" t="inlineStr">
        <is>
          <t>₹ Cr</t>
        </is>
      </c>
    </row>
    <row r="36">
      <c r="B36" s="37" t="inlineStr">
        <is>
          <t>Shares Outstanding</t>
        </is>
      </c>
      <c r="C36" s="184">
        <f>DCF!D40</f>
        <v/>
      </c>
      <c r="D36" s="183" t="inlineStr">
        <is>
          <t>Cr shares</t>
        </is>
      </c>
    </row>
    <row r="37">
      <c r="B37" s="37" t="inlineStr">
        <is>
          <t>Intrinsic Value per Share</t>
        </is>
      </c>
      <c r="C37" s="175">
        <f>DCF!D42</f>
        <v/>
      </c>
      <c r="D37" s="183" t="inlineStr">
        <is>
          <t>₹</t>
        </is>
      </c>
    </row>
    <row r="38">
      <c r="B38" s="37" t="inlineStr">
        <is>
          <t>Current Market Price</t>
        </is>
      </c>
      <c r="C38" s="175">
        <f>DCF!D44</f>
        <v/>
      </c>
      <c r="D38" s="183" t="inlineStr">
        <is>
          <t>₹</t>
        </is>
      </c>
    </row>
    <row r="39">
      <c r="B39" s="37" t="inlineStr">
        <is>
          <t>Margin of Safety / Discount</t>
        </is>
      </c>
      <c r="C39" s="177">
        <f>(C37-C38)/C38</f>
        <v/>
      </c>
      <c r="D39" s="183" t="inlineStr">
        <is>
          <t>%</t>
        </is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09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09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1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1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JSW STEEL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1269</v>
      </c>
    </row>
    <row r="9">
      <c r="A9" s="193" t="inlineStr">
        <is>
          <t>Market Capitalization</t>
        </is>
      </c>
      <c r="B9" t="n">
        <v>310230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42795</v>
      </c>
      <c r="C16" s="16" t="n">
        <v>43160</v>
      </c>
      <c r="D16" s="16" t="n">
        <v>43525</v>
      </c>
      <c r="E16" s="16" t="n">
        <v>43891</v>
      </c>
      <c r="F16" s="16" t="n">
        <v>44256</v>
      </c>
      <c r="G16" s="16" t="n">
        <v>44621</v>
      </c>
      <c r="H16" s="16" t="n">
        <v>44986</v>
      </c>
      <c r="I16" s="16" t="n">
        <v>45352</v>
      </c>
      <c r="J16" s="16" t="n">
        <v>45717</v>
      </c>
      <c r="K16" s="16" t="n">
        <v>46082</v>
      </c>
    </row>
    <row r="17" customFormat="1" s="188">
      <c r="A17" s="188" t="inlineStr">
        <is>
          <t>Sales</t>
        </is>
      </c>
      <c r="B17" t="n">
        <v>55604</v>
      </c>
      <c r="C17" t="n">
        <v>71933</v>
      </c>
      <c r="D17" t="n">
        <v>84757</v>
      </c>
      <c r="E17" t="n">
        <v>73326</v>
      </c>
      <c r="F17" t="n">
        <v>79839</v>
      </c>
      <c r="G17" t="n">
        <v>146371</v>
      </c>
      <c r="H17" t="n">
        <v>165960</v>
      </c>
      <c r="I17" t="n">
        <v>175006</v>
      </c>
      <c r="J17" t="n">
        <v>168824</v>
      </c>
      <c r="K17" t="n">
        <v>185470</v>
      </c>
    </row>
    <row r="18" customFormat="1" s="188">
      <c r="A18" s="193" t="inlineStr">
        <is>
          <t>Raw Material Cost</t>
        </is>
      </c>
      <c r="B18" t="n">
        <v>28358.04</v>
      </c>
      <c r="C18" t="n">
        <v>38843.82</v>
      </c>
      <c r="D18" t="n">
        <v>43226.07</v>
      </c>
      <c r="E18" t="n">
        <v>38862.78</v>
      </c>
      <c r="F18" t="n">
        <v>32733.99</v>
      </c>
      <c r="G18" t="n">
        <v>58548.4</v>
      </c>
      <c r="H18" t="n">
        <v>92937.60000000001</v>
      </c>
      <c r="I18" t="n">
        <v>91003.12</v>
      </c>
      <c r="J18" t="n">
        <v>89476.72</v>
      </c>
      <c r="K18" t="n">
        <v>96444.39999999999</v>
      </c>
    </row>
    <row r="19" customFormat="1" s="188">
      <c r="A19" s="193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8">
      <c r="A21" s="193" t="inlineStr">
        <is>
          <t>Other Mfr. Exp</t>
        </is>
      </c>
      <c r="B21" t="n">
        <v>11676.84</v>
      </c>
      <c r="C21" t="n">
        <v>14386.6</v>
      </c>
      <c r="D21" t="n">
        <v>16951.4</v>
      </c>
      <c r="E21" t="n">
        <v>16864.98</v>
      </c>
      <c r="F21" t="n">
        <v>22354.92</v>
      </c>
      <c r="G21" t="n">
        <v>40983.88</v>
      </c>
      <c r="H21" t="n">
        <v>43149.6</v>
      </c>
      <c r="I21" t="n">
        <v>45501.56</v>
      </c>
      <c r="J21" t="n">
        <v>45582.48</v>
      </c>
      <c r="K21" t="n">
        <v>44512.8</v>
      </c>
    </row>
    <row r="22" customFormat="1" s="188">
      <c r="A22" s="193" t="inlineStr">
        <is>
          <t>Employee Cost</t>
        </is>
      </c>
      <c r="B22" t="n">
        <v>1668.12</v>
      </c>
      <c r="C22" t="n">
        <v>2157.99</v>
      </c>
      <c r="D22" t="n">
        <v>2542.71</v>
      </c>
      <c r="E22" t="n">
        <v>2933.04</v>
      </c>
      <c r="F22" t="n">
        <v>2395.17</v>
      </c>
      <c r="G22" t="n">
        <v>2927.42</v>
      </c>
      <c r="H22" t="n">
        <v>3319.2</v>
      </c>
      <c r="I22" t="n">
        <v>5250.18</v>
      </c>
      <c r="J22" t="n">
        <v>5064.72</v>
      </c>
      <c r="K22" t="n">
        <v>5564.1</v>
      </c>
    </row>
    <row r="23" customFormat="1" s="188">
      <c r="A23" s="193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88">
      <c r="A24" s="193" t="inlineStr">
        <is>
          <t>Other Expenses</t>
        </is>
      </c>
      <c r="B24" t="n">
        <v>1668.12</v>
      </c>
      <c r="C24" t="n">
        <v>1438.66</v>
      </c>
      <c r="D24" t="n">
        <v>2542.71</v>
      </c>
      <c r="E24" t="n">
        <v>3666.3</v>
      </c>
      <c r="F24" t="n">
        <v>2395.17</v>
      </c>
      <c r="G24" t="n">
        <v>2927.42</v>
      </c>
      <c r="H24" t="n">
        <v>6638.4</v>
      </c>
      <c r="I24" t="n">
        <v>5250.18</v>
      </c>
      <c r="J24" t="n">
        <v>6752.96</v>
      </c>
      <c r="K24" t="n">
        <v>11128.2</v>
      </c>
    </row>
    <row r="25" customFormat="1" s="188">
      <c r="A25" s="188" t="inlineStr">
        <is>
          <t>Other Income</t>
        </is>
      </c>
      <c r="B25" t="n">
        <v>18</v>
      </c>
      <c r="C25" t="n">
        <v>-177</v>
      </c>
      <c r="D25" t="n">
        <v>196</v>
      </c>
      <c r="E25" t="n">
        <v>-289</v>
      </c>
      <c r="F25" t="n">
        <v>473</v>
      </c>
      <c r="G25" t="n">
        <v>1600</v>
      </c>
      <c r="H25" t="n">
        <v>1561</v>
      </c>
      <c r="I25" t="n">
        <v>1500</v>
      </c>
      <c r="J25" t="n">
        <v>73</v>
      </c>
      <c r="K25" t="n">
        <v>18489</v>
      </c>
    </row>
    <row r="26" customFormat="1" s="188">
      <c r="A26" s="188" t="inlineStr">
        <is>
          <t>Depreciation</t>
        </is>
      </c>
      <c r="B26" t="n">
        <v>3430</v>
      </c>
      <c r="C26" t="n">
        <v>3387</v>
      </c>
      <c r="D26" t="n">
        <v>4041</v>
      </c>
      <c r="E26" t="n">
        <v>4246</v>
      </c>
      <c r="F26" t="n">
        <v>4679</v>
      </c>
      <c r="G26" t="n">
        <v>6001</v>
      </c>
      <c r="H26" t="n">
        <v>7474</v>
      </c>
      <c r="I26" t="n">
        <v>8172</v>
      </c>
      <c r="J26" t="n">
        <v>9309</v>
      </c>
      <c r="K26" t="n">
        <v>9601</v>
      </c>
    </row>
    <row r="27" customFormat="1" s="188">
      <c r="A27" s="188" t="inlineStr">
        <is>
          <t>Interest</t>
        </is>
      </c>
      <c r="B27" t="n">
        <v>3768</v>
      </c>
      <c r="C27" t="n">
        <v>3701</v>
      </c>
      <c r="D27" t="n">
        <v>3917</v>
      </c>
      <c r="E27" t="n">
        <v>4265</v>
      </c>
      <c r="F27" t="n">
        <v>3957</v>
      </c>
      <c r="G27" t="n">
        <v>4968</v>
      </c>
      <c r="H27" t="n">
        <v>6902</v>
      </c>
      <c r="I27" t="n">
        <v>8105</v>
      </c>
      <c r="J27" t="n">
        <v>8412</v>
      </c>
      <c r="K27" t="n">
        <v>9102</v>
      </c>
    </row>
    <row r="28" customFormat="1" s="188">
      <c r="A28" s="188" t="inlineStr">
        <is>
          <t>Profit before tax</t>
        </is>
      </c>
      <c r="B28" t="n">
        <v>5128</v>
      </c>
      <c r="C28" t="n">
        <v>7651</v>
      </c>
      <c r="D28" t="n">
        <v>11168</v>
      </c>
      <c r="E28" t="n">
        <v>3013</v>
      </c>
      <c r="F28" t="n">
        <v>12015</v>
      </c>
      <c r="G28" t="n">
        <v>29745</v>
      </c>
      <c r="H28" t="n">
        <v>5655</v>
      </c>
      <c r="I28" t="n">
        <v>13380</v>
      </c>
      <c r="J28" t="n">
        <v>5077</v>
      </c>
      <c r="K28" t="n">
        <v>29250</v>
      </c>
    </row>
    <row r="29" customFormat="1" s="188">
      <c r="A29" s="188" t="inlineStr">
        <is>
          <t>Tax</t>
        </is>
      </c>
      <c r="B29" t="n">
        <v>1282</v>
      </c>
      <c r="C29" t="n">
        <v>1912.75</v>
      </c>
      <c r="D29" t="n">
        <v>2792</v>
      </c>
      <c r="E29" t="n">
        <v>753.25</v>
      </c>
      <c r="F29" t="n">
        <v>3003.75</v>
      </c>
      <c r="G29" t="n">
        <v>7436.25</v>
      </c>
      <c r="H29" t="n">
        <v>1413.75</v>
      </c>
      <c r="I29" t="n">
        <v>3345</v>
      </c>
      <c r="J29" t="n">
        <v>1269.25</v>
      </c>
      <c r="K29" t="n">
        <v>7312.5</v>
      </c>
    </row>
    <row r="30" customFormat="1" s="188">
      <c r="A30" s="188" t="inlineStr">
        <is>
          <t>Net profit</t>
        </is>
      </c>
      <c r="B30" t="n">
        <v>3846</v>
      </c>
      <c r="C30" t="n">
        <v>5738.25</v>
      </c>
      <c r="D30" t="n">
        <v>8376</v>
      </c>
      <c r="E30" t="n">
        <v>2259.75</v>
      </c>
      <c r="F30" t="n">
        <v>9011.25</v>
      </c>
      <c r="G30" t="n">
        <v>22308.75</v>
      </c>
      <c r="H30" t="n">
        <v>4241.25</v>
      </c>
      <c r="I30" t="n">
        <v>10035</v>
      </c>
      <c r="J30" t="n">
        <v>3807.75</v>
      </c>
      <c r="K30" t="n">
        <v>21937.5</v>
      </c>
    </row>
    <row r="31" customFormat="1" s="188">
      <c r="A31" s="188" t="inlineStr">
        <is>
          <t>Dividend Amount</t>
        </is>
      </c>
      <c r="B31" t="n">
        <v>658.73</v>
      </c>
      <c r="C31" t="n">
        <v>978.08</v>
      </c>
      <c r="D31" t="n">
        <v>1203.84</v>
      </c>
      <c r="E31" t="n">
        <v>587.85</v>
      </c>
      <c r="F31" t="n">
        <v>1968.25</v>
      </c>
      <c r="G31" t="n">
        <v>5234.5</v>
      </c>
      <c r="H31" t="n">
        <v>1034.75</v>
      </c>
      <c r="I31" t="n">
        <v>2243.25</v>
      </c>
      <c r="J31" t="n">
        <v>837.84</v>
      </c>
      <c r="K31" t="n">
        <v>2550.8</v>
      </c>
    </row>
    <row r="32" customFormat="1" s="188">
      <c r="A32" s="188" t="inlineStr">
        <is>
          <t>EBITDA</t>
        </is>
      </c>
      <c r="B32" s="188" t="n">
        <v>0</v>
      </c>
      <c r="C32" s="188" t="n">
        <v>0</v>
      </c>
      <c r="D32" s="188" t="n">
        <v>0</v>
      </c>
      <c r="E32" s="188" t="n">
        <v>0</v>
      </c>
      <c r="F32" s="188" t="n">
        <v>0</v>
      </c>
      <c r="G32" s="188" t="n">
        <v>0</v>
      </c>
      <c r="H32" s="188" t="n">
        <v>0</v>
      </c>
      <c r="I32" s="188" t="n">
        <v>0</v>
      </c>
      <c r="J32" s="188" t="n">
        <v>0</v>
      </c>
      <c r="K32" s="188" t="n">
        <v>0</v>
      </c>
    </row>
    <row r="33">
      <c r="A33" s="188" t="n"/>
      <c r="B33" s="193">
        <f>B30+B29+B27+B26</f>
        <v/>
      </c>
      <c r="C33" s="193">
        <f>C30+C29+C27+C26</f>
        <v/>
      </c>
      <c r="D33" s="193">
        <f>D30+D29+D27+D26</f>
        <v/>
      </c>
      <c r="E33" s="193">
        <f>E30+E29+E27+E26</f>
        <v/>
      </c>
      <c r="F33" s="193">
        <f>F30+F29+F27+F26</f>
        <v/>
      </c>
      <c r="G33" s="193">
        <f>G30+G29+G27+G26</f>
        <v/>
      </c>
      <c r="H33" s="193">
        <f>H30+H29+H27+H26</f>
        <v/>
      </c>
      <c r="I33" s="193">
        <f>I30+I29+I27+I26</f>
        <v/>
      </c>
      <c r="J33" s="193">
        <f>J30+J29+J27+J26</f>
        <v/>
      </c>
      <c r="K33" s="193">
        <f>K30+K29+K27+K26</f>
        <v/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45352</v>
      </c>
      <c r="C41" s="16" t="n">
        <v>45444</v>
      </c>
      <c r="D41" s="16" t="n">
        <v>45536</v>
      </c>
      <c r="E41" s="16" t="n">
        <v>45627</v>
      </c>
      <c r="F41" s="16" t="n">
        <v>45717</v>
      </c>
      <c r="G41" s="16" t="n">
        <v>45809</v>
      </c>
      <c r="H41" s="16" t="n">
        <v>45901</v>
      </c>
      <c r="I41" s="16" t="n">
        <v>45992</v>
      </c>
      <c r="J41" s="16" t="n">
        <v>46082</v>
      </c>
      <c r="K41" s="16" t="n">
        <v>46174</v>
      </c>
    </row>
    <row r="42" customFormat="1" s="188">
      <c r="A42" s="188" t="inlineStr">
        <is>
          <t>Sales</t>
        </is>
      </c>
      <c r="B42" t="n">
        <v>46269</v>
      </c>
      <c r="C42" t="n">
        <v>42943</v>
      </c>
      <c r="D42" t="n">
        <v>39684</v>
      </c>
      <c r="E42" t="n">
        <v>41378</v>
      </c>
      <c r="F42" t="n">
        <v>44819</v>
      </c>
      <c r="G42" t="n">
        <v>43147</v>
      </c>
      <c r="H42" t="n">
        <v>45152</v>
      </c>
      <c r="I42" t="n">
        <v>45991</v>
      </c>
      <c r="J42" t="n">
        <v>51180</v>
      </c>
      <c r="K42" t="n">
        <v>47364</v>
      </c>
    </row>
    <row r="43" customFormat="1" s="188">
      <c r="A43" s="188" t="inlineStr">
        <is>
          <t>Expenses</t>
        </is>
      </c>
      <c r="B43" t="n">
        <v>40243</v>
      </c>
      <c r="C43" t="n">
        <v>37445</v>
      </c>
      <c r="D43" t="n">
        <v>34309</v>
      </c>
      <c r="E43" t="n">
        <v>35799</v>
      </c>
      <c r="F43" t="n">
        <v>38684</v>
      </c>
      <c r="G43" t="n">
        <v>35671</v>
      </c>
      <c r="H43" t="n">
        <v>38125</v>
      </c>
      <c r="I43" t="n">
        <v>39612</v>
      </c>
      <c r="J43" t="n">
        <v>42716</v>
      </c>
      <c r="K43" t="n">
        <v>38079</v>
      </c>
    </row>
    <row r="44" customFormat="1" s="188">
      <c r="A44" s="188" t="inlineStr">
        <is>
          <t>Other Income</t>
        </is>
      </c>
      <c r="B44" t="n">
        <v>242</v>
      </c>
      <c r="C44" t="n">
        <v>164</v>
      </c>
      <c r="D44" t="n">
        <v>-189</v>
      </c>
      <c r="E44" t="n">
        <v>50</v>
      </c>
      <c r="F44" t="n">
        <v>186</v>
      </c>
      <c r="G44" t="n">
        <v>350</v>
      </c>
      <c r="H44" t="n">
        <v>284</v>
      </c>
      <c r="I44" t="n">
        <v>-256</v>
      </c>
      <c r="J44" t="n">
        <v>18229</v>
      </c>
      <c r="K44" t="n">
        <v>724</v>
      </c>
    </row>
    <row r="45" customFormat="1" s="188">
      <c r="A45" s="188" t="inlineStr">
        <is>
          <t>Depreciation</t>
        </is>
      </c>
      <c r="B45" t="n">
        <v>2194</v>
      </c>
      <c r="C45" t="n">
        <v>2209</v>
      </c>
      <c r="D45" t="n">
        <v>2267</v>
      </c>
      <c r="E45" t="n">
        <v>2336</v>
      </c>
      <c r="F45" t="n">
        <v>2497</v>
      </c>
      <c r="G45" t="n">
        <v>2537</v>
      </c>
      <c r="H45" t="n">
        <v>2554</v>
      </c>
      <c r="I45" t="n">
        <v>2362</v>
      </c>
      <c r="J45" t="n">
        <v>2148</v>
      </c>
      <c r="K45" t="n">
        <v>2137</v>
      </c>
    </row>
    <row r="46" customFormat="1" s="188">
      <c r="A46" s="188" t="inlineStr">
        <is>
          <t>Interest</t>
        </is>
      </c>
      <c r="B46" t="n">
        <v>2062</v>
      </c>
      <c r="C46" t="n">
        <v>2073</v>
      </c>
      <c r="D46" t="n">
        <v>2130</v>
      </c>
      <c r="E46" t="n">
        <v>2115</v>
      </c>
      <c r="F46" t="n">
        <v>2094</v>
      </c>
      <c r="G46" t="n">
        <v>2217</v>
      </c>
      <c r="H46" t="n">
        <v>2413</v>
      </c>
      <c r="I46" t="n">
        <v>2304</v>
      </c>
      <c r="J46" t="n">
        <v>2168</v>
      </c>
      <c r="K46" t="n">
        <v>1712</v>
      </c>
    </row>
    <row r="47" customFormat="1" s="188">
      <c r="A47" s="188" t="inlineStr">
        <is>
          <t>Profit before tax</t>
        </is>
      </c>
      <c r="B47" t="n">
        <v>2012</v>
      </c>
      <c r="C47" t="n">
        <v>1380</v>
      </c>
      <c r="D47" t="n">
        <v>789</v>
      </c>
      <c r="E47" t="n">
        <v>1178</v>
      </c>
      <c r="F47" t="n">
        <v>1730</v>
      </c>
      <c r="G47" t="n">
        <v>3072</v>
      </c>
      <c r="H47" t="n">
        <v>2344</v>
      </c>
      <c r="I47" t="n">
        <v>1457</v>
      </c>
      <c r="J47" t="n">
        <v>22377</v>
      </c>
      <c r="K47" t="n">
        <v>6160</v>
      </c>
    </row>
    <row r="48" customFormat="1" s="188">
      <c r="A48" s="188" t="inlineStr">
        <is>
          <t>Tax</t>
        </is>
      </c>
      <c r="B48" t="n">
        <v>503</v>
      </c>
      <c r="C48" t="n">
        <v>345</v>
      </c>
      <c r="D48" t="n">
        <v>197.25</v>
      </c>
      <c r="E48" t="n">
        <v>294.5</v>
      </c>
      <c r="F48" t="n">
        <v>432.5</v>
      </c>
      <c r="G48" t="n">
        <v>768</v>
      </c>
      <c r="H48" t="n">
        <v>586</v>
      </c>
      <c r="I48" t="n">
        <v>364.25</v>
      </c>
      <c r="J48" t="n">
        <v>5594.25</v>
      </c>
      <c r="K48" t="n">
        <v>1540</v>
      </c>
    </row>
    <row r="49" customFormat="1" s="188">
      <c r="A49" s="188" t="inlineStr">
        <is>
          <t>Net profit</t>
        </is>
      </c>
      <c r="B49" t="n">
        <v>1509</v>
      </c>
      <c r="C49" t="n">
        <v>1035</v>
      </c>
      <c r="D49" t="n">
        <v>591.75</v>
      </c>
      <c r="E49" t="n">
        <v>883.5</v>
      </c>
      <c r="F49" t="n">
        <v>1297.5</v>
      </c>
      <c r="G49" t="n">
        <v>2304</v>
      </c>
      <c r="H49" t="n">
        <v>1758</v>
      </c>
      <c r="I49" t="n">
        <v>1092.75</v>
      </c>
      <c r="J49" t="n">
        <v>16782.75</v>
      </c>
      <c r="K49" t="n">
        <v>4620</v>
      </c>
    </row>
    <row r="50">
      <c r="A50" s="188" t="inlineStr">
        <is>
          <t>Operating Profit</t>
        </is>
      </c>
      <c r="B50" t="n">
        <v>6026</v>
      </c>
      <c r="C50" t="n">
        <v>5498</v>
      </c>
      <c r="D50" t="n">
        <v>5375</v>
      </c>
      <c r="E50" t="n">
        <v>5579</v>
      </c>
      <c r="F50" t="n">
        <v>6135</v>
      </c>
      <c r="G50" t="n">
        <v>7476</v>
      </c>
      <c r="H50" t="n">
        <v>7027</v>
      </c>
      <c r="I50" t="n">
        <v>6379</v>
      </c>
      <c r="J50" t="n">
        <v>8464</v>
      </c>
      <c r="K50" t="n">
        <v>9285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42795</v>
      </c>
      <c r="C56" s="16" t="n">
        <v>43160</v>
      </c>
      <c r="D56" s="16" t="n">
        <v>43525</v>
      </c>
      <c r="E56" s="16" t="n">
        <v>43891</v>
      </c>
      <c r="F56" s="16" t="n">
        <v>44256</v>
      </c>
      <c r="G56" s="16" t="n">
        <v>44621</v>
      </c>
      <c r="H56" s="16" t="n">
        <v>44986</v>
      </c>
      <c r="I56" s="16" t="n">
        <v>45352</v>
      </c>
      <c r="J56" s="16" t="n">
        <v>45717</v>
      </c>
      <c r="K56" s="16" t="n">
        <v>46082</v>
      </c>
    </row>
    <row r="57">
      <c r="A57" s="188" t="inlineStr">
        <is>
          <t>Equity Share Capital</t>
        </is>
      </c>
      <c r="B57" t="n">
        <v>301</v>
      </c>
      <c r="C57" t="n">
        <v>302</v>
      </c>
      <c r="D57" t="n">
        <v>301</v>
      </c>
      <c r="E57" t="n">
        <v>301</v>
      </c>
      <c r="F57" t="n">
        <v>302</v>
      </c>
      <c r="G57" t="n">
        <v>301</v>
      </c>
      <c r="H57" t="n">
        <v>301</v>
      </c>
      <c r="I57" t="n">
        <v>305</v>
      </c>
      <c r="J57" t="n">
        <v>305</v>
      </c>
      <c r="K57" t="n">
        <v>305</v>
      </c>
    </row>
    <row r="58">
      <c r="A58" s="188" t="inlineStr">
        <is>
          <t>Reserves</t>
        </is>
      </c>
      <c r="B58" t="n">
        <v>22346</v>
      </c>
      <c r="C58" t="n">
        <v>27696</v>
      </c>
      <c r="D58" t="n">
        <v>34494</v>
      </c>
      <c r="E58" t="n">
        <v>36298</v>
      </c>
      <c r="F58" t="n">
        <v>45308</v>
      </c>
      <c r="G58" t="n">
        <v>66996</v>
      </c>
      <c r="H58" t="n">
        <v>65394</v>
      </c>
      <c r="I58" t="n">
        <v>77364</v>
      </c>
      <c r="J58" t="n">
        <v>79191</v>
      </c>
      <c r="K58" t="n">
        <v>99748</v>
      </c>
    </row>
    <row r="59">
      <c r="A59" s="188" t="inlineStr">
        <is>
          <t>Borrowings</t>
        </is>
      </c>
      <c r="B59" t="n">
        <v>43334</v>
      </c>
      <c r="C59" t="n">
        <v>39393</v>
      </c>
      <c r="D59" t="n">
        <v>47396</v>
      </c>
      <c r="E59" t="n">
        <v>61423</v>
      </c>
      <c r="F59" t="n">
        <v>66727</v>
      </c>
      <c r="G59" t="n">
        <v>72237</v>
      </c>
      <c r="H59" t="n">
        <v>80853</v>
      </c>
      <c r="I59" t="n">
        <v>87984</v>
      </c>
      <c r="J59" t="n">
        <v>98752</v>
      </c>
      <c r="K59" t="n">
        <v>99310</v>
      </c>
    </row>
    <row r="60">
      <c r="A60" s="188" t="inlineStr">
        <is>
          <t>Other Liabilities</t>
        </is>
      </c>
      <c r="B60" t="n">
        <v>22024</v>
      </c>
      <c r="C60" t="n">
        <v>24579</v>
      </c>
      <c r="D60" t="n">
        <v>32606</v>
      </c>
      <c r="E60" t="n">
        <v>33798</v>
      </c>
      <c r="F60" t="n">
        <v>34826</v>
      </c>
      <c r="G60" t="n">
        <v>56951</v>
      </c>
      <c r="H60" t="n">
        <v>63991</v>
      </c>
      <c r="I60" t="n">
        <v>62245</v>
      </c>
      <c r="J60" t="n">
        <v>62197</v>
      </c>
      <c r="K60" t="n">
        <v>70295</v>
      </c>
    </row>
    <row r="61" customFormat="1" s="187">
      <c r="A61" s="187" t="inlineStr">
        <is>
          <t>Total</t>
        </is>
      </c>
      <c r="B61" t="n">
        <v>88005</v>
      </c>
      <c r="C61" t="n">
        <v>91970</v>
      </c>
      <c r="D61" t="n">
        <v>114797</v>
      </c>
      <c r="E61" t="n">
        <v>131820</v>
      </c>
      <c r="F61" t="n">
        <v>147163</v>
      </c>
      <c r="G61" t="n">
        <v>196485</v>
      </c>
      <c r="H61" t="n">
        <v>210539</v>
      </c>
      <c r="I61" t="n">
        <v>227898</v>
      </c>
      <c r="J61" t="n">
        <v>240445</v>
      </c>
      <c r="K61" t="n">
        <v>269658</v>
      </c>
    </row>
    <row r="62">
      <c r="A62" s="188" t="inlineStr">
        <is>
          <t>Net Block</t>
        </is>
      </c>
      <c r="B62" t="n">
        <v>58730</v>
      </c>
      <c r="C62" t="n">
        <v>57848</v>
      </c>
      <c r="D62" t="n">
        <v>62644</v>
      </c>
      <c r="E62" t="n">
        <v>62085</v>
      </c>
      <c r="F62" t="n">
        <v>64917</v>
      </c>
      <c r="G62" t="n">
        <v>99880</v>
      </c>
      <c r="H62" t="n">
        <v>104452</v>
      </c>
      <c r="I62" t="n">
        <v>112461</v>
      </c>
      <c r="J62" t="n">
        <v>124466</v>
      </c>
      <c r="K62" t="n">
        <v>117129</v>
      </c>
    </row>
    <row r="63">
      <c r="A63" s="188" t="inlineStr">
        <is>
          <t>Capital Work in Progress</t>
        </is>
      </c>
      <c r="B63" t="n">
        <v>4363</v>
      </c>
      <c r="C63" t="n">
        <v>5950</v>
      </c>
      <c r="D63" t="n">
        <v>11889</v>
      </c>
      <c r="E63" t="n">
        <v>27191</v>
      </c>
      <c r="F63" t="n">
        <v>32566</v>
      </c>
      <c r="G63" t="n">
        <v>16905</v>
      </c>
      <c r="H63" t="n">
        <v>22166</v>
      </c>
      <c r="I63" t="n">
        <v>29676</v>
      </c>
      <c r="J63" t="n">
        <v>21007</v>
      </c>
      <c r="K63" t="n">
        <v>22315</v>
      </c>
    </row>
    <row r="64">
      <c r="A64" s="188" t="inlineStr">
        <is>
          <t>Investments</t>
        </is>
      </c>
      <c r="B64" t="n">
        <v>1366</v>
      </c>
      <c r="C64" t="n">
        <v>1469</v>
      </c>
      <c r="D64" t="n">
        <v>1894</v>
      </c>
      <c r="E64" t="n">
        <v>1259</v>
      </c>
      <c r="F64" t="n">
        <v>7427</v>
      </c>
      <c r="G64" t="n">
        <v>4940</v>
      </c>
      <c r="H64" t="n">
        <v>4806</v>
      </c>
      <c r="I64" t="n">
        <v>7246</v>
      </c>
      <c r="J64" t="n">
        <v>15217</v>
      </c>
      <c r="K64" t="n">
        <v>10218</v>
      </c>
    </row>
    <row r="65">
      <c r="A65" s="188" t="inlineStr">
        <is>
          <t>Other Assets</t>
        </is>
      </c>
      <c r="B65" t="n">
        <v>23546</v>
      </c>
      <c r="C65" t="n">
        <v>26703</v>
      </c>
      <c r="D65" t="n">
        <v>38370</v>
      </c>
      <c r="E65" t="n">
        <v>41285</v>
      </c>
      <c r="F65" t="n">
        <v>42253</v>
      </c>
      <c r="G65" t="n">
        <v>74760</v>
      </c>
      <c r="H65" t="n">
        <v>79115</v>
      </c>
      <c r="I65" t="n">
        <v>78515</v>
      </c>
      <c r="J65" t="n">
        <v>79755</v>
      </c>
      <c r="K65" t="n">
        <v>119996</v>
      </c>
    </row>
    <row r="66" customFormat="1" s="187">
      <c r="A66" s="187" t="inlineStr">
        <is>
          <t>Total</t>
        </is>
      </c>
      <c r="B66" t="n">
        <v>88005</v>
      </c>
      <c r="C66" t="n">
        <v>91970</v>
      </c>
      <c r="D66" t="n">
        <v>114797</v>
      </c>
      <c r="E66" t="n">
        <v>131820</v>
      </c>
      <c r="F66" t="n">
        <v>147163</v>
      </c>
      <c r="G66" t="n">
        <v>196485</v>
      </c>
      <c r="H66" t="n">
        <v>210539</v>
      </c>
      <c r="I66" t="n">
        <v>227898</v>
      </c>
      <c r="J66" t="n">
        <v>240445</v>
      </c>
      <c r="K66" t="n">
        <v>269658</v>
      </c>
    </row>
    <row r="67" customFormat="1" s="188">
      <c r="A67" s="188" t="inlineStr">
        <is>
          <t>Receivables</t>
        </is>
      </c>
      <c r="B67" t="n">
        <v>4149</v>
      </c>
      <c r="C67" t="n">
        <v>4704</v>
      </c>
      <c r="D67" t="n">
        <v>7160</v>
      </c>
      <c r="E67" t="n">
        <v>4505</v>
      </c>
      <c r="F67" t="n">
        <v>4486</v>
      </c>
      <c r="G67" t="n">
        <v>7457</v>
      </c>
      <c r="H67" t="n">
        <v>7134</v>
      </c>
      <c r="I67" t="n">
        <v>7548</v>
      </c>
      <c r="J67" t="n">
        <v>8415</v>
      </c>
      <c r="K67" t="n">
        <v>11260</v>
      </c>
    </row>
    <row r="68">
      <c r="A68" s="188" t="inlineStr">
        <is>
          <t>Inventory</t>
        </is>
      </c>
      <c r="B68" t="n">
        <v>11395</v>
      </c>
      <c r="C68" t="n">
        <v>12594</v>
      </c>
      <c r="D68" t="n">
        <v>14548</v>
      </c>
      <c r="E68" t="n">
        <v>13773</v>
      </c>
      <c r="F68" t="n">
        <v>14249</v>
      </c>
      <c r="G68" t="n">
        <v>33787</v>
      </c>
      <c r="H68" t="n">
        <v>33135</v>
      </c>
      <c r="I68" t="n">
        <v>37815</v>
      </c>
      <c r="J68" t="n">
        <v>34956</v>
      </c>
      <c r="K68" t="n">
        <v>32765</v>
      </c>
    </row>
    <row r="69">
      <c r="A69" s="193" t="inlineStr">
        <is>
          <t>Cash &amp; Bank</t>
        </is>
      </c>
      <c r="B69" t="n">
        <v>1485</v>
      </c>
      <c r="C69" t="n">
        <v>1063</v>
      </c>
      <c r="D69" t="n">
        <v>6187</v>
      </c>
      <c r="E69" t="n">
        <v>12003</v>
      </c>
      <c r="F69" t="n">
        <v>12813</v>
      </c>
      <c r="G69" t="n">
        <v>17383</v>
      </c>
      <c r="H69" t="n">
        <v>20714</v>
      </c>
      <c r="I69" t="n">
        <v>12348</v>
      </c>
      <c r="J69" t="n">
        <v>13285</v>
      </c>
      <c r="K69" t="n">
        <v>40989</v>
      </c>
    </row>
    <row r="70">
      <c r="A70" s="193" t="inlineStr">
        <is>
          <t>No. of Equity Shares</t>
        </is>
      </c>
      <c r="B70" t="n">
        <v>3010000000</v>
      </c>
      <c r="C70" t="n">
        <v>3020000000</v>
      </c>
      <c r="D70" t="n">
        <v>3010000000</v>
      </c>
      <c r="E70" t="n">
        <v>3010000000</v>
      </c>
      <c r="F70" t="n">
        <v>3020000000</v>
      </c>
      <c r="G70" t="n">
        <v>3010000000</v>
      </c>
      <c r="H70" t="n">
        <v>3010000000</v>
      </c>
      <c r="I70" t="n">
        <v>3050000000</v>
      </c>
      <c r="J70" t="n">
        <v>3050000000</v>
      </c>
      <c r="K70" t="n">
        <v>3050000000</v>
      </c>
    </row>
    <row r="71">
      <c r="A71" s="193" t="inlineStr">
        <is>
          <t>New Bonus Shares</t>
        </is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B73" s="193" t="n">
        <v>0</v>
      </c>
      <c r="C73" s="193" t="n">
        <v>0</v>
      </c>
      <c r="D73" s="193" t="n">
        <v>0</v>
      </c>
      <c r="E73" s="193" t="n">
        <v>0</v>
      </c>
      <c r="F73" s="193" t="n">
        <v>0</v>
      </c>
      <c r="G73" s="193" t="n">
        <v>0</v>
      </c>
      <c r="H73" s="193" t="n">
        <v>0</v>
      </c>
      <c r="I73" s="193" t="n">
        <v>0</v>
      </c>
      <c r="J73" s="193" t="n">
        <v>0</v>
      </c>
      <c r="K73" s="193" t="n">
        <v>0</v>
      </c>
    </row>
    <row r="74">
      <c r="A74" s="188" t="n"/>
      <c r="B74" s="193" t="n">
        <v>0</v>
      </c>
      <c r="C74" s="193" t="n">
        <v>0</v>
      </c>
      <c r="D74" s="193" t="n">
        <v>0</v>
      </c>
      <c r="E74" s="193" t="n">
        <v>0</v>
      </c>
      <c r="F74" s="193" t="n">
        <v>0</v>
      </c>
      <c r="G74" s="193" t="n">
        <v>0</v>
      </c>
      <c r="H74" s="193" t="n">
        <v>0</v>
      </c>
      <c r="I74" s="193" t="n">
        <v>0</v>
      </c>
      <c r="J74" s="193" t="n">
        <v>0</v>
      </c>
      <c r="K74" s="193" t="n">
        <v>0</v>
      </c>
    </row>
    <row r="75">
      <c r="A75" s="188" t="inlineStr">
        <is>
          <t>Other Assets</t>
        </is>
      </c>
      <c r="B75" s="193">
        <f>B65-SUM(B67:B69)</f>
        <v/>
      </c>
      <c r="C75" s="193">
        <f>C65-SUM(C67:C69)</f>
        <v/>
      </c>
      <c r="D75" s="193">
        <f>D65-SUM(D67:D69)</f>
        <v/>
      </c>
      <c r="E75" s="193">
        <f>E65-SUM(E67:E69)</f>
        <v/>
      </c>
      <c r="F75" s="193">
        <f>F65-SUM(F67:F69)</f>
        <v/>
      </c>
      <c r="G75" s="193">
        <f>G65-SUM(G67:G69)</f>
        <v/>
      </c>
      <c r="H75" s="193">
        <f>H65-SUM(H67:H69)</f>
        <v/>
      </c>
      <c r="I75" s="193">
        <f>I65-SUM(I67:I69)</f>
        <v/>
      </c>
      <c r="J75" s="193">
        <f>J65-SUM(J67:J69)</f>
        <v/>
      </c>
      <c r="K75" s="193">
        <f>K65-SUM(K67:K69)</f>
        <v/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42795</v>
      </c>
      <c r="C81" s="16" t="n">
        <v>43160</v>
      </c>
      <c r="D81" s="16" t="n">
        <v>43525</v>
      </c>
      <c r="E81" s="16" t="n">
        <v>43891</v>
      </c>
      <c r="F81" s="16" t="n">
        <v>44256</v>
      </c>
      <c r="G81" s="16" t="n">
        <v>44621</v>
      </c>
      <c r="H81" s="16" t="n">
        <v>44986</v>
      </c>
      <c r="I81" s="16" t="n">
        <v>45352</v>
      </c>
      <c r="J81" s="16" t="n">
        <v>45717</v>
      </c>
      <c r="K81" s="16" t="n">
        <v>46082</v>
      </c>
    </row>
    <row r="82" customFormat="1" s="187">
      <c r="A82" s="188" t="inlineStr">
        <is>
          <t>Cash from Operating Activity</t>
        </is>
      </c>
      <c r="B82" t="n">
        <v>7888</v>
      </c>
      <c r="C82" t="n">
        <v>12379</v>
      </c>
      <c r="D82" t="n">
        <v>14633</v>
      </c>
      <c r="E82" t="n">
        <v>12785</v>
      </c>
      <c r="F82" t="n">
        <v>18831</v>
      </c>
      <c r="G82" t="n">
        <v>26270</v>
      </c>
      <c r="H82" t="n">
        <v>23323</v>
      </c>
      <c r="I82" t="n">
        <v>12078</v>
      </c>
      <c r="J82" t="n">
        <v>20899</v>
      </c>
      <c r="K82" t="n">
        <v>25152</v>
      </c>
    </row>
    <row r="83" customFormat="1" s="188">
      <c r="A83" s="188" t="inlineStr">
        <is>
          <t>Cash from Investing Activity</t>
        </is>
      </c>
      <c r="B83" t="n">
        <v>-5094</v>
      </c>
      <c r="C83" t="n">
        <v>-4529</v>
      </c>
      <c r="D83" t="n">
        <v>-11387</v>
      </c>
      <c r="E83" t="n">
        <v>-19589</v>
      </c>
      <c r="F83" t="n">
        <v>-9410</v>
      </c>
      <c r="G83" t="n">
        <v>-14748</v>
      </c>
      <c r="H83" t="n">
        <v>-10730</v>
      </c>
      <c r="I83" t="n">
        <v>-14467</v>
      </c>
      <c r="J83" t="n">
        <v>-17012</v>
      </c>
      <c r="K83" t="n">
        <v>18560</v>
      </c>
    </row>
    <row r="84" customFormat="1" s="188">
      <c r="A84" s="188" t="inlineStr">
        <is>
          <t>Cash from Financing Activity</t>
        </is>
      </c>
      <c r="B84" t="n">
        <v>-2710</v>
      </c>
      <c r="C84" t="n">
        <v>-8185</v>
      </c>
      <c r="D84" t="n">
        <v>1753</v>
      </c>
      <c r="E84" t="n">
        <v>5189</v>
      </c>
      <c r="F84" t="n">
        <v>-1444</v>
      </c>
      <c r="G84" t="n">
        <v>-14657</v>
      </c>
      <c r="H84" t="n">
        <v>-5977</v>
      </c>
      <c r="I84" t="n">
        <v>-5005</v>
      </c>
      <c r="J84" t="n">
        <v>-262</v>
      </c>
      <c r="K84" t="n">
        <v>-16111</v>
      </c>
    </row>
    <row r="85" customFormat="1" s="187">
      <c r="A85" s="188" t="inlineStr">
        <is>
          <t>Net Cash Flow</t>
        </is>
      </c>
      <c r="B85" t="n">
        <v>84</v>
      </c>
      <c r="C85" t="n">
        <v>-335</v>
      </c>
      <c r="D85" t="n">
        <v>4999</v>
      </c>
      <c r="E85" t="n">
        <v>-1615</v>
      </c>
      <c r="F85" t="n">
        <v>7977</v>
      </c>
      <c r="G85" t="n">
        <v>-3135</v>
      </c>
      <c r="H85" t="n">
        <v>6616</v>
      </c>
      <c r="I85" t="n">
        <v>-7394</v>
      </c>
      <c r="J85" t="n">
        <v>3625</v>
      </c>
      <c r="K85" t="n">
        <v>27601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184</v>
      </c>
      <c r="C90" t="n">
        <v>305.5</v>
      </c>
      <c r="D90" t="n">
        <v>282.1</v>
      </c>
      <c r="E90" t="n">
        <v>235.7</v>
      </c>
      <c r="F90" t="n">
        <v>395.45</v>
      </c>
      <c r="G90" t="n">
        <v>631.95</v>
      </c>
      <c r="H90" t="n">
        <v>682.3</v>
      </c>
      <c r="I90" t="n">
        <v>844.95</v>
      </c>
      <c r="J90" t="n">
        <v>950.7</v>
      </c>
      <c r="K90" t="n">
        <v>1264.7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231.76</v>
      </c>
      <c r="C93" s="198" t="n">
        <v>231.76</v>
      </c>
      <c r="D93" s="198" t="n">
        <v>231.76</v>
      </c>
      <c r="E93" s="198" t="n">
        <v>231.76</v>
      </c>
      <c r="F93" s="198" t="n">
        <v>231.76</v>
      </c>
      <c r="G93" s="198" t="n">
        <v>231.76</v>
      </c>
      <c r="H93" s="198" t="n">
        <v>231.76</v>
      </c>
      <c r="I93" s="198" t="n">
        <v>231.76</v>
      </c>
      <c r="J93" s="198" t="n">
        <v>231.76</v>
      </c>
      <c r="K93" s="198" t="n">
        <v>231.76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1" t="inlineStr">
        <is>
          <t>Cash Flow Statement - JSW STEEL LTD</t>
        </is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7876</v>
      </c>
      <c r="D6" s="73" t="n">
        <v>6897</v>
      </c>
      <c r="E6" s="73" t="n">
        <v>7888</v>
      </c>
      <c r="F6" s="73" t="n">
        <v>12379</v>
      </c>
      <c r="G6" s="73" t="n">
        <v>14633</v>
      </c>
      <c r="H6" s="73" t="n">
        <v>12785</v>
      </c>
      <c r="I6" s="73" t="n">
        <v>18831</v>
      </c>
      <c r="J6" s="73" t="n">
        <v>26270</v>
      </c>
      <c r="K6" s="73" t="n">
        <v>23323</v>
      </c>
      <c r="L6" s="73" t="n">
        <v>12078</v>
      </c>
      <c r="M6" s="73" t="n">
        <v>20899</v>
      </c>
      <c r="N6" s="73" t="n">
        <v>25152</v>
      </c>
    </row>
    <row r="7">
      <c r="B7" t="inlineStr">
        <is>
          <t>Profit from operations</t>
        </is>
      </c>
      <c r="C7" s="73" t="n">
        <v>8850</v>
      </c>
      <c r="D7" s="73" t="n">
        <v>6614</v>
      </c>
      <c r="E7" s="73" t="n">
        <v>11994</v>
      </c>
      <c r="F7" s="73" t="n">
        <v>14920</v>
      </c>
      <c r="G7" s="73" t="n">
        <v>18844</v>
      </c>
      <c r="H7" s="73" t="n">
        <v>12301</v>
      </c>
      <c r="I7" s="73" t="n">
        <v>19455</v>
      </c>
      <c r="J7" s="73" t="n">
        <v>38913</v>
      </c>
      <c r="K7" s="73" t="n">
        <v>20856</v>
      </c>
      <c r="L7" s="73" t="n">
        <v>28472</v>
      </c>
      <c r="M7" s="73" t="n">
        <v>23553</v>
      </c>
      <c r="N7" s="73" t="n">
        <v>32085</v>
      </c>
    </row>
    <row r="8">
      <c r="B8" t="inlineStr">
        <is>
          <t>Receivables</t>
        </is>
      </c>
      <c r="C8" t="n">
        <v>-207</v>
      </c>
      <c r="D8" t="n">
        <v>-294</v>
      </c>
      <c r="E8" t="n">
        <v>-1352</v>
      </c>
      <c r="F8" t="n">
        <v>-640</v>
      </c>
      <c r="G8" t="n">
        <v>-2203</v>
      </c>
      <c r="H8" s="73" t="n">
        <v>2458</v>
      </c>
      <c r="I8" t="n">
        <v>72</v>
      </c>
      <c r="J8" t="n">
        <v>-1884</v>
      </c>
      <c r="K8" t="n">
        <v>317</v>
      </c>
      <c r="L8" t="n">
        <v>-154</v>
      </c>
      <c r="M8" s="73" t="n">
        <v>-866</v>
      </c>
      <c r="N8" t="n">
        <v>-3686</v>
      </c>
    </row>
    <row r="9">
      <c r="B9" t="inlineStr">
        <is>
          <t>Inventory</t>
        </is>
      </c>
      <c r="C9" t="n">
        <v>-2854</v>
      </c>
      <c r="D9" t="n">
        <v>2578</v>
      </c>
      <c r="E9" t="n">
        <v>-3065</v>
      </c>
      <c r="F9" t="n">
        <v>-1199</v>
      </c>
      <c r="G9" t="n">
        <v>-1741</v>
      </c>
      <c r="H9" t="n">
        <v>744</v>
      </c>
      <c r="I9" s="73" t="n">
        <v>-335</v>
      </c>
      <c r="J9" t="n">
        <v>-15593</v>
      </c>
      <c r="K9" s="73" t="n">
        <v>704</v>
      </c>
      <c r="L9" s="73" t="n">
        <v>-3284</v>
      </c>
      <c r="M9" s="73" t="n">
        <v>2609</v>
      </c>
      <c r="N9" s="73" t="n">
        <v>-3176</v>
      </c>
    </row>
    <row r="10">
      <c r="B10" t="inlineStr">
        <is>
          <t>Payables</t>
        </is>
      </c>
      <c r="C10" t="n">
        <v>2543</v>
      </c>
      <c r="D10" t="n">
        <v>-2143</v>
      </c>
      <c r="E10" t="n">
        <v>1561</v>
      </c>
      <c r="F10" s="73" t="n">
        <v>2514</v>
      </c>
      <c r="G10" t="n">
        <v>3406</v>
      </c>
      <c r="H10" t="n">
        <v>183</v>
      </c>
      <c r="I10" s="73" t="n">
        <v>1348</v>
      </c>
      <c r="J10" s="73" t="n">
        <v>13013</v>
      </c>
      <c r="K10" s="73" t="n">
        <v>4965</v>
      </c>
      <c r="L10" t="n">
        <v>-7235</v>
      </c>
      <c r="M10" s="73" t="n">
        <v>-1096</v>
      </c>
      <c r="N10" t="n">
        <v>5517</v>
      </c>
    </row>
    <row r="11">
      <c r="B11" t="inlineStr">
        <is>
          <t>Working capital changes</t>
        </is>
      </c>
      <c r="C11" t="n">
        <v>-202</v>
      </c>
      <c r="D11" t="n">
        <v>491</v>
      </c>
      <c r="E11" t="n">
        <v>-3869</v>
      </c>
      <c r="F11" s="73" t="n">
        <v>-1101</v>
      </c>
      <c r="G11" t="n">
        <v>-1581</v>
      </c>
      <c r="H11" t="n">
        <v>1639</v>
      </c>
      <c r="I11" t="n">
        <v>1306</v>
      </c>
      <c r="J11" t="n">
        <v>-7264</v>
      </c>
      <c r="K11" t="n">
        <v>3105</v>
      </c>
      <c r="L11" s="73" t="n">
        <v>-13615</v>
      </c>
      <c r="M11" s="73" t="n">
        <v>-681</v>
      </c>
      <c r="N11" s="73" t="n">
        <v>-3708</v>
      </c>
    </row>
    <row r="12">
      <c r="B12" t="inlineStr">
        <is>
          <t>Direct taxes</t>
        </is>
      </c>
      <c r="C12" s="73" t="n">
        <v>-773</v>
      </c>
      <c r="D12" s="73" t="n">
        <v>-207</v>
      </c>
      <c r="E12" s="73" t="n">
        <v>-237</v>
      </c>
      <c r="F12" s="73" t="n">
        <v>-1440</v>
      </c>
      <c r="G12" s="73" t="n">
        <v>-2630</v>
      </c>
      <c r="H12" s="73" t="n">
        <v>-1155</v>
      </c>
      <c r="I12" s="73" t="n">
        <v>-1930</v>
      </c>
      <c r="J12" s="73" t="n">
        <v>-5379</v>
      </c>
      <c r="K12" s="73" t="n">
        <v>-638</v>
      </c>
      <c r="L12" s="73" t="n">
        <v>-2779</v>
      </c>
      <c r="M12" s="73" t="n">
        <v>-1973</v>
      </c>
      <c r="N12" s="73" t="n">
        <v>-3225</v>
      </c>
    </row>
    <row r="13">
      <c r="B13" t="inlineStr">
        <is>
          <t>Cash from Investing Activity -</t>
        </is>
      </c>
      <c r="C13" s="73" t="n">
        <v>-7372</v>
      </c>
      <c r="D13" s="73" t="n">
        <v>-3857</v>
      </c>
      <c r="E13" s="73" t="n">
        <v>-5094</v>
      </c>
      <c r="F13" s="73" t="n">
        <v>-4529</v>
      </c>
      <c r="G13" s="73" t="n">
        <v>-11387</v>
      </c>
      <c r="H13" s="73" t="n">
        <v>-19589</v>
      </c>
      <c r="I13" s="73" t="n">
        <v>-9410</v>
      </c>
      <c r="J13" s="73" t="n">
        <v>-14748</v>
      </c>
      <c r="K13" s="73" t="n">
        <v>-10730</v>
      </c>
      <c r="L13" s="73" t="n">
        <v>-14467</v>
      </c>
      <c r="M13" t="n">
        <v>-17012</v>
      </c>
      <c r="N13" s="73" t="n">
        <v>18560</v>
      </c>
    </row>
    <row r="14">
      <c r="B14" t="inlineStr">
        <is>
          <t>Fixed assets purchased</t>
        </is>
      </c>
      <c r="C14" s="73" t="n">
        <v>-6721</v>
      </c>
      <c r="D14" s="73" t="n">
        <v>-5166</v>
      </c>
      <c r="E14" s="73" t="n">
        <v>-4435</v>
      </c>
      <c r="F14" s="73" t="n">
        <v>-4736</v>
      </c>
      <c r="G14" s="73" t="n">
        <v>-10206</v>
      </c>
      <c r="H14" s="73" t="n">
        <v>-12810</v>
      </c>
      <c r="I14" s="73" t="n">
        <v>-10966</v>
      </c>
      <c r="J14" s="73" t="n">
        <v>-10091</v>
      </c>
      <c r="K14" s="73" t="n">
        <v>-14784</v>
      </c>
      <c r="L14" s="73" t="n">
        <v>-15801</v>
      </c>
      <c r="M14" s="73" t="n">
        <v>-12694</v>
      </c>
      <c r="N14" s="73" t="n">
        <v>-14654</v>
      </c>
    </row>
    <row r="15">
      <c r="B15" t="inlineStr">
        <is>
          <t>Fixed assets sold</t>
        </is>
      </c>
      <c r="C15" t="n">
        <v>207</v>
      </c>
      <c r="D15" t="n">
        <v>4</v>
      </c>
      <c r="E15" t="n">
        <v>45</v>
      </c>
      <c r="F15" t="n">
        <v>60</v>
      </c>
      <c r="G15" t="n">
        <v>44</v>
      </c>
      <c r="H15" t="n">
        <v>43</v>
      </c>
      <c r="I15" t="n">
        <v>51</v>
      </c>
      <c r="J15" t="n">
        <v>43</v>
      </c>
      <c r="K15" t="n">
        <v>35</v>
      </c>
      <c r="L15" t="n">
        <v>254</v>
      </c>
      <c r="M15" t="n">
        <v>59</v>
      </c>
      <c r="N15" t="n">
        <v>112</v>
      </c>
    </row>
    <row r="16">
      <c r="B16" t="inlineStr">
        <is>
          <t>Investments purchased</t>
        </is>
      </c>
      <c r="C16" s="73" t="n">
        <v>0</v>
      </c>
      <c r="D16" s="73" t="n">
        <v>0</v>
      </c>
      <c r="E16" s="73" t="n">
        <v>-2784</v>
      </c>
      <c r="F16" s="73" t="n">
        <v>-8111</v>
      </c>
      <c r="G16" s="73" t="n">
        <v>-8340</v>
      </c>
      <c r="H16" s="73" t="n">
        <v>-762</v>
      </c>
      <c r="I16" s="73" t="n">
        <v>-606</v>
      </c>
      <c r="J16" s="73" t="n">
        <v>-4440</v>
      </c>
      <c r="K16" s="73" t="n">
        <v>0</v>
      </c>
      <c r="L16" s="73" t="n">
        <v>-3584</v>
      </c>
      <c r="M16" s="73" t="n">
        <v>-12127</v>
      </c>
      <c r="N16" s="73" t="n">
        <v>-937</v>
      </c>
    </row>
    <row r="17">
      <c r="B17" t="inlineStr">
        <is>
          <t>Investments sold</t>
        </is>
      </c>
      <c r="C17" s="73" t="n">
        <v>70</v>
      </c>
      <c r="D17" s="73" t="n">
        <v>0</v>
      </c>
      <c r="E17" s="73" t="n">
        <v>2490</v>
      </c>
      <c r="F17" s="73" t="n">
        <v>8120</v>
      </c>
      <c r="G17" s="73" t="n">
        <v>8591</v>
      </c>
      <c r="H17" s="73" t="n">
        <v>847</v>
      </c>
      <c r="I17" s="73" t="n">
        <v>612</v>
      </c>
      <c r="J17" s="73" t="n">
        <v>4153</v>
      </c>
      <c r="K17" s="73" t="n">
        <v>5</v>
      </c>
      <c r="L17" s="73" t="n">
        <v>3635</v>
      </c>
      <c r="M17" s="73" t="n">
        <v>6274</v>
      </c>
      <c r="N17" s="73" t="n">
        <v>6580</v>
      </c>
    </row>
    <row r="18">
      <c r="B18" t="inlineStr">
        <is>
          <t>Interest received</t>
        </is>
      </c>
      <c r="C18" t="n">
        <v>26</v>
      </c>
      <c r="D18" t="n">
        <v>41</v>
      </c>
      <c r="E18" t="n">
        <v>98</v>
      </c>
      <c r="F18" t="n">
        <v>121</v>
      </c>
      <c r="G18" s="73" t="n">
        <v>158</v>
      </c>
      <c r="H18" s="73" t="n">
        <v>503</v>
      </c>
      <c r="I18" s="73" t="n">
        <v>619</v>
      </c>
      <c r="J18" s="73" t="n">
        <v>591</v>
      </c>
      <c r="K18" s="73" t="n">
        <v>600</v>
      </c>
      <c r="L18" s="73" t="n">
        <v>899</v>
      </c>
      <c r="M18" s="73" t="n">
        <v>660</v>
      </c>
      <c r="N18" t="n">
        <v>672</v>
      </c>
    </row>
    <row r="19">
      <c r="B19" t="inlineStr">
        <is>
          <t>Dividends received</t>
        </is>
      </c>
      <c r="C19" t="n">
        <v>21</v>
      </c>
      <c r="D19" t="n">
        <v>20</v>
      </c>
      <c r="E19" t="n">
        <v>20</v>
      </c>
      <c r="F19" t="n">
        <v>5</v>
      </c>
      <c r="G19" t="n">
        <v>0</v>
      </c>
      <c r="H19" t="n">
        <v>10</v>
      </c>
      <c r="I19" t="n">
        <v>11</v>
      </c>
      <c r="J19" t="n">
        <v>25</v>
      </c>
      <c r="K19" t="n">
        <v>21</v>
      </c>
      <c r="L19" t="n">
        <v>21</v>
      </c>
      <c r="M19" t="n">
        <v>24</v>
      </c>
      <c r="N19" t="n">
        <v>24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-40</v>
      </c>
      <c r="D21" t="n">
        <v>-9</v>
      </c>
      <c r="E21" t="n">
        <v>-37</v>
      </c>
      <c r="F21" t="n">
        <v>-46</v>
      </c>
      <c r="G21" t="n">
        <v>-413</v>
      </c>
      <c r="H21" t="n">
        <v>0</v>
      </c>
      <c r="I21" t="n">
        <v>-5087</v>
      </c>
      <c r="J21" t="n">
        <v>-364</v>
      </c>
      <c r="K21" t="n">
        <v>-244</v>
      </c>
      <c r="L21" t="n">
        <v>-396</v>
      </c>
      <c r="M21" t="n">
        <v>-1880</v>
      </c>
      <c r="N21" t="n">
        <v>-1104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-936</v>
      </c>
      <c r="D23" s="73" t="n">
        <v>1252</v>
      </c>
      <c r="E23" s="73" t="n">
        <v>-381</v>
      </c>
      <c r="F23" s="73" t="n">
        <v>373</v>
      </c>
      <c r="G23" s="73" t="n">
        <v>-207</v>
      </c>
      <c r="H23" s="73" t="n">
        <v>-7520</v>
      </c>
      <c r="I23" s="73" t="n">
        <v>7824</v>
      </c>
      <c r="J23" s="73" t="n">
        <v>-4496</v>
      </c>
      <c r="K23" t="n">
        <v>3637</v>
      </c>
      <c r="L23" s="73" t="n">
        <v>1135</v>
      </c>
      <c r="M23" t="n">
        <v>2672</v>
      </c>
      <c r="N23" s="73" t="n">
        <v>29278</v>
      </c>
    </row>
    <row r="24">
      <c r="B24" t="inlineStr">
        <is>
          <t>Cash from Financing Activity -</t>
        </is>
      </c>
      <c r="C24" s="73" t="n">
        <v>-169</v>
      </c>
      <c r="D24" s="73" t="n">
        <v>-3151</v>
      </c>
      <c r="E24" s="73" t="n">
        <v>-2710</v>
      </c>
      <c r="F24" s="73" t="n">
        <v>-8185</v>
      </c>
      <c r="G24" s="73" t="n">
        <v>1753</v>
      </c>
      <c r="H24" s="73" t="n">
        <v>5189</v>
      </c>
      <c r="I24" s="73" t="n">
        <v>-1444</v>
      </c>
      <c r="J24" s="73" t="n">
        <v>-14657</v>
      </c>
      <c r="K24" s="73" t="n">
        <v>-5977</v>
      </c>
      <c r="L24" s="73" t="n">
        <v>-5005</v>
      </c>
      <c r="M24" s="73" t="n">
        <v>-262</v>
      </c>
      <c r="N24" s="73" t="n">
        <v>-16111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57</v>
      </c>
      <c r="F25" t="n">
        <v>49</v>
      </c>
      <c r="G25" t="n">
        <v>0</v>
      </c>
      <c r="H25" t="n">
        <v>107</v>
      </c>
      <c r="I25" t="n">
        <v>39</v>
      </c>
      <c r="J25" t="n">
        <v>72</v>
      </c>
      <c r="K25" s="73" t="n">
        <v>59</v>
      </c>
      <c r="L25" s="73" t="n">
        <v>6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10216</v>
      </c>
      <c r="D26" t="n">
        <v>1197</v>
      </c>
      <c r="E26" t="n">
        <v>7101</v>
      </c>
      <c r="F26" t="n">
        <v>6209</v>
      </c>
      <c r="G26" t="n">
        <v>13154</v>
      </c>
      <c r="H26" t="n">
        <v>22754</v>
      </c>
      <c r="I26" t="n">
        <v>15897</v>
      </c>
      <c r="J26" t="n">
        <v>17043</v>
      </c>
      <c r="K26" t="n">
        <v>19742</v>
      </c>
      <c r="L26" t="n">
        <v>20858</v>
      </c>
      <c r="M26" t="n">
        <v>29529</v>
      </c>
      <c r="N26" s="73" t="n">
        <v>16049</v>
      </c>
    </row>
    <row r="27">
      <c r="B27" t="inlineStr">
        <is>
          <t>Repayment of borrowings</t>
        </is>
      </c>
      <c r="C27" t="n">
        <v>-7479</v>
      </c>
      <c r="D27" t="n">
        <v>0</v>
      </c>
      <c r="E27" t="n">
        <v>-5890</v>
      </c>
      <c r="F27" t="n">
        <v>-10001</v>
      </c>
      <c r="G27" t="n">
        <v>-6273</v>
      </c>
      <c r="H27" t="n">
        <v>-11107</v>
      </c>
      <c r="I27" t="n">
        <v>-12222</v>
      </c>
      <c r="J27" t="n">
        <v>-24091</v>
      </c>
      <c r="K27" t="n">
        <v>-14158</v>
      </c>
      <c r="L27" t="n">
        <v>-16328</v>
      </c>
      <c r="M27" t="n">
        <v>-18758</v>
      </c>
      <c r="N27" t="n">
        <v>-21695</v>
      </c>
    </row>
    <row r="28">
      <c r="B28" t="inlineStr">
        <is>
          <t>Interest paid fin</t>
        </is>
      </c>
      <c r="C28" t="n">
        <v>-2563</v>
      </c>
      <c r="D28" t="n">
        <v>-3125</v>
      </c>
      <c r="E28" t="n">
        <v>-3569</v>
      </c>
      <c r="F28" t="n">
        <v>-3511</v>
      </c>
      <c r="G28" t="n">
        <v>-3815</v>
      </c>
      <c r="H28" t="n">
        <v>-4520</v>
      </c>
      <c r="I28" t="n">
        <v>-4340</v>
      </c>
      <c r="J28" t="n">
        <v>-5102</v>
      </c>
      <c r="K28" t="n">
        <v>-6902</v>
      </c>
      <c r="L28" t="n">
        <v>-8087</v>
      </c>
      <c r="M28" t="n">
        <v>-8835</v>
      </c>
      <c r="N28" t="n">
        <v>-8922</v>
      </c>
    </row>
    <row r="29">
      <c r="B29" t="inlineStr">
        <is>
          <t>Dividends paid</t>
        </is>
      </c>
      <c r="C29" s="73" t="n">
        <v>-344</v>
      </c>
      <c r="D29" s="73" t="n">
        <v>-320</v>
      </c>
      <c r="E29" s="73" t="n">
        <v>-218</v>
      </c>
      <c r="F29" s="73" t="n">
        <v>-655</v>
      </c>
      <c r="G29" s="73" t="n">
        <v>-933</v>
      </c>
      <c r="H29" s="73" t="n">
        <v>-1195</v>
      </c>
      <c r="I29" s="73" t="n">
        <v>-483</v>
      </c>
      <c r="J29" s="73" t="n">
        <v>-1571</v>
      </c>
      <c r="K29" s="73" t="n">
        <v>-4194</v>
      </c>
      <c r="L29" s="73" t="n">
        <v>-822</v>
      </c>
      <c r="M29" s="73" t="n">
        <v>-1785</v>
      </c>
      <c r="N29" s="73" t="n">
        <v>-685</v>
      </c>
    </row>
    <row r="30">
      <c r="B30" t="inlineStr">
        <is>
          <t>Financial liabilities</t>
        </is>
      </c>
      <c r="C30" t="n">
        <v>0</v>
      </c>
      <c r="D30" t="n">
        <v>-187</v>
      </c>
      <c r="E30" t="n">
        <v>-186</v>
      </c>
      <c r="F30" t="n">
        <v>-200</v>
      </c>
      <c r="G30" t="n">
        <v>-227</v>
      </c>
      <c r="H30" t="n">
        <v>-177</v>
      </c>
      <c r="I30" t="n">
        <v>-335</v>
      </c>
      <c r="J30" t="n">
        <v>-417</v>
      </c>
      <c r="K30" t="n">
        <v>-524</v>
      </c>
      <c r="L30" t="n">
        <v>-632</v>
      </c>
      <c r="M30" t="n">
        <v>-369</v>
      </c>
      <c r="N30" t="n">
        <v>-464</v>
      </c>
    </row>
    <row r="31">
      <c r="B31" t="inlineStr">
        <is>
          <t>Other financing items</t>
        </is>
      </c>
      <c r="C31" t="n">
        <v>0</v>
      </c>
      <c r="D31" t="n">
        <v>-715</v>
      </c>
      <c r="E31" s="73" t="n">
        <v>-5</v>
      </c>
      <c r="F31" s="73" t="n">
        <v>-76</v>
      </c>
      <c r="G31" s="73" t="n">
        <v>-153</v>
      </c>
      <c r="H31" s="73" t="n">
        <v>-101</v>
      </c>
      <c r="I31" t="n">
        <v>0</v>
      </c>
      <c r="J31" t="n">
        <v>-591</v>
      </c>
      <c r="K31" t="n">
        <v>0</v>
      </c>
      <c r="L31" t="n">
        <v>0</v>
      </c>
      <c r="M31" t="n">
        <v>-44</v>
      </c>
      <c r="N31" t="n">
        <v>-394</v>
      </c>
    </row>
    <row r="32">
      <c r="B32" t="inlineStr">
        <is>
          <t>Net Cash Flow</t>
        </is>
      </c>
      <c r="C32" t="n">
        <v>334</v>
      </c>
      <c r="D32" t="n">
        <v>-111</v>
      </c>
      <c r="E32" t="n">
        <v>84</v>
      </c>
      <c r="F32" t="n">
        <v>-335</v>
      </c>
      <c r="G32" t="n">
        <v>4999</v>
      </c>
      <c r="H32" t="n">
        <v>-1615</v>
      </c>
      <c r="I32" t="n">
        <v>7977</v>
      </c>
      <c r="J32" t="n">
        <v>-3135</v>
      </c>
      <c r="K32" t="n">
        <v>6616</v>
      </c>
      <c r="L32" t="n">
        <v>-7394</v>
      </c>
      <c r="M32" t="n">
        <v>3625</v>
      </c>
      <c r="N32" t="n">
        <v>27601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1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Sheet'!B75</f>
        <v/>
      </c>
      <c r="D60" s="107">
        <f>'Data Sheet'!C75</f>
        <v/>
      </c>
      <c r="E60" s="107">
        <f>'Data Sheet'!D75</f>
        <v/>
      </c>
      <c r="F60" s="107">
        <f>'Data Sheet'!E75</f>
        <v/>
      </c>
      <c r="G60" s="107">
        <f>'Data Sheet'!F75</f>
        <v/>
      </c>
      <c r="H60" s="107">
        <f>'Data Sheet'!G75</f>
        <v/>
      </c>
      <c r="I60" s="107">
        <f>'Data Sheet'!H75</f>
        <v/>
      </c>
      <c r="J60" s="107">
        <f>'Data Sheet'!I75</f>
        <v/>
      </c>
      <c r="K60" s="107">
        <f>'Data Sheet'!J75</f>
        <v/>
      </c>
      <c r="L60" s="107">
        <f>'Data Sheet'!K75</f>
        <v/>
      </c>
      <c r="M60" s="195">
        <f>'Data Sheet'!L75</f>
        <v/>
      </c>
      <c r="N60" s="195">
        <f>'Data Sheet'!M75</f>
        <v/>
      </c>
      <c r="O60" s="195">
        <f>'Data Sheet'!N75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1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4">
        <f>'Data Sheet'!$B$1&amp;" -"&amp;'Data Sheet'!A17&amp;" Forecasting"</f>
        <v/>
      </c>
      <c r="G2" s="164">
        <f>'Data Sheet'!$B$1&amp;" -"&amp;'Historical FS'!B19&amp;" Forecasting"</f>
        <v/>
      </c>
      <c r="L2" s="164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64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43160</v>
      </c>
      <c r="D6" s="107" t="n">
        <v>71933</v>
      </c>
      <c r="E6" s="36">
        <f>D6/D5-1</f>
        <v/>
      </c>
      <c r="G6">
        <f>G5+1</f>
        <v/>
      </c>
      <c r="H6" s="54" t="n">
        <v>43160</v>
      </c>
      <c r="I6" s="107" t="n">
        <v>16544.59</v>
      </c>
      <c r="J6" s="36">
        <f>I6/I5-1</f>
        <v/>
      </c>
      <c r="L6">
        <f>L5+1</f>
        <v/>
      </c>
      <c r="M6" s="54" t="n">
        <v>43160</v>
      </c>
      <c r="N6" s="107" t="n">
        <v>1805.590000000004</v>
      </c>
      <c r="O6" s="36">
        <f>N6/N5-1</f>
        <v/>
      </c>
    </row>
    <row r="7">
      <c r="B7">
        <f>B6+1</f>
        <v/>
      </c>
      <c r="C7" s="54" t="n">
        <v>43525</v>
      </c>
      <c r="D7" s="107" t="n">
        <v>84757</v>
      </c>
      <c r="E7" s="36">
        <f>D7/D6-1</f>
        <v/>
      </c>
      <c r="G7">
        <f>G6+1</f>
        <v/>
      </c>
      <c r="H7" s="54" t="n">
        <v>43525</v>
      </c>
      <c r="I7" s="107" t="n">
        <v>22036.82</v>
      </c>
      <c r="J7" s="36">
        <f>I7/I6-1</f>
        <v/>
      </c>
      <c r="L7">
        <f>L6+1</f>
        <v/>
      </c>
      <c r="M7" s="54" t="n">
        <v>43525</v>
      </c>
      <c r="N7" s="107" t="n">
        <v>2910.82</v>
      </c>
      <c r="O7" s="36">
        <f>N7/N6-1</f>
        <v/>
      </c>
    </row>
    <row r="8">
      <c r="B8">
        <f>B7+1</f>
        <v/>
      </c>
      <c r="C8" s="54" t="n">
        <v>43891</v>
      </c>
      <c r="D8" s="107" t="n">
        <v>73326</v>
      </c>
      <c r="E8" s="36">
        <f>D8/D7-1</f>
        <v/>
      </c>
      <c r="G8">
        <f>G7+1</f>
        <v/>
      </c>
      <c r="H8" s="54" t="n">
        <v>43891</v>
      </c>
      <c r="I8" s="107" t="n">
        <v>14665.2</v>
      </c>
      <c r="J8" s="36">
        <f>I8/I7-1</f>
        <v/>
      </c>
      <c r="L8">
        <f>L7+1</f>
        <v/>
      </c>
      <c r="M8" s="54" t="n">
        <v>43891</v>
      </c>
      <c r="N8" s="107" t="n">
        <v>3141.200000000004</v>
      </c>
      <c r="O8" s="36">
        <f>N8/N7-1</f>
        <v/>
      </c>
    </row>
    <row r="9">
      <c r="B9">
        <f>B8+1</f>
        <v/>
      </c>
      <c r="C9" s="54" t="n">
        <v>44256</v>
      </c>
      <c r="D9" s="107" t="n">
        <v>79839</v>
      </c>
      <c r="E9" s="36">
        <f>D9/D8-1</f>
        <v/>
      </c>
      <c r="G9">
        <f>G8+1</f>
        <v/>
      </c>
      <c r="H9" s="54" t="n">
        <v>44256</v>
      </c>
      <c r="I9" s="107" t="n">
        <v>22354.92</v>
      </c>
      <c r="J9" s="36">
        <f>I9/I8-1</f>
        <v/>
      </c>
      <c r="L9">
        <f>L8+1</f>
        <v/>
      </c>
      <c r="M9" s="54" t="n">
        <v>44256</v>
      </c>
      <c r="N9" s="107" t="n">
        <v>1703.919999999998</v>
      </c>
      <c r="O9" s="36">
        <f>N9/N8-1</f>
        <v/>
      </c>
    </row>
    <row r="10">
      <c r="B10">
        <f>B9+1</f>
        <v/>
      </c>
      <c r="C10" s="54" t="n">
        <v>44621</v>
      </c>
      <c r="D10" s="107" t="n">
        <v>146371</v>
      </c>
      <c r="E10" s="36">
        <f>D10/D9-1</f>
        <v/>
      </c>
      <c r="G10">
        <f>G9+1</f>
        <v/>
      </c>
      <c r="H10" s="54" t="n">
        <v>44621</v>
      </c>
      <c r="I10" s="107" t="n">
        <v>43911.3</v>
      </c>
      <c r="J10" s="36">
        <f>I10/I9-1</f>
        <v/>
      </c>
      <c r="L10">
        <f>L9+1</f>
        <v/>
      </c>
      <c r="M10" s="54" t="n">
        <v>44621</v>
      </c>
      <c r="N10" s="107" t="n">
        <v>3197.300000000003</v>
      </c>
      <c r="O10" s="36">
        <f>N10/N9-1</f>
        <v/>
      </c>
    </row>
    <row r="11">
      <c r="B11">
        <f>B10+1</f>
        <v/>
      </c>
      <c r="C11" s="54" t="n">
        <v>44986</v>
      </c>
      <c r="D11" s="107" t="n">
        <v>165960</v>
      </c>
      <c r="E11" s="36">
        <f>D11/D10-1</f>
        <v/>
      </c>
      <c r="G11">
        <f>G10+1</f>
        <v/>
      </c>
      <c r="H11" s="54" t="n">
        <v>44986</v>
      </c>
      <c r="I11" s="107" t="n">
        <v>26553.59999999998</v>
      </c>
      <c r="J11" s="36">
        <f>I11/I10-1</f>
        <v/>
      </c>
      <c r="L11">
        <f>L10+1</f>
        <v/>
      </c>
      <c r="M11" s="54" t="n">
        <v>44986</v>
      </c>
      <c r="N11" s="107" t="n">
        <v>6522.599999999977</v>
      </c>
      <c r="O11" s="36">
        <f>N11/N10-1</f>
        <v/>
      </c>
    </row>
    <row r="12">
      <c r="B12">
        <f>B11+1</f>
        <v/>
      </c>
      <c r="C12" s="54" t="n">
        <v>45352</v>
      </c>
      <c r="D12" s="107" t="n">
        <v>175006</v>
      </c>
      <c r="E12" s="36">
        <f>D12/D11-1</f>
        <v/>
      </c>
      <c r="G12">
        <f>G11+1</f>
        <v/>
      </c>
      <c r="H12" s="54" t="n">
        <v>45352</v>
      </c>
      <c r="I12" s="107" t="n">
        <v>33251.14000000001</v>
      </c>
      <c r="J12" s="36">
        <f>I12/I11-1</f>
        <v/>
      </c>
      <c r="L12">
        <f>L11+1</f>
        <v/>
      </c>
      <c r="M12" s="54" t="n">
        <v>45352</v>
      </c>
      <c r="N12" s="107" t="n">
        <v>3594.140000000014</v>
      </c>
      <c r="O12" s="36">
        <f>N12/N11-1</f>
        <v/>
      </c>
    </row>
    <row r="13">
      <c r="B13">
        <f>B12+1</f>
        <v/>
      </c>
      <c r="C13" s="54" t="n">
        <v>45717</v>
      </c>
      <c r="D13" s="107" t="n">
        <v>168824</v>
      </c>
      <c r="E13" s="36">
        <f>D13/D12-1</f>
        <v/>
      </c>
      <c r="G13">
        <f>G12+1</f>
        <v/>
      </c>
      <c r="H13" s="54" t="n">
        <v>45717</v>
      </c>
      <c r="I13" s="107" t="n">
        <v>28700.07999999999</v>
      </c>
      <c r="J13" s="36">
        <f>I13/I12-1</f>
        <v/>
      </c>
      <c r="L13">
        <f>L12+1</f>
        <v/>
      </c>
      <c r="M13" s="54" t="n">
        <v>45717</v>
      </c>
      <c r="N13" s="107" t="n">
        <v>5902.079999999987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185470</v>
      </c>
      <c r="E14" s="36">
        <f>D14/D13-1</f>
        <v/>
      </c>
      <c r="G14">
        <f>G13+1</f>
        <v/>
      </c>
      <c r="H14" s="54">
        <f>H13+365</f>
        <v/>
      </c>
      <c r="I14" s="107" t="n">
        <v>38948.69999999998</v>
      </c>
      <c r="J14" s="36">
        <f>I14/I13-1</f>
        <v/>
      </c>
      <c r="L14">
        <f>L13+1</f>
        <v/>
      </c>
      <c r="M14" s="54">
        <f>M13+365</f>
        <v/>
      </c>
      <c r="N14" s="107" t="n">
        <v>-9004.300000000017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1" t="inlineStr">
        <is>
          <t>Nifty 50 Daily Returns</t>
        </is>
      </c>
      <c r="J7" s="161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4" t="inlineStr">
        <is>
          <t>-</t>
        </is>
      </c>
      <c r="F10" s="34">
        <f>'Raw Data'!G6</f>
        <v/>
      </c>
      <c r="G10">
        <f>'Raw Data'!J6</f>
        <v/>
      </c>
      <c r="H10" s="164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6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1.45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1.25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1.5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1.6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1.35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4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>D21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37" t="inlineStr">
        <is>
          <t>Equity Value</t>
        </is>
      </c>
      <c r="C39" s="37" t="n"/>
      <c r="D39" s="129">
        <f>D35+D37-D38</f>
        <v/>
      </c>
    </row>
    <row r="40">
      <c r="B40" t="inlineStr">
        <is>
          <t>No. of Shares</t>
        </is>
      </c>
      <c r="D40">
        <f>'Data Sheet'!K70/10000000</f>
        <v/>
      </c>
    </row>
    <row r="42" ht="15" customHeight="1" s="109" thickBot="1">
      <c r="B42" s="127" t="inlineStr">
        <is>
          <t>Equity Value per Share</t>
        </is>
      </c>
      <c r="C42" s="127" t="n"/>
      <c r="D42" s="128">
        <f>D39/D40</f>
        <v/>
      </c>
    </row>
    <row r="44">
      <c r="B44" t="inlineStr">
        <is>
          <t>Share Price</t>
        </is>
      </c>
      <c r="D44" s="107">
        <f>'Data Sheet'!B8</f>
        <v/>
      </c>
    </row>
    <row r="45">
      <c r="B45" t="inlineStr">
        <is>
          <t>Discount /Premium</t>
        </is>
      </c>
      <c r="D45" s="83">
        <f>D44/D42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46286</v>
      </c>
      <c r="H6" t="n">
        <v>1268.6</v>
      </c>
      <c r="J6" t="n">
        <v>23414.3</v>
      </c>
    </row>
    <row r="7">
      <c r="B7" t="n">
        <v>2024</v>
      </c>
      <c r="C7" s="46" t="n">
        <v>0.08749999999999999</v>
      </c>
      <c r="G7" s="34" t="n">
        <v>46283</v>
      </c>
      <c r="H7" t="n">
        <v>1275.6</v>
      </c>
      <c r="J7" t="n">
        <v>23346.4</v>
      </c>
    </row>
    <row r="8">
      <c r="B8" t="n">
        <v>2023</v>
      </c>
      <c r="C8" s="46" t="n">
        <v>0.1942</v>
      </c>
      <c r="G8" s="34" t="n">
        <v>46282</v>
      </c>
      <c r="H8" t="n">
        <v>1253.4</v>
      </c>
      <c r="J8" t="n">
        <v>23270.6</v>
      </c>
    </row>
    <row r="9">
      <c r="B9" t="n">
        <v>2022</v>
      </c>
      <c r="C9" s="46" t="n">
        <v>0.0432</v>
      </c>
      <c r="G9" s="34" t="n">
        <v>46281</v>
      </c>
      <c r="H9" t="n">
        <v>1248.9</v>
      </c>
      <c r="J9" t="n">
        <v>23217.6</v>
      </c>
    </row>
    <row r="10">
      <c r="B10" t="n">
        <v>2021</v>
      </c>
      <c r="C10" s="46" t="n">
        <v>0.2412</v>
      </c>
      <c r="G10" s="34" t="n">
        <v>46280</v>
      </c>
      <c r="H10" t="n">
        <v>1229.2</v>
      </c>
      <c r="J10" t="n">
        <v>23118.6</v>
      </c>
    </row>
    <row r="11">
      <c r="B11" t="n">
        <v>2020</v>
      </c>
      <c r="C11" s="46" t="n">
        <v>0.149</v>
      </c>
      <c r="G11" s="34" t="n">
        <v>46276</v>
      </c>
      <c r="H11" t="n">
        <v>1265</v>
      </c>
      <c r="J11" t="n">
        <v>23398.1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46275</v>
      </c>
      <c r="H12" t="n">
        <v>1304</v>
      </c>
      <c r="J12" t="n">
        <v>23477.8</v>
      </c>
      <c r="N12" t="n">
        <v>1</v>
      </c>
      <c r="O12" t="inlineStr">
        <is>
          <t>Tata Steel</t>
        </is>
      </c>
      <c r="P12" t="n">
        <v>183.4</v>
      </c>
      <c r="Q12" t="n">
        <v>1248.35</v>
      </c>
      <c r="R12" t="n">
        <v>228947.89</v>
      </c>
      <c r="S12" t="n">
        <v>57236.97</v>
      </c>
      <c r="T12" t="n">
        <v>11447.39</v>
      </c>
      <c r="U12" t="n">
        <v>274737.47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46274</v>
      </c>
      <c r="H13" t="n">
        <v>1310</v>
      </c>
      <c r="J13" t="n">
        <v>23431.5</v>
      </c>
      <c r="N13" t="n">
        <v>2</v>
      </c>
      <c r="O13" t="inlineStr">
        <is>
          <t>JSW STEEL LTD</t>
        </is>
      </c>
      <c r="P13" t="n">
        <v>0</v>
      </c>
      <c r="Q13" t="n">
        <v>102.01</v>
      </c>
      <c r="R13" t="n">
        <v>310230</v>
      </c>
      <c r="S13" t="n">
        <v>99310</v>
      </c>
      <c r="T13" t="n">
        <v>5766.56</v>
      </c>
      <c r="U13" t="n">
        <v>138397.39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46273</v>
      </c>
      <c r="H14" t="n">
        <v>1297.3</v>
      </c>
      <c r="J14" t="n">
        <v>23635.1</v>
      </c>
      <c r="N14" t="n">
        <v>3</v>
      </c>
      <c r="O14" t="inlineStr">
        <is>
          <t>Jindal Steel</t>
        </is>
      </c>
      <c r="P14" t="n">
        <v>1130.6</v>
      </c>
      <c r="Q14" t="n">
        <v>413.05</v>
      </c>
      <c r="R14" t="n">
        <v>115331.16</v>
      </c>
      <c r="S14" t="n">
        <v>28832.79</v>
      </c>
      <c r="T14" t="n">
        <v>3661.71</v>
      </c>
      <c r="U14" t="n">
        <v>87881.05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46272</v>
      </c>
      <c r="H15" t="n">
        <v>1302</v>
      </c>
      <c r="J15" t="n">
        <v>23779.15</v>
      </c>
      <c r="N15" t="n">
        <v>4</v>
      </c>
      <c r="O15" t="inlineStr">
        <is>
          <t>S A I L</t>
        </is>
      </c>
      <c r="P15" t="n">
        <v>177.3</v>
      </c>
      <c r="Q15" t="n">
        <v>82.44</v>
      </c>
      <c r="R15" t="n">
        <v>73234.21000000001</v>
      </c>
      <c r="S15" t="n">
        <v>18308.55</v>
      </c>
      <c r="T15" t="n">
        <v>3097.55</v>
      </c>
      <c r="U15" t="n">
        <v>74341.21000000001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46269</v>
      </c>
      <c r="H16" t="n">
        <v>1325</v>
      </c>
      <c r="J16" t="n">
        <v>23897.7</v>
      </c>
      <c r="N16" t="n">
        <v>5</v>
      </c>
      <c r="O16" t="inlineStr">
        <is>
          <t>Jindal Stain.</t>
        </is>
      </c>
      <c r="P16" t="n">
        <v>751.45</v>
      </c>
      <c r="Q16" t="n">
        <v>35.24</v>
      </c>
      <c r="R16" t="n">
        <v>61951.01</v>
      </c>
      <c r="S16" t="n">
        <v>15487.75</v>
      </c>
      <c r="T16" t="n">
        <v>886.6799999999999</v>
      </c>
      <c r="U16" t="n">
        <v>21280.31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46268</v>
      </c>
      <c r="H17" t="n">
        <v>1308</v>
      </c>
      <c r="J17" t="n">
        <v>23873.45</v>
      </c>
      <c r="N17" t="n">
        <v>6</v>
      </c>
      <c r="O17" t="inlineStr">
        <is>
          <t>NMDC Steel</t>
        </is>
      </c>
      <c r="P17" t="n">
        <v>42.44</v>
      </c>
      <c r="Q17" t="n">
        <v>293.06</v>
      </c>
      <c r="R17" t="n">
        <v>12437.49</v>
      </c>
      <c r="S17" t="n">
        <v>3109.37</v>
      </c>
      <c r="T17" t="n">
        <v>621.87</v>
      </c>
      <c r="U17" t="n">
        <v>14924.99</v>
      </c>
    </row>
    <row r="18">
      <c r="B18" t="n">
        <v>2013</v>
      </c>
      <c r="C18" s="46" t="n">
        <v>0.06759999999999999</v>
      </c>
      <c r="G18" s="34" t="n">
        <v>46267</v>
      </c>
      <c r="H18" t="n">
        <v>1306</v>
      </c>
      <c r="J18" t="n">
        <v>23914.45</v>
      </c>
    </row>
    <row r="19">
      <c r="B19" t="n">
        <v>2012</v>
      </c>
      <c r="C19" s="46" t="n">
        <v>0.277</v>
      </c>
      <c r="G19" s="34" t="n">
        <v>46266</v>
      </c>
      <c r="H19" t="n">
        <v>1313.5</v>
      </c>
      <c r="J19" t="n">
        <v>24055.8</v>
      </c>
    </row>
    <row r="20">
      <c r="B20" t="n">
        <v>2011</v>
      </c>
      <c r="C20" s="46" t="n">
        <v>-0.2462</v>
      </c>
      <c r="G20" s="34" t="n">
        <v>46265</v>
      </c>
      <c r="H20" t="n">
        <v>1307.7</v>
      </c>
      <c r="J20" t="n">
        <v>24080.4</v>
      </c>
    </row>
    <row r="21">
      <c r="B21" t="n">
        <v>2010</v>
      </c>
      <c r="C21" s="46" t="n">
        <v>0.1795</v>
      </c>
      <c r="G21" s="34" t="n">
        <v>46262</v>
      </c>
      <c r="H21" t="n">
        <v>1334.9</v>
      </c>
      <c r="J21" t="n">
        <v>24175.65</v>
      </c>
    </row>
    <row r="22">
      <c r="B22" t="n">
        <v>2009</v>
      </c>
      <c r="C22" s="46" t="n">
        <v>0.7576000000000001</v>
      </c>
      <c r="G22" s="34" t="n">
        <v>46261</v>
      </c>
      <c r="H22" t="n">
        <v>1337.5</v>
      </c>
      <c r="J22" t="n">
        <v>24090.85</v>
      </c>
    </row>
    <row r="23">
      <c r="B23" t="n">
        <v>2008</v>
      </c>
      <c r="C23" s="46" t="n">
        <v>-0.5179</v>
      </c>
      <c r="G23" s="34" t="n">
        <v>46260</v>
      </c>
      <c r="H23" t="n">
        <v>1341</v>
      </c>
      <c r="J23" t="n">
        <v>24207.75</v>
      </c>
    </row>
    <row r="24">
      <c r="B24" t="n">
        <v>2007</v>
      </c>
      <c r="C24" s="46" t="n">
        <v>0.5477</v>
      </c>
      <c r="G24" s="34" t="n">
        <v>46259</v>
      </c>
      <c r="H24" t="n">
        <v>1320.3</v>
      </c>
      <c r="J24" t="n">
        <v>24334.55</v>
      </c>
      <c r="O24" t="inlineStr">
        <is>
          <t>Tata Steel</t>
        </is>
      </c>
      <c r="Q24" t="inlineStr">
        <is>
          <t>India</t>
        </is>
      </c>
      <c r="R24" t="n">
        <v>57236.97</v>
      </c>
      <c r="S24" t="n">
        <v>228947.89</v>
      </c>
      <c r="T24" s="46" t="n">
        <v>0.3</v>
      </c>
    </row>
    <row r="25">
      <c r="B25" t="n">
        <v>2006</v>
      </c>
      <c r="C25" s="46" t="n">
        <v>0.3983</v>
      </c>
      <c r="G25" s="34" t="n">
        <v>46258</v>
      </c>
      <c r="H25" t="n">
        <v>1327</v>
      </c>
      <c r="J25" t="n">
        <v>24219.05</v>
      </c>
      <c r="O25" t="inlineStr">
        <is>
          <t>JSW STEEL LTD</t>
        </is>
      </c>
      <c r="Q25">
        <f>Q24</f>
        <v/>
      </c>
      <c r="R25" t="n">
        <v>99310</v>
      </c>
      <c r="S25" t="n">
        <v>310230</v>
      </c>
      <c r="T25" s="46">
        <f>T24</f>
        <v/>
      </c>
    </row>
    <row r="26">
      <c r="B26" t="n">
        <v>2005</v>
      </c>
      <c r="C26" s="46" t="n">
        <v>0.3634</v>
      </c>
      <c r="G26" s="34" t="n">
        <v>46255</v>
      </c>
      <c r="H26" t="n">
        <v>1293.7</v>
      </c>
      <c r="J26" t="n">
        <v>24252</v>
      </c>
      <c r="O26" t="inlineStr">
        <is>
          <t>Jindal Steel</t>
        </is>
      </c>
      <c r="Q26">
        <f>Q25</f>
        <v/>
      </c>
      <c r="R26" t="n">
        <v>28832.79</v>
      </c>
      <c r="S26" t="n">
        <v>115331.16</v>
      </c>
      <c r="T26" s="46">
        <f>T25</f>
        <v/>
      </c>
    </row>
    <row r="27">
      <c r="B27" t="n">
        <v>2004</v>
      </c>
      <c r="C27" s="46" t="n">
        <v>0.1068</v>
      </c>
      <c r="G27" s="34" t="n">
        <v>46254</v>
      </c>
      <c r="H27" t="n">
        <v>1299.7</v>
      </c>
      <c r="J27" t="n">
        <v>24231.85</v>
      </c>
      <c r="O27" t="inlineStr">
        <is>
          <t>S A I L</t>
        </is>
      </c>
      <c r="Q27">
        <f>Q26</f>
        <v/>
      </c>
      <c r="R27" t="n">
        <v>18308.55</v>
      </c>
      <c r="S27" t="n">
        <v>73234.21000000001</v>
      </c>
      <c r="T27" s="46">
        <f>T26</f>
        <v/>
      </c>
    </row>
    <row r="28">
      <c r="B28" t="n">
        <v>2003</v>
      </c>
      <c r="C28" s="46" t="n">
        <v>0.719</v>
      </c>
      <c r="G28" s="34" t="n">
        <v>46253</v>
      </c>
      <c r="H28" t="n">
        <v>1285.8</v>
      </c>
      <c r="J28" t="n">
        <v>24078.3</v>
      </c>
      <c r="O28" t="inlineStr">
        <is>
          <t>Jindal Stain.</t>
        </is>
      </c>
      <c r="Q28">
        <f>Q27</f>
        <v/>
      </c>
      <c r="R28" t="n">
        <v>15487.75</v>
      </c>
      <c r="S28" t="n">
        <v>61951.01</v>
      </c>
      <c r="T28" s="46">
        <f>T27</f>
        <v/>
      </c>
    </row>
    <row r="29">
      <c r="B29" t="n">
        <v>2002</v>
      </c>
      <c r="C29" s="46" t="n">
        <v>0.0325</v>
      </c>
      <c r="G29" s="34" t="n">
        <v>46252</v>
      </c>
      <c r="H29" t="n">
        <v>1267.6</v>
      </c>
      <c r="J29" t="n">
        <v>24154.9</v>
      </c>
    </row>
    <row r="30">
      <c r="G30" s="34" t="n">
        <v>46251</v>
      </c>
      <c r="H30" t="n">
        <v>1277.8</v>
      </c>
      <c r="J30" t="n">
        <v>24287.65</v>
      </c>
    </row>
    <row r="31">
      <c r="G31" s="34" t="n">
        <v>46248</v>
      </c>
      <c r="H31" t="n">
        <v>1270</v>
      </c>
      <c r="J31" t="n">
        <v>24366</v>
      </c>
    </row>
    <row r="32">
      <c r="G32" s="34" t="n">
        <v>46247</v>
      </c>
      <c r="H32" t="n">
        <v>1275</v>
      </c>
      <c r="J32" t="n">
        <v>24395.85</v>
      </c>
    </row>
    <row r="33">
      <c r="G33" s="34" t="n">
        <v>46246</v>
      </c>
      <c r="H33" t="n">
        <v>1269.1</v>
      </c>
      <c r="J33" t="n">
        <v>24435.95</v>
      </c>
    </row>
    <row r="34">
      <c r="G34" s="34" t="n">
        <v>46245</v>
      </c>
      <c r="H34" t="n">
        <v>1283.4</v>
      </c>
      <c r="J34" t="n">
        <v>24471.7</v>
      </c>
    </row>
    <row r="35">
      <c r="G35" s="34" t="n">
        <v>46244</v>
      </c>
      <c r="H35" t="n">
        <v>1302</v>
      </c>
      <c r="J35" t="n">
        <v>24583.8</v>
      </c>
    </row>
    <row r="36">
      <c r="G36" s="34" t="n">
        <v>46241</v>
      </c>
      <c r="H36" t="n">
        <v>1299.5</v>
      </c>
      <c r="J36" t="n">
        <v>24570.65</v>
      </c>
    </row>
    <row r="37">
      <c r="G37" s="34" t="n">
        <v>46240</v>
      </c>
      <c r="H37" t="n">
        <v>1307.9</v>
      </c>
      <c r="J37" t="n">
        <v>24636</v>
      </c>
    </row>
    <row r="38">
      <c r="G38" s="34" t="n">
        <v>46239</v>
      </c>
      <c r="H38" t="n">
        <v>1330</v>
      </c>
      <c r="J38" t="n">
        <v>24624.65</v>
      </c>
    </row>
    <row r="39">
      <c r="G39" s="34" t="n">
        <v>46238</v>
      </c>
      <c r="H39" t="n">
        <v>1300</v>
      </c>
      <c r="J39" t="n">
        <v>24614.9</v>
      </c>
    </row>
    <row r="40">
      <c r="G40" s="34" t="n">
        <v>46237</v>
      </c>
      <c r="H40" t="n">
        <v>1292.3</v>
      </c>
      <c r="J40" t="n">
        <v>24774.3</v>
      </c>
    </row>
    <row r="41">
      <c r="G41" s="34" t="n">
        <v>46234</v>
      </c>
      <c r="H41" t="n">
        <v>1270</v>
      </c>
      <c r="J41" t="n">
        <v>24383.6</v>
      </c>
    </row>
    <row r="42">
      <c r="G42" s="34" t="n">
        <v>46233</v>
      </c>
      <c r="H42" t="n">
        <v>1270.8</v>
      </c>
      <c r="J42" t="n">
        <v>24317.15</v>
      </c>
    </row>
    <row r="43">
      <c r="G43" s="34" t="n">
        <v>46232</v>
      </c>
      <c r="H43" t="n">
        <v>1276.6</v>
      </c>
      <c r="J43" t="n">
        <v>24250.2</v>
      </c>
    </row>
    <row r="44">
      <c r="G44" s="34" t="n">
        <v>46231</v>
      </c>
      <c r="H44" t="n">
        <v>1246.9</v>
      </c>
      <c r="J44" t="n">
        <v>23985.35</v>
      </c>
    </row>
    <row r="45">
      <c r="G45" s="34" t="n">
        <v>46230</v>
      </c>
      <c r="H45" t="n">
        <v>1244.6</v>
      </c>
      <c r="J45" t="n">
        <v>23995.95</v>
      </c>
    </row>
    <row r="46">
      <c r="G46" s="34" t="n">
        <v>46227</v>
      </c>
      <c r="H46" t="n">
        <v>1240.8</v>
      </c>
      <c r="J46" t="n">
        <v>23767.45</v>
      </c>
    </row>
    <row r="47">
      <c r="G47" s="34" t="n">
        <v>46226</v>
      </c>
      <c r="H47" t="n">
        <v>1246.8</v>
      </c>
      <c r="J47" t="n">
        <v>23869.6</v>
      </c>
    </row>
    <row r="48">
      <c r="G48" s="34" t="n">
        <v>46225</v>
      </c>
      <c r="H48" t="n">
        <v>1266.9</v>
      </c>
      <c r="J48" t="n">
        <v>23996.25</v>
      </c>
    </row>
    <row r="49">
      <c r="G49" s="34" t="n">
        <v>46224</v>
      </c>
      <c r="H49" t="n">
        <v>1267.4</v>
      </c>
      <c r="J49" t="n">
        <v>24187.7</v>
      </c>
    </row>
    <row r="50">
      <c r="G50" s="34" t="n">
        <v>46223</v>
      </c>
      <c r="H50" t="n">
        <v>1257</v>
      </c>
      <c r="J50" t="n">
        <v>24238.5</v>
      </c>
    </row>
    <row r="51">
      <c r="G51" s="34" t="n">
        <v>46220</v>
      </c>
      <c r="H51" t="n">
        <v>1237.3</v>
      </c>
      <c r="J51" t="n">
        <v>24334.3</v>
      </c>
    </row>
    <row r="52">
      <c r="G52" s="34" t="n">
        <v>46219</v>
      </c>
      <c r="H52" t="n">
        <v>1221</v>
      </c>
      <c r="J52" t="n">
        <v>24072.75</v>
      </c>
    </row>
    <row r="53">
      <c r="G53" s="34" t="n">
        <v>46218</v>
      </c>
      <c r="H53" t="n">
        <v>1226.9</v>
      </c>
      <c r="J53" t="n">
        <v>24078.5</v>
      </c>
    </row>
    <row r="54">
      <c r="G54" s="34" t="n">
        <v>46217</v>
      </c>
      <c r="H54" t="n">
        <v>1247.7</v>
      </c>
      <c r="J54" t="n">
        <v>24052.05</v>
      </c>
    </row>
    <row r="55">
      <c r="G55" s="34" t="n">
        <v>46216</v>
      </c>
      <c r="H55" t="n">
        <v>1237.4</v>
      </c>
      <c r="J55" t="n">
        <v>24211</v>
      </c>
    </row>
    <row r="56">
      <c r="G56" s="34" t="n">
        <v>46213</v>
      </c>
      <c r="H56" t="n">
        <v>1245.4</v>
      </c>
      <c r="J56" t="n">
        <v>24206.9</v>
      </c>
    </row>
    <row r="57">
      <c r="G57" s="34" t="n">
        <v>46212</v>
      </c>
      <c r="H57" t="n">
        <v>1225.8</v>
      </c>
      <c r="J57" t="n">
        <v>23962.8</v>
      </c>
    </row>
    <row r="58">
      <c r="G58" s="34" t="n">
        <v>46211</v>
      </c>
      <c r="H58" t="n">
        <v>1219.5</v>
      </c>
      <c r="J58" t="n">
        <v>23882.05</v>
      </c>
    </row>
    <row r="59">
      <c r="G59" s="34" t="n">
        <v>46210</v>
      </c>
      <c r="H59" t="n">
        <v>1246.4</v>
      </c>
      <c r="J59" t="n">
        <v>24398.7</v>
      </c>
    </row>
    <row r="60">
      <c r="G60" s="34" t="n">
        <v>46209</v>
      </c>
      <c r="H60" t="n">
        <v>1243.2</v>
      </c>
      <c r="J60" t="n">
        <v>24430.35</v>
      </c>
    </row>
    <row r="61">
      <c r="G61" s="34" t="n">
        <v>46206</v>
      </c>
      <c r="H61" t="n">
        <v>1230.2</v>
      </c>
      <c r="J61" t="n">
        <v>24270.85</v>
      </c>
    </row>
    <row r="62">
      <c r="G62" s="34" t="n">
        <v>46205</v>
      </c>
      <c r="H62" t="n">
        <v>1223.8</v>
      </c>
      <c r="J62" t="n">
        <v>24175.7</v>
      </c>
    </row>
    <row r="63">
      <c r="G63" s="34" t="n">
        <v>46204</v>
      </c>
      <c r="H63" t="n">
        <v>1216.2</v>
      </c>
      <c r="J63" t="n">
        <v>24005.85</v>
      </c>
    </row>
    <row r="64">
      <c r="G64" s="34" t="n">
        <v>46203</v>
      </c>
      <c r="H64" t="n">
        <v>1226.4</v>
      </c>
      <c r="J64" t="n">
        <v>23865.75</v>
      </c>
    </row>
    <row r="65">
      <c r="G65" s="34" t="n">
        <v>46202</v>
      </c>
      <c r="H65" t="n">
        <v>1232.4</v>
      </c>
      <c r="J65" t="n">
        <v>23946.25</v>
      </c>
    </row>
    <row r="66">
      <c r="G66" s="34" t="n">
        <v>46198</v>
      </c>
      <c r="H66" t="n">
        <v>1231</v>
      </c>
      <c r="J66" t="n">
        <v>24056</v>
      </c>
    </row>
    <row r="67">
      <c r="G67" s="34" t="n">
        <v>46197</v>
      </c>
      <c r="H67" t="n">
        <v>1231.2</v>
      </c>
      <c r="J67" t="n">
        <v>24021.65</v>
      </c>
    </row>
    <row r="68">
      <c r="G68" s="34" t="n">
        <v>46196</v>
      </c>
      <c r="H68" t="n">
        <v>1242.2</v>
      </c>
      <c r="J68" t="n">
        <v>23824.1</v>
      </c>
    </row>
    <row r="69">
      <c r="G69" s="34" t="n">
        <v>46195</v>
      </c>
      <c r="H69" t="n">
        <v>1282.4</v>
      </c>
      <c r="J69" t="n">
        <v>24102.9</v>
      </c>
    </row>
    <row r="70">
      <c r="G70" s="34" t="n">
        <v>46192</v>
      </c>
      <c r="H70" t="n">
        <v>1287.7</v>
      </c>
      <c r="J70" t="n">
        <v>24013.1</v>
      </c>
    </row>
    <row r="71">
      <c r="G71" s="34" t="n">
        <v>46191</v>
      </c>
      <c r="H71" t="n">
        <v>1293.9</v>
      </c>
      <c r="J71" t="n">
        <v>24168</v>
      </c>
    </row>
    <row r="72">
      <c r="G72" s="34" t="n">
        <v>46190</v>
      </c>
      <c r="H72" t="n">
        <v>1287.2</v>
      </c>
      <c r="J72" t="n">
        <v>24085.7</v>
      </c>
    </row>
    <row r="73">
      <c r="G73" s="34" t="n">
        <v>46189</v>
      </c>
      <c r="H73" t="n">
        <v>1274.3</v>
      </c>
      <c r="J73" t="n">
        <v>23989.15</v>
      </c>
    </row>
    <row r="74">
      <c r="G74" s="34" t="n">
        <v>46188</v>
      </c>
      <c r="H74" t="n">
        <v>1296.5</v>
      </c>
      <c r="J74" t="n">
        <v>23853.9</v>
      </c>
    </row>
    <row r="75">
      <c r="G75" s="34" t="n">
        <v>46185</v>
      </c>
      <c r="H75" t="n">
        <v>1297.6</v>
      </c>
      <c r="J75" t="n">
        <v>23622.9</v>
      </c>
    </row>
    <row r="76">
      <c r="G76" s="34" t="n">
        <v>46184</v>
      </c>
      <c r="H76" t="n">
        <v>1282.3</v>
      </c>
      <c r="J76" t="n">
        <v>23161.6</v>
      </c>
    </row>
    <row r="77">
      <c r="G77" s="34" t="n">
        <v>46183</v>
      </c>
      <c r="H77" t="n">
        <v>1269.8</v>
      </c>
      <c r="J77" t="n">
        <v>23214.95</v>
      </c>
    </row>
    <row r="78">
      <c r="G78" s="34" t="n">
        <v>46182</v>
      </c>
      <c r="H78" t="n">
        <v>1261.7</v>
      </c>
      <c r="J78" t="n">
        <v>23242.1</v>
      </c>
    </row>
    <row r="79">
      <c r="G79" s="34" t="n">
        <v>46181</v>
      </c>
      <c r="H79" t="n">
        <v>1260.7</v>
      </c>
      <c r="J79" t="n">
        <v>23123</v>
      </c>
    </row>
    <row r="80">
      <c r="G80" s="34" t="n">
        <v>46178</v>
      </c>
      <c r="H80" t="n">
        <v>1284</v>
      </c>
      <c r="J80" t="n">
        <v>23366.7</v>
      </c>
    </row>
    <row r="81">
      <c r="G81" s="34" t="n">
        <v>46177</v>
      </c>
      <c r="H81" t="n">
        <v>1301.1</v>
      </c>
      <c r="J81" t="n">
        <v>23416.55</v>
      </c>
    </row>
    <row r="82">
      <c r="G82" s="34" t="n">
        <v>46176</v>
      </c>
      <c r="H82" t="n">
        <v>1312.9</v>
      </c>
      <c r="J82" t="n">
        <v>23405.6</v>
      </c>
    </row>
    <row r="83">
      <c r="G83" s="34" t="n">
        <v>46175</v>
      </c>
      <c r="H83" t="n">
        <v>1310.8</v>
      </c>
      <c r="J83" t="n">
        <v>23483.55</v>
      </c>
    </row>
    <row r="84">
      <c r="G84" s="34" t="n">
        <v>46174</v>
      </c>
      <c r="H84" t="n">
        <v>1299.4</v>
      </c>
      <c r="J84" t="n">
        <v>23382.6</v>
      </c>
    </row>
    <row r="85">
      <c r="G85" s="34" t="n">
        <v>46171</v>
      </c>
      <c r="H85" t="n">
        <v>1278</v>
      </c>
      <c r="J85" t="n">
        <v>23547.75</v>
      </c>
    </row>
    <row r="86">
      <c r="G86" s="34" t="n">
        <v>46169</v>
      </c>
      <c r="H86" t="n">
        <v>1309.3</v>
      </c>
      <c r="J86" t="n">
        <v>23907.15</v>
      </c>
    </row>
    <row r="87">
      <c r="G87" s="34" t="n">
        <v>46168</v>
      </c>
      <c r="H87" t="n">
        <v>1293.6</v>
      </c>
      <c r="J87" t="n">
        <v>23913.7</v>
      </c>
    </row>
    <row r="88">
      <c r="G88" s="34" t="n">
        <v>46167</v>
      </c>
      <c r="H88" t="n">
        <v>1289.4</v>
      </c>
      <c r="J88" t="n">
        <v>24031.7</v>
      </c>
    </row>
    <row r="89">
      <c r="G89" s="34" t="n">
        <v>46164</v>
      </c>
      <c r="H89" t="n">
        <v>1285.5</v>
      </c>
      <c r="J89" t="n">
        <v>23719.3</v>
      </c>
    </row>
    <row r="90">
      <c r="G90" s="34" t="n">
        <v>46163</v>
      </c>
      <c r="H90" t="n">
        <v>1281.3</v>
      </c>
      <c r="J90" t="n">
        <v>23654.7</v>
      </c>
    </row>
    <row r="91">
      <c r="G91" s="34" t="n">
        <v>46162</v>
      </c>
      <c r="H91" t="n">
        <v>1283.2</v>
      </c>
      <c r="J91" t="n">
        <v>23659</v>
      </c>
    </row>
    <row r="92">
      <c r="G92" s="34" t="n">
        <v>46161</v>
      </c>
      <c r="H92" t="n">
        <v>1285.2</v>
      </c>
      <c r="J92" t="n">
        <v>23618</v>
      </c>
    </row>
    <row r="93">
      <c r="G93" s="34" t="n">
        <v>46160</v>
      </c>
      <c r="H93" t="n">
        <v>1292.8</v>
      </c>
      <c r="J93" t="n">
        <v>23649.95</v>
      </c>
    </row>
    <row r="94">
      <c r="G94" s="34" t="n">
        <v>46157</v>
      </c>
      <c r="H94" t="n">
        <v>1278.8</v>
      </c>
      <c r="J94" t="n">
        <v>23643.5</v>
      </c>
    </row>
    <row r="95">
      <c r="G95" s="34" t="n">
        <v>46156</v>
      </c>
      <c r="H95" t="n">
        <v>1296.9</v>
      </c>
      <c r="J95" t="n">
        <v>23689.6</v>
      </c>
    </row>
    <row r="96">
      <c r="G96" s="34" t="n">
        <v>46155</v>
      </c>
      <c r="H96" t="n">
        <v>1274.9</v>
      </c>
      <c r="J96" t="n">
        <v>23412.6</v>
      </c>
    </row>
    <row r="97">
      <c r="G97" s="34" t="n">
        <v>46154</v>
      </c>
      <c r="H97" t="n">
        <v>1252.3</v>
      </c>
      <c r="J97" t="n">
        <v>23379.55</v>
      </c>
    </row>
    <row r="98">
      <c r="G98" s="34" t="n">
        <v>46153</v>
      </c>
      <c r="H98" t="n">
        <v>1262.6</v>
      </c>
      <c r="J98" t="n">
        <v>23815.85</v>
      </c>
    </row>
    <row r="99">
      <c r="G99" s="34" t="n">
        <v>46150</v>
      </c>
      <c r="H99" t="n">
        <v>1277.8</v>
      </c>
      <c r="J99" t="n">
        <v>24176.15</v>
      </c>
    </row>
    <row r="100">
      <c r="G100" s="34" t="n">
        <v>46149</v>
      </c>
      <c r="H100" t="n">
        <v>1283.4</v>
      </c>
      <c r="J100" t="n">
        <v>24326.65</v>
      </c>
    </row>
    <row r="101">
      <c r="G101" s="34" t="n">
        <v>46148</v>
      </c>
      <c r="H101" t="n">
        <v>1273.3</v>
      </c>
      <c r="J101" t="n">
        <v>24330.95</v>
      </c>
    </row>
    <row r="102">
      <c r="G102" s="34" t="n">
        <v>46147</v>
      </c>
      <c r="H102" t="n">
        <v>1252.4</v>
      </c>
      <c r="J102" t="n">
        <v>24032.8</v>
      </c>
    </row>
    <row r="103">
      <c r="G103" s="34" t="n">
        <v>46146</v>
      </c>
      <c r="H103" t="n">
        <v>1266.6</v>
      </c>
      <c r="J103" t="n">
        <v>24119.3</v>
      </c>
    </row>
    <row r="104">
      <c r="G104" s="34" t="n">
        <v>46142</v>
      </c>
      <c r="H104" t="n">
        <v>1264.5</v>
      </c>
      <c r="J104" t="n">
        <v>23997.55</v>
      </c>
    </row>
    <row r="105">
      <c r="G105" s="34" t="n">
        <v>46141</v>
      </c>
      <c r="H105" t="n">
        <v>1279.7</v>
      </c>
      <c r="J105" t="n">
        <v>24177.65</v>
      </c>
    </row>
    <row r="106">
      <c r="G106" s="34" t="n">
        <v>46140</v>
      </c>
      <c r="H106" t="n">
        <v>1281.6</v>
      </c>
      <c r="J106" t="n">
        <v>23995.7</v>
      </c>
    </row>
    <row r="107">
      <c r="G107" s="34" t="n">
        <v>46139</v>
      </c>
      <c r="H107" t="n">
        <v>1282.7</v>
      </c>
      <c r="J107" t="n">
        <v>24092.7</v>
      </c>
    </row>
    <row r="108">
      <c r="G108" s="34" t="n">
        <v>46136</v>
      </c>
      <c r="H108" t="n">
        <v>1255.7</v>
      </c>
      <c r="J108" t="n">
        <v>23897.95</v>
      </c>
    </row>
    <row r="109">
      <c r="G109" s="34" t="n">
        <v>46135</v>
      </c>
      <c r="H109" t="n">
        <v>1257</v>
      </c>
      <c r="J109" t="n">
        <v>24173.05</v>
      </c>
    </row>
    <row r="110">
      <c r="G110" s="34" t="n">
        <v>46134</v>
      </c>
      <c r="H110" t="n">
        <v>1263.4</v>
      </c>
      <c r="J110" t="n">
        <v>24378.1</v>
      </c>
    </row>
    <row r="111">
      <c r="G111" s="34" t="n">
        <v>46133</v>
      </c>
      <c r="H111" t="n">
        <v>1279.6</v>
      </c>
      <c r="J111" t="n">
        <v>24576.6</v>
      </c>
    </row>
    <row r="112">
      <c r="G112" s="34" t="n">
        <v>46132</v>
      </c>
      <c r="H112" t="n">
        <v>1274.5</v>
      </c>
      <c r="J112" t="n">
        <v>24364.85</v>
      </c>
    </row>
    <row r="113">
      <c r="G113" s="34" t="n">
        <v>46129</v>
      </c>
      <c r="H113" t="n">
        <v>1240.3</v>
      </c>
      <c r="J113" t="n">
        <v>24353.55</v>
      </c>
    </row>
    <row r="114">
      <c r="G114" s="34" t="n">
        <v>46128</v>
      </c>
      <c r="H114" t="n">
        <v>1214.9</v>
      </c>
      <c r="J114" t="n">
        <v>24196.75</v>
      </c>
    </row>
    <row r="115">
      <c r="G115" s="34" t="n">
        <v>46127</v>
      </c>
      <c r="H115" t="n">
        <v>1218.6</v>
      </c>
      <c r="J115" t="n">
        <v>24231.3</v>
      </c>
    </row>
    <row r="116">
      <c r="G116" s="34" t="n">
        <v>46125</v>
      </c>
      <c r="H116" t="n">
        <v>1204.2</v>
      </c>
      <c r="J116" t="n">
        <v>23842.65</v>
      </c>
    </row>
    <row r="117">
      <c r="G117" s="34" t="n">
        <v>46122</v>
      </c>
      <c r="H117" t="n">
        <v>1214.8</v>
      </c>
      <c r="J117" t="n">
        <v>24050.6</v>
      </c>
    </row>
    <row r="118">
      <c r="G118" s="34" t="n">
        <v>46121</v>
      </c>
      <c r="H118" t="n">
        <v>1209.7</v>
      </c>
      <c r="J118" t="n">
        <v>23775.1</v>
      </c>
    </row>
    <row r="119">
      <c r="G119" s="34" t="n">
        <v>46120</v>
      </c>
      <c r="H119" t="n">
        <v>1194.3</v>
      </c>
      <c r="J119" t="n">
        <v>23997.35</v>
      </c>
    </row>
    <row r="120">
      <c r="G120" s="34" t="n">
        <v>46119</v>
      </c>
      <c r="H120" t="n">
        <v>1151.9</v>
      </c>
      <c r="J120" t="n">
        <v>23123.65</v>
      </c>
    </row>
    <row r="121">
      <c r="G121" s="34" t="n">
        <v>46118</v>
      </c>
      <c r="H121" t="n">
        <v>1133.6</v>
      </c>
      <c r="J121" t="n">
        <v>22968.25</v>
      </c>
    </row>
    <row r="122">
      <c r="G122" s="34" t="n">
        <v>46114</v>
      </c>
      <c r="H122" t="n">
        <v>1141.3</v>
      </c>
      <c r="J122" t="n">
        <v>22713.1</v>
      </c>
    </row>
    <row r="123">
      <c r="G123" s="34" t="n">
        <v>46113</v>
      </c>
      <c r="H123" t="n">
        <v>1140.4</v>
      </c>
      <c r="J123" t="n">
        <v>22679.4</v>
      </c>
    </row>
    <row r="124">
      <c r="G124" s="34" t="n">
        <v>46111</v>
      </c>
      <c r="H124" t="n">
        <v>1122.5</v>
      </c>
      <c r="J124" t="n">
        <v>22331.4</v>
      </c>
    </row>
    <row r="125">
      <c r="G125" s="34" t="n">
        <v>46108</v>
      </c>
      <c r="H125" t="n">
        <v>1130.3</v>
      </c>
      <c r="J125" t="n">
        <v>22819.6</v>
      </c>
    </row>
    <row r="126">
      <c r="G126" s="34" t="n">
        <v>46106</v>
      </c>
      <c r="H126" t="n">
        <v>1156</v>
      </c>
      <c r="J126" t="n">
        <v>23306.45</v>
      </c>
    </row>
    <row r="127">
      <c r="G127" s="34" t="n">
        <v>46105</v>
      </c>
      <c r="H127" t="n">
        <v>1133.7</v>
      </c>
      <c r="J127" t="n">
        <v>22912.4</v>
      </c>
    </row>
    <row r="128">
      <c r="G128" s="34" t="n">
        <v>46104</v>
      </c>
      <c r="H128" t="n">
        <v>1109.6</v>
      </c>
      <c r="J128" t="n">
        <v>22512.65</v>
      </c>
    </row>
    <row r="129">
      <c r="G129" s="34" t="n">
        <v>46101</v>
      </c>
      <c r="H129" t="n">
        <v>1169.6</v>
      </c>
      <c r="J129" t="n">
        <v>23114.5</v>
      </c>
    </row>
    <row r="130">
      <c r="G130" s="34" t="n">
        <v>46100</v>
      </c>
      <c r="H130" t="n">
        <v>1130.9</v>
      </c>
      <c r="J130" t="n">
        <v>23002.15</v>
      </c>
    </row>
    <row r="131">
      <c r="G131" s="34" t="n">
        <v>46099</v>
      </c>
      <c r="H131" t="n">
        <v>1180.3</v>
      </c>
      <c r="J131" t="n">
        <v>23777.8</v>
      </c>
    </row>
    <row r="132">
      <c r="G132" s="34" t="n">
        <v>46098</v>
      </c>
      <c r="H132" t="n">
        <v>1167.2</v>
      </c>
      <c r="J132" t="n">
        <v>23581.15</v>
      </c>
    </row>
    <row r="133">
      <c r="G133" s="34" t="n">
        <v>46097</v>
      </c>
      <c r="H133" t="n">
        <v>1145.6</v>
      </c>
      <c r="J133" t="n">
        <v>23408.8</v>
      </c>
    </row>
    <row r="134">
      <c r="G134" s="34" t="n">
        <v>46094</v>
      </c>
      <c r="H134" t="n">
        <v>1119.3</v>
      </c>
      <c r="J134" t="n">
        <v>23151.1</v>
      </c>
    </row>
    <row r="135">
      <c r="G135" s="34" t="n">
        <v>46093</v>
      </c>
      <c r="H135" t="n">
        <v>1172.6</v>
      </c>
      <c r="J135" t="n">
        <v>23639.15</v>
      </c>
    </row>
    <row r="136">
      <c r="G136" s="34" t="n">
        <v>46092</v>
      </c>
      <c r="H136" t="n">
        <v>1178.8</v>
      </c>
      <c r="J136" t="n">
        <v>23866.85</v>
      </c>
    </row>
    <row r="137">
      <c r="G137" s="34" t="n">
        <v>46091</v>
      </c>
      <c r="H137" t="n">
        <v>1214.3</v>
      </c>
      <c r="J137" t="n">
        <v>24261.6</v>
      </c>
    </row>
    <row r="138">
      <c r="G138" s="34" t="n">
        <v>46090</v>
      </c>
      <c r="H138" t="n">
        <v>1192.6</v>
      </c>
      <c r="J138" t="n">
        <v>24028.05</v>
      </c>
    </row>
    <row r="139">
      <c r="G139" s="34" t="n">
        <v>46087</v>
      </c>
      <c r="H139" t="n">
        <v>1233.7</v>
      </c>
      <c r="J139" t="n">
        <v>24450.45</v>
      </c>
    </row>
    <row r="140">
      <c r="G140" s="34" t="n">
        <v>46086</v>
      </c>
      <c r="H140" t="n">
        <v>1248.1</v>
      </c>
      <c r="J140" t="n">
        <v>24765.9</v>
      </c>
    </row>
    <row r="141">
      <c r="G141" s="34" t="n">
        <v>46085</v>
      </c>
      <c r="H141" t="n">
        <v>1213</v>
      </c>
      <c r="J141" t="n">
        <v>24480.5</v>
      </c>
    </row>
    <row r="142">
      <c r="G142" s="34" t="n">
        <v>46083</v>
      </c>
      <c r="H142" t="n">
        <v>1267.3</v>
      </c>
      <c r="J142" t="n">
        <v>24865.7</v>
      </c>
    </row>
    <row r="143">
      <c r="G143" s="34" t="n">
        <v>46080</v>
      </c>
      <c r="H143" t="n">
        <v>1264.7</v>
      </c>
      <c r="J143" t="n">
        <v>25178.65</v>
      </c>
    </row>
    <row r="144">
      <c r="G144" s="34" t="n">
        <v>46079</v>
      </c>
      <c r="H144" t="n">
        <v>1280.6</v>
      </c>
      <c r="J144" t="n">
        <v>25496.55</v>
      </c>
    </row>
    <row r="145">
      <c r="G145" s="34" t="n">
        <v>46078</v>
      </c>
      <c r="H145" t="n">
        <v>1275</v>
      </c>
      <c r="J145" t="n">
        <v>25482.5</v>
      </c>
    </row>
    <row r="146">
      <c r="G146" s="34" t="n">
        <v>46077</v>
      </c>
      <c r="H146" t="n">
        <v>1254.5</v>
      </c>
      <c r="J146" t="n">
        <v>25424.65</v>
      </c>
    </row>
    <row r="147">
      <c r="G147" s="34" t="n">
        <v>46076</v>
      </c>
      <c r="H147" t="n">
        <v>1240.5</v>
      </c>
      <c r="J147" t="n">
        <v>25713</v>
      </c>
    </row>
    <row r="148">
      <c r="G148" s="34" t="n">
        <v>46073</v>
      </c>
      <c r="H148" t="n">
        <v>1235.8</v>
      </c>
      <c r="J148" t="n">
        <v>25571.25</v>
      </c>
    </row>
    <row r="149">
      <c r="G149" s="34" t="n">
        <v>46072</v>
      </c>
      <c r="H149" t="n">
        <v>1228.4</v>
      </c>
      <c r="J149" t="n">
        <v>25454.35</v>
      </c>
    </row>
    <row r="150">
      <c r="G150" s="34" t="n">
        <v>46071</v>
      </c>
      <c r="H150" t="n">
        <v>1251.2</v>
      </c>
      <c r="J150" t="n">
        <v>25819.35</v>
      </c>
    </row>
    <row r="151">
      <c r="G151" s="34" t="n">
        <v>46070</v>
      </c>
      <c r="H151" t="n">
        <v>1244.6</v>
      </c>
      <c r="J151" t="n">
        <v>25725.4</v>
      </c>
    </row>
    <row r="152">
      <c r="G152" s="34" t="n">
        <v>46069</v>
      </c>
      <c r="H152" t="n">
        <v>1248.2</v>
      </c>
      <c r="J152" t="n">
        <v>25682.75</v>
      </c>
    </row>
    <row r="153">
      <c r="G153" s="34" t="n">
        <v>46066</v>
      </c>
      <c r="H153" t="n">
        <v>1232</v>
      </c>
      <c r="J153" t="n">
        <v>25471.1</v>
      </c>
    </row>
    <row r="154">
      <c r="G154" s="34" t="n">
        <v>46065</v>
      </c>
      <c r="H154" t="n">
        <v>1247.9</v>
      </c>
      <c r="J154" t="n">
        <v>25807.2</v>
      </c>
    </row>
    <row r="155">
      <c r="G155" s="34" t="n">
        <v>46064</v>
      </c>
      <c r="H155" t="n">
        <v>1249.2</v>
      </c>
      <c r="J155" t="n">
        <v>25953.85</v>
      </c>
    </row>
    <row r="156">
      <c r="G156" s="34" t="n">
        <v>46063</v>
      </c>
      <c r="H156" t="n">
        <v>1244.1</v>
      </c>
      <c r="J156" t="n">
        <v>25935.15</v>
      </c>
    </row>
    <row r="157">
      <c r="G157" s="34" t="n">
        <v>46062</v>
      </c>
      <c r="H157" t="n">
        <v>1245</v>
      </c>
      <c r="J157" t="n">
        <v>25867.3</v>
      </c>
    </row>
    <row r="158">
      <c r="G158" s="34" t="n">
        <v>46059</v>
      </c>
      <c r="H158" t="n">
        <v>1236.2</v>
      </c>
      <c r="J158" t="n">
        <v>25693.7</v>
      </c>
    </row>
    <row r="159">
      <c r="G159" s="34" t="n">
        <v>46058</v>
      </c>
      <c r="H159" t="n">
        <v>1239.8</v>
      </c>
      <c r="J159" t="n">
        <v>25642.8</v>
      </c>
    </row>
    <row r="160">
      <c r="G160" s="34" t="n">
        <v>46057</v>
      </c>
      <c r="H160" t="n">
        <v>1228.2</v>
      </c>
      <c r="J160" t="n">
        <v>25776</v>
      </c>
    </row>
    <row r="161">
      <c r="G161" s="34" t="n">
        <v>46056</v>
      </c>
      <c r="H161" t="n">
        <v>1229.4</v>
      </c>
      <c r="J161" t="n">
        <v>25727.55</v>
      </c>
    </row>
    <row r="162">
      <c r="G162" s="34" t="n">
        <v>46055</v>
      </c>
      <c r="H162" t="n">
        <v>1199.2</v>
      </c>
      <c r="J162" t="n">
        <v>25088.4</v>
      </c>
    </row>
    <row r="163">
      <c r="G163" s="34" t="n">
        <v>46054</v>
      </c>
      <c r="H163" t="n">
        <v>1191.5</v>
      </c>
      <c r="J163" t="n">
        <v>25320.65</v>
      </c>
    </row>
    <row r="164">
      <c r="G164" s="34" t="n">
        <v>46052</v>
      </c>
      <c r="H164" t="n">
        <v>1214.4</v>
      </c>
      <c r="J164" t="n">
        <v>25320.65</v>
      </c>
    </row>
    <row r="165">
      <c r="G165" s="34" t="n">
        <v>46051</v>
      </c>
      <c r="H165" t="n">
        <v>1237.5</v>
      </c>
      <c r="J165" t="n">
        <v>25418.9</v>
      </c>
    </row>
    <row r="166">
      <c r="G166" s="34" t="n">
        <v>46050</v>
      </c>
      <c r="H166" t="n">
        <v>1218.7</v>
      </c>
      <c r="J166" t="n">
        <v>25342.75</v>
      </c>
    </row>
    <row r="167">
      <c r="G167" s="34" t="n">
        <v>46049</v>
      </c>
      <c r="H167" t="n">
        <v>1222</v>
      </c>
      <c r="J167" t="n">
        <v>25175.4</v>
      </c>
    </row>
    <row r="168">
      <c r="G168" s="34" t="n">
        <v>46045</v>
      </c>
      <c r="H168" t="n">
        <v>1170</v>
      </c>
      <c r="J168" t="n">
        <v>25048.65</v>
      </c>
    </row>
    <row r="169">
      <c r="G169" s="34" t="n">
        <v>46044</v>
      </c>
      <c r="H169" t="n">
        <v>1184.4</v>
      </c>
      <c r="J169" t="n">
        <v>25289.9</v>
      </c>
    </row>
    <row r="170">
      <c r="G170" s="34" t="n">
        <v>46043</v>
      </c>
      <c r="H170" t="n">
        <v>1174.6</v>
      </c>
      <c r="J170" t="n">
        <v>25157.5</v>
      </c>
    </row>
    <row r="171">
      <c r="G171" s="34" t="n">
        <v>46042</v>
      </c>
      <c r="H171" t="n">
        <v>1160</v>
      </c>
      <c r="J171" t="n">
        <v>25232.5</v>
      </c>
    </row>
    <row r="172">
      <c r="G172" s="34" t="n">
        <v>46041</v>
      </c>
      <c r="H172" t="n">
        <v>1184.1</v>
      </c>
      <c r="J172" t="n">
        <v>25585.5</v>
      </c>
    </row>
    <row r="173">
      <c r="G173" s="34" t="n">
        <v>46038</v>
      </c>
      <c r="H173" t="n">
        <v>1187.3</v>
      </c>
      <c r="J173" t="n">
        <v>25694.35</v>
      </c>
    </row>
    <row r="174">
      <c r="G174" s="34" t="n">
        <v>46036</v>
      </c>
      <c r="H174" t="n">
        <v>1181.8</v>
      </c>
      <c r="J174" t="n">
        <v>25665.6</v>
      </c>
    </row>
    <row r="175">
      <c r="G175" s="34" t="n">
        <v>46035</v>
      </c>
      <c r="H175" t="n">
        <v>1178.1</v>
      </c>
      <c r="J175" t="n">
        <v>25732.3</v>
      </c>
    </row>
    <row r="176">
      <c r="G176" s="34" t="n">
        <v>46034</v>
      </c>
      <c r="H176" t="n">
        <v>1182.7</v>
      </c>
      <c r="J176" t="n">
        <v>25790.25</v>
      </c>
    </row>
    <row r="177">
      <c r="G177" s="34" t="n">
        <v>46031</v>
      </c>
      <c r="H177" t="n">
        <v>1158.8</v>
      </c>
      <c r="J177" t="n">
        <v>25683.3</v>
      </c>
    </row>
    <row r="178">
      <c r="G178" s="34" t="n">
        <v>46030</v>
      </c>
      <c r="H178" t="n">
        <v>1155.9</v>
      </c>
      <c r="J178" t="n">
        <v>25876.85</v>
      </c>
    </row>
    <row r="179">
      <c r="G179" s="34" t="n">
        <v>46029</v>
      </c>
      <c r="H179" t="n">
        <v>1189.8</v>
      </c>
      <c r="J179" t="n">
        <v>26140.75</v>
      </c>
    </row>
    <row r="180">
      <c r="G180" s="34" t="n">
        <v>46028</v>
      </c>
      <c r="H180" t="n">
        <v>1176.3</v>
      </c>
      <c r="J180" t="n">
        <v>26178.7</v>
      </c>
    </row>
    <row r="181">
      <c r="G181" s="34" t="n">
        <v>46027</v>
      </c>
      <c r="H181" t="n">
        <v>1185.9</v>
      </c>
      <c r="J181" t="n">
        <v>26250.3</v>
      </c>
    </row>
    <row r="182">
      <c r="G182" s="34" t="n">
        <v>46024</v>
      </c>
      <c r="H182" t="n">
        <v>1180.7</v>
      </c>
      <c r="J182" t="n">
        <v>26328.55</v>
      </c>
    </row>
    <row r="183">
      <c r="G183" s="34" t="n">
        <v>46023</v>
      </c>
      <c r="H183" t="n">
        <v>1171.5</v>
      </c>
      <c r="J183" t="n">
        <v>26146.55</v>
      </c>
    </row>
    <row r="184">
      <c r="G184" s="34" t="n">
        <v>46022</v>
      </c>
      <c r="H184" t="n">
        <v>1164.8</v>
      </c>
      <c r="J184" t="n">
        <v>26129.6</v>
      </c>
    </row>
    <row r="185">
      <c r="G185" s="34" t="n">
        <v>46021</v>
      </c>
      <c r="H185" t="n">
        <v>1111.6</v>
      </c>
      <c r="J185" t="n">
        <v>25938.85</v>
      </c>
    </row>
    <row r="186">
      <c r="G186" s="34" t="n">
        <v>46020</v>
      </c>
      <c r="H186" t="n">
        <v>1092.6</v>
      </c>
      <c r="J186" t="n">
        <v>25942.1</v>
      </c>
    </row>
    <row r="187">
      <c r="G187" s="34" t="n">
        <v>46017</v>
      </c>
      <c r="H187" t="n">
        <v>1094.4</v>
      </c>
      <c r="J187" t="n">
        <v>26042.3</v>
      </c>
    </row>
    <row r="188">
      <c r="G188" s="34" t="n">
        <v>46015</v>
      </c>
      <c r="H188" t="n">
        <v>1091.3</v>
      </c>
      <c r="J188" t="n">
        <v>26142.1</v>
      </c>
    </row>
    <row r="189">
      <c r="G189" s="34" t="n">
        <v>46014</v>
      </c>
      <c r="H189" t="n">
        <v>1096.8</v>
      </c>
      <c r="J189" t="n">
        <v>26177.15</v>
      </c>
    </row>
    <row r="190">
      <c r="G190" s="34" t="n">
        <v>46013</v>
      </c>
      <c r="H190" t="n">
        <v>1094.9</v>
      </c>
      <c r="J190" t="n">
        <v>26172.4</v>
      </c>
    </row>
    <row r="191">
      <c r="G191" s="34" t="n">
        <v>46010</v>
      </c>
      <c r="H191" t="n">
        <v>1079.6</v>
      </c>
      <c r="J191" t="n">
        <v>25966.4</v>
      </c>
    </row>
    <row r="192">
      <c r="G192" s="34" t="n">
        <v>46009</v>
      </c>
      <c r="H192" t="n">
        <v>1082.2</v>
      </c>
      <c r="J192" t="n">
        <v>25815.55</v>
      </c>
    </row>
    <row r="193">
      <c r="G193" s="34" t="n">
        <v>46008</v>
      </c>
      <c r="H193" t="n">
        <v>1079.3</v>
      </c>
      <c r="J193" t="n">
        <v>25818.55</v>
      </c>
    </row>
    <row r="194">
      <c r="G194" s="34" t="n">
        <v>46007</v>
      </c>
      <c r="H194" t="n">
        <v>1082.6</v>
      </c>
      <c r="J194" t="n">
        <v>25860.1</v>
      </c>
    </row>
    <row r="195">
      <c r="G195" s="34" t="n">
        <v>46006</v>
      </c>
      <c r="H195" t="n">
        <v>1114.8</v>
      </c>
      <c r="J195" t="n">
        <v>26027.3</v>
      </c>
    </row>
    <row r="196">
      <c r="G196" s="34" t="n">
        <v>46003</v>
      </c>
      <c r="H196" t="n">
        <v>1125.5</v>
      </c>
      <c r="J196" t="n">
        <v>26046.95</v>
      </c>
    </row>
    <row r="197">
      <c r="G197" s="34" t="n">
        <v>46002</v>
      </c>
      <c r="H197" t="n">
        <v>1105.4</v>
      </c>
      <c r="J197" t="n">
        <v>25898.55</v>
      </c>
    </row>
    <row r="198">
      <c r="G198" s="34" t="n">
        <v>46001</v>
      </c>
      <c r="H198" t="n">
        <v>1096.8</v>
      </c>
      <c r="J198" t="n">
        <v>25758</v>
      </c>
    </row>
    <row r="199">
      <c r="G199" s="34" t="n">
        <v>46000</v>
      </c>
      <c r="H199" t="n">
        <v>1107.8</v>
      </c>
      <c r="J199" t="n">
        <v>25839.65</v>
      </c>
    </row>
    <row r="200">
      <c r="G200" s="34" t="n">
        <v>45999</v>
      </c>
      <c r="H200" t="n">
        <v>1119.1</v>
      </c>
      <c r="J200" t="n">
        <v>25960.55</v>
      </c>
    </row>
    <row r="201">
      <c r="G201" s="34" t="n">
        <v>45996</v>
      </c>
      <c r="H201" t="n">
        <v>1162.2</v>
      </c>
      <c r="J201" t="n">
        <v>26186.45</v>
      </c>
    </row>
    <row r="202">
      <c r="G202" s="34" t="n">
        <v>45995</v>
      </c>
      <c r="H202" t="n">
        <v>1150.6</v>
      </c>
      <c r="J202" t="n">
        <v>26033.75</v>
      </c>
    </row>
    <row r="203">
      <c r="G203" s="34" t="n">
        <v>45994</v>
      </c>
      <c r="H203" t="n">
        <v>1143.6</v>
      </c>
      <c r="J203" t="n">
        <v>25986</v>
      </c>
    </row>
    <row r="204">
      <c r="G204" s="34" t="n">
        <v>45993</v>
      </c>
      <c r="H204" t="n">
        <v>1162</v>
      </c>
      <c r="J204" t="n">
        <v>26032.2</v>
      </c>
    </row>
    <row r="205">
      <c r="G205" s="34" t="n">
        <v>45992</v>
      </c>
      <c r="H205" t="n">
        <v>1168.4</v>
      </c>
      <c r="J205" t="n">
        <v>26175.75</v>
      </c>
    </row>
    <row r="206">
      <c r="G206" s="34" t="n">
        <v>45989</v>
      </c>
      <c r="H206" t="n">
        <v>1160.3</v>
      </c>
      <c r="J206" t="n">
        <v>26202.95</v>
      </c>
    </row>
    <row r="207">
      <c r="G207" s="34" t="n">
        <v>45988</v>
      </c>
      <c r="H207" t="n">
        <v>1160.6</v>
      </c>
      <c r="J207" t="n">
        <v>26215.55</v>
      </c>
    </row>
    <row r="208">
      <c r="G208" s="34" t="n">
        <v>45987</v>
      </c>
      <c r="H208" t="n">
        <v>1154.4</v>
      </c>
      <c r="J208" t="n">
        <v>26205.3</v>
      </c>
    </row>
    <row r="209">
      <c r="G209" s="34" t="n">
        <v>45986</v>
      </c>
      <c r="H209" t="n">
        <v>1112</v>
      </c>
      <c r="J209" t="n">
        <v>25884.8</v>
      </c>
    </row>
    <row r="210">
      <c r="G210" s="34" t="n">
        <v>45985</v>
      </c>
      <c r="H210" t="n">
        <v>1106</v>
      </c>
      <c r="J210" t="n">
        <v>25959.5</v>
      </c>
    </row>
    <row r="211">
      <c r="G211" s="34" t="n">
        <v>45982</v>
      </c>
      <c r="H211" t="n">
        <v>1140.3</v>
      </c>
      <c r="J211" t="n">
        <v>26068.15</v>
      </c>
    </row>
    <row r="212">
      <c r="G212" s="34" t="n">
        <v>45981</v>
      </c>
      <c r="H212" t="n">
        <v>1170</v>
      </c>
      <c r="J212" t="n">
        <v>26192.15</v>
      </c>
    </row>
    <row r="213">
      <c r="G213" s="34" t="n">
        <v>45980</v>
      </c>
      <c r="H213" t="n">
        <v>1164.9</v>
      </c>
      <c r="J213" t="n">
        <v>26052.65</v>
      </c>
    </row>
    <row r="214">
      <c r="G214" s="34" t="n">
        <v>45979</v>
      </c>
      <c r="H214" t="n">
        <v>1163</v>
      </c>
      <c r="J214" t="n">
        <v>25910.05</v>
      </c>
    </row>
    <row r="215">
      <c r="G215" s="34" t="n">
        <v>45978</v>
      </c>
      <c r="H215" t="n">
        <v>1175.5</v>
      </c>
      <c r="J215" t="n">
        <v>26013.45</v>
      </c>
    </row>
    <row r="216">
      <c r="G216" s="34" t="n">
        <v>45975</v>
      </c>
      <c r="H216" t="n">
        <v>1167.8</v>
      </c>
      <c r="J216" t="n">
        <v>25910.05</v>
      </c>
    </row>
    <row r="217">
      <c r="G217" s="34" t="n">
        <v>45974</v>
      </c>
      <c r="H217" t="n">
        <v>1183.9</v>
      </c>
      <c r="J217" t="n">
        <v>25879.15</v>
      </c>
    </row>
    <row r="218">
      <c r="G218" s="34" t="n">
        <v>45973</v>
      </c>
      <c r="H218" t="n">
        <v>1181.8</v>
      </c>
      <c r="J218" t="n">
        <v>25875.8</v>
      </c>
    </row>
    <row r="219">
      <c r="G219" s="34" t="n">
        <v>45972</v>
      </c>
      <c r="H219" t="n">
        <v>1191.5</v>
      </c>
      <c r="J219" t="n">
        <v>25694.95</v>
      </c>
    </row>
    <row r="220">
      <c r="G220" s="34" t="n">
        <v>45971</v>
      </c>
      <c r="H220" t="n">
        <v>1179.3</v>
      </c>
      <c r="J220" t="n">
        <v>25574.35</v>
      </c>
    </row>
    <row r="221">
      <c r="G221" s="34" t="n">
        <v>45968</v>
      </c>
      <c r="H221" t="n">
        <v>1171.7</v>
      </c>
      <c r="J221" t="n">
        <v>25492.3</v>
      </c>
    </row>
    <row r="222">
      <c r="G222" s="34" t="n">
        <v>45967</v>
      </c>
      <c r="H222" t="n">
        <v>1168.8</v>
      </c>
      <c r="J222" t="n">
        <v>25509.7</v>
      </c>
    </row>
    <row r="223">
      <c r="G223" s="34" t="n">
        <v>45965</v>
      </c>
      <c r="H223" t="n">
        <v>1181.4</v>
      </c>
      <c r="J223" t="n">
        <v>25597.65</v>
      </c>
    </row>
    <row r="224">
      <c r="G224" s="34" t="n">
        <v>45964</v>
      </c>
      <c r="H224" t="n">
        <v>1195</v>
      </c>
      <c r="J224" t="n">
        <v>25763.35</v>
      </c>
    </row>
    <row r="225">
      <c r="G225" s="34" t="n">
        <v>45961</v>
      </c>
      <c r="H225" t="n">
        <v>1206</v>
      </c>
      <c r="J225" t="n">
        <v>25722.1</v>
      </c>
    </row>
    <row r="226">
      <c r="G226" s="34" t="n">
        <v>45960</v>
      </c>
      <c r="H226" t="n">
        <v>1210</v>
      </c>
      <c r="J226" t="n">
        <v>25877.85</v>
      </c>
    </row>
    <row r="227">
      <c r="G227" s="34" t="n">
        <v>45959</v>
      </c>
      <c r="H227" t="n">
        <v>1207.9</v>
      </c>
      <c r="J227" t="n">
        <v>26053.9</v>
      </c>
    </row>
    <row r="228">
      <c r="G228" s="34" t="n">
        <v>45958</v>
      </c>
      <c r="H228" t="n">
        <v>1184.2</v>
      </c>
      <c r="J228" t="n">
        <v>25936.2</v>
      </c>
    </row>
    <row r="229">
      <c r="G229" s="34" t="n">
        <v>45957</v>
      </c>
      <c r="H229" t="n">
        <v>1150.6</v>
      </c>
      <c r="J229" t="n">
        <v>25966.05</v>
      </c>
    </row>
    <row r="230">
      <c r="G230" s="34" t="n">
        <v>45954</v>
      </c>
      <c r="H230" t="n">
        <v>1141.4</v>
      </c>
      <c r="J230" t="n">
        <v>25795.15</v>
      </c>
    </row>
    <row r="231">
      <c r="G231" s="34" t="n">
        <v>45953</v>
      </c>
      <c r="H231" t="n">
        <v>1138.2</v>
      </c>
      <c r="J231" t="n">
        <v>25891.4</v>
      </c>
    </row>
    <row r="232">
      <c r="G232" s="34" t="n">
        <v>45951</v>
      </c>
      <c r="H232" t="n">
        <v>1152.5</v>
      </c>
      <c r="J232" t="n">
        <v>25868.6</v>
      </c>
    </row>
    <row r="233">
      <c r="G233" s="34" t="n">
        <v>45950</v>
      </c>
      <c r="H233" t="n">
        <v>1145.2</v>
      </c>
      <c r="J233" t="n">
        <v>25843.15</v>
      </c>
    </row>
    <row r="234">
      <c r="G234" s="34" t="n">
        <v>45947</v>
      </c>
      <c r="H234" t="n">
        <v>1163.3</v>
      </c>
      <c r="J234" t="n">
        <v>25709.85</v>
      </c>
    </row>
    <row r="235">
      <c r="G235" s="34" t="n">
        <v>45946</v>
      </c>
      <c r="H235" t="n">
        <v>1172.1</v>
      </c>
      <c r="J235" t="n">
        <v>25585.3</v>
      </c>
    </row>
    <row r="236">
      <c r="G236" s="34" t="n">
        <v>45945</v>
      </c>
      <c r="H236" t="n">
        <v>1160.8</v>
      </c>
      <c r="J236" t="n">
        <v>25323.55</v>
      </c>
    </row>
    <row r="237">
      <c r="G237" s="34" t="n">
        <v>45944</v>
      </c>
      <c r="H237" t="n">
        <v>1147.8</v>
      </c>
      <c r="J237" t="n">
        <v>25145.5</v>
      </c>
    </row>
    <row r="238">
      <c r="G238" s="34" t="n">
        <v>45943</v>
      </c>
      <c r="H238" t="n">
        <v>1161.4</v>
      </c>
      <c r="J238" t="n">
        <v>25227.35</v>
      </c>
    </row>
    <row r="239">
      <c r="G239" s="34" t="n">
        <v>45940</v>
      </c>
      <c r="H239" t="n">
        <v>1167.8</v>
      </c>
      <c r="J239" t="n">
        <v>25285.35</v>
      </c>
    </row>
    <row r="240">
      <c r="G240" s="34" t="n">
        <v>45939</v>
      </c>
      <c r="H240" t="n">
        <v>1175.2</v>
      </c>
      <c r="J240" t="n">
        <v>25181.8</v>
      </c>
    </row>
    <row r="241">
      <c r="G241" s="34" t="n">
        <v>45938</v>
      </c>
      <c r="H241" t="n">
        <v>1145.2</v>
      </c>
      <c r="J241" t="n">
        <v>25046.15</v>
      </c>
    </row>
    <row r="242">
      <c r="G242" s="34" t="n">
        <v>45937</v>
      </c>
      <c r="H242" t="n">
        <v>1156.8</v>
      </c>
      <c r="J242" t="n">
        <v>25108.3</v>
      </c>
    </row>
    <row r="243">
      <c r="G243" s="34" t="n">
        <v>45936</v>
      </c>
      <c r="H243" t="n">
        <v>1159.9</v>
      </c>
      <c r="J243" t="n">
        <v>25077.65</v>
      </c>
    </row>
    <row r="244">
      <c r="G244" s="34" t="n">
        <v>45933</v>
      </c>
      <c r="H244" t="n">
        <v>1161.7</v>
      </c>
      <c r="J244" t="n">
        <v>24894.25</v>
      </c>
    </row>
    <row r="245">
      <c r="G245" s="34" t="n">
        <v>45931</v>
      </c>
      <c r="H245" t="n">
        <v>1146.1</v>
      </c>
      <c r="J245" t="n">
        <v>24836.3</v>
      </c>
    </row>
    <row r="246">
      <c r="G246" s="34" t="n">
        <v>45930</v>
      </c>
      <c r="H246" t="n">
        <v>1142.7</v>
      </c>
      <c r="J246" t="n">
        <v>24611.1</v>
      </c>
    </row>
    <row r="247">
      <c r="G247" s="34" t="n">
        <v>45929</v>
      </c>
      <c r="H247" t="n">
        <v>1122.2</v>
      </c>
      <c r="J247" t="n">
        <v>24634.9</v>
      </c>
    </row>
    <row r="248">
      <c r="G248" s="34" t="n">
        <v>45926</v>
      </c>
      <c r="H248" t="n">
        <v>1130.8</v>
      </c>
      <c r="J248" t="n">
        <v>24654.7</v>
      </c>
    </row>
    <row r="249">
      <c r="G249" s="171" t="n">
        <v>45925</v>
      </c>
      <c r="H249" t="n">
        <v>1148.5</v>
      </c>
      <c r="J249" t="n">
        <v>24890.85</v>
      </c>
    </row>
    <row r="250">
      <c r="G250" s="171" t="n">
        <v>45924</v>
      </c>
      <c r="H250" t="n">
        <v>1149.1</v>
      </c>
      <c r="J250" t="n">
        <v>25056.9</v>
      </c>
    </row>
    <row r="251">
      <c r="G251" s="171" t="n">
        <v>45923</v>
      </c>
      <c r="H251" t="n">
        <v>1138.4</v>
      </c>
      <c r="J251" t="n">
        <v>25169.5</v>
      </c>
    </row>
    <row r="252">
      <c r="G252" s="171" t="n">
        <v>45922</v>
      </c>
      <c r="H252" t="n">
        <v>1117</v>
      </c>
      <c r="J252" t="n">
        <v>25202.35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7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67" t="inlineStr">
        <is>
          <t>Financials</t>
        </is>
      </c>
      <c r="L9" s="200" t="n"/>
      <c r="M9" s="200" t="n"/>
      <c r="N9" s="84" t="n"/>
      <c r="O9" s="167" t="inlineStr">
        <is>
          <t>Valuation</t>
        </is>
      </c>
      <c r="P9" s="200" t="n"/>
      <c r="Q9" s="200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inlineStr">
        <is>
          <t>EV/Revenue</t>
        </is>
      </c>
      <c r="J10" s="84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inlineStr">
        <is>
          <t>TATASTEEL</t>
        </is>
      </c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FS'!AS57</f>
        <v/>
      </c>
      <c r="H12" s="155">
        <f>'Raw FS'!AT57</f>
        <v/>
      </c>
      <c r="I12" s="150">
        <f>IF(G12&gt;0, F12/G12, "N/A")</f>
        <v/>
      </c>
      <c r="J12" s="150">
        <f>IF(H12&gt;0, F12/H12, "N/A")</f>
        <v/>
      </c>
      <c r="K12" s="155">
        <f>'Raw FS'!AU57</f>
        <v/>
      </c>
      <c r="L12" s="155">
        <f>'Raw FS'!AV57</f>
        <v/>
      </c>
      <c r="M12" s="155">
        <f>'Raw FS'!AW57</f>
        <v/>
      </c>
      <c r="N12" s="150" t="n"/>
      <c r="O12" s="151">
        <f>IFERROR($H12/K12, "N/A")</f>
        <v/>
      </c>
      <c r="P12" s="151">
        <f>IFERROR($H12/L12, "N/A")</f>
        <v/>
      </c>
      <c r="Q12" s="151">
        <f>IFERROR(F12/M12, "N/A")</f>
        <v/>
      </c>
    </row>
    <row r="13">
      <c r="B13" s="150">
        <f>'Raw FS'!L58</f>
        <v/>
      </c>
      <c r="C13" s="150" t="inlineStr">
        <is>
          <t>JINDALSTEL</t>
        </is>
      </c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FS'!AS58</f>
        <v/>
      </c>
      <c r="H13" s="155">
        <f>'Raw FS'!AT58</f>
        <v/>
      </c>
      <c r="I13" s="150">
        <f>IF(G13&gt;0, F13/G13, "N/A")</f>
        <v/>
      </c>
      <c r="J13" s="150">
        <f>IF(H13&gt;0, F13/H13, "N/A")</f>
        <v/>
      </c>
      <c r="K13" s="155">
        <f>'Raw FS'!AU58</f>
        <v/>
      </c>
      <c r="L13" s="155">
        <f>'Raw FS'!AV58</f>
        <v/>
      </c>
      <c r="M13" s="155">
        <f>'Raw FS'!AW58</f>
        <v/>
      </c>
      <c r="N13" s="150" t="n"/>
      <c r="O13" s="151">
        <f>IFERROR($H13/K13, "N/A")</f>
        <v/>
      </c>
      <c r="P13" s="151">
        <f>IFERROR($H13/L13, "N/A")</f>
        <v/>
      </c>
      <c r="Q13" s="151">
        <f>IFERROR(F13/M13, "N/A")</f>
        <v/>
      </c>
    </row>
    <row r="14">
      <c r="B14" s="150">
        <f>'Raw FS'!L59</f>
        <v/>
      </c>
      <c r="C14" s="150" t="inlineStr">
        <is>
          <t>SAIL</t>
        </is>
      </c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FS'!AS59</f>
        <v/>
      </c>
      <c r="H14" s="155">
        <f>'Raw FS'!AT59</f>
        <v/>
      </c>
      <c r="I14" s="150">
        <f>IF(G14&gt;0, F14/G14, "N/A")</f>
        <v/>
      </c>
      <c r="J14" s="150">
        <f>IF(H14&gt;0, F14/H14, "N/A")</f>
        <v/>
      </c>
      <c r="K14" s="155">
        <f>'Raw FS'!AU59</f>
        <v/>
      </c>
      <c r="L14" s="155">
        <f>'Raw FS'!AV59</f>
        <v/>
      </c>
      <c r="M14" s="155">
        <f>'Raw FS'!AW59</f>
        <v/>
      </c>
      <c r="N14" s="150" t="n"/>
      <c r="O14" s="151">
        <f>IFERROR($H14/K14, "N/A")</f>
        <v/>
      </c>
      <c r="P14" s="151">
        <f>IFERROR($H14/L14, "N/A")</f>
        <v/>
      </c>
      <c r="Q14" s="151">
        <f>IFERROR(F14/M14, "N/A")</f>
        <v/>
      </c>
    </row>
    <row r="15">
      <c r="B15" s="150">
        <f>'Raw FS'!L60</f>
        <v/>
      </c>
      <c r="C15" s="150" t="inlineStr">
        <is>
          <t>JSL</t>
        </is>
      </c>
      <c r="D15" s="155">
        <f>'Raw FS'!M60</f>
        <v/>
      </c>
      <c r="E15" s="155">
        <f>'Raw FS'!N60</f>
        <v/>
      </c>
      <c r="F15" s="155">
        <f>D15*E15</f>
        <v/>
      </c>
      <c r="G15" s="155">
        <f>'Raw FS'!AS60</f>
        <v/>
      </c>
      <c r="H15" s="155">
        <f>'Raw FS'!AT60</f>
        <v/>
      </c>
      <c r="I15" s="150">
        <f>IF(G15&gt;0, F15/G15, "N/A")</f>
        <v/>
      </c>
      <c r="J15" s="150">
        <f>IF(H15&gt;0, F15/H15, "N/A")</f>
        <v/>
      </c>
      <c r="K15" s="155">
        <f>'Raw FS'!AU60</f>
        <v/>
      </c>
      <c r="L15" s="155">
        <f>'Raw FS'!AV60</f>
        <v/>
      </c>
      <c r="M15" s="155">
        <f>'Raw FS'!AW60</f>
        <v/>
      </c>
      <c r="N15" s="150" t="n"/>
      <c r="O15" s="151">
        <f>IFERROR($H15/K15, "N/A")</f>
        <v/>
      </c>
      <c r="P15" s="151">
        <f>IFERROR($H15/L15, "N/A")</f>
        <v/>
      </c>
      <c r="Q15" s="151">
        <f>IFERROR(F15/M15, "N/A")</f>
        <v/>
      </c>
    </row>
    <row r="16">
      <c r="B16" s="150">
        <f>'Raw FS'!L61</f>
        <v/>
      </c>
      <c r="C16" s="150" t="inlineStr">
        <is>
          <t>SARDAEN</t>
        </is>
      </c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FS'!AS61</f>
        <v/>
      </c>
      <c r="H16" s="155">
        <f>'Raw FS'!AT61</f>
        <v/>
      </c>
      <c r="I16" s="150">
        <f>IF(G16&gt;0, F16/G16, "N/A")</f>
        <v/>
      </c>
      <c r="J16" s="150">
        <f>IF(H16&gt;0, F16/H16, "N/A")</f>
        <v/>
      </c>
      <c r="K16" s="155">
        <f>'Raw FS'!AU61</f>
        <v/>
      </c>
      <c r="L16" s="155">
        <f>'Raw FS'!AV61</f>
        <v/>
      </c>
      <c r="M16" s="155">
        <f>'Raw FS'!AW61</f>
        <v/>
      </c>
      <c r="N16" s="150" t="n"/>
      <c r="O16" s="151">
        <f>IFERROR($H16/K16, "N/A")</f>
        <v/>
      </c>
      <c r="P16" s="151">
        <f>IFERROR($H16/L16, "N/A")</f>
        <v/>
      </c>
      <c r="Q16" s="151">
        <f>IFERROR(F16/M16, "N/A")</f>
        <v/>
      </c>
    </row>
    <row r="17">
      <c r="B17" s="150">
        <f>'Raw FS'!L62</f>
        <v/>
      </c>
      <c r="C17" s="150" t="inlineStr">
        <is>
          <t>NSLNISP</t>
        </is>
      </c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FS'!AS62</f>
        <v/>
      </c>
      <c r="H17" s="155">
        <f>'Raw FS'!AT62</f>
        <v/>
      </c>
      <c r="I17" s="150">
        <f>IF(G17&gt;0, F17/G17, "N/A")</f>
        <v/>
      </c>
      <c r="J17" s="150">
        <f>IF(H17&gt;0, F17/H17, "N/A")</f>
        <v/>
      </c>
      <c r="K17" s="155">
        <f>'Raw FS'!AU62</f>
        <v/>
      </c>
      <c r="L17" s="155">
        <f>'Raw FS'!AV62</f>
        <v/>
      </c>
      <c r="M17" s="155">
        <f>'Raw FS'!AW62</f>
        <v/>
      </c>
      <c r="N17" s="150" t="n"/>
      <c r="O17" s="151">
        <f>IFERROR($H17/K17, "N/A")</f>
        <v/>
      </c>
      <c r="P17" s="151">
        <f>IFERROR($H17/L17, "N/A")</f>
        <v/>
      </c>
      <c r="Q17" s="151">
        <f>IFERROR(F17/M17, "N/A")</f>
        <v/>
      </c>
    </row>
    <row r="18">
      <c r="B18" s="150" t="n"/>
      <c r="C18" s="150" t="n"/>
      <c r="D18" s="155" t="n"/>
      <c r="E18" s="155" t="n"/>
      <c r="F18" s="155" t="n"/>
      <c r="G18" s="155" t="n"/>
      <c r="H18" s="155" t="n"/>
      <c r="I18" s="150" t="n"/>
      <c r="J18" s="150" t="n"/>
      <c r="K18" s="155" t="n"/>
      <c r="L18" s="155" t="n"/>
      <c r="M18" s="155" t="n"/>
      <c r="N18" s="150" t="n"/>
      <c r="O18" s="151" t="n"/>
      <c r="P18" s="151" t="n"/>
      <c r="Q18" s="151" t="n"/>
    </row>
    <row r="19">
      <c r="B19" s="150" t="n"/>
      <c r="C19" s="150" t="n"/>
      <c r="D19" s="155" t="n"/>
      <c r="E19" s="155" t="n"/>
      <c r="F19" s="155" t="n"/>
      <c r="G19" s="155" t="n"/>
      <c r="H19" s="155" t="n"/>
      <c r="I19" s="150" t="n"/>
      <c r="J19" s="150" t="n"/>
      <c r="K19" s="155" t="n"/>
      <c r="L19" s="155" t="n"/>
      <c r="M19" s="155" t="n"/>
      <c r="N19" s="150" t="n"/>
      <c r="O19" s="151" t="n"/>
      <c r="P19" s="151" t="n"/>
      <c r="Q19" s="151" t="n"/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>
        <f>MAX(I12:I17)</f>
        <v/>
      </c>
      <c r="J23" s="79">
        <f>MAX(J12:J17)</f>
        <v/>
      </c>
      <c r="K23" s="79" t="n"/>
      <c r="L23" s="79" t="n"/>
      <c r="M23" s="79" t="n"/>
      <c r="N23" s="79" t="n"/>
      <c r="O23" s="86">
        <f>MAX(O12:O17)</f>
        <v/>
      </c>
      <c r="P23" s="86">
        <f>MAX(P12:P17)</f>
        <v/>
      </c>
      <c r="Q23" s="86">
        <f>MAX(Q12:Q17)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>
        <f>_xlfn.QUARTILE.INC(I12:I17,1)</f>
        <v/>
      </c>
      <c r="J24" s="79">
        <f>_xlfn.QUARTILE.INC(J12:J17,1)</f>
        <v/>
      </c>
      <c r="K24" s="79" t="n"/>
      <c r="L24" s="79" t="n"/>
      <c r="M24" s="79" t="n"/>
      <c r="N24" s="79" t="n"/>
      <c r="O24" s="87">
        <f>_xlfn.QUARTILE.INC(O12:O17,1)</f>
        <v/>
      </c>
      <c r="P24" s="87">
        <f>_xlfn.QUARTILE.INC(P12:P17,1)</f>
        <v/>
      </c>
      <c r="Q24" s="87">
        <f>_xlfn.QUARTILE.INC(Q12:Q17,1)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MEDIAN(I12:I17)</f>
        <v/>
      </c>
      <c r="J25" s="152">
        <f>MEDIAN(J12:J17)</f>
        <v/>
      </c>
      <c r="K25" s="152" t="n"/>
      <c r="L25" s="152" t="n"/>
      <c r="M25" s="152" t="n"/>
      <c r="N25" s="152" t="n"/>
      <c r="O25" s="153">
        <f>MEDIAN(O12:O17)</f>
        <v/>
      </c>
      <c r="P25" s="153">
        <f>MEDIAN(P12:P17)</f>
        <v/>
      </c>
      <c r="Q25" s="153">
        <f>MEDIAN(Q12:Q17)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AVERAGE(I12:I17)</f>
        <v/>
      </c>
      <c r="J26" s="152">
        <f>AVERAGE(J12:J17)</f>
        <v/>
      </c>
      <c r="K26" s="152" t="n"/>
      <c r="L26" s="152" t="n"/>
      <c r="M26" s="152" t="n"/>
      <c r="N26" s="152" t="n"/>
      <c r="O26" s="153">
        <f>AVERAGE(O12:O17)</f>
        <v/>
      </c>
      <c r="P26" s="153">
        <f>AVERAGE(P12:P17)</f>
        <v/>
      </c>
      <c r="Q26" s="153">
        <f>AVERAGE(Q12:Q17)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>
        <f>_xlfn.QUARTILE.INC(I12:I17,3)</f>
        <v/>
      </c>
      <c r="J27" s="79">
        <f>_xlfn.QUARTILE.INC(J12:J17,3)</f>
        <v/>
      </c>
      <c r="K27" s="79" t="n"/>
      <c r="L27" s="79" t="n"/>
      <c r="M27" s="79" t="n"/>
      <c r="N27" s="79" t="n"/>
      <c r="O27" s="87">
        <f>_xlfn.QUARTILE.INC(O12:O17,3)</f>
        <v/>
      </c>
      <c r="P27" s="87">
        <f>_xlfn.QUARTILE.INC(P12:P17,3)</f>
        <v/>
      </c>
      <c r="Q27" s="87">
        <f>_xlfn.QUARTILE.INC(Q12:Q17,3)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>
        <f>MIN(I12:I17)</f>
        <v/>
      </c>
      <c r="J28" s="79">
        <f>MIN(J12:J17)</f>
        <v/>
      </c>
      <c r="K28" s="79" t="n"/>
      <c r="L28" s="79" t="n"/>
      <c r="M28" s="79" t="n"/>
      <c r="N28" s="79" t="n"/>
      <c r="O28" s="86">
        <f>MIN(O12:O17)</f>
        <v/>
      </c>
      <c r="P28" s="86">
        <f>MIN(P12:P17)</f>
        <v/>
      </c>
      <c r="Q28" s="86">
        <f>MIN(Q12:Q17)</f>
        <v/>
      </c>
    </row>
    <row r="30">
      <c r="B30" s="84" t="inlineStr">
        <is>
          <t>JSW STEEL LTD Comparable Valuation</t>
        </is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'Raw FS'!AU56*O26</f>
        <v/>
      </c>
      <c r="P32" s="155">
        <f>'Raw FS'!AV56*P26</f>
        <v/>
      </c>
      <c r="Q32" s="155">
        <f>'Raw FS'!AW56*Q26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'Raw FS'!AS56</f>
        <v/>
      </c>
      <c r="P33" s="155">
        <f>'Raw FS'!AS56</f>
        <v/>
      </c>
      <c r="Q33" s="155">
        <f>'Raw FS'!AS56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'Raw FS'!N56</f>
        <v/>
      </c>
      <c r="P35" s="155">
        <f>'Raw FS'!N56</f>
        <v/>
      </c>
      <c r="Q35" s="155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O39">
        <f>IF(O37&gt;'Raw FS'!M56,"Undervalued","Overvalued")</f>
        <v/>
      </c>
      <c r="P39">
        <f>IF(P37="N/A","N/A",IF(P37&gt;'Raw FS'!M56,"Undervalued","Overvalued"))</f>
        <v/>
      </c>
      <c r="Q39">
        <f>IF(Q37&gt;'Raw FS'!M56,"Undervalued","Overvalued")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- 1,351.00 &amp; low INR - 1,073.00)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JSW Steel Limited is an Indian multinational steel company based in Mumbai and is a flagship company of the JSW Group.</t>
        </is>
      </c>
    </row>
    <row r="9"/>
    <row r="10"/>
    <row r="11"/>
    <row r="12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9" t="inlineStr">
        <is>
          <t>JSW One plans to file Rs 3,000-crore IPO papers</t>
        </is>
      </c>
    </row>
    <row r="38"/>
    <row r="39">
      <c r="A39" t="inlineStr">
        <is>
          <t>•</t>
        </is>
      </c>
      <c r="B39" s="169" t="inlineStr">
        <is>
          <t>Why Volkswagen Agreed to Become JSW’s Junior Partner</t>
        </is>
      </c>
    </row>
    <row r="40"/>
    <row r="41">
      <c r="A41" t="inlineStr">
        <is>
          <t>•</t>
        </is>
      </c>
      <c r="B41" s="169" t="inlineStr">
        <is>
          <t>Motilal Oswal sees surging steel prices to offset cost inflation for metal majors. Here are its top stock</t>
        </is>
      </c>
    </row>
    <row r="42"/>
    <row r="43">
      <c r="A43" t="inlineStr">
        <is>
          <t>•</t>
        </is>
      </c>
      <c r="B43" s="169" t="inlineStr">
        <is>
          <t>Market wrap: HDFC Bank, Dr Reddys, Hindalco, JSW Steel top gainers and losers on Nifty and Sensex on Frida</t>
        </is>
      </c>
    </row>
    <row r="44"/>
    <row r="45">
      <c r="A45" t="inlineStr">
        <is>
          <t>•</t>
        </is>
      </c>
      <c r="B45" s="169" t="inlineStr">
        <is>
          <t>Stocks in news: Infosys, Mazagon Dock, Fortis Healthcare, JSW Energy and Kalpataru Projects</t>
        </is>
      </c>
    </row>
    <row r="46"/>
    <row r="47">
      <c r="A47" t="inlineStr">
        <is>
          <t>•</t>
        </is>
      </c>
      <c r="B47" s="169" t="inlineStr">
        <is>
          <t>JSW STEEL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1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1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1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1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- 1,351.00 &amp; low INR - 1,073.00)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JSW Steel Limited is an Indian multinational steel company based in Mumbai and is a flagship company of the JSW Group.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9" t="inlineStr">
        <is>
          <t>JSW One plans to file Rs 3,000-crore IPO papers</t>
        </is>
      </c>
    </row>
    <row r="37"/>
    <row r="38" ht="14.4" customHeight="1" s="109">
      <c r="A38" t="inlineStr">
        <is>
          <t>•</t>
        </is>
      </c>
      <c r="B38" s="169" t="inlineStr">
        <is>
          <t>Why Volkswagen Agreed to Become JSW’s Junior Partner</t>
        </is>
      </c>
    </row>
    <row r="39"/>
    <row r="40" ht="20.4" customHeight="1" s="109">
      <c r="A40" t="inlineStr">
        <is>
          <t>•</t>
        </is>
      </c>
      <c r="B40" s="169" t="inlineStr">
        <is>
          <t>Motilal Oswal sees surging steel prices to offset cost inflation for metal majors. Here are its top stock</t>
        </is>
      </c>
    </row>
    <row r="41"/>
    <row r="42">
      <c r="A42" t="inlineStr">
        <is>
          <t>•</t>
        </is>
      </c>
      <c r="B42" s="169" t="inlineStr">
        <is>
          <t>Market wrap: HDFC Bank, Dr Reddys, Hindalco, JSW Steel top gainers and losers on Nifty and Sensex on Frida</t>
        </is>
      </c>
    </row>
    <row r="43"/>
    <row r="44">
      <c r="A44" t="inlineStr">
        <is>
          <t>•</t>
        </is>
      </c>
      <c r="B44" s="169" t="inlineStr">
        <is>
          <t>Stocks in news: Infosys, Mazagon Dock, Fortis Healthcare, JSW Energy and Kalpataru Projects</t>
        </is>
      </c>
    </row>
    <row r="45"/>
    <row r="46">
      <c r="A46" t="inlineStr">
        <is>
          <t>•</t>
        </is>
      </c>
      <c r="B46" s="169" t="inlineStr">
        <is>
          <t>JSW STEEL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1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1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1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1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1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1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70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BF62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52972</v>
      </c>
      <c r="T4" s="73" t="n">
        <v>41546</v>
      </c>
      <c r="U4" s="73" t="n">
        <v>55604</v>
      </c>
      <c r="V4" s="73" t="n">
        <v>71933</v>
      </c>
      <c r="W4" s="73" t="n">
        <v>84757</v>
      </c>
      <c r="X4" s="73" t="n">
        <v>73326</v>
      </c>
      <c r="Y4" s="73" t="n">
        <v>79839</v>
      </c>
      <c r="Z4" s="73" t="n">
        <v>146371</v>
      </c>
      <c r="AA4" s="73" t="n">
        <v>165960</v>
      </c>
      <c r="AB4" s="73" t="n">
        <v>175006</v>
      </c>
      <c r="AC4" s="73" t="n">
        <v>168824</v>
      </c>
      <c r="AD4" s="73" t="n">
        <v>185470</v>
      </c>
      <c r="AE4" s="73" t="n">
        <v>189687</v>
      </c>
    </row>
    <row r="5">
      <c r="B5" s="35" t="inlineStr">
        <is>
          <t>Equity Capital</t>
        </is>
      </c>
      <c r="C5" t="n">
        <v>303</v>
      </c>
      <c r="D5" s="47" t="n">
        <v>301</v>
      </c>
      <c r="E5" s="47" t="n">
        <v>301</v>
      </c>
      <c r="F5" s="47" t="n">
        <v>302</v>
      </c>
      <c r="G5" s="47" t="n">
        <v>301</v>
      </c>
      <c r="H5" s="47" t="n">
        <v>301</v>
      </c>
      <c r="I5" s="47" t="n">
        <v>302</v>
      </c>
      <c r="J5" s="47" t="n">
        <v>301</v>
      </c>
      <c r="K5" s="47" t="n">
        <v>301</v>
      </c>
      <c r="L5" s="47" t="n">
        <v>305</v>
      </c>
      <c r="M5" s="47" t="n">
        <v>305</v>
      </c>
      <c r="N5" s="47" t="n">
        <v>305</v>
      </c>
      <c r="R5" t="inlineStr">
        <is>
          <t>Expenses +</t>
        </is>
      </c>
      <c r="S5" s="73" t="n">
        <v>43608</v>
      </c>
      <c r="T5" s="73" t="n">
        <v>35124</v>
      </c>
      <c r="U5" s="73" t="n">
        <v>43296</v>
      </c>
      <c r="V5" s="73" t="n">
        <v>57017</v>
      </c>
      <c r="W5" s="73" t="n">
        <v>65827</v>
      </c>
      <c r="X5" s="73" t="n">
        <v>61513</v>
      </c>
      <c r="Y5" s="73" t="n">
        <v>59661</v>
      </c>
      <c r="Z5" s="73" t="n">
        <v>107257</v>
      </c>
      <c r="AA5" s="73" t="n">
        <v>147490</v>
      </c>
      <c r="AB5" s="73" t="n">
        <v>146849</v>
      </c>
      <c r="AC5" s="73" t="n">
        <v>146099</v>
      </c>
      <c r="AD5" s="73" t="n">
        <v>156006</v>
      </c>
      <c r="AE5" s="73" t="n">
        <v>158532</v>
      </c>
    </row>
    <row r="6">
      <c r="B6" t="inlineStr">
        <is>
          <t>Reserves</t>
        </is>
      </c>
      <c r="C6" s="73" t="n">
        <v>21987</v>
      </c>
      <c r="D6" s="73" t="n">
        <v>18665</v>
      </c>
      <c r="E6" s="73" t="n">
        <v>22346</v>
      </c>
      <c r="F6" s="73" t="n">
        <v>27696</v>
      </c>
      <c r="G6" s="73" t="n">
        <v>34494</v>
      </c>
      <c r="H6" s="73" t="n">
        <v>36298</v>
      </c>
      <c r="I6" s="73" t="n">
        <v>45308</v>
      </c>
      <c r="J6" s="73" t="n">
        <v>66996</v>
      </c>
      <c r="K6" s="73" t="n">
        <v>65394</v>
      </c>
      <c r="L6" s="73" t="n">
        <v>77364</v>
      </c>
      <c r="M6" s="73" t="n">
        <v>79191</v>
      </c>
      <c r="N6" s="73" t="n">
        <v>99748</v>
      </c>
      <c r="O6" s="73" t="n"/>
      <c r="R6" t="inlineStr">
        <is>
          <t>Operating Profit</t>
        </is>
      </c>
      <c r="S6" s="73" t="n">
        <v>9364</v>
      </c>
      <c r="T6" s="73" t="n">
        <v>6422</v>
      </c>
      <c r="U6" s="73" t="n">
        <v>12308</v>
      </c>
      <c r="V6" s="73" t="n">
        <v>14916</v>
      </c>
      <c r="W6" s="73" t="n">
        <v>18930</v>
      </c>
      <c r="X6" s="73" t="n">
        <v>11813</v>
      </c>
      <c r="Y6" s="73" t="n">
        <v>20178</v>
      </c>
      <c r="Z6" s="73" t="n">
        <v>39114</v>
      </c>
      <c r="AA6" s="73" t="n">
        <v>18470</v>
      </c>
      <c r="AB6" s="73" t="n">
        <v>28157</v>
      </c>
      <c r="AC6" s="73" t="n">
        <v>22725</v>
      </c>
      <c r="AD6" s="73" t="n">
        <v>29464</v>
      </c>
      <c r="AE6" s="73" t="n">
        <v>31155</v>
      </c>
    </row>
    <row r="7">
      <c r="B7" s="73" t="inlineStr">
        <is>
          <t>Borrowings -</t>
        </is>
      </c>
      <c r="C7" s="73" t="n">
        <v>38754</v>
      </c>
      <c r="D7" s="73" t="n">
        <v>42204</v>
      </c>
      <c r="E7" s="73" t="n">
        <v>43334</v>
      </c>
      <c r="F7" s="73" t="n">
        <v>39393</v>
      </c>
      <c r="G7" s="73" t="n">
        <v>47396</v>
      </c>
      <c r="H7" s="73" t="n">
        <v>61423</v>
      </c>
      <c r="I7" s="73" t="n">
        <v>66727</v>
      </c>
      <c r="J7" s="73" t="n">
        <v>72237</v>
      </c>
      <c r="K7" s="73" t="n">
        <v>80853</v>
      </c>
      <c r="L7" s="73" t="n">
        <v>87984</v>
      </c>
      <c r="M7" s="73" t="n">
        <v>98752</v>
      </c>
      <c r="N7" s="73" t="n">
        <v>99310</v>
      </c>
      <c r="O7" s="73" t="n"/>
      <c r="R7" t="inlineStr">
        <is>
          <t>OPM %</t>
        </is>
      </c>
      <c r="S7" s="75" t="n">
        <v>18</v>
      </c>
      <c r="T7" s="75" t="n">
        <v>15</v>
      </c>
      <c r="U7" s="75" t="n">
        <v>22</v>
      </c>
      <c r="V7" s="75" t="n">
        <v>21</v>
      </c>
      <c r="W7" s="75" t="n">
        <v>22</v>
      </c>
      <c r="X7" s="75" t="n">
        <v>16</v>
      </c>
      <c r="Y7" s="75" t="n">
        <v>25</v>
      </c>
      <c r="Z7" s="75" t="n">
        <v>27</v>
      </c>
      <c r="AA7" s="75" t="n">
        <v>11</v>
      </c>
      <c r="AB7" s="75" t="n">
        <v>16</v>
      </c>
      <c r="AC7" s="75" t="n">
        <v>13</v>
      </c>
      <c r="AD7" s="75" t="n">
        <v>16</v>
      </c>
      <c r="AE7" s="75" t="n">
        <v>16</v>
      </c>
    </row>
    <row r="8">
      <c r="B8" s="73" t="inlineStr">
        <is>
          <t>Long term Borrowings</t>
        </is>
      </c>
      <c r="C8" s="73" t="n">
        <v>33677</v>
      </c>
      <c r="D8" s="73" t="n">
        <v>32793</v>
      </c>
      <c r="E8" s="73" t="n">
        <v>32416</v>
      </c>
      <c r="F8" s="73" t="n">
        <v>31723</v>
      </c>
      <c r="G8" s="73" t="n">
        <v>29656</v>
      </c>
      <c r="H8" s="73" t="n">
        <v>44673</v>
      </c>
      <c r="I8" s="73" t="n">
        <v>49731</v>
      </c>
      <c r="J8" s="73" t="n">
        <v>57929</v>
      </c>
      <c r="K8" s="73" t="n">
        <v>61966</v>
      </c>
      <c r="L8" s="73" t="n">
        <v>67354</v>
      </c>
      <c r="M8" s="73" t="n">
        <v>81983</v>
      </c>
      <c r="N8" s="73" t="n">
        <v>75608</v>
      </c>
      <c r="R8" t="inlineStr">
        <is>
          <t>Other Income +</t>
        </is>
      </c>
      <c r="S8" s="73" t="n">
        <v>103</v>
      </c>
      <c r="T8" s="73" t="n">
        <v>-1966</v>
      </c>
      <c r="U8" s="73" t="n">
        <v>18</v>
      </c>
      <c r="V8" s="73" t="n">
        <v>-177</v>
      </c>
      <c r="W8" s="73" t="n">
        <v>196</v>
      </c>
      <c r="X8" s="73" t="n">
        <v>-289</v>
      </c>
      <c r="Y8" s="73" t="n">
        <v>473</v>
      </c>
      <c r="Z8" s="73" t="n">
        <v>1600</v>
      </c>
      <c r="AA8" s="73" t="n">
        <v>1561</v>
      </c>
      <c r="AB8" s="73" t="n">
        <v>1500</v>
      </c>
      <c r="AC8" s="73" t="n">
        <v>73</v>
      </c>
      <c r="AD8" s="73" t="n">
        <v>18489</v>
      </c>
      <c r="AE8" s="73" t="n">
        <v>18981</v>
      </c>
    </row>
    <row r="9">
      <c r="B9" t="inlineStr">
        <is>
          <t>Short term Borrowings</t>
        </is>
      </c>
      <c r="C9" t="n">
        <v>1208</v>
      </c>
      <c r="D9" t="n">
        <v>2378</v>
      </c>
      <c r="E9" t="n">
        <v>4881</v>
      </c>
      <c r="F9" t="n">
        <v>2177</v>
      </c>
      <c r="G9" t="n">
        <v>6333</v>
      </c>
      <c r="H9" t="n">
        <v>8325</v>
      </c>
      <c r="I9" t="n">
        <v>14652</v>
      </c>
      <c r="J9" t="n">
        <v>12046</v>
      </c>
      <c r="K9" t="n">
        <v>16876</v>
      </c>
      <c r="L9" t="n">
        <v>18221</v>
      </c>
      <c r="M9" t="n">
        <v>13974</v>
      </c>
      <c r="N9" s="73" t="n">
        <v>19924</v>
      </c>
      <c r="R9" t="inlineStr">
        <is>
          <t>Interest</t>
        </is>
      </c>
      <c r="S9" t="n">
        <v>3493</v>
      </c>
      <c r="T9" t="n">
        <v>3601</v>
      </c>
      <c r="U9" t="n">
        <v>3768</v>
      </c>
      <c r="V9" t="n">
        <v>3701</v>
      </c>
      <c r="W9" t="n">
        <v>3917</v>
      </c>
      <c r="X9" t="n">
        <v>4265</v>
      </c>
      <c r="Y9" t="n">
        <v>3957</v>
      </c>
      <c r="Z9" t="n">
        <v>4968</v>
      </c>
      <c r="AA9" t="n">
        <v>6902</v>
      </c>
      <c r="AB9" t="n">
        <v>8105</v>
      </c>
      <c r="AC9" t="n">
        <v>8412</v>
      </c>
      <c r="AD9" t="n">
        <v>9102</v>
      </c>
      <c r="AE9" t="n">
        <v>8597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2050</v>
      </c>
      <c r="I10" t="n">
        <v>2344</v>
      </c>
      <c r="J10" t="n">
        <v>2262</v>
      </c>
      <c r="K10" t="n">
        <v>2011</v>
      </c>
      <c r="L10" t="n">
        <v>2409</v>
      </c>
      <c r="M10" t="n">
        <v>2795</v>
      </c>
      <c r="N10" t="n">
        <v>3778</v>
      </c>
      <c r="O10" s="73" t="n"/>
      <c r="R10" t="inlineStr">
        <is>
          <t>Depreciation</t>
        </is>
      </c>
      <c r="S10" s="73" t="n">
        <v>3434</v>
      </c>
      <c r="T10" s="73" t="n">
        <v>3323</v>
      </c>
      <c r="U10" s="73" t="n">
        <v>3430</v>
      </c>
      <c r="V10" s="73" t="n">
        <v>3387</v>
      </c>
      <c r="W10" s="73" t="n">
        <v>4041</v>
      </c>
      <c r="X10" s="73" t="n">
        <v>4246</v>
      </c>
      <c r="Y10" s="73" t="n">
        <v>4679</v>
      </c>
      <c r="Z10" s="73" t="n">
        <v>6001</v>
      </c>
      <c r="AA10" s="73" t="n">
        <v>7474</v>
      </c>
      <c r="AB10" s="73" t="n">
        <v>8172</v>
      </c>
      <c r="AC10" s="73" t="n">
        <v>9309</v>
      </c>
      <c r="AD10" s="73" t="n">
        <v>9601</v>
      </c>
      <c r="AE10" s="73" t="n">
        <v>9201</v>
      </c>
    </row>
    <row r="11">
      <c r="B11" s="73" t="inlineStr">
        <is>
          <t>Other Borrowings</t>
        </is>
      </c>
      <c r="C11" s="73" t="n">
        <v>3105</v>
      </c>
      <c r="D11" s="73" t="n">
        <v>7033</v>
      </c>
      <c r="E11" s="73" t="n">
        <v>6037</v>
      </c>
      <c r="F11" s="73" t="n">
        <v>5285</v>
      </c>
      <c r="G11" s="73" t="n">
        <v>11387</v>
      </c>
      <c r="H11" s="73" t="n">
        <v>6351</v>
      </c>
      <c r="I11" s="73" t="n">
        <v>-26</v>
      </c>
      <c r="J11" s="73" t="n">
        <v>-29</v>
      </c>
      <c r="K11" s="73" t="n">
        <v>-33</v>
      </c>
      <c r="L11" s="73" t="n">
        <v>-36</v>
      </c>
      <c r="M11" s="73" t="n">
        <v>-64</v>
      </c>
      <c r="N11" s="73" t="n">
        <v>-48</v>
      </c>
      <c r="O11" s="73" t="n"/>
      <c r="R11" t="inlineStr">
        <is>
          <t>Profit before tax</t>
        </is>
      </c>
      <c r="S11" s="73" t="n">
        <v>2539</v>
      </c>
      <c r="T11" s="73" t="n">
        <v>-2468</v>
      </c>
      <c r="U11" s="73" t="n">
        <v>5128</v>
      </c>
      <c r="V11" s="73" t="n">
        <v>7651</v>
      </c>
      <c r="W11" s="73" t="n">
        <v>11168</v>
      </c>
      <c r="X11" s="73" t="n">
        <v>3013</v>
      </c>
      <c r="Y11" s="73" t="n">
        <v>12015</v>
      </c>
      <c r="Z11" s="73" t="n">
        <v>29745</v>
      </c>
      <c r="AA11" s="73" t="n">
        <v>5655</v>
      </c>
      <c r="AB11" s="73" t="n">
        <v>13380</v>
      </c>
      <c r="AC11" s="73" t="n">
        <v>5077</v>
      </c>
      <c r="AD11" s="73" t="n">
        <v>29250</v>
      </c>
      <c r="AE11" s="73" t="n">
        <v>32338</v>
      </c>
    </row>
    <row r="12">
      <c r="B12" s="73" t="inlineStr">
        <is>
          <t>Other Liabilities -</t>
        </is>
      </c>
      <c r="C12" s="73" t="n">
        <v>24610</v>
      </c>
      <c r="D12" s="73" t="n">
        <v>20737</v>
      </c>
      <c r="E12" s="73" t="n">
        <v>22024</v>
      </c>
      <c r="F12" s="73" t="n">
        <v>24579</v>
      </c>
      <c r="G12" s="73" t="n">
        <v>32606</v>
      </c>
      <c r="H12" s="73" t="n">
        <v>33798</v>
      </c>
      <c r="I12" s="73" t="n">
        <v>34826</v>
      </c>
      <c r="J12" s="73" t="n">
        <v>56951</v>
      </c>
      <c r="K12" s="73" t="n">
        <v>63991</v>
      </c>
      <c r="L12" s="73" t="n">
        <v>62245</v>
      </c>
      <c r="M12" s="73" t="n">
        <v>62197</v>
      </c>
      <c r="N12" s="73" t="n">
        <v>70295</v>
      </c>
      <c r="R12" t="inlineStr">
        <is>
          <t>Tax %</t>
        </is>
      </c>
      <c r="S12" s="75" t="n">
        <v>32</v>
      </c>
      <c r="T12" s="75" t="n">
        <v>-80</v>
      </c>
      <c r="U12" s="75" t="n">
        <v>33</v>
      </c>
      <c r="V12" s="75" t="n">
        <v>20</v>
      </c>
      <c r="W12" s="75" t="n">
        <v>33</v>
      </c>
      <c r="X12" s="75" t="n">
        <v>-30</v>
      </c>
      <c r="Y12" s="75" t="n">
        <v>34</v>
      </c>
      <c r="Z12" s="75" t="n">
        <v>30</v>
      </c>
      <c r="AA12" s="75" t="n">
        <v>27</v>
      </c>
      <c r="AB12" s="75" t="n">
        <v>33</v>
      </c>
      <c r="AC12" s="75" t="n">
        <v>31</v>
      </c>
      <c r="AD12" s="75" t="n">
        <v>13</v>
      </c>
      <c r="AE12" t="n">
        <v>0</v>
      </c>
    </row>
    <row r="13">
      <c r="B13" t="inlineStr">
        <is>
          <t>Non controlling int</t>
        </is>
      </c>
      <c r="C13" t="n">
        <v>98</v>
      </c>
      <c r="D13" t="n">
        <v>-195</v>
      </c>
      <c r="E13" t="n">
        <v>-246</v>
      </c>
      <c r="F13" t="n">
        <v>-464</v>
      </c>
      <c r="G13" t="n">
        <v>-450</v>
      </c>
      <c r="H13" t="n">
        <v>-575</v>
      </c>
      <c r="I13" t="n">
        <v>-619</v>
      </c>
      <c r="J13" t="n">
        <v>1238</v>
      </c>
      <c r="K13" t="n">
        <v>1344</v>
      </c>
      <c r="L13" t="n">
        <v>2107</v>
      </c>
      <c r="M13" t="n">
        <v>2170</v>
      </c>
      <c r="N13" t="n">
        <v>5422</v>
      </c>
      <c r="O13" s="73" t="n"/>
      <c r="R13" t="inlineStr">
        <is>
          <t>Net Profit +</t>
        </is>
      </c>
      <c r="S13" s="73" t="n">
        <v>1722</v>
      </c>
      <c r="T13" s="73" t="n">
        <v>-481</v>
      </c>
      <c r="U13" s="73" t="n">
        <v>3467</v>
      </c>
      <c r="V13" s="73" t="n">
        <v>6113</v>
      </c>
      <c r="W13" s="73" t="n">
        <v>7524</v>
      </c>
      <c r="X13" s="73" t="n">
        <v>3919</v>
      </c>
      <c r="Y13" s="73" t="n">
        <v>7873</v>
      </c>
      <c r="Z13" s="73" t="n">
        <v>20938</v>
      </c>
      <c r="AA13" s="73" t="n">
        <v>4139</v>
      </c>
      <c r="AB13" s="73" t="n">
        <v>8973</v>
      </c>
      <c r="AC13" s="73" t="n">
        <v>3491</v>
      </c>
      <c r="AD13" s="73" t="n">
        <v>25508</v>
      </c>
      <c r="AE13" s="73" t="n">
        <v>27995</v>
      </c>
    </row>
    <row r="14">
      <c r="B14" s="73" t="inlineStr">
        <is>
          <t>Trade Payables</t>
        </is>
      </c>
      <c r="C14" s="73" t="n">
        <v>14253</v>
      </c>
      <c r="D14" s="73" t="n">
        <v>12758</v>
      </c>
      <c r="E14" s="73" t="n">
        <v>13348</v>
      </c>
      <c r="F14" s="73" t="n">
        <v>15944</v>
      </c>
      <c r="G14" s="73" t="n">
        <v>16159</v>
      </c>
      <c r="H14" s="73" t="n">
        <v>17918</v>
      </c>
      <c r="I14" s="73" t="n">
        <v>15243</v>
      </c>
      <c r="J14" s="73" t="n">
        <v>30889</v>
      </c>
      <c r="K14" s="73" t="n">
        <v>38203</v>
      </c>
      <c r="L14" s="73" t="n">
        <v>33365</v>
      </c>
      <c r="M14" s="73" t="n">
        <v>32552</v>
      </c>
      <c r="N14" s="73" t="n">
        <v>34483</v>
      </c>
      <c r="S14" t="n">
        <v>7.43</v>
      </c>
      <c r="T14" t="n">
        <v>-1.39</v>
      </c>
      <c r="U14" t="n">
        <v>14.57</v>
      </c>
      <c r="V14" t="n">
        <v>25.71</v>
      </c>
      <c r="W14" t="n">
        <v>31.6</v>
      </c>
      <c r="X14" t="n">
        <v>16.67</v>
      </c>
      <c r="Y14" t="n">
        <v>32.73</v>
      </c>
      <c r="Z14" t="n">
        <v>85.48999999999999</v>
      </c>
      <c r="AA14" t="n">
        <v>17.14</v>
      </c>
      <c r="AB14" t="n">
        <v>36.03</v>
      </c>
      <c r="AC14" t="n">
        <v>14.33</v>
      </c>
      <c r="AD14" t="n">
        <v>91.26000000000001</v>
      </c>
      <c r="AE14" t="n">
        <v>101.35</v>
      </c>
    </row>
    <row r="15">
      <c r="B15" t="inlineStr">
        <is>
          <t>Advance from Customers</t>
        </is>
      </c>
      <c r="C15" t="n">
        <v>513</v>
      </c>
      <c r="D15" t="n">
        <v>327</v>
      </c>
      <c r="E15" t="n">
        <v>377</v>
      </c>
      <c r="F15" t="n">
        <v>370</v>
      </c>
      <c r="G15" t="n">
        <v>1154</v>
      </c>
      <c r="H15" t="n">
        <v>1459</v>
      </c>
      <c r="I15" t="n">
        <v>1984</v>
      </c>
      <c r="J15" s="73" t="n">
        <v>2133</v>
      </c>
      <c r="K15" s="73" t="n">
        <v>2338</v>
      </c>
      <c r="L15" t="n">
        <v>1005</v>
      </c>
      <c r="M15" s="73" t="n">
        <v>1478</v>
      </c>
      <c r="N15" s="73" t="n">
        <v>1577</v>
      </c>
      <c r="O15" s="73" t="n"/>
      <c r="S15" t="n">
        <v>19</v>
      </c>
      <c r="T15" t="n">
        <v>-67</v>
      </c>
      <c r="U15" t="n">
        <v>19</v>
      </c>
      <c r="V15" t="n">
        <v>16</v>
      </c>
      <c r="W15" t="n">
        <v>16</v>
      </c>
      <c r="X15" t="n">
        <v>15</v>
      </c>
      <c r="Y15" t="n">
        <v>25</v>
      </c>
      <c r="Z15" t="n">
        <v>25</v>
      </c>
      <c r="AA15" t="n">
        <v>25</v>
      </c>
      <c r="AB15" t="n">
        <v>25</v>
      </c>
      <c r="AC15" t="n">
        <v>24</v>
      </c>
      <c r="AD15" t="n">
        <v>10</v>
      </c>
      <c r="AE15" t="n">
        <v>0</v>
      </c>
    </row>
    <row r="16">
      <c r="B16" s="73" t="inlineStr">
        <is>
          <t>Other liability items</t>
        </is>
      </c>
      <c r="C16" s="73" t="n">
        <v>9747</v>
      </c>
      <c r="D16" s="73" t="n">
        <v>7848</v>
      </c>
      <c r="E16" s="73" t="n">
        <v>8545</v>
      </c>
      <c r="F16" s="73" t="n">
        <v>8729</v>
      </c>
      <c r="G16" s="73" t="n">
        <v>15743</v>
      </c>
      <c r="H16" s="73" t="n">
        <v>14996</v>
      </c>
      <c r="I16" s="73" t="n">
        <v>18218</v>
      </c>
      <c r="J16" s="73" t="n">
        <v>22691</v>
      </c>
      <c r="K16" s="73" t="n">
        <v>22106</v>
      </c>
      <c r="L16" s="73" t="n">
        <v>25768</v>
      </c>
      <c r="M16" s="73" t="n">
        <v>25997</v>
      </c>
      <c r="N16" s="73" t="n">
        <v>28813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85654</v>
      </c>
      <c r="D18" s="71" t="n">
        <v>81907</v>
      </c>
      <c r="E18" s="71" t="n">
        <v>88005</v>
      </c>
      <c r="F18" s="71" t="n">
        <v>91970</v>
      </c>
      <c r="G18" s="71" t="n">
        <v>114797</v>
      </c>
      <c r="H18" s="71" t="n">
        <v>131820</v>
      </c>
      <c r="I18" s="71" t="n">
        <v>147163</v>
      </c>
      <c r="J18" s="71" t="n">
        <v>196485</v>
      </c>
      <c r="K18" s="71" t="n">
        <v>210539</v>
      </c>
      <c r="L18" s="71" t="n">
        <v>227898</v>
      </c>
      <c r="M18" s="71" t="n">
        <v>240445</v>
      </c>
      <c r="N18" s="71" t="n">
        <v>269658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7876</v>
      </c>
      <c r="T19" s="73" t="n">
        <v>6897</v>
      </c>
      <c r="U19" s="73" t="n">
        <v>7888</v>
      </c>
      <c r="V19" s="73" t="n">
        <v>12379</v>
      </c>
      <c r="W19" s="73" t="n">
        <v>14633</v>
      </c>
      <c r="X19" s="73" t="n">
        <v>12785</v>
      </c>
      <c r="Y19" s="73" t="n">
        <v>18831</v>
      </c>
      <c r="Z19" s="73" t="n">
        <v>26270</v>
      </c>
      <c r="AA19" s="73" t="n">
        <v>23323</v>
      </c>
      <c r="AB19" s="73" t="n">
        <v>12078</v>
      </c>
      <c r="AC19" s="73" t="n">
        <v>20899</v>
      </c>
      <c r="AD19" s="73" t="n">
        <v>25152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8850</v>
      </c>
      <c r="T20" s="73" t="n">
        <v>6614</v>
      </c>
      <c r="U20" s="73" t="n">
        <v>11994</v>
      </c>
      <c r="V20" s="73" t="n">
        <v>14920</v>
      </c>
      <c r="W20" s="73" t="n">
        <v>18844</v>
      </c>
      <c r="X20" s="73" t="n">
        <v>12301</v>
      </c>
      <c r="Y20" s="73" t="n">
        <v>19455</v>
      </c>
      <c r="Z20" s="73" t="n">
        <v>38913</v>
      </c>
      <c r="AA20" s="73" t="n">
        <v>20856</v>
      </c>
      <c r="AB20" s="73" t="n">
        <v>28472</v>
      </c>
      <c r="AC20" s="73" t="n">
        <v>23553</v>
      </c>
      <c r="AD20" s="73" t="n">
        <v>32085</v>
      </c>
    </row>
    <row r="21">
      <c r="B21" s="73" t="inlineStr">
        <is>
          <t>Fixed Assets -</t>
        </is>
      </c>
      <c r="C21" s="73" t="n">
        <v>52176</v>
      </c>
      <c r="D21" s="73" t="n">
        <v>56140</v>
      </c>
      <c r="E21" s="73" t="n">
        <v>58730</v>
      </c>
      <c r="F21" s="73" t="n">
        <v>57848</v>
      </c>
      <c r="G21" s="73" t="n">
        <v>62644</v>
      </c>
      <c r="H21" s="73" t="n">
        <v>62085</v>
      </c>
      <c r="I21" s="73" t="n">
        <v>64917</v>
      </c>
      <c r="J21" s="73" t="n">
        <v>99880</v>
      </c>
      <c r="K21" s="73" t="n">
        <v>104452</v>
      </c>
      <c r="L21" s="73" t="n">
        <v>112461</v>
      </c>
      <c r="M21" s="73" t="n">
        <v>124466</v>
      </c>
      <c r="N21" s="73" t="n">
        <v>117129</v>
      </c>
      <c r="R21" t="inlineStr">
        <is>
          <t>Receivables</t>
        </is>
      </c>
      <c r="S21" t="n">
        <v>-207</v>
      </c>
      <c r="T21" t="n">
        <v>-294</v>
      </c>
      <c r="U21" t="n">
        <v>-1352</v>
      </c>
      <c r="V21" t="n">
        <v>-640</v>
      </c>
      <c r="W21" t="n">
        <v>-2203</v>
      </c>
      <c r="X21" s="73" t="n">
        <v>2458</v>
      </c>
      <c r="Y21" t="n">
        <v>72</v>
      </c>
      <c r="Z21" t="n">
        <v>-1884</v>
      </c>
      <c r="AA21" t="n">
        <v>317</v>
      </c>
      <c r="AB21" t="n">
        <v>-154</v>
      </c>
      <c r="AC21" s="73" t="n">
        <v>-866</v>
      </c>
      <c r="AD21" t="n">
        <v>-3686</v>
      </c>
    </row>
    <row r="22">
      <c r="B22" s="73" t="inlineStr">
        <is>
          <t>Land</t>
        </is>
      </c>
      <c r="C22" s="73" t="n">
        <v>2162</v>
      </c>
      <c r="D22" s="73" t="n">
        <v>2090</v>
      </c>
      <c r="E22" s="73" t="n">
        <v>2112</v>
      </c>
      <c r="F22" s="73" t="n">
        <v>2137</v>
      </c>
      <c r="G22" s="73" t="n">
        <v>2536</v>
      </c>
      <c r="H22" s="73" t="n">
        <v>2610</v>
      </c>
      <c r="I22" s="73" t="n">
        <v>2941</v>
      </c>
      <c r="J22" s="73" t="n">
        <v>5367</v>
      </c>
      <c r="K22" s="73" t="n">
        <v>5501</v>
      </c>
      <c r="L22" s="73" t="n">
        <v>6118</v>
      </c>
      <c r="M22" s="73" t="n">
        <v>6322</v>
      </c>
      <c r="N22" s="73" t="n">
        <v>5278</v>
      </c>
      <c r="O22" s="73" t="n"/>
      <c r="R22" t="inlineStr">
        <is>
          <t>Inventory</t>
        </is>
      </c>
      <c r="S22" t="n">
        <v>-2854</v>
      </c>
      <c r="T22" t="n">
        <v>2578</v>
      </c>
      <c r="U22" t="n">
        <v>-3065</v>
      </c>
      <c r="V22" t="n">
        <v>-1199</v>
      </c>
      <c r="W22" t="n">
        <v>-1741</v>
      </c>
      <c r="X22" t="n">
        <v>744</v>
      </c>
      <c r="Y22" s="73" t="n">
        <v>-335</v>
      </c>
      <c r="Z22" t="n">
        <v>-15593</v>
      </c>
      <c r="AA22" s="73" t="n">
        <v>704</v>
      </c>
      <c r="AB22" s="73" t="n">
        <v>-3284</v>
      </c>
      <c r="AC22" s="73" t="n">
        <v>2609</v>
      </c>
      <c r="AD22" s="73" t="n">
        <v>-3176</v>
      </c>
    </row>
    <row r="23">
      <c r="B23" s="73" t="inlineStr">
        <is>
          <t>Building</t>
        </is>
      </c>
      <c r="C23" s="73" t="n">
        <v>8146</v>
      </c>
      <c r="D23" s="73" t="n">
        <v>7661</v>
      </c>
      <c r="E23" s="73" t="n">
        <v>8169</v>
      </c>
      <c r="F23" s="73" t="n">
        <v>8463</v>
      </c>
      <c r="G23" s="73" t="n">
        <v>9432</v>
      </c>
      <c r="H23" s="73" t="n">
        <v>9937</v>
      </c>
      <c r="I23" s="73" t="n">
        <v>10575</v>
      </c>
      <c r="J23" s="73" t="n">
        <v>15584</v>
      </c>
      <c r="K23" s="73" t="n">
        <v>16612</v>
      </c>
      <c r="L23" s="73" t="n">
        <v>18926</v>
      </c>
      <c r="M23" s="73" t="n">
        <v>22102</v>
      </c>
      <c r="N23" s="73" t="n">
        <v>21166</v>
      </c>
      <c r="O23" s="73" t="n"/>
      <c r="R23" t="inlineStr">
        <is>
          <t>Payables</t>
        </is>
      </c>
      <c r="S23" t="n">
        <v>2543</v>
      </c>
      <c r="T23" t="n">
        <v>-2143</v>
      </c>
      <c r="U23" t="n">
        <v>1561</v>
      </c>
      <c r="V23" s="73" t="n">
        <v>2514</v>
      </c>
      <c r="W23" t="n">
        <v>3406</v>
      </c>
      <c r="X23" t="n">
        <v>183</v>
      </c>
      <c r="Y23" s="73" t="n">
        <v>1348</v>
      </c>
      <c r="Z23" s="73" t="n">
        <v>13013</v>
      </c>
      <c r="AA23" s="73" t="n">
        <v>4965</v>
      </c>
      <c r="AB23" t="n">
        <v>-7235</v>
      </c>
      <c r="AC23" s="73" t="n">
        <v>-1096</v>
      </c>
      <c r="AD23" t="n">
        <v>5517</v>
      </c>
    </row>
    <row r="24">
      <c r="B24" s="73" t="inlineStr">
        <is>
          <t>Plant Machinery</t>
        </is>
      </c>
      <c r="C24" s="73" t="n">
        <v>56800</v>
      </c>
      <c r="D24" s="73" t="n">
        <v>48633</v>
      </c>
      <c r="E24" s="73" t="n">
        <v>53948</v>
      </c>
      <c r="F24" s="73" t="n">
        <v>56071</v>
      </c>
      <c r="G24" s="73" t="n">
        <v>62976</v>
      </c>
      <c r="H24" s="73" t="n">
        <v>65282</v>
      </c>
      <c r="I24" s="73" t="n">
        <v>69566</v>
      </c>
      <c r="J24" s="73" t="n">
        <v>102739</v>
      </c>
      <c r="K24" s="73" t="n">
        <v>113225</v>
      </c>
      <c r="L24" s="73" t="n">
        <v>123979</v>
      </c>
      <c r="M24" s="73" t="n">
        <v>140578</v>
      </c>
      <c r="N24" s="73" t="n">
        <v>136278</v>
      </c>
      <c r="R24" t="inlineStr">
        <is>
          <t>Working capital changes</t>
        </is>
      </c>
      <c r="S24" t="n">
        <v>-202</v>
      </c>
      <c r="T24" t="n">
        <v>491</v>
      </c>
      <c r="U24" t="n">
        <v>-3869</v>
      </c>
      <c r="V24" s="73" t="n">
        <v>-1101</v>
      </c>
      <c r="W24" t="n">
        <v>-1581</v>
      </c>
      <c r="X24" t="n">
        <v>1639</v>
      </c>
      <c r="Y24" t="n">
        <v>1306</v>
      </c>
      <c r="Z24" t="n">
        <v>-7264</v>
      </c>
      <c r="AA24" t="n">
        <v>3105</v>
      </c>
      <c r="AB24" s="73" t="n">
        <v>-13615</v>
      </c>
      <c r="AC24" s="73" t="n">
        <v>-681</v>
      </c>
      <c r="AD24" s="73" t="n">
        <v>-3708</v>
      </c>
    </row>
    <row r="25">
      <c r="B25" t="inlineStr">
        <is>
          <t>Equipments</t>
        </is>
      </c>
      <c r="C25" t="n">
        <v>62</v>
      </c>
      <c r="D25" t="n">
        <v>41</v>
      </c>
      <c r="E25" t="n">
        <v>56</v>
      </c>
      <c r="F25" t="n">
        <v>69</v>
      </c>
      <c r="G25" t="n">
        <v>85</v>
      </c>
      <c r="H25" t="n">
        <v>111</v>
      </c>
      <c r="I25" t="n">
        <v>129</v>
      </c>
      <c r="J25" t="n">
        <v>154</v>
      </c>
      <c r="K25" t="n">
        <v>203</v>
      </c>
      <c r="L25" t="n">
        <v>294</v>
      </c>
      <c r="M25" t="n">
        <v>404</v>
      </c>
      <c r="N25" t="n">
        <v>443</v>
      </c>
      <c r="R25" t="inlineStr">
        <is>
          <t>Direct taxes</t>
        </is>
      </c>
      <c r="S25" s="73" t="n">
        <v>-773</v>
      </c>
      <c r="T25" s="73" t="n">
        <v>-207</v>
      </c>
      <c r="U25" s="73" t="n">
        <v>-237</v>
      </c>
      <c r="V25" s="73" t="n">
        <v>-1440</v>
      </c>
      <c r="W25" s="73" t="n">
        <v>-2630</v>
      </c>
      <c r="X25" s="73" t="n">
        <v>-1155</v>
      </c>
      <c r="Y25" s="73" t="n">
        <v>-1930</v>
      </c>
      <c r="Z25" s="73" t="n">
        <v>-5379</v>
      </c>
      <c r="AA25" s="73" t="n">
        <v>-638</v>
      </c>
      <c r="AB25" s="73" t="n">
        <v>-2779</v>
      </c>
      <c r="AC25" s="73" t="n">
        <v>-1973</v>
      </c>
      <c r="AD25" s="73" t="n">
        <v>-3225</v>
      </c>
    </row>
    <row r="26">
      <c r="B26" s="73" t="inlineStr">
        <is>
          <t>Furniture n fittings</t>
        </is>
      </c>
      <c r="C26" s="73" t="n">
        <v>156</v>
      </c>
      <c r="D26" s="73" t="n">
        <v>81</v>
      </c>
      <c r="E26" s="73" t="n">
        <v>88</v>
      </c>
      <c r="F26" s="73" t="n">
        <v>119</v>
      </c>
      <c r="G26" s="73" t="n">
        <v>142</v>
      </c>
      <c r="H26" s="73" t="n">
        <v>144</v>
      </c>
      <c r="I26" s="73" t="n">
        <v>155</v>
      </c>
      <c r="J26" s="73" t="n">
        <v>174</v>
      </c>
      <c r="K26" s="73" t="n">
        <v>201</v>
      </c>
      <c r="L26" s="73" t="n">
        <v>266</v>
      </c>
      <c r="M26" s="73" t="n">
        <v>316</v>
      </c>
      <c r="N26" s="73" t="n">
        <v>329</v>
      </c>
      <c r="R26" t="inlineStr">
        <is>
          <t>Cash from Investing Activity -</t>
        </is>
      </c>
      <c r="S26" s="73" t="n">
        <v>-7372</v>
      </c>
      <c r="T26" s="73" t="n">
        <v>-3857</v>
      </c>
      <c r="U26" s="73" t="n">
        <v>-5094</v>
      </c>
      <c r="V26" s="73" t="n">
        <v>-4529</v>
      </c>
      <c r="W26" s="73" t="n">
        <v>-11387</v>
      </c>
      <c r="X26" s="73" t="n">
        <v>-19589</v>
      </c>
      <c r="Y26" s="73" t="n">
        <v>-9410</v>
      </c>
      <c r="Z26" s="73" t="n">
        <v>-14748</v>
      </c>
      <c r="AA26" s="73" t="n">
        <v>-10730</v>
      </c>
      <c r="AB26" s="73" t="n">
        <v>-14467</v>
      </c>
      <c r="AC26" t="n">
        <v>-17012</v>
      </c>
      <c r="AD26" s="73" t="n">
        <v>18560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-6721</v>
      </c>
      <c r="T27" s="73" t="n">
        <v>-5166</v>
      </c>
      <c r="U27" s="73" t="n">
        <v>-4435</v>
      </c>
      <c r="V27" s="73" t="n">
        <v>-4736</v>
      </c>
      <c r="W27" s="73" t="n">
        <v>-10206</v>
      </c>
      <c r="X27" s="73" t="n">
        <v>-12810</v>
      </c>
      <c r="Y27" s="73" t="n">
        <v>-10966</v>
      </c>
      <c r="Z27" s="73" t="n">
        <v>-10091</v>
      </c>
      <c r="AA27" s="73" t="n">
        <v>-14784</v>
      </c>
      <c r="AB27" s="73" t="n">
        <v>-15801</v>
      </c>
      <c r="AC27" s="73" t="n">
        <v>-12694</v>
      </c>
      <c r="AD27" s="73" t="n">
        <v>-14654</v>
      </c>
    </row>
    <row r="28">
      <c r="B28" t="inlineStr">
        <is>
          <t>Vehicles</t>
        </is>
      </c>
      <c r="C28" t="n">
        <v>201</v>
      </c>
      <c r="D28" t="n">
        <v>125</v>
      </c>
      <c r="E28" t="n">
        <v>131</v>
      </c>
      <c r="F28" t="n">
        <v>144</v>
      </c>
      <c r="G28" t="n">
        <v>157</v>
      </c>
      <c r="H28" t="n">
        <v>165</v>
      </c>
      <c r="I28" t="n">
        <v>170</v>
      </c>
      <c r="J28" t="n">
        <v>207</v>
      </c>
      <c r="K28" t="n">
        <v>214</v>
      </c>
      <c r="L28" t="n">
        <v>237</v>
      </c>
      <c r="M28" t="n">
        <v>276</v>
      </c>
      <c r="N28" t="n">
        <v>275</v>
      </c>
      <c r="O28" s="73" t="n"/>
      <c r="R28" t="inlineStr">
        <is>
          <t>Fixed assets sold</t>
        </is>
      </c>
      <c r="S28" s="73" t="n">
        <v>207</v>
      </c>
      <c r="T28" s="73" t="n">
        <v>4</v>
      </c>
      <c r="U28" s="73" t="n">
        <v>45</v>
      </c>
      <c r="V28" s="73" t="n">
        <v>60</v>
      </c>
      <c r="W28" s="73" t="n">
        <v>44</v>
      </c>
      <c r="X28" s="73" t="n">
        <v>43</v>
      </c>
      <c r="Y28" s="73" t="n">
        <v>51</v>
      </c>
      <c r="Z28" s="73" t="n">
        <v>43</v>
      </c>
      <c r="AA28" s="73" t="n">
        <v>35</v>
      </c>
      <c r="AB28" t="n">
        <v>254</v>
      </c>
      <c r="AC28" s="73" t="n">
        <v>59</v>
      </c>
      <c r="AD28" s="73" t="n">
        <v>112</v>
      </c>
    </row>
    <row r="29">
      <c r="B29" t="inlineStr">
        <is>
          <t>Intangible Assets</t>
        </is>
      </c>
      <c r="C29" t="n">
        <v>1634</v>
      </c>
      <c r="D29" t="n">
        <v>1706</v>
      </c>
      <c r="E29" t="n">
        <v>1670</v>
      </c>
      <c r="F29" t="n">
        <v>1678</v>
      </c>
      <c r="G29" t="n">
        <v>1872</v>
      </c>
      <c r="H29" t="n">
        <v>2054</v>
      </c>
      <c r="I29" s="73" t="n">
        <v>2001</v>
      </c>
      <c r="J29" s="73" t="n">
        <v>2062</v>
      </c>
      <c r="K29" s="73" t="n">
        <v>644</v>
      </c>
      <c r="L29" s="73" t="n">
        <v>1161</v>
      </c>
      <c r="M29" s="73" t="n">
        <v>1210</v>
      </c>
      <c r="N29" s="73" t="n">
        <v>1287</v>
      </c>
      <c r="R29" t="inlineStr">
        <is>
          <t>Investments purchased</t>
        </is>
      </c>
      <c r="S29" s="73" t="n">
        <v>0</v>
      </c>
      <c r="T29" s="73" t="n">
        <v>0</v>
      </c>
      <c r="U29" s="73" t="n">
        <v>-2784</v>
      </c>
      <c r="V29" s="73" t="n">
        <v>-8111</v>
      </c>
      <c r="W29" s="73" t="n">
        <v>-8340</v>
      </c>
      <c r="X29" s="73" t="n">
        <v>-762</v>
      </c>
      <c r="Y29" s="73" t="n">
        <v>-606</v>
      </c>
      <c r="Z29" s="73" t="n">
        <v>-4440</v>
      </c>
      <c r="AA29" s="73" t="n">
        <v>0</v>
      </c>
      <c r="AB29" s="73" t="n">
        <v>-3584</v>
      </c>
      <c r="AC29" s="73" t="n">
        <v>-12127</v>
      </c>
      <c r="AD29" s="73" t="n">
        <v>-937</v>
      </c>
    </row>
    <row r="30">
      <c r="B30" t="inlineStr">
        <is>
          <t>Other fixed assets</t>
        </is>
      </c>
      <c r="C30" t="n">
        <v>1028</v>
      </c>
      <c r="D30" t="n">
        <v>988</v>
      </c>
      <c r="E30" t="n">
        <v>975</v>
      </c>
      <c r="F30" t="n">
        <v>1071</v>
      </c>
      <c r="G30" t="n">
        <v>1289</v>
      </c>
      <c r="H30" t="n">
        <v>1828</v>
      </c>
      <c r="I30" t="n">
        <v>3325</v>
      </c>
      <c r="J30" t="n">
        <v>3717</v>
      </c>
      <c r="K30" t="n">
        <v>2636</v>
      </c>
      <c r="L30" t="n">
        <v>3105</v>
      </c>
      <c r="M30" t="n">
        <v>3252</v>
      </c>
      <c r="N30" s="73" t="n">
        <v>4019</v>
      </c>
      <c r="O30" s="73" t="n"/>
      <c r="R30" t="inlineStr">
        <is>
          <t>Investments sold</t>
        </is>
      </c>
      <c r="S30" s="73" t="n">
        <v>70</v>
      </c>
      <c r="T30" s="73" t="n">
        <v>0</v>
      </c>
      <c r="U30" s="73" t="n">
        <v>2490</v>
      </c>
      <c r="V30" s="73" t="n">
        <v>8120</v>
      </c>
      <c r="W30" s="73" t="n">
        <v>8591</v>
      </c>
      <c r="X30" s="73" t="n">
        <v>847</v>
      </c>
      <c r="Y30" s="73" t="n">
        <v>612</v>
      </c>
      <c r="Z30" s="73" t="n">
        <v>4153</v>
      </c>
      <c r="AA30" s="73" t="n">
        <v>5</v>
      </c>
      <c r="AB30" s="73" t="n">
        <v>3635</v>
      </c>
      <c r="AC30" s="73" t="n">
        <v>6274</v>
      </c>
      <c r="AD30" s="73" t="n">
        <v>6580</v>
      </c>
    </row>
    <row r="31">
      <c r="B31" t="inlineStr">
        <is>
          <t>Gross Block</t>
        </is>
      </c>
      <c r="C31" s="73" t="n">
        <v>70189</v>
      </c>
      <c r="D31" s="73" t="n">
        <v>61325</v>
      </c>
      <c r="E31" s="73" t="n">
        <v>67149</v>
      </c>
      <c r="F31" s="73" t="n">
        <v>69752</v>
      </c>
      <c r="G31" s="73" t="n">
        <v>78489</v>
      </c>
      <c r="H31" s="73" t="n">
        <v>82131</v>
      </c>
      <c r="I31" s="73" t="n">
        <v>88862</v>
      </c>
      <c r="J31" s="73" t="n">
        <v>130004</v>
      </c>
      <c r="K31" s="73" t="n">
        <v>139236</v>
      </c>
      <c r="L31" s="73" t="n">
        <v>154086</v>
      </c>
      <c r="M31" s="73" t="n">
        <v>174460</v>
      </c>
      <c r="N31" s="73" t="n">
        <v>169075</v>
      </c>
      <c r="O31" s="73" t="n"/>
      <c r="R31" t="inlineStr">
        <is>
          <t>Interest received</t>
        </is>
      </c>
      <c r="S31" t="n">
        <v>26</v>
      </c>
      <c r="T31" t="n">
        <v>41</v>
      </c>
      <c r="U31" s="73" t="n">
        <v>98</v>
      </c>
      <c r="V31" s="73" t="n">
        <v>121</v>
      </c>
      <c r="W31" s="73" t="n">
        <v>158</v>
      </c>
      <c r="X31" s="73" t="n">
        <v>503</v>
      </c>
      <c r="Y31" s="73" t="n">
        <v>619</v>
      </c>
      <c r="Z31" s="73" t="n">
        <v>591</v>
      </c>
      <c r="AA31" s="73" t="n">
        <v>600</v>
      </c>
      <c r="AB31" s="73" t="n">
        <v>899</v>
      </c>
      <c r="AC31" s="73" t="n">
        <v>660</v>
      </c>
      <c r="AD31" s="73" t="n">
        <v>672</v>
      </c>
    </row>
    <row r="32">
      <c r="B32" s="73" t="inlineStr">
        <is>
          <t>Accumulated Depreciation</t>
        </is>
      </c>
      <c r="C32" s="73" t="n">
        <v>18013</v>
      </c>
      <c r="D32" s="73" t="n">
        <v>5186</v>
      </c>
      <c r="E32" s="73" t="n">
        <v>8419</v>
      </c>
      <c r="F32" s="73" t="n">
        <v>11904</v>
      </c>
      <c r="G32" s="73" t="n">
        <v>15845</v>
      </c>
      <c r="H32" s="73" t="n">
        <v>20046</v>
      </c>
      <c r="I32" s="73" t="n">
        <v>23945</v>
      </c>
      <c r="J32" s="73" t="n">
        <v>30124</v>
      </c>
      <c r="K32" s="73" t="n">
        <v>34784</v>
      </c>
      <c r="L32" s="73" t="n">
        <v>41625</v>
      </c>
      <c r="M32" s="73" t="n">
        <v>49994</v>
      </c>
      <c r="N32" s="73" t="n">
        <v>51946</v>
      </c>
      <c r="O32" s="73" t="n"/>
      <c r="R32" t="inlineStr">
        <is>
          <t>Dividends received</t>
        </is>
      </c>
      <c r="S32" t="n">
        <v>21</v>
      </c>
      <c r="T32" t="n">
        <v>20</v>
      </c>
      <c r="U32" s="73" t="n">
        <v>20</v>
      </c>
      <c r="V32" t="n">
        <v>5</v>
      </c>
      <c r="W32" t="n">
        <v>0</v>
      </c>
      <c r="X32" t="n">
        <v>10</v>
      </c>
      <c r="Y32" s="73" t="n">
        <v>11</v>
      </c>
      <c r="Z32" s="73" t="n">
        <v>25</v>
      </c>
      <c r="AA32" s="73" t="n">
        <v>21</v>
      </c>
      <c r="AB32" s="73" t="n">
        <v>21</v>
      </c>
      <c r="AC32" s="73" t="n">
        <v>24</v>
      </c>
      <c r="AD32" s="73" t="n">
        <v>24</v>
      </c>
    </row>
    <row r="33">
      <c r="B33" t="inlineStr">
        <is>
          <t>Net Block</t>
        </is>
      </c>
      <c r="C33" s="73" t="n">
        <v>52176</v>
      </c>
      <c r="D33" s="73" t="n">
        <v>56140</v>
      </c>
      <c r="E33" s="73" t="n">
        <v>58730</v>
      </c>
      <c r="F33" s="73" t="n">
        <v>57848</v>
      </c>
      <c r="G33" s="73" t="n">
        <v>62644</v>
      </c>
      <c r="H33" s="73" t="n">
        <v>62085</v>
      </c>
      <c r="I33" s="73" t="n">
        <v>64917</v>
      </c>
      <c r="J33" s="73" t="n">
        <v>99880</v>
      </c>
      <c r="K33" s="73" t="n">
        <v>104452</v>
      </c>
      <c r="L33" s="73" t="n">
        <v>112461</v>
      </c>
      <c r="M33" s="73" t="n">
        <v>124466</v>
      </c>
      <c r="N33" s="73" t="n">
        <v>117129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-936</v>
      </c>
      <c r="T34" s="73" t="n">
        <v>1252</v>
      </c>
      <c r="U34" s="73" t="n">
        <v>-381</v>
      </c>
      <c r="V34" s="73" t="n">
        <v>373</v>
      </c>
      <c r="W34" s="73" t="n">
        <v>-207</v>
      </c>
      <c r="X34" s="73" t="n">
        <v>-7520</v>
      </c>
      <c r="Y34" s="73" t="n">
        <v>7824</v>
      </c>
      <c r="Z34" s="73" t="n">
        <v>-4496</v>
      </c>
      <c r="AA34" s="73" t="n">
        <v>3637</v>
      </c>
      <c r="AB34" s="73" t="n">
        <v>1135</v>
      </c>
      <c r="AC34" s="73" t="n">
        <v>2672</v>
      </c>
      <c r="AD34" s="73" t="n">
        <v>29278</v>
      </c>
    </row>
    <row r="35">
      <c r="B35" t="inlineStr">
        <is>
          <t>CWIP</t>
        </is>
      </c>
      <c r="C35" s="73" t="n">
        <v>8265</v>
      </c>
      <c r="D35" s="73" t="n">
        <v>7271</v>
      </c>
      <c r="E35" s="73" t="n">
        <v>4363</v>
      </c>
      <c r="F35" s="73" t="n">
        <v>5950</v>
      </c>
      <c r="G35" s="73" t="n">
        <v>11889</v>
      </c>
      <c r="H35" s="73" t="n">
        <v>27191</v>
      </c>
      <c r="I35" s="73" t="n">
        <v>32566</v>
      </c>
      <c r="J35" s="73" t="n">
        <v>16905</v>
      </c>
      <c r="K35" s="73" t="n">
        <v>22166</v>
      </c>
      <c r="L35" s="73" t="n">
        <v>29676</v>
      </c>
      <c r="M35" s="73" t="n">
        <v>21007</v>
      </c>
      <c r="N35" s="73" t="n">
        <v>22315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599</v>
      </c>
      <c r="D36" s="73" t="n">
        <v>1195</v>
      </c>
      <c r="E36" s="73" t="n">
        <v>1366</v>
      </c>
      <c r="F36" s="73" t="n">
        <v>1469</v>
      </c>
      <c r="G36" s="73" t="n">
        <v>1894</v>
      </c>
      <c r="H36" s="73" t="n">
        <v>1259</v>
      </c>
      <c r="I36" s="73" t="n">
        <v>7427</v>
      </c>
      <c r="J36" s="73" t="n">
        <v>4940</v>
      </c>
      <c r="K36" s="73" t="n">
        <v>4806</v>
      </c>
      <c r="L36" s="73" t="n">
        <v>7246</v>
      </c>
      <c r="M36" s="73" t="n">
        <v>15217</v>
      </c>
      <c r="N36" s="73" t="n">
        <v>10218</v>
      </c>
      <c r="O36" s="73" t="n"/>
      <c r="R36" t="inlineStr">
        <is>
          <t>Other investing items</t>
        </is>
      </c>
      <c r="S36" s="73" t="n">
        <v>-169</v>
      </c>
      <c r="T36" s="73" t="n">
        <v>-3151</v>
      </c>
      <c r="U36" s="73" t="n">
        <v>-2710</v>
      </c>
      <c r="V36" s="73" t="n">
        <v>-8185</v>
      </c>
      <c r="W36" s="73" t="n">
        <v>1753</v>
      </c>
      <c r="X36" s="73" t="n">
        <v>5189</v>
      </c>
      <c r="Y36" s="73" t="n">
        <v>-1444</v>
      </c>
      <c r="Z36" s="73" t="n">
        <v>-14657</v>
      </c>
      <c r="AA36" t="n">
        <v>-5977</v>
      </c>
      <c r="AB36" s="73" t="n">
        <v>-5005</v>
      </c>
      <c r="AC36" t="n">
        <v>-262</v>
      </c>
      <c r="AD36" s="73" t="n">
        <v>-16111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0</v>
      </c>
      <c r="T37" s="73" t="n">
        <v>0</v>
      </c>
      <c r="U37" s="73" t="n">
        <v>57</v>
      </c>
      <c r="V37" s="73" t="n">
        <v>49</v>
      </c>
      <c r="W37" s="73" t="n">
        <v>0</v>
      </c>
      <c r="X37" s="73" t="n">
        <v>107</v>
      </c>
      <c r="Y37" s="73" t="n">
        <v>39</v>
      </c>
      <c r="Z37" s="73" t="n">
        <v>72</v>
      </c>
      <c r="AA37" s="73" t="n">
        <v>59</v>
      </c>
      <c r="AB37" s="73" t="n">
        <v>6</v>
      </c>
      <c r="AC37" s="73" t="n">
        <v>0</v>
      </c>
      <c r="AD37" s="73" t="n">
        <v>0</v>
      </c>
    </row>
    <row r="38">
      <c r="B38" t="inlineStr">
        <is>
          <t>Other Assets -</t>
        </is>
      </c>
      <c r="C38" s="73" t="n">
        <v>24613</v>
      </c>
      <c r="D38" s="73" t="n">
        <v>17302</v>
      </c>
      <c r="E38" s="73" t="n">
        <v>23546</v>
      </c>
      <c r="F38" s="73" t="n">
        <v>26703</v>
      </c>
      <c r="G38" s="73" t="n">
        <v>38370</v>
      </c>
      <c r="H38" s="73" t="n">
        <v>41285</v>
      </c>
      <c r="I38" s="73" t="n">
        <v>42253</v>
      </c>
      <c r="J38" s="73" t="n">
        <v>74760</v>
      </c>
      <c r="K38" s="73" t="n">
        <v>79115</v>
      </c>
      <c r="L38" s="73" t="n">
        <v>78515</v>
      </c>
      <c r="M38" s="73" t="n">
        <v>79755</v>
      </c>
      <c r="N38" s="73" t="n">
        <v>119996</v>
      </c>
      <c r="O38" s="73" t="n"/>
      <c r="R38" t="inlineStr">
        <is>
          <t>Proceeds from shares</t>
        </is>
      </c>
      <c r="S38" t="n">
        <v>10216</v>
      </c>
      <c r="T38" t="n">
        <v>1197</v>
      </c>
      <c r="U38" s="73" t="n">
        <v>7101</v>
      </c>
      <c r="V38" t="n">
        <v>6209</v>
      </c>
      <c r="W38" t="n">
        <v>13154</v>
      </c>
      <c r="X38" t="n">
        <v>22754</v>
      </c>
      <c r="Y38" t="n">
        <v>15897</v>
      </c>
      <c r="Z38" t="n">
        <v>17043</v>
      </c>
      <c r="AA38" s="73" t="n">
        <v>19742</v>
      </c>
      <c r="AB38" s="73" t="n">
        <v>20858</v>
      </c>
      <c r="AC38" t="n">
        <v>29529</v>
      </c>
      <c r="AD38" t="n">
        <v>16049</v>
      </c>
    </row>
    <row r="39">
      <c r="B39" t="inlineStr">
        <is>
          <t>Inventories</t>
        </is>
      </c>
      <c r="C39" s="73" t="n">
        <v>11009</v>
      </c>
      <c r="D39" s="73" t="n">
        <v>8321</v>
      </c>
      <c r="E39" s="73" t="n">
        <v>11395</v>
      </c>
      <c r="F39" s="73" t="n">
        <v>12594</v>
      </c>
      <c r="G39" s="73" t="n">
        <v>14548</v>
      </c>
      <c r="H39" s="73" t="n">
        <v>13773</v>
      </c>
      <c r="I39" s="73" t="n">
        <v>14249</v>
      </c>
      <c r="J39" s="73" t="n">
        <v>33787</v>
      </c>
      <c r="K39" s="73" t="n">
        <v>33135</v>
      </c>
      <c r="L39" s="73" t="n">
        <v>37815</v>
      </c>
      <c r="M39" s="73" t="n">
        <v>34956</v>
      </c>
      <c r="N39" s="73" t="n">
        <v>32765</v>
      </c>
      <c r="O39" s="73" t="n"/>
      <c r="R39" t="inlineStr">
        <is>
          <t>Proceeds from borrowings</t>
        </is>
      </c>
      <c r="S39" t="n">
        <v>-7479</v>
      </c>
      <c r="T39" t="n">
        <v>0</v>
      </c>
      <c r="U39" t="n">
        <v>-5890</v>
      </c>
      <c r="V39" t="n">
        <v>-10001</v>
      </c>
      <c r="W39" t="n">
        <v>-6273</v>
      </c>
      <c r="X39" t="n">
        <v>-11107</v>
      </c>
      <c r="Y39" t="n">
        <v>-12222</v>
      </c>
      <c r="Z39" t="n">
        <v>-24091</v>
      </c>
      <c r="AA39" t="n">
        <v>-14158</v>
      </c>
      <c r="AB39" t="n">
        <v>-16328</v>
      </c>
      <c r="AC39" t="n">
        <v>-18758</v>
      </c>
      <c r="AD39" s="73" t="n">
        <v>-21695</v>
      </c>
    </row>
    <row r="40">
      <c r="B40" t="inlineStr">
        <is>
          <t>Trade receivables +</t>
        </is>
      </c>
      <c r="C40" s="73" t="n">
        <v>2500</v>
      </c>
      <c r="D40" s="73" t="n">
        <v>2727</v>
      </c>
      <c r="E40" s="73" t="n">
        <v>4149</v>
      </c>
      <c r="F40" s="73" t="n">
        <v>4704</v>
      </c>
      <c r="G40" s="73" t="n">
        <v>7160</v>
      </c>
      <c r="H40" s="73" t="n">
        <v>4505</v>
      </c>
      <c r="I40" s="73" t="n">
        <v>4486</v>
      </c>
      <c r="J40" s="73" t="n">
        <v>7457</v>
      </c>
      <c r="K40" s="73" t="n">
        <v>7134</v>
      </c>
      <c r="L40" s="73" t="n">
        <v>7548</v>
      </c>
      <c r="M40" s="73" t="n">
        <v>8415</v>
      </c>
      <c r="N40" s="73" t="n">
        <v>11260</v>
      </c>
      <c r="O40" s="73" t="n"/>
      <c r="R40" t="inlineStr">
        <is>
          <t>Repayment of borrowings</t>
        </is>
      </c>
      <c r="S40" t="n">
        <v>-2563</v>
      </c>
      <c r="T40" t="n">
        <v>-3125</v>
      </c>
      <c r="U40" t="n">
        <v>-3569</v>
      </c>
      <c r="V40" s="73" t="n">
        <v>-3511</v>
      </c>
      <c r="W40" t="n">
        <v>-3815</v>
      </c>
      <c r="X40" t="n">
        <v>-4520</v>
      </c>
      <c r="Y40" s="73" t="n">
        <v>-4340</v>
      </c>
      <c r="Z40" t="n">
        <v>-5102</v>
      </c>
      <c r="AA40" s="73" t="n">
        <v>-6902</v>
      </c>
      <c r="AB40" s="73" t="n">
        <v>-8087</v>
      </c>
      <c r="AC40" s="73" t="n">
        <v>-8835</v>
      </c>
      <c r="AD40" s="73" t="n">
        <v>-8922</v>
      </c>
    </row>
    <row r="41">
      <c r="B41" t="inlineStr">
        <is>
          <t>Cash Equivalents</t>
        </is>
      </c>
      <c r="C41" s="73" t="n">
        <v>1913</v>
      </c>
      <c r="D41" s="73" t="n">
        <v>1020</v>
      </c>
      <c r="E41" s="73" t="n">
        <v>1485</v>
      </c>
      <c r="F41" s="73" t="n">
        <v>1063</v>
      </c>
      <c r="G41" s="73" t="n">
        <v>6187</v>
      </c>
      <c r="H41" s="73" t="n">
        <v>12003</v>
      </c>
      <c r="I41" s="73" t="n">
        <v>12813</v>
      </c>
      <c r="J41" s="73" t="n">
        <v>17383</v>
      </c>
      <c r="K41" s="73" t="n">
        <v>20714</v>
      </c>
      <c r="L41" s="73" t="n">
        <v>12348</v>
      </c>
      <c r="M41" s="73" t="n">
        <v>13285</v>
      </c>
      <c r="N41" s="73" t="n">
        <v>40989</v>
      </c>
      <c r="O41" s="73" t="n"/>
      <c r="R41" t="inlineStr">
        <is>
          <t>Interest paid fin</t>
        </is>
      </c>
      <c r="S41" s="73" t="n">
        <v>-344</v>
      </c>
      <c r="T41" s="73" t="n">
        <v>-320</v>
      </c>
      <c r="U41" s="73" t="n">
        <v>-218</v>
      </c>
      <c r="V41" s="73" t="n">
        <v>-655</v>
      </c>
      <c r="W41" s="73" t="n">
        <v>-933</v>
      </c>
      <c r="X41" s="73" t="n">
        <v>-1195</v>
      </c>
      <c r="Y41" s="73" t="n">
        <v>-483</v>
      </c>
      <c r="Z41" s="73" t="n">
        <v>-1571</v>
      </c>
      <c r="AA41" s="73" t="n">
        <v>-4194</v>
      </c>
      <c r="AB41" s="73" t="n">
        <v>-822</v>
      </c>
      <c r="AC41" s="73" t="n">
        <v>-1785</v>
      </c>
      <c r="AD41" s="73" t="n">
        <v>-685</v>
      </c>
    </row>
    <row r="42">
      <c r="B42" t="inlineStr">
        <is>
          <t>Loans n Advances</t>
        </is>
      </c>
      <c r="C42" s="73" t="n">
        <v>1371</v>
      </c>
      <c r="D42" s="73" t="n">
        <v>666</v>
      </c>
      <c r="E42" s="73" t="n">
        <v>995</v>
      </c>
      <c r="F42" s="73" t="n">
        <v>1212</v>
      </c>
      <c r="G42" s="73" t="n">
        <v>1276</v>
      </c>
      <c r="H42" s="73" t="n">
        <v>1562</v>
      </c>
      <c r="I42" s="73" t="n">
        <v>1267</v>
      </c>
      <c r="J42" s="73" t="n">
        <v>2227</v>
      </c>
      <c r="K42" s="73" t="n">
        <v>3179</v>
      </c>
      <c r="L42" s="73" t="n">
        <v>1878</v>
      </c>
      <c r="M42" s="73" t="n">
        <v>2030</v>
      </c>
      <c r="N42" s="73" t="n">
        <v>2711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7820</v>
      </c>
      <c r="D43" s="73" t="n">
        <v>4567</v>
      </c>
      <c r="E43" s="73" t="n">
        <v>5522</v>
      </c>
      <c r="F43" s="73" t="n">
        <v>7130</v>
      </c>
      <c r="G43" s="73" t="n">
        <v>9199</v>
      </c>
      <c r="H43" s="73" t="n">
        <v>9442</v>
      </c>
      <c r="I43" s="73" t="n">
        <v>9438</v>
      </c>
      <c r="J43" s="73" t="n">
        <v>13906</v>
      </c>
      <c r="K43" s="73" t="n">
        <v>14953</v>
      </c>
      <c r="L43" s="73" t="n">
        <v>18926</v>
      </c>
      <c r="M43" s="73" t="n">
        <v>21069</v>
      </c>
      <c r="N43" s="73" t="n">
        <v>32271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85654</v>
      </c>
      <c r="D44" s="73" t="n">
        <v>81907</v>
      </c>
      <c r="E44" s="73" t="n">
        <v>88005</v>
      </c>
      <c r="F44" s="73" t="n">
        <v>91970</v>
      </c>
      <c r="G44" s="73" t="n">
        <v>114797</v>
      </c>
      <c r="H44" s="73" t="n">
        <v>131820</v>
      </c>
      <c r="I44" s="73" t="n">
        <v>147163</v>
      </c>
      <c r="J44" s="73" t="n">
        <v>196485</v>
      </c>
      <c r="K44" s="73" t="n">
        <v>210539</v>
      </c>
      <c r="L44" s="73" t="n">
        <v>227898</v>
      </c>
      <c r="M44" s="73" t="n">
        <v>240445</v>
      </c>
      <c r="N44" s="73" t="n">
        <v>269658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334</v>
      </c>
      <c r="T45" t="n">
        <v>-111</v>
      </c>
      <c r="U45" t="n">
        <v>84</v>
      </c>
      <c r="V45" t="n">
        <v>-335</v>
      </c>
      <c r="W45" t="n">
        <v>4999</v>
      </c>
      <c r="X45" t="n">
        <v>-1615</v>
      </c>
      <c r="Y45" t="n">
        <v>7977</v>
      </c>
      <c r="Z45" t="n">
        <v>-3135</v>
      </c>
      <c r="AA45" t="n">
        <v>6616</v>
      </c>
      <c r="AB45" t="n">
        <v>-7394</v>
      </c>
      <c r="AC45" t="n">
        <v>3625</v>
      </c>
      <c r="AD45" t="n">
        <v>27601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s="195">
        <f>'Data Sheet'!B1</f>
        <v/>
      </c>
      <c r="M56">
        <f>'Data Sheet'!B8</f>
        <v/>
      </c>
      <c r="N56" s="195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 s="195">
        <f>'Data Sheet'!K33</f>
        <v/>
      </c>
      <c r="AW56">
        <f>'Data Sheet'!K30</f>
        <v/>
      </c>
      <c r="AX56" t="n">
        <v>30.12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Tata Steel</t>
        </is>
      </c>
      <c r="M57" t="n">
        <v>183.4</v>
      </c>
      <c r="N57" t="n">
        <v>1248.35</v>
      </c>
      <c r="AR57" t="n">
        <v>228947.89</v>
      </c>
      <c r="AS57">
        <f>AZ57-BA57</f>
        <v/>
      </c>
      <c r="AT57">
        <f>AR57+AS57</f>
        <v/>
      </c>
      <c r="AU57" t="n">
        <v>243177.16</v>
      </c>
      <c r="AV57" t="n">
        <v>36476.57</v>
      </c>
      <c r="AW57" t="n">
        <v>9540.959999999999</v>
      </c>
      <c r="AX57" t="n">
        <v>12.52</v>
      </c>
      <c r="AZ57" t="n">
        <v>57236.97</v>
      </c>
      <c r="BA57" t="n">
        <v>11447.39</v>
      </c>
    </row>
    <row r="58">
      <c r="K58" t="n">
        <v>2</v>
      </c>
      <c r="L58" t="inlineStr">
        <is>
          <t>Jindal Steel</t>
        </is>
      </c>
      <c r="M58" t="n">
        <v>1130.6</v>
      </c>
      <c r="N58" t="n">
        <v>102.01</v>
      </c>
      <c r="AR58" t="n">
        <v>115331.16</v>
      </c>
      <c r="AS58">
        <f>AZ58-BA58</f>
        <v/>
      </c>
      <c r="AT58">
        <f>AR58+AS58</f>
        <v/>
      </c>
      <c r="AU58" t="n">
        <v>61928.52</v>
      </c>
      <c r="AV58" t="n">
        <v>9289.280000000001</v>
      </c>
      <c r="AW58" t="n">
        <v>3375.2</v>
      </c>
      <c r="AX58" t="n">
        <v>9.699999999999999</v>
      </c>
      <c r="AZ58" t="n">
        <v>28832.79</v>
      </c>
      <c r="BA58" t="n">
        <v>5766.56</v>
      </c>
    </row>
    <row r="59">
      <c r="K59" t="n">
        <v>3</v>
      </c>
      <c r="L59" t="inlineStr">
        <is>
          <t>S A I L</t>
        </is>
      </c>
      <c r="M59" t="n">
        <v>177.3</v>
      </c>
      <c r="N59" t="n">
        <v>413.05</v>
      </c>
      <c r="AR59" t="n">
        <v>73234.21000000001</v>
      </c>
      <c r="AS59">
        <f>AZ59-BA59</f>
        <v/>
      </c>
      <c r="AT59">
        <f>AR59+AS59</f>
        <v/>
      </c>
      <c r="AU59" t="n">
        <v>104982.68</v>
      </c>
      <c r="AV59" t="n">
        <v>15747.4</v>
      </c>
      <c r="AW59" t="n">
        <v>6576.2</v>
      </c>
      <c r="AX59" t="n">
        <v>7.92</v>
      </c>
      <c r="AZ59" t="n">
        <v>18308.55</v>
      </c>
      <c r="BA59" t="n">
        <v>3661.71</v>
      </c>
    </row>
    <row r="60">
      <c r="K60" t="n">
        <v>4</v>
      </c>
      <c r="L60" t="inlineStr">
        <is>
          <t>Jindal Stain.</t>
        </is>
      </c>
      <c r="M60" t="n">
        <v>751.45</v>
      </c>
      <c r="N60" t="n">
        <v>82.44</v>
      </c>
      <c r="AR60" t="n">
        <v>61951.01</v>
      </c>
      <c r="AS60">
        <f>AZ60-BA60</f>
        <v/>
      </c>
      <c r="AT60">
        <f>AR60+AS60</f>
        <v/>
      </c>
      <c r="AU60" t="n">
        <v>45114.16</v>
      </c>
      <c r="AV60" t="n">
        <v>6767.12</v>
      </c>
      <c r="AW60" t="n">
        <v>3074.64</v>
      </c>
      <c r="AX60" t="n">
        <v>19.28</v>
      </c>
      <c r="AZ60" t="n">
        <v>15487.75</v>
      </c>
      <c r="BA60" t="n">
        <v>3097.55</v>
      </c>
    </row>
    <row r="61">
      <c r="K61" t="n">
        <v>5</v>
      </c>
      <c r="L61" t="inlineStr">
        <is>
          <t>Sarda Energy</t>
        </is>
      </c>
      <c r="M61" t="n">
        <v>503.25</v>
      </c>
      <c r="N61" t="n">
        <v>35.24</v>
      </c>
      <c r="AR61" t="n">
        <v>17733.59</v>
      </c>
      <c r="AS61">
        <f>AZ61-BA61</f>
        <v/>
      </c>
      <c r="AT61">
        <f>AR61+AS61</f>
        <v/>
      </c>
      <c r="AU61" t="n">
        <v>6432.16</v>
      </c>
      <c r="AV61" t="n">
        <v>964.8200000000001</v>
      </c>
      <c r="AW61" t="n">
        <v>1912.52</v>
      </c>
      <c r="AX61" t="n">
        <v>16.87</v>
      </c>
      <c r="AZ61" t="n">
        <v>4433.4</v>
      </c>
      <c r="BA61" t="n">
        <v>886.6799999999999</v>
      </c>
    </row>
    <row r="62">
      <c r="K62" t="n">
        <v>6</v>
      </c>
      <c r="L62" t="inlineStr">
        <is>
          <t>NMDC Steel</t>
        </is>
      </c>
      <c r="M62" t="n">
        <v>42.44</v>
      </c>
      <c r="N62" t="n">
        <v>293.06</v>
      </c>
      <c r="AR62" t="n">
        <v>12437.49</v>
      </c>
      <c r="AS62">
        <f>AZ62-BA62</f>
        <v/>
      </c>
      <c r="AT62">
        <f>AR62+AS62</f>
        <v/>
      </c>
      <c r="AU62" t="n">
        <v>14647.36</v>
      </c>
      <c r="AV62" t="n">
        <v>2197.1</v>
      </c>
      <c r="AW62" t="n">
        <v>202.04</v>
      </c>
      <c r="AX62" t="n">
        <v>3.06</v>
      </c>
      <c r="AZ62" t="n">
        <v>3109.37</v>
      </c>
      <c r="BA62" t="n">
        <v>621.87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ITC LTD</t>
        </is>
      </c>
      <c r="C448" s="97" t="n">
        <v>540376</v>
      </c>
      <c r="D448" s="96" t="inlineStr">
        <is>
          <t>ITC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ITC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2026-09-22T05:32:10Z</dcterms:modified>
  <cp:lastModifiedBy>Loveish</cp:lastModifiedBy>
  <cp:lastPrinted>2012-12-06T18:14:13Z</cp:lastPrinted>
</cp:coreProperties>
</file>