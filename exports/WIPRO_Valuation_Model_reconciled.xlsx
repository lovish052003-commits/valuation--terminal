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0" activeTab="17"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2">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s>
  <fonts count="19">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s>
  <fills count="14">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88">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74" fontId="0" fillId="0" borderId="0" pivotButton="0" quotePrefix="0" xfId="0"/>
    <xf numFmtId="175" fontId="0" fillId="0" borderId="0" pivotButton="0" quotePrefix="0" xfId="0"/>
    <xf numFmtId="4" fontId="0" fillId="0" borderId="0" pivotButton="0" quotePrefix="0" xfId="0"/>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Analysis'!$F$66:$I$66</f>
              <numCache>
                <formatCode>"₹"\ #,##0.00;\("₹"\ #,##0.0\);\-</formatCode>
                <ptCount val="4"/>
                <pt idx="0">
                  <v>19191.66</v>
                </pt>
                <pt idx="1">
                  <v>20458.78</v>
                </pt>
                <pt idx="2">
                  <v>34746.63</v>
                </pt>
                <pt idx="3">
                  <v>20689.47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Analysis'!$F$71:$I$71</f>
              <numCache>
                <formatCode>"₹"\ #,##0.00;\("₹"\ #,##0.0\);\-</formatCode>
                <ptCount val="4"/>
                <pt idx="0">
                  <v>81513.49000000001</v>
                </pt>
                <pt idx="1">
                  <v>88792.465</v>
                </pt>
                <pt idx="2">
                  <v>89878.33499999999</v>
                </pt>
                <pt idx="3">
                  <v>90819.95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45016</v>
                </pt>
                <pt idx="1">
                  <v>45382</v>
                </pt>
                <pt idx="2">
                  <v>45747</v>
                </pt>
                <pt idx="3">
                  <v>46112</v>
                </pt>
              </numCache>
            </numRef>
          </cat>
          <val>
            <numRef>
              <f>'Dupont Analysis'!$F$78:$I$78</f>
              <numCache>
                <formatCode>0.00%</formatCode>
                <ptCount val="4"/>
                <pt idx="0">
                  <v>0.2916425646734391</v>
                </pt>
                <pt idx="1">
                  <v>0.2848177384930461</v>
                </pt>
                <pt idx="2">
                  <v>0.4807989370199544</v>
                </pt>
                <pt idx="3">
                  <v>0.2903024365192702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Analysis'!$F$84:$I$84</f>
              <numCache>
                <formatCode>0.00%</formatCode>
                <ptCount val="4"/>
                <pt idx="0">
                  <v>0.235441520170465</v>
                </pt>
                <pt idx="1">
                  <v>0.2304112178888152</v>
                </pt>
                <pt idx="2">
                  <v>0.3865962804050609</v>
                </pt>
                <pt idx="3">
                  <v>0.2278075466899068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Analysis'!$F$76:$I$76</f>
              <numCache>
                <formatCode>0.00\x</formatCode>
                <ptCount val="4"/>
                <pt idx="0">
                  <v>1.238704899893117</v>
                </pt>
                <pt idx="1">
                  <v>1.236127915570867</v>
                </pt>
                <pt idx="2">
                  <v>1.243671916646977</v>
                </pt>
                <pt idx="3">
                  <v>1.274331955799655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Score'!$F$65:$I$65</f>
              <numCache>
                <formatCode>"₹"\ #,##0.00;\("₹"\ #,##0.0\);\-</formatCode>
                <ptCount val="4"/>
                <pt idx="0">
                  <v>67912.46000000001</v>
                </pt>
                <pt idx="1">
                  <v>73258.53</v>
                </pt>
                <pt idx="2">
                  <v>68778.64</v>
                </pt>
                <pt idx="3">
                  <v>71254.35000000001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Score'!$F$72:$I$72</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19.6431083718611</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26.79192909443082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29.06586832933553</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28.53030841306096</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17.05988741073077</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44651</v>
                </pt>
                <pt idx="1">
                  <v>45016</v>
                </pt>
                <pt idx="2">
                  <v>45382</v>
                </pt>
                <pt idx="3">
                  <v>45747</v>
                </pt>
                <pt idx="4">
                  <v>46112</v>
                </pt>
              </numCache>
            </numRef>
          </cat>
          <val>
            <numRef>
              <f>'Altman''s Z Score'!$E$85:$I$85</f>
              <numCache>
                <formatCode>0.00%</formatCode>
                <ptCount val="5"/>
                <pt idx="0">
                  <v>0.7855915369730201</v>
                </pt>
                <pt idx="1">
                  <v>0.8262639728135395</v>
                </pt>
                <pt idx="2">
                  <v>0.7403705801503739</v>
                </pt>
                <pt idx="3">
                  <v>0.8559207842486651</v>
                </pt>
                <pt idx="4">
                  <v>0.8422763602499861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44651</v>
                </pt>
                <pt idx="1">
                  <v>45016</v>
                </pt>
                <pt idx="2">
                  <v>45382</v>
                </pt>
                <pt idx="3">
                  <v>45747</v>
                </pt>
                <pt idx="4">
                  <v>46112</v>
                </pt>
              </numCache>
            </numRef>
          </cat>
          <val>
            <numRef>
              <f>'Altman''s Z Score'!$E$89:$I$89</f>
              <numCache>
                <formatCode>0.00</formatCode>
                <ptCount val="5"/>
                <pt idx="0">
                  <v>14.73271798263452</v>
                </pt>
                <pt idx="1">
                  <v>19.16499154449812</v>
                </pt>
                <pt idx="2">
                  <v>20.43898111905437</v>
                </pt>
                <pt idx="3">
                  <v>20.81389720212275</v>
                </pt>
                <pt idx="4">
                  <v>13.29768689872879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Wipro Ltd (WIPRO) - Institutional Valuation</t>
        </is>
      </c>
    </row>
    <row r="4">
      <c r="A4" t="inlineStr">
        <is>
          <t>Current Price</t>
        </is>
      </c>
      <c r="B4" t="inlineStr">
        <is>
          <t>Intrinsic Value</t>
        </is>
      </c>
      <c r="C4" t="inlineStr">
        <is>
          <t>Margin of Safety</t>
        </is>
      </c>
      <c r="D4" t="inlineStr">
        <is>
          <t>Verdict</t>
        </is>
      </c>
      <c r="E4" t="inlineStr">
        <is>
          <t>WACC</t>
        </is>
      </c>
      <c r="F4" t="inlineStr">
        <is>
          <t>Altman Z-Score</t>
        </is>
      </c>
      <c r="G4" t="inlineStr">
        <is>
          <t>DuPont ROE</t>
        </is>
      </c>
    </row>
    <row r="5">
      <c r="A5" s="170">
        <f>DCF!D44</f>
        <v/>
      </c>
      <c r="B5" s="170">
        <f>DCF!D42</f>
        <v/>
      </c>
      <c r="C5" s="171">
        <f>(B5-A5)/A5</f>
        <v/>
      </c>
      <c r="D5">
        <f>IF(C5&gt;0.15,"UNDERVALUED / BUY",IF(C5&lt;-0.15,"OVERVALUED / SELL","FAIRLY VALUED / HOLD"))</f>
        <v/>
      </c>
      <c r="E5" s="46">
        <f>DCF!D20</f>
        <v/>
      </c>
      <c r="F5" s="47">
        <f>'Altman''s Z Score'!I89</f>
        <v/>
      </c>
      <c r="G5" s="46">
        <f>'Dupont Analysis'!I78</f>
        <v/>
      </c>
    </row>
    <row r="7">
      <c r="B7" t="inlineStr">
        <is>
          <t>KEY VALUATION PARAMETERS &amp; LIVE MODEL INPUTS</t>
        </is>
      </c>
    </row>
    <row r="8">
      <c r="B8" t="inlineStr">
        <is>
          <t>Discount Rate (WACC)</t>
        </is>
      </c>
      <c r="C8" s="46">
        <f>WACC!K46</f>
        <v/>
      </c>
      <c r="D8" t="inlineStr">
        <is>
          <t>0.00%</t>
        </is>
      </c>
    </row>
    <row r="9">
      <c r="B9" t="inlineStr">
        <is>
          <t>Cost of Equity (Ke)</t>
        </is>
      </c>
      <c r="C9" s="46">
        <f>WACC!K29</f>
        <v/>
      </c>
      <c r="D9" t="inlineStr">
        <is>
          <t>0.00%</t>
        </is>
      </c>
    </row>
    <row r="10">
      <c r="B10" t="inlineStr">
        <is>
          <t>Risk-Free Rate (Rf)</t>
        </is>
      </c>
      <c r="C10" s="46">
        <f>WACC!K26</f>
        <v/>
      </c>
      <c r="D10" t="inlineStr">
        <is>
          <t>0.00%</t>
        </is>
      </c>
    </row>
    <row r="11">
      <c r="B11" t="inlineStr">
        <is>
          <t>Equity Risk Premium (ERP)</t>
        </is>
      </c>
      <c r="C11" s="46">
        <f>WACC!K27</f>
        <v/>
      </c>
      <c r="D11" t="inlineStr">
        <is>
          <t>0.00%</t>
        </is>
      </c>
    </row>
    <row r="12">
      <c r="B12" t="inlineStr">
        <is>
          <t>Levered Beta</t>
        </is>
      </c>
      <c r="C12">
        <f>WACC!K28</f>
        <v/>
      </c>
      <c r="D12" t="inlineStr">
        <is>
          <t>0.00</t>
        </is>
      </c>
    </row>
    <row r="13">
      <c r="B13" t="inlineStr">
        <is>
          <t>Terminal Growth Rate</t>
        </is>
      </c>
      <c r="C13" s="46">
        <f>DCF!D19</f>
        <v/>
      </c>
      <c r="D13" t="inlineStr">
        <is>
          <t>0.00%</t>
        </is>
      </c>
    </row>
    <row r="14">
      <c r="B14" t="inlineStr">
        <is>
          <t>Cost of Debt (Kd)</t>
        </is>
      </c>
      <c r="C14" s="46">
        <f>WACC!K39</f>
        <v/>
      </c>
      <c r="D14" t="inlineStr">
        <is>
          <t>0.00%</t>
        </is>
      </c>
    </row>
    <row r="15">
      <c r="B15" t="inlineStr">
        <is>
          <t>Cash &amp; Liquid Investments</t>
        </is>
      </c>
      <c r="C15">
        <f>'Data Sheet'!K69</f>
        <v/>
      </c>
      <c r="D15" t="inlineStr">
        <is>
          <t>#,##0.00</t>
        </is>
      </c>
    </row>
    <row r="16">
      <c r="B16" t="inlineStr">
        <is>
          <t>Total Debt &amp; Borrowings</t>
        </is>
      </c>
      <c r="C16">
        <f>'Data Sheet'!K59</f>
        <v/>
      </c>
      <c r="D16" t="inlineStr">
        <is>
          <t>#,##0.00</t>
        </is>
      </c>
    </row>
    <row r="17">
      <c r="B17" t="inlineStr">
        <is>
          <t>Shares Outstanding</t>
        </is>
      </c>
      <c r="C17">
        <f>'Data Sheet'!K70/10000000</f>
        <v/>
      </c>
      <c r="D17" t="inlineStr">
        <is>
          <t>#,##0.00</t>
        </is>
      </c>
    </row>
    <row r="18">
      <c r="B18" t="inlineStr">
        <is>
          <t>Sector Median EV/Revenue</t>
        </is>
      </c>
      <c r="C18">
        <f>Comp_Valuation!O25</f>
        <v/>
      </c>
      <c r="D18" t="inlineStr">
        <is>
          <t>0.00"x"</t>
        </is>
      </c>
    </row>
    <row r="19">
      <c r="B19" t="inlineStr">
        <is>
          <t>Sector Median EV/EBITDA</t>
        </is>
      </c>
      <c r="C19">
        <f>Comp_Valuation!P25</f>
        <v/>
      </c>
      <c r="D19" t="inlineStr">
        <is>
          <t>0.00"x"</t>
        </is>
      </c>
    </row>
    <row r="20">
      <c r="A20" t="inlineStr">
        <is>
          <t>5-Year Discounted Cash Flow (DCF) Schedule (Amounts in ₹ Cr)</t>
        </is>
      </c>
      <c r="B20" t="inlineStr">
        <is>
          <t>Sector Median P/E</t>
        </is>
      </c>
      <c r="C20">
        <f>Comp_Valuation!Q25</f>
        <v/>
      </c>
      <c r="D20" t="inlineStr">
        <is>
          <t>0.00"x"</t>
        </is>
      </c>
    </row>
    <row r="21">
      <c r="A21" t="inlineStr">
        <is>
          <t>Year</t>
        </is>
      </c>
      <c r="B21" t="inlineStr">
        <is>
          <t>EBIT</t>
        </is>
      </c>
      <c r="C21" t="inlineStr">
        <is>
          <t>NOPAT</t>
        </is>
      </c>
      <c r="D21" t="inlineStr">
        <is>
          <t>Reinvest Rate</t>
        </is>
      </c>
      <c r="E21" t="inlineStr">
        <is>
          <t>FCFF</t>
        </is>
      </c>
      <c r="F21" t="inlineStr">
        <is>
          <t>Discount Factor</t>
        </is>
      </c>
      <c r="G21" t="inlineStr">
        <is>
          <t>PV of FCFF</t>
        </is>
      </c>
    </row>
    <row r="22">
      <c r="A22" t="inlineStr">
        <is>
          <t>Year 1</t>
        </is>
      </c>
      <c r="B22">
        <f>DCF!I8</f>
        <v/>
      </c>
      <c r="C22">
        <f>DCF!I10</f>
        <v/>
      </c>
      <c r="D22">
        <f>DCF!I11</f>
        <v/>
      </c>
      <c r="E22">
        <f>DCF!I12</f>
        <v/>
      </c>
      <c r="F22">
        <f>DCF!I14</f>
        <v/>
      </c>
      <c r="G22">
        <f>DCF!I16</f>
        <v/>
      </c>
    </row>
    <row r="23">
      <c r="A23" t="inlineStr">
        <is>
          <t>Year 2</t>
        </is>
      </c>
      <c r="B23">
        <f>DCF!J8</f>
        <v/>
      </c>
      <c r="C23">
        <f>DCF!J10</f>
        <v/>
      </c>
      <c r="D23">
        <f>DCF!J11</f>
        <v/>
      </c>
      <c r="E23">
        <f>DCF!J12</f>
        <v/>
      </c>
      <c r="F23">
        <f>DCF!J14</f>
        <v/>
      </c>
      <c r="G23">
        <f>DCF!J16</f>
        <v/>
      </c>
    </row>
    <row r="24">
      <c r="A24" t="inlineStr">
        <is>
          <t>Year 3</t>
        </is>
      </c>
      <c r="B24">
        <f>DCF!K8</f>
        <v/>
      </c>
      <c r="C24">
        <f>DCF!K10</f>
        <v/>
      </c>
      <c r="D24">
        <f>DCF!K11</f>
        <v/>
      </c>
      <c r="E24">
        <f>DCF!K12</f>
        <v/>
      </c>
      <c r="F24">
        <f>DCF!K14</f>
        <v/>
      </c>
      <c r="G24">
        <f>DCF!K16</f>
        <v/>
      </c>
    </row>
    <row r="25">
      <c r="A25" t="inlineStr">
        <is>
          <t>Year 4</t>
        </is>
      </c>
      <c r="B25">
        <f>DCF!L8</f>
        <v/>
      </c>
      <c r="C25">
        <f>DCF!L10</f>
        <v/>
      </c>
      <c r="D25">
        <f>DCF!L11</f>
        <v/>
      </c>
      <c r="E25">
        <f>DCF!L12</f>
        <v/>
      </c>
      <c r="F25">
        <f>DCF!L14</f>
        <v/>
      </c>
      <c r="G25">
        <f>DCF!L16</f>
        <v/>
      </c>
    </row>
    <row r="26">
      <c r="A26" t="inlineStr">
        <is>
          <t>Year 5</t>
        </is>
      </c>
      <c r="B26">
        <f>DCF!M8</f>
        <v/>
      </c>
      <c r="C26">
        <f>DCF!M10</f>
        <v/>
      </c>
      <c r="D26">
        <f>DCF!M11</f>
        <v/>
      </c>
      <c r="E26">
        <f>DCF!M12</f>
        <v/>
      </c>
      <c r="F26">
        <f>DCF!M14</f>
        <v/>
      </c>
      <c r="G26">
        <f>DCF!M16</f>
        <v/>
      </c>
    </row>
    <row r="28">
      <c r="B28" t="inlineStr">
        <is>
          <t>Enterprise to Equity Value Bridge</t>
        </is>
      </c>
    </row>
    <row r="29">
      <c r="B29" t="inlineStr">
        <is>
          <t>PV of 5-Year FCFFs</t>
        </is>
      </c>
      <c r="C29" s="170">
        <f>DCF!D33</f>
        <v/>
      </c>
      <c r="D29" t="inlineStr">
        <is>
          <t>₹ Cr</t>
        </is>
      </c>
    </row>
    <row r="30">
      <c r="B30" t="inlineStr">
        <is>
          <t>Terminal Value</t>
        </is>
      </c>
      <c r="C30" s="170">
        <f>DCF!D29</f>
        <v/>
      </c>
      <c r="D30" t="inlineStr">
        <is>
          <t>₹ Cr</t>
        </is>
      </c>
    </row>
    <row r="31">
      <c r="B31" t="inlineStr">
        <is>
          <t>PV of Terminal Value</t>
        </is>
      </c>
      <c r="C31" s="170">
        <f>DCF!D34</f>
        <v/>
      </c>
      <c r="D31" t="inlineStr">
        <is>
          <t>₹ Cr</t>
        </is>
      </c>
    </row>
    <row r="32">
      <c r="B32" t="inlineStr">
        <is>
          <t>Enterprise Value (Operating Assets)</t>
        </is>
      </c>
      <c r="C32" s="170">
        <f>DCF!D35</f>
        <v/>
      </c>
      <c r="D32" t="inlineStr">
        <is>
          <t>₹ Cr</t>
        </is>
      </c>
    </row>
    <row r="33">
      <c r="B33" t="inlineStr">
        <is>
          <t>Add: Estimated Cash &amp; Liquid Assets</t>
        </is>
      </c>
      <c r="C33" s="170">
        <f>DCF!D37</f>
        <v/>
      </c>
      <c r="D33" t="inlineStr">
        <is>
          <t>₹ Cr</t>
        </is>
      </c>
    </row>
    <row r="34">
      <c r="B34" t="inlineStr">
        <is>
          <t>Less: Total Debt &amp; Borrowings</t>
        </is>
      </c>
      <c r="C34" s="170">
        <f>DCF!D38</f>
        <v/>
      </c>
      <c r="D34" t="inlineStr">
        <is>
          <t>₹ Cr</t>
        </is>
      </c>
    </row>
    <row r="35">
      <c r="B35" t="inlineStr">
        <is>
          <t>Net Equity Value</t>
        </is>
      </c>
      <c r="C35" s="170">
        <f>DCF!D39</f>
        <v/>
      </c>
      <c r="D35" t="inlineStr">
        <is>
          <t>₹ Cr</t>
        </is>
      </c>
    </row>
    <row r="36">
      <c r="B36" t="inlineStr">
        <is>
          <t>Shares Outstanding</t>
        </is>
      </c>
      <c r="C36" s="172">
        <f>DCF!D40</f>
        <v/>
      </c>
      <c r="D36" t="inlineStr">
        <is>
          <t>Cr shares</t>
        </is>
      </c>
    </row>
    <row r="37">
      <c r="B37" t="inlineStr">
        <is>
          <t>Intrinsic Value per Share</t>
        </is>
      </c>
      <c r="C37" s="170">
        <f>DCF!D42</f>
        <v/>
      </c>
      <c r="D37" t="inlineStr">
        <is>
          <t>₹</t>
        </is>
      </c>
    </row>
    <row r="38">
      <c r="B38" t="inlineStr">
        <is>
          <t>Current Market Price</t>
        </is>
      </c>
      <c r="C38" s="170">
        <f>DCF!D44</f>
        <v/>
      </c>
      <c r="D38" t="inlineStr">
        <is>
          <t>₹</t>
        </is>
      </c>
    </row>
    <row r="39">
      <c r="B39" t="inlineStr">
        <is>
          <t>Margin of Safety / Discount</t>
        </is>
      </c>
      <c r="C39" s="171">
        <f>(C37-C38)/C38</f>
        <v/>
      </c>
      <c r="D39" t="inlineStr">
        <is>
          <t>%</t>
        </is>
      </c>
    </row>
  </sheetData>
  <pageMargins left="0.75" right="0.75" top="1" bottom="1" header="0.5" footer="0.5"/>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3">
        <f>'Data Sheet'!B17</f>
        <v/>
      </c>
      <c r="C4" s="173">
        <f>'Data Sheet'!C17</f>
        <v/>
      </c>
      <c r="D4" s="173">
        <f>'Data Sheet'!D17</f>
        <v/>
      </c>
      <c r="E4" s="173">
        <f>'Data Sheet'!E17</f>
        <v/>
      </c>
      <c r="F4" s="173">
        <f>'Data Sheet'!F17</f>
        <v/>
      </c>
      <c r="G4" s="173">
        <f>'Data Sheet'!G17</f>
        <v/>
      </c>
      <c r="H4" s="173">
        <f>'Data Sheet'!H17</f>
        <v/>
      </c>
      <c r="I4" s="173">
        <f>'Data Sheet'!I17</f>
        <v/>
      </c>
      <c r="J4" s="173">
        <f>'Data Sheet'!J17</f>
        <v/>
      </c>
      <c r="K4" s="173">
        <f>'Data Sheet'!K17</f>
        <v/>
      </c>
      <c r="L4" s="173">
        <f>SUM(Quarters!H4:K4)</f>
        <v/>
      </c>
      <c r="M4" s="173">
        <f>$K4+M23*K4</f>
        <v/>
      </c>
      <c r="N4" s="173">
        <f>$K4+N23*L4</f>
        <v/>
      </c>
    </row>
    <row r="5">
      <c r="A5" t="inlineStr">
        <is>
          <t>Expenses</t>
        </is>
      </c>
      <c r="B5" s="174">
        <f>SUM('Data Sheet'!B18,'Data Sheet'!B20:B24, -1*'Data Sheet'!B19)</f>
        <v/>
      </c>
      <c r="C5" s="174">
        <f>SUM('Data Sheet'!C18,'Data Sheet'!C20:C24, -1*'Data Sheet'!C19)</f>
        <v/>
      </c>
      <c r="D5" s="174">
        <f>SUM('Data Sheet'!D18,'Data Sheet'!D20:D24, -1*'Data Sheet'!D19)</f>
        <v/>
      </c>
      <c r="E5" s="174">
        <f>SUM('Data Sheet'!E18,'Data Sheet'!E20:E24, -1*'Data Sheet'!E19)</f>
        <v/>
      </c>
      <c r="F5" s="174">
        <f>SUM('Data Sheet'!F18,'Data Sheet'!F20:F24, -1*'Data Sheet'!F19)</f>
        <v/>
      </c>
      <c r="G5" s="174">
        <f>SUM('Data Sheet'!G18,'Data Sheet'!G20:G24, -1*'Data Sheet'!G19)</f>
        <v/>
      </c>
      <c r="H5" s="174">
        <f>SUM('Data Sheet'!H18,'Data Sheet'!H20:H24, -1*'Data Sheet'!H19)</f>
        <v/>
      </c>
      <c r="I5" s="174">
        <f>SUM('Data Sheet'!I18,'Data Sheet'!I20:I24, -1*'Data Sheet'!I19)</f>
        <v/>
      </c>
      <c r="J5" s="174">
        <f>SUM('Data Sheet'!J18,'Data Sheet'!J20:J24, -1*'Data Sheet'!J19)</f>
        <v/>
      </c>
      <c r="K5" s="174">
        <f>SUM('Data Sheet'!K18,'Data Sheet'!K20:K24, -1*'Data Sheet'!K19)</f>
        <v/>
      </c>
      <c r="L5" s="174">
        <f>SUM(Quarters!H5:K5)</f>
        <v/>
      </c>
      <c r="M5" s="174">
        <f>M4-M6</f>
        <v/>
      </c>
      <c r="N5" s="174">
        <f>N4-N6</f>
        <v/>
      </c>
    </row>
    <row r="6" customFormat="1" s="37">
      <c r="A6" s="37" t="inlineStr">
        <is>
          <t>Operating Profit</t>
        </is>
      </c>
      <c r="B6" s="173">
        <f>B4-B5</f>
        <v/>
      </c>
      <c r="C6" s="173">
        <f>C4-C5</f>
        <v/>
      </c>
      <c r="D6" s="173">
        <f>D4-D5</f>
        <v/>
      </c>
      <c r="E6" s="173">
        <f>E4-E5</f>
        <v/>
      </c>
      <c r="F6" s="173">
        <f>F4-F5</f>
        <v/>
      </c>
      <c r="G6" s="173">
        <f>G4-G5</f>
        <v/>
      </c>
      <c r="H6" s="173">
        <f>H4-H5</f>
        <v/>
      </c>
      <c r="I6" s="173">
        <f>I4-I5</f>
        <v/>
      </c>
      <c r="J6" s="173">
        <f>J4-J5</f>
        <v/>
      </c>
      <c r="K6" s="173">
        <f>K4-K5</f>
        <v/>
      </c>
      <c r="L6" s="173">
        <f>SUM(Quarters!H6:K6)</f>
        <v/>
      </c>
      <c r="M6" s="173">
        <f>M4*M24</f>
        <v/>
      </c>
      <c r="N6" s="173">
        <f>N4*N24</f>
        <v/>
      </c>
    </row>
    <row r="7">
      <c r="A7" t="inlineStr">
        <is>
          <t>Other Income</t>
        </is>
      </c>
      <c r="B7" s="174">
        <f>'Data Sheet'!B25</f>
        <v/>
      </c>
      <c r="C7" s="174">
        <f>'Data Sheet'!C25</f>
        <v/>
      </c>
      <c r="D7" s="174">
        <f>'Data Sheet'!D25</f>
        <v/>
      </c>
      <c r="E7" s="174">
        <f>'Data Sheet'!E25</f>
        <v/>
      </c>
      <c r="F7" s="174">
        <f>'Data Sheet'!F25</f>
        <v/>
      </c>
      <c r="G7" s="174">
        <f>'Data Sheet'!G25</f>
        <v/>
      </c>
      <c r="H7" s="174">
        <f>'Data Sheet'!H25</f>
        <v/>
      </c>
      <c r="I7" s="174">
        <f>'Data Sheet'!I25</f>
        <v/>
      </c>
      <c r="J7" s="174">
        <f>'Data Sheet'!J25</f>
        <v/>
      </c>
      <c r="K7" s="174">
        <f>'Data Sheet'!K25</f>
        <v/>
      </c>
      <c r="L7" s="174">
        <f>SUM(Quarters!H7:K7)</f>
        <v/>
      </c>
      <c r="M7" s="174" t="n">
        <v>0</v>
      </c>
      <c r="N7" s="174" t="n">
        <v>0</v>
      </c>
    </row>
    <row r="8">
      <c r="A8" t="inlineStr">
        <is>
          <t>Depreciation</t>
        </is>
      </c>
      <c r="B8" s="174">
        <f>'Data Sheet'!B26</f>
        <v/>
      </c>
      <c r="C8" s="174">
        <f>'Data Sheet'!C26</f>
        <v/>
      </c>
      <c r="D8" s="174">
        <f>'Data Sheet'!D26</f>
        <v/>
      </c>
      <c r="E8" s="174">
        <f>'Data Sheet'!E26</f>
        <v/>
      </c>
      <c r="F8" s="174">
        <f>'Data Sheet'!F26</f>
        <v/>
      </c>
      <c r="G8" s="174">
        <f>'Data Sheet'!G26</f>
        <v/>
      </c>
      <c r="H8" s="174">
        <f>'Data Sheet'!H26</f>
        <v/>
      </c>
      <c r="I8" s="174">
        <f>'Data Sheet'!I26</f>
        <v/>
      </c>
      <c r="J8" s="174">
        <f>'Data Sheet'!J26</f>
        <v/>
      </c>
      <c r="K8" s="174">
        <f>'Data Sheet'!K26</f>
        <v/>
      </c>
      <c r="L8" s="174">
        <f>SUM(Quarters!H8:K8)</f>
        <v/>
      </c>
      <c r="M8" s="174">
        <f>+$L8</f>
        <v/>
      </c>
      <c r="N8" s="174">
        <f>+$L8</f>
        <v/>
      </c>
    </row>
    <row r="9">
      <c r="A9" t="inlineStr">
        <is>
          <t>Interest</t>
        </is>
      </c>
      <c r="B9" s="174">
        <f>'Data Sheet'!B27</f>
        <v/>
      </c>
      <c r="C9" s="174">
        <f>'Data Sheet'!C27</f>
        <v/>
      </c>
      <c r="D9" s="174">
        <f>'Data Sheet'!D27</f>
        <v/>
      </c>
      <c r="E9" s="174">
        <f>'Data Sheet'!E27</f>
        <v/>
      </c>
      <c r="F9" s="174">
        <f>'Data Sheet'!F27</f>
        <v/>
      </c>
      <c r="G9" s="174">
        <f>'Data Sheet'!G27</f>
        <v/>
      </c>
      <c r="H9" s="174">
        <f>'Data Sheet'!H27</f>
        <v/>
      </c>
      <c r="I9" s="174">
        <f>'Data Sheet'!I27</f>
        <v/>
      </c>
      <c r="J9" s="174">
        <f>'Data Sheet'!J27</f>
        <v/>
      </c>
      <c r="K9" s="174">
        <f>'Data Sheet'!K27</f>
        <v/>
      </c>
      <c r="L9" s="174">
        <f>SUM(Quarters!H9:K9)</f>
        <v/>
      </c>
      <c r="M9" s="174">
        <f>+$L9</f>
        <v/>
      </c>
      <c r="N9" s="174">
        <f>+$L9</f>
        <v/>
      </c>
    </row>
    <row r="10">
      <c r="A10" t="inlineStr">
        <is>
          <t>Profit before tax</t>
        </is>
      </c>
      <c r="B10" s="174">
        <f>'Data Sheet'!B28</f>
        <v/>
      </c>
      <c r="C10" s="174">
        <f>'Data Sheet'!C28</f>
        <v/>
      </c>
      <c r="D10" s="174">
        <f>'Data Sheet'!D28</f>
        <v/>
      </c>
      <c r="E10" s="174">
        <f>'Data Sheet'!E28</f>
        <v/>
      </c>
      <c r="F10" s="174">
        <f>'Data Sheet'!F28</f>
        <v/>
      </c>
      <c r="G10" s="174">
        <f>'Data Sheet'!G28</f>
        <v/>
      </c>
      <c r="H10" s="174">
        <f>'Data Sheet'!H28</f>
        <v/>
      </c>
      <c r="I10" s="174">
        <f>'Data Sheet'!I28</f>
        <v/>
      </c>
      <c r="J10" s="174">
        <f>'Data Sheet'!J28</f>
        <v/>
      </c>
      <c r="K10" s="174">
        <f>'Data Sheet'!K28</f>
        <v/>
      </c>
      <c r="L10" s="174">
        <f>SUM(Quarters!H10:K10)</f>
        <v/>
      </c>
      <c r="M10" s="174">
        <f>M6+M7-SUM(M8:M9)</f>
        <v/>
      </c>
      <c r="N10" s="174">
        <f>N6+N7-SUM(N8:N9)</f>
        <v/>
      </c>
    </row>
    <row r="11">
      <c r="A11" t="inlineStr">
        <is>
          <t>Tax</t>
        </is>
      </c>
      <c r="B11" s="174">
        <f>'Data Sheet'!B29</f>
        <v/>
      </c>
      <c r="C11" s="174">
        <f>'Data Sheet'!C29</f>
        <v/>
      </c>
      <c r="D11" s="174">
        <f>'Data Sheet'!D29</f>
        <v/>
      </c>
      <c r="E11" s="174">
        <f>'Data Sheet'!E29</f>
        <v/>
      </c>
      <c r="F11" s="174">
        <f>'Data Sheet'!F29</f>
        <v/>
      </c>
      <c r="G11" s="174">
        <f>'Data Sheet'!G29</f>
        <v/>
      </c>
      <c r="H11" s="174">
        <f>'Data Sheet'!H29</f>
        <v/>
      </c>
      <c r="I11" s="174">
        <f>'Data Sheet'!I29</f>
        <v/>
      </c>
      <c r="J11" s="174">
        <f>'Data Sheet'!J29</f>
        <v/>
      </c>
      <c r="K11" s="174">
        <f>'Data Sheet'!K29</f>
        <v/>
      </c>
      <c r="L11" s="174">
        <f>SUM(Quarters!H11:K11)</f>
        <v/>
      </c>
      <c r="M11" s="10">
        <f>IF($L10&gt;0,$L11/$L10,0)</f>
        <v/>
      </c>
      <c r="N11" s="10">
        <f>IF($L10&gt;0,$L11/$L10,0)</f>
        <v/>
      </c>
    </row>
    <row r="12" customFormat="1" s="37">
      <c r="A12" s="37" t="inlineStr">
        <is>
          <t>Net profit</t>
        </is>
      </c>
      <c r="B12" s="173">
        <f>'Data Sheet'!B30</f>
        <v/>
      </c>
      <c r="C12" s="173">
        <f>'Data Sheet'!C30</f>
        <v/>
      </c>
      <c r="D12" s="173">
        <f>'Data Sheet'!D30</f>
        <v/>
      </c>
      <c r="E12" s="173">
        <f>'Data Sheet'!E30</f>
        <v/>
      </c>
      <c r="F12" s="173">
        <f>'Data Sheet'!F30</f>
        <v/>
      </c>
      <c r="G12" s="173">
        <f>'Data Sheet'!G30</f>
        <v/>
      </c>
      <c r="H12" s="173">
        <f>'Data Sheet'!H30</f>
        <v/>
      </c>
      <c r="I12" s="173">
        <f>'Data Sheet'!I30</f>
        <v/>
      </c>
      <c r="J12" s="173">
        <f>'Data Sheet'!J30</f>
        <v/>
      </c>
      <c r="K12" s="173">
        <f>'Data Sheet'!K30</f>
        <v/>
      </c>
      <c r="L12" s="173">
        <f>SUM(Quarters!H12:K12)</f>
        <v/>
      </c>
      <c r="M12" s="173">
        <f>M10-M11*M10</f>
        <v/>
      </c>
      <c r="N12" s="173">
        <f>N10-N11*N10</f>
        <v/>
      </c>
    </row>
    <row r="13">
      <c r="A13" t="inlineStr">
        <is>
          <t>EPS</t>
        </is>
      </c>
      <c r="B13" s="174">
        <f>IF('Data Sheet'!B93&gt;0,B12/'Data Sheet'!B93,0)</f>
        <v/>
      </c>
      <c r="C13" s="174">
        <f>IF('Data Sheet'!C93&gt;0,C12/'Data Sheet'!C93,0)</f>
        <v/>
      </c>
      <c r="D13" s="174">
        <f>IF('Data Sheet'!D93&gt;0,D12/'Data Sheet'!D93,0)</f>
        <v/>
      </c>
      <c r="E13" s="174">
        <f>IF('Data Sheet'!E93&gt;0,E12/'Data Sheet'!E93,0)</f>
        <v/>
      </c>
      <c r="F13" s="174">
        <f>IF('Data Sheet'!F93&gt;0,F12/'Data Sheet'!F93,0)</f>
        <v/>
      </c>
      <c r="G13" s="174">
        <f>IF('Data Sheet'!G93&gt;0,G12/'Data Sheet'!G93,0)</f>
        <v/>
      </c>
      <c r="H13" s="174">
        <f>IF('Data Sheet'!H93&gt;0,H12/'Data Sheet'!H93,0)</f>
        <v/>
      </c>
      <c r="I13" s="174">
        <f>IF('Data Sheet'!I93&gt;0,I12/'Data Sheet'!I93,0)</f>
        <v/>
      </c>
      <c r="J13" s="174">
        <f>IF('Data Sheet'!J93&gt;0,J12/'Data Sheet'!J93,0)</f>
        <v/>
      </c>
      <c r="K13" s="174">
        <f>IF('Data Sheet'!K93&gt;0,K12/'Data Sheet'!K93,0)</f>
        <v/>
      </c>
      <c r="L13" s="174">
        <f>IF('Data Sheet'!$B6&gt;0,'Profit &amp; Loss'!L12/'Data Sheet'!$B6,0)</f>
        <v/>
      </c>
      <c r="M13" s="174">
        <f>IF('Data Sheet'!$B6&gt;0,'Profit &amp; Loss'!M12/'Data Sheet'!$B6,0)</f>
        <v/>
      </c>
      <c r="N13" s="174">
        <f>IF('Data Sheet'!$B6&gt;0,'Profit &amp; Loss'!N12/'Data Sheet'!$B6,0)</f>
        <v/>
      </c>
    </row>
    <row r="14">
      <c r="A14" t="inlineStr">
        <is>
          <t>Price to earning</t>
        </is>
      </c>
      <c r="B14" s="174">
        <f>IF(B15&gt;0,B15/B13,"")</f>
        <v/>
      </c>
      <c r="C14" s="174">
        <f>IF(C15&gt;0,C15/C13,"")</f>
        <v/>
      </c>
      <c r="D14" s="174">
        <f>IF(D15&gt;0,D15/D13,"")</f>
        <v/>
      </c>
      <c r="E14" s="174">
        <f>IF(E15&gt;0,E15/E13,"")</f>
        <v/>
      </c>
      <c r="F14" s="174">
        <f>IF(F15&gt;0,F15/F13,"")</f>
        <v/>
      </c>
      <c r="G14" s="174">
        <f>IF(G15&gt;0,G15/G13,"")</f>
        <v/>
      </c>
      <c r="H14" s="174">
        <f>IF(H15&gt;0,H15/H13,"")</f>
        <v/>
      </c>
      <c r="I14" s="174">
        <f>IF(I15&gt;0,I15/I13,"")</f>
        <v/>
      </c>
      <c r="J14" s="174">
        <f>IF(J15&gt;0,J15/J13,"")</f>
        <v/>
      </c>
      <c r="K14" s="174">
        <f>IF(K15&gt;0,K15/K13,"")</f>
        <v/>
      </c>
      <c r="L14" s="174">
        <f>IF(L13&gt;0,L15/L13,0)</f>
        <v/>
      </c>
      <c r="M14" s="174">
        <f>M25</f>
        <v/>
      </c>
      <c r="N14" s="174">
        <f>N25</f>
        <v/>
      </c>
    </row>
    <row r="15" customFormat="1" s="37">
      <c r="A15" s="37" t="inlineStr">
        <is>
          <t>Price</t>
        </is>
      </c>
      <c r="B15" s="173">
        <f>'Data Sheet'!B90</f>
        <v/>
      </c>
      <c r="C15" s="173">
        <f>'Data Sheet'!C90</f>
        <v/>
      </c>
      <c r="D15" s="173">
        <f>'Data Sheet'!D90</f>
        <v/>
      </c>
      <c r="E15" s="173">
        <f>'Data Sheet'!E90</f>
        <v/>
      </c>
      <c r="F15" s="173">
        <f>'Data Sheet'!F90</f>
        <v/>
      </c>
      <c r="G15" s="173">
        <f>'Data Sheet'!G90</f>
        <v/>
      </c>
      <c r="H15" s="173">
        <f>'Data Sheet'!H90</f>
        <v/>
      </c>
      <c r="I15" s="173">
        <f>'Data Sheet'!I90</f>
        <v/>
      </c>
      <c r="J15" s="173">
        <f>'Data Sheet'!J90</f>
        <v/>
      </c>
      <c r="K15" s="173">
        <f>'Data Sheet'!K90</f>
        <v/>
      </c>
      <c r="L15" s="173">
        <f>'Data Sheet'!B8</f>
        <v/>
      </c>
      <c r="M15" s="175">
        <f>M13*M14</f>
        <v/>
      </c>
      <c r="N15" s="176">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4">
        <f>IF(ISERROR(AVERAGEIF(B14:$L14,"&gt;0")),"",AVERAGEIF(B14:$L14,"&gt;0"))</f>
        <v/>
      </c>
      <c r="I25" s="174">
        <f>IF(ISERROR(AVERAGEIF(E14:$L14,"&gt;0")),"",AVERAGEIF(E14:$L14,"&gt;0"))</f>
        <v/>
      </c>
      <c r="J25" s="174">
        <f>IF(ISERROR(AVERAGEIF(G14:$L14,"&gt;0")),"",AVERAGEIF(G14:$L14,"&gt;0"))</f>
        <v/>
      </c>
      <c r="K25" s="174">
        <f>IF(ISERROR(AVERAGEIF(I14:$L14,"&gt;0")),"",AVERAGEIF(I14:$L14,"&gt;0"))</f>
        <v/>
      </c>
      <c r="L25" s="174">
        <f>L14</f>
        <v/>
      </c>
      <c r="M25" s="173">
        <f>MAX(K25:L25)</f>
        <v/>
      </c>
      <c r="N25" s="173">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3">
        <f>'Data Sheet'!B42</f>
        <v/>
      </c>
      <c r="C4" s="173">
        <f>'Data Sheet'!C42</f>
        <v/>
      </c>
      <c r="D4" s="173">
        <f>'Data Sheet'!D42</f>
        <v/>
      </c>
      <c r="E4" s="173">
        <f>'Data Sheet'!E42</f>
        <v/>
      </c>
      <c r="F4" s="173">
        <f>'Data Sheet'!F42</f>
        <v/>
      </c>
      <c r="G4" s="173">
        <f>'Data Sheet'!G42</f>
        <v/>
      </c>
      <c r="H4" s="173">
        <f>'Data Sheet'!H42</f>
        <v/>
      </c>
      <c r="I4" s="173">
        <f>'Data Sheet'!I42</f>
        <v/>
      </c>
      <c r="J4" s="173">
        <f>'Data Sheet'!J42</f>
        <v/>
      </c>
      <c r="K4" s="173">
        <f>'Data Sheet'!K42</f>
        <v/>
      </c>
    </row>
    <row r="5">
      <c r="A5" t="inlineStr">
        <is>
          <t>Expenses</t>
        </is>
      </c>
      <c r="B5" s="174">
        <f>'Data Sheet'!B43</f>
        <v/>
      </c>
      <c r="C5" s="174">
        <f>'Data Sheet'!C43</f>
        <v/>
      </c>
      <c r="D5" s="174">
        <f>'Data Sheet'!D43</f>
        <v/>
      </c>
      <c r="E5" s="174">
        <f>'Data Sheet'!E43</f>
        <v/>
      </c>
      <c r="F5" s="174">
        <f>'Data Sheet'!F43</f>
        <v/>
      </c>
      <c r="G5" s="174">
        <f>'Data Sheet'!G43</f>
        <v/>
      </c>
      <c r="H5" s="174">
        <f>'Data Sheet'!H43</f>
        <v/>
      </c>
      <c r="I5" s="174">
        <f>'Data Sheet'!I43</f>
        <v/>
      </c>
      <c r="J5" s="174">
        <f>'Data Sheet'!J43</f>
        <v/>
      </c>
      <c r="K5" s="174">
        <f>'Data Sheet'!K43</f>
        <v/>
      </c>
    </row>
    <row r="6" customFormat="1" s="37">
      <c r="A6" s="37" t="inlineStr">
        <is>
          <t>Operating Profit</t>
        </is>
      </c>
      <c r="B6" s="173">
        <f>'Data Sheet'!B50</f>
        <v/>
      </c>
      <c r="C6" s="173">
        <f>'Data Sheet'!C50</f>
        <v/>
      </c>
      <c r="D6" s="173">
        <f>'Data Sheet'!D50</f>
        <v/>
      </c>
      <c r="E6" s="173">
        <f>'Data Sheet'!E50</f>
        <v/>
      </c>
      <c r="F6" s="173">
        <f>'Data Sheet'!F50</f>
        <v/>
      </c>
      <c r="G6" s="173">
        <f>'Data Sheet'!G50</f>
        <v/>
      </c>
      <c r="H6" s="173">
        <f>'Data Sheet'!H50</f>
        <v/>
      </c>
      <c r="I6" s="173">
        <f>'Data Sheet'!I50</f>
        <v/>
      </c>
      <c r="J6" s="173">
        <f>'Data Sheet'!J50</f>
        <v/>
      </c>
      <c r="K6" s="173">
        <f>'Data Sheet'!K50</f>
        <v/>
      </c>
    </row>
    <row r="7">
      <c r="A7" t="inlineStr">
        <is>
          <t>Other Income</t>
        </is>
      </c>
      <c r="B7" s="174">
        <f>'Data Sheet'!B44</f>
        <v/>
      </c>
      <c r="C7" s="174">
        <f>'Data Sheet'!C44</f>
        <v/>
      </c>
      <c r="D7" s="174">
        <f>'Data Sheet'!D44</f>
        <v/>
      </c>
      <c r="E7" s="174">
        <f>'Data Sheet'!E44</f>
        <v/>
      </c>
      <c r="F7" s="174">
        <f>'Data Sheet'!F44</f>
        <v/>
      </c>
      <c r="G7" s="174">
        <f>'Data Sheet'!G44</f>
        <v/>
      </c>
      <c r="H7" s="174">
        <f>'Data Sheet'!H44</f>
        <v/>
      </c>
      <c r="I7" s="174">
        <f>'Data Sheet'!I44</f>
        <v/>
      </c>
      <c r="J7" s="174">
        <f>'Data Sheet'!J44</f>
        <v/>
      </c>
      <c r="K7" s="174">
        <f>'Data Sheet'!K44</f>
        <v/>
      </c>
    </row>
    <row r="8">
      <c r="A8" t="inlineStr">
        <is>
          <t>Depreciation</t>
        </is>
      </c>
      <c r="B8" s="174">
        <f>'Data Sheet'!B45</f>
        <v/>
      </c>
      <c r="C8" s="174">
        <f>'Data Sheet'!C45</f>
        <v/>
      </c>
      <c r="D8" s="174">
        <f>'Data Sheet'!D45</f>
        <v/>
      </c>
      <c r="E8" s="174">
        <f>'Data Sheet'!E45</f>
        <v/>
      </c>
      <c r="F8" s="174">
        <f>'Data Sheet'!F45</f>
        <v/>
      </c>
      <c r="G8" s="174">
        <f>'Data Sheet'!G45</f>
        <v/>
      </c>
      <c r="H8" s="174">
        <f>'Data Sheet'!H45</f>
        <v/>
      </c>
      <c r="I8" s="174">
        <f>'Data Sheet'!I45</f>
        <v/>
      </c>
      <c r="J8" s="174">
        <f>'Data Sheet'!J45</f>
        <v/>
      </c>
      <c r="K8" s="174">
        <f>'Data Sheet'!K45</f>
        <v/>
      </c>
    </row>
    <row r="9">
      <c r="A9" t="inlineStr">
        <is>
          <t>Interest</t>
        </is>
      </c>
      <c r="B9" s="174">
        <f>'Data Sheet'!B46</f>
        <v/>
      </c>
      <c r="C9" s="174">
        <f>'Data Sheet'!C46</f>
        <v/>
      </c>
      <c r="D9" s="174">
        <f>'Data Sheet'!D46</f>
        <v/>
      </c>
      <c r="E9" s="174">
        <f>'Data Sheet'!E46</f>
        <v/>
      </c>
      <c r="F9" s="174">
        <f>'Data Sheet'!F46</f>
        <v/>
      </c>
      <c r="G9" s="174">
        <f>'Data Sheet'!G46</f>
        <v/>
      </c>
      <c r="H9" s="174">
        <f>'Data Sheet'!H46</f>
        <v/>
      </c>
      <c r="I9" s="174">
        <f>'Data Sheet'!I46</f>
        <v/>
      </c>
      <c r="J9" s="174">
        <f>'Data Sheet'!J46</f>
        <v/>
      </c>
      <c r="K9" s="174">
        <f>'Data Sheet'!K46</f>
        <v/>
      </c>
    </row>
    <row r="10">
      <c r="A10" t="inlineStr">
        <is>
          <t>Profit before tax</t>
        </is>
      </c>
      <c r="B10" s="174">
        <f>'Data Sheet'!B47</f>
        <v/>
      </c>
      <c r="C10" s="174">
        <f>'Data Sheet'!C47</f>
        <v/>
      </c>
      <c r="D10" s="174">
        <f>'Data Sheet'!D47</f>
        <v/>
      </c>
      <c r="E10" s="174">
        <f>'Data Sheet'!E47</f>
        <v/>
      </c>
      <c r="F10" s="174">
        <f>'Data Sheet'!F47</f>
        <v/>
      </c>
      <c r="G10" s="174">
        <f>'Data Sheet'!G47</f>
        <v/>
      </c>
      <c r="H10" s="174">
        <f>'Data Sheet'!H47</f>
        <v/>
      </c>
      <c r="I10" s="174">
        <f>'Data Sheet'!I47</f>
        <v/>
      </c>
      <c r="J10" s="174">
        <f>'Data Sheet'!J47</f>
        <v/>
      </c>
      <c r="K10" s="174">
        <f>'Data Sheet'!K47</f>
        <v/>
      </c>
    </row>
    <row r="11">
      <c r="A11" t="inlineStr">
        <is>
          <t>Tax</t>
        </is>
      </c>
      <c r="B11" s="174">
        <f>'Data Sheet'!B48</f>
        <v/>
      </c>
      <c r="C11" s="174">
        <f>'Data Sheet'!C48</f>
        <v/>
      </c>
      <c r="D11" s="174">
        <f>'Data Sheet'!D48</f>
        <v/>
      </c>
      <c r="E11" s="174">
        <f>'Data Sheet'!E48</f>
        <v/>
      </c>
      <c r="F11" s="174">
        <f>'Data Sheet'!F48</f>
        <v/>
      </c>
      <c r="G11" s="174">
        <f>'Data Sheet'!G48</f>
        <v/>
      </c>
      <c r="H11" s="174">
        <f>'Data Sheet'!H48</f>
        <v/>
      </c>
      <c r="I11" s="174">
        <f>'Data Sheet'!I48</f>
        <v/>
      </c>
      <c r="J11" s="174">
        <f>'Data Sheet'!J48</f>
        <v/>
      </c>
      <c r="K11" s="174">
        <f>'Data Sheet'!K48</f>
        <v/>
      </c>
    </row>
    <row r="12" customFormat="1" s="37">
      <c r="A12" s="37" t="inlineStr">
        <is>
          <t>Net profit</t>
        </is>
      </c>
      <c r="B12" s="173">
        <f>'Data Sheet'!B49</f>
        <v/>
      </c>
      <c r="C12" s="173">
        <f>'Data Sheet'!C49</f>
        <v/>
      </c>
      <c r="D12" s="173">
        <f>'Data Sheet'!D49</f>
        <v/>
      </c>
      <c r="E12" s="173">
        <f>'Data Sheet'!E49</f>
        <v/>
      </c>
      <c r="F12" s="173">
        <f>'Data Sheet'!F49</f>
        <v/>
      </c>
      <c r="G12" s="173">
        <f>'Data Sheet'!G49</f>
        <v/>
      </c>
      <c r="H12" s="173">
        <f>'Data Sheet'!H49</f>
        <v/>
      </c>
      <c r="I12" s="173">
        <f>'Data Sheet'!I49</f>
        <v/>
      </c>
      <c r="J12" s="173">
        <f>'Data Sheet'!J49</f>
        <v/>
      </c>
      <c r="K12" s="173">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7">
        <f>'Data Sheet'!B57</f>
        <v/>
      </c>
      <c r="C4" s="177">
        <f>'Data Sheet'!C57</f>
        <v/>
      </c>
      <c r="D4" s="177">
        <f>'Data Sheet'!D57</f>
        <v/>
      </c>
      <c r="E4" s="177">
        <f>'Data Sheet'!E57</f>
        <v/>
      </c>
      <c r="F4" s="177">
        <f>'Data Sheet'!F57</f>
        <v/>
      </c>
      <c r="G4" s="177">
        <f>'Data Sheet'!G57</f>
        <v/>
      </c>
      <c r="H4" s="177">
        <f>'Data Sheet'!H57</f>
        <v/>
      </c>
      <c r="I4" s="177">
        <f>'Data Sheet'!I57</f>
        <v/>
      </c>
      <c r="J4" s="177">
        <f>'Data Sheet'!J57</f>
        <v/>
      </c>
      <c r="K4" s="177">
        <f>'Data Sheet'!K57</f>
        <v/>
      </c>
    </row>
    <row r="5" s="109">
      <c r="A5" t="inlineStr">
        <is>
          <t>Reserves</t>
        </is>
      </c>
      <c r="B5" s="177">
        <f>'Data Sheet'!B58</f>
        <v/>
      </c>
      <c r="C5" s="177">
        <f>'Data Sheet'!C58</f>
        <v/>
      </c>
      <c r="D5" s="177">
        <f>'Data Sheet'!D58</f>
        <v/>
      </c>
      <c r="E5" s="177">
        <f>'Data Sheet'!E58</f>
        <v/>
      </c>
      <c r="F5" s="177">
        <f>'Data Sheet'!F58</f>
        <v/>
      </c>
      <c r="G5" s="177">
        <f>'Data Sheet'!G58</f>
        <v/>
      </c>
      <c r="H5" s="177">
        <f>'Data Sheet'!H58</f>
        <v/>
      </c>
      <c r="I5" s="177">
        <f>'Data Sheet'!I58</f>
        <v/>
      </c>
      <c r="J5" s="177">
        <f>'Data Sheet'!J58</f>
        <v/>
      </c>
      <c r="K5" s="177">
        <f>'Data Sheet'!K58</f>
        <v/>
      </c>
    </row>
    <row r="6">
      <c r="A6" t="inlineStr">
        <is>
          <t>Borrowings</t>
        </is>
      </c>
      <c r="B6" s="177">
        <f>'Data Sheet'!B59</f>
        <v/>
      </c>
      <c r="C6" s="177">
        <f>'Data Sheet'!C59</f>
        <v/>
      </c>
      <c r="D6" s="177">
        <f>'Data Sheet'!D59</f>
        <v/>
      </c>
      <c r="E6" s="177">
        <f>'Data Sheet'!E59</f>
        <v/>
      </c>
      <c r="F6" s="177">
        <f>'Data Sheet'!F59</f>
        <v/>
      </c>
      <c r="G6" s="177">
        <f>'Data Sheet'!G59</f>
        <v/>
      </c>
      <c r="H6" s="177">
        <f>'Data Sheet'!H59</f>
        <v/>
      </c>
      <c r="I6" s="177">
        <f>'Data Sheet'!I59</f>
        <v/>
      </c>
      <c r="J6" s="177">
        <f>'Data Sheet'!J59</f>
        <v/>
      </c>
      <c r="K6" s="177">
        <f>'Data Sheet'!K59</f>
        <v/>
      </c>
    </row>
    <row r="7" s="109">
      <c r="A7" t="inlineStr">
        <is>
          <t>Other Liabilities</t>
        </is>
      </c>
      <c r="B7" s="177">
        <f>'Data Sheet'!B60</f>
        <v/>
      </c>
      <c r="C7" s="177">
        <f>'Data Sheet'!C60</f>
        <v/>
      </c>
      <c r="D7" s="177">
        <f>'Data Sheet'!D60</f>
        <v/>
      </c>
      <c r="E7" s="177">
        <f>'Data Sheet'!E60</f>
        <v/>
      </c>
      <c r="F7" s="177">
        <f>'Data Sheet'!F60</f>
        <v/>
      </c>
      <c r="G7" s="177">
        <f>'Data Sheet'!G60</f>
        <v/>
      </c>
      <c r="H7" s="177">
        <f>'Data Sheet'!H60</f>
        <v/>
      </c>
      <c r="I7" s="177">
        <f>'Data Sheet'!I60</f>
        <v/>
      </c>
      <c r="J7" s="177">
        <f>'Data Sheet'!J60</f>
        <v/>
      </c>
      <c r="K7" s="177">
        <f>'Data Sheet'!K60</f>
        <v/>
      </c>
    </row>
    <row r="8" customFormat="1" s="37">
      <c r="A8" s="37" t="inlineStr">
        <is>
          <t>Total</t>
        </is>
      </c>
      <c r="B8" s="178">
        <f>'Data Sheet'!B61</f>
        <v/>
      </c>
      <c r="C8" s="178">
        <f>'Data Sheet'!C61</f>
        <v/>
      </c>
      <c r="D8" s="178">
        <f>'Data Sheet'!D61</f>
        <v/>
      </c>
      <c r="E8" s="178">
        <f>'Data Sheet'!E61</f>
        <v/>
      </c>
      <c r="F8" s="178">
        <f>'Data Sheet'!F61</f>
        <v/>
      </c>
      <c r="G8" s="178">
        <f>'Data Sheet'!G61</f>
        <v/>
      </c>
      <c r="H8" s="178">
        <f>'Data Sheet'!H61</f>
        <v/>
      </c>
      <c r="I8" s="178">
        <f>'Data Sheet'!I61</f>
        <v/>
      </c>
      <c r="J8" s="178">
        <f>'Data Sheet'!J61</f>
        <v/>
      </c>
      <c r="K8" s="178">
        <f>'Data Sheet'!K61</f>
        <v/>
      </c>
    </row>
    <row r="9" customFormat="1" s="37">
      <c r="B9" s="178" t="n"/>
      <c r="C9" s="178" t="n"/>
      <c r="D9" s="178" t="n"/>
      <c r="E9" s="178" t="n"/>
      <c r="F9" s="178" t="n"/>
      <c r="G9" s="178" t="n"/>
      <c r="H9" s="178" t="n"/>
      <c r="I9" s="178" t="n"/>
      <c r="J9" s="178" t="n"/>
      <c r="K9" s="178" t="n"/>
    </row>
    <row r="10">
      <c r="A10" t="inlineStr">
        <is>
          <t>Net Block</t>
        </is>
      </c>
      <c r="B10" s="177">
        <f>'Data Sheet'!B62</f>
        <v/>
      </c>
      <c r="C10" s="177">
        <f>'Data Sheet'!C62</f>
        <v/>
      </c>
      <c r="D10" s="177">
        <f>'Data Sheet'!D62</f>
        <v/>
      </c>
      <c r="E10" s="177">
        <f>'Data Sheet'!E62</f>
        <v/>
      </c>
      <c r="F10" s="177">
        <f>'Data Sheet'!F62</f>
        <v/>
      </c>
      <c r="G10" s="177">
        <f>'Data Sheet'!G62</f>
        <v/>
      </c>
      <c r="H10" s="177">
        <f>'Data Sheet'!H62</f>
        <v/>
      </c>
      <c r="I10" s="177">
        <f>'Data Sheet'!I62</f>
        <v/>
      </c>
      <c r="J10" s="177">
        <f>'Data Sheet'!J62</f>
        <v/>
      </c>
      <c r="K10" s="177">
        <f>'Data Sheet'!K62</f>
        <v/>
      </c>
    </row>
    <row r="11">
      <c r="A11" t="inlineStr">
        <is>
          <t>Capital Work in Progress</t>
        </is>
      </c>
      <c r="B11" s="177">
        <f>'Data Sheet'!B63</f>
        <v/>
      </c>
      <c r="C11" s="177">
        <f>'Data Sheet'!C63</f>
        <v/>
      </c>
      <c r="D11" s="177">
        <f>'Data Sheet'!D63</f>
        <v/>
      </c>
      <c r="E11" s="177">
        <f>'Data Sheet'!E63</f>
        <v/>
      </c>
      <c r="F11" s="177">
        <f>'Data Sheet'!F63</f>
        <v/>
      </c>
      <c r="G11" s="177">
        <f>'Data Sheet'!G63</f>
        <v/>
      </c>
      <c r="H11" s="177">
        <f>'Data Sheet'!H63</f>
        <v/>
      </c>
      <c r="I11" s="177">
        <f>'Data Sheet'!I63</f>
        <v/>
      </c>
      <c r="J11" s="177">
        <f>'Data Sheet'!J63</f>
        <v/>
      </c>
      <c r="K11" s="177">
        <f>'Data Sheet'!K63</f>
        <v/>
      </c>
    </row>
    <row r="12">
      <c r="A12" t="inlineStr">
        <is>
          <t>Investments</t>
        </is>
      </c>
      <c r="B12" s="177">
        <f>'Data Sheet'!B64</f>
        <v/>
      </c>
      <c r="C12" s="177">
        <f>'Data Sheet'!C64</f>
        <v/>
      </c>
      <c r="D12" s="177">
        <f>'Data Sheet'!D64</f>
        <v/>
      </c>
      <c r="E12" s="177">
        <f>'Data Sheet'!E64</f>
        <v/>
      </c>
      <c r="F12" s="177">
        <f>'Data Sheet'!F64</f>
        <v/>
      </c>
      <c r="G12" s="177">
        <f>'Data Sheet'!G64</f>
        <v/>
      </c>
      <c r="H12" s="177">
        <f>'Data Sheet'!H64</f>
        <v/>
      </c>
      <c r="I12" s="177">
        <f>'Data Sheet'!I64</f>
        <v/>
      </c>
      <c r="J12" s="177">
        <f>'Data Sheet'!J64</f>
        <v/>
      </c>
      <c r="K12" s="177">
        <f>'Data Sheet'!K64</f>
        <v/>
      </c>
    </row>
    <row r="13">
      <c r="A13" t="inlineStr">
        <is>
          <t>Other Assets</t>
        </is>
      </c>
      <c r="B13" s="177">
        <f>'Data Sheet'!B65</f>
        <v/>
      </c>
      <c r="C13" s="177">
        <f>'Data Sheet'!C65</f>
        <v/>
      </c>
      <c r="D13" s="177">
        <f>'Data Sheet'!D65</f>
        <v/>
      </c>
      <c r="E13" s="177">
        <f>'Data Sheet'!E65</f>
        <v/>
      </c>
      <c r="F13" s="177">
        <f>'Data Sheet'!F65</f>
        <v/>
      </c>
      <c r="G13" s="177">
        <f>'Data Sheet'!G65</f>
        <v/>
      </c>
      <c r="H13" s="177">
        <f>'Data Sheet'!H65</f>
        <v/>
      </c>
      <c r="I13" s="177">
        <f>'Data Sheet'!I65</f>
        <v/>
      </c>
      <c r="J13" s="177">
        <f>'Data Sheet'!J65</f>
        <v/>
      </c>
      <c r="K13" s="177">
        <f>'Data Sheet'!K65</f>
        <v/>
      </c>
    </row>
    <row r="14" customFormat="1" s="37">
      <c r="A14" s="37" t="inlineStr">
        <is>
          <t>Total</t>
        </is>
      </c>
      <c r="B14" s="177">
        <f>'Data Sheet'!B66</f>
        <v/>
      </c>
      <c r="C14" s="177">
        <f>'Data Sheet'!C66</f>
        <v/>
      </c>
      <c r="D14" s="177">
        <f>'Data Sheet'!D66</f>
        <v/>
      </c>
      <c r="E14" s="177">
        <f>'Data Sheet'!E66</f>
        <v/>
      </c>
      <c r="F14" s="177">
        <f>'Data Sheet'!F66</f>
        <v/>
      </c>
      <c r="G14" s="177">
        <f>'Data Sheet'!G66</f>
        <v/>
      </c>
      <c r="H14" s="177">
        <f>'Data Sheet'!H66</f>
        <v/>
      </c>
      <c r="I14" s="177">
        <f>'Data Sheet'!I66</f>
        <v/>
      </c>
      <c r="J14" s="177">
        <f>'Data Sheet'!J66</f>
        <v/>
      </c>
      <c r="K14" s="177">
        <f>'Data Sheet'!K66</f>
        <v/>
      </c>
    </row>
    <row r="15">
      <c r="B15" s="179" t="n"/>
      <c r="C15" s="179" t="n"/>
      <c r="D15" s="179" t="n"/>
      <c r="E15" s="179" t="n"/>
      <c r="F15" s="179" t="n"/>
      <c r="G15" s="179" t="n"/>
      <c r="H15" s="179" t="n"/>
      <c r="I15" s="179" t="n"/>
      <c r="J15" s="179" t="n"/>
      <c r="K15" s="179" t="n"/>
    </row>
    <row r="16">
      <c r="A16" t="inlineStr">
        <is>
          <t>Working Capital</t>
        </is>
      </c>
      <c r="B16" s="179">
        <f>B13-B7</f>
        <v/>
      </c>
      <c r="C16" s="179">
        <f>C13-C7</f>
        <v/>
      </c>
      <c r="D16" s="179">
        <f>D13-D7</f>
        <v/>
      </c>
      <c r="E16" s="179">
        <f>E13-E7</f>
        <v/>
      </c>
      <c r="F16" s="179">
        <f>F13-F7</f>
        <v/>
      </c>
      <c r="G16" s="179">
        <f>G13-G7</f>
        <v/>
      </c>
      <c r="H16" s="179">
        <f>H13-H7</f>
        <v/>
      </c>
      <c r="I16" s="179">
        <f>I13-I7</f>
        <v/>
      </c>
      <c r="J16" s="179">
        <f>J13-J7</f>
        <v/>
      </c>
      <c r="K16" s="179">
        <f>K13-K7</f>
        <v/>
      </c>
    </row>
    <row r="17">
      <c r="A17" t="inlineStr">
        <is>
          <t>Debtors</t>
        </is>
      </c>
      <c r="B17" s="179">
        <f>'Data Sheet'!B67</f>
        <v/>
      </c>
      <c r="C17" s="179">
        <f>'Data Sheet'!C67</f>
        <v/>
      </c>
      <c r="D17" s="179">
        <f>'Data Sheet'!D67</f>
        <v/>
      </c>
      <c r="E17" s="179">
        <f>'Data Sheet'!E67</f>
        <v/>
      </c>
      <c r="F17" s="179">
        <f>'Data Sheet'!F67</f>
        <v/>
      </c>
      <c r="G17" s="179">
        <f>'Data Sheet'!G67</f>
        <v/>
      </c>
      <c r="H17" s="179">
        <f>'Data Sheet'!H67</f>
        <v/>
      </c>
      <c r="I17" s="179">
        <f>'Data Sheet'!I67</f>
        <v/>
      </c>
      <c r="J17" s="179">
        <f>'Data Sheet'!J67</f>
        <v/>
      </c>
      <c r="K17" s="179">
        <f>'Data Sheet'!K67</f>
        <v/>
      </c>
    </row>
    <row r="18">
      <c r="A18" t="inlineStr">
        <is>
          <t>Inventory</t>
        </is>
      </c>
      <c r="B18" s="179">
        <f>'Data Sheet'!B68</f>
        <v/>
      </c>
      <c r="C18" s="179">
        <f>'Data Sheet'!C68</f>
        <v/>
      </c>
      <c r="D18" s="179">
        <f>'Data Sheet'!D68</f>
        <v/>
      </c>
      <c r="E18" s="179">
        <f>'Data Sheet'!E68</f>
        <v/>
      </c>
      <c r="F18" s="179">
        <f>'Data Sheet'!F68</f>
        <v/>
      </c>
      <c r="G18" s="179">
        <f>'Data Sheet'!G68</f>
        <v/>
      </c>
      <c r="H18" s="179">
        <f>'Data Sheet'!H68</f>
        <v/>
      </c>
      <c r="I18" s="179">
        <f>'Data Sheet'!I68</f>
        <v/>
      </c>
      <c r="J18" s="179">
        <f>'Data Sheet'!J68</f>
        <v/>
      </c>
      <c r="K18" s="179">
        <f>'Data Sheet'!K68</f>
        <v/>
      </c>
    </row>
    <row r="20">
      <c r="A20" t="inlineStr">
        <is>
          <t>Debtor Days</t>
        </is>
      </c>
      <c r="B20" s="179">
        <f>IF('Profit &amp; Loss'!B4&gt;0,'Balance Sheet'!B17/('Profit &amp; Loss'!B4/365),0)</f>
        <v/>
      </c>
      <c r="C20" s="179">
        <f>IF('Profit &amp; Loss'!C4&gt;0,'Balance Sheet'!C17/('Profit &amp; Loss'!C4/365),0)</f>
        <v/>
      </c>
      <c r="D20" s="179">
        <f>IF('Profit &amp; Loss'!D4&gt;0,'Balance Sheet'!D17/('Profit &amp; Loss'!D4/365),0)</f>
        <v/>
      </c>
      <c r="E20" s="179">
        <f>IF('Profit &amp; Loss'!E4&gt;0,'Balance Sheet'!E17/('Profit &amp; Loss'!E4/365),0)</f>
        <v/>
      </c>
      <c r="F20" s="179">
        <f>IF('Profit &amp; Loss'!F4&gt;0,'Balance Sheet'!F17/('Profit &amp; Loss'!F4/365),0)</f>
        <v/>
      </c>
      <c r="G20" s="179">
        <f>IF('Profit &amp; Loss'!G4&gt;0,'Balance Sheet'!G17/('Profit &amp; Loss'!G4/365),0)</f>
        <v/>
      </c>
      <c r="H20" s="179">
        <f>IF('Profit &amp; Loss'!H4&gt;0,'Balance Sheet'!H17/('Profit &amp; Loss'!H4/365),0)</f>
        <v/>
      </c>
      <c r="I20" s="179">
        <f>IF('Profit &amp; Loss'!I4&gt;0,'Balance Sheet'!I17/('Profit &amp; Loss'!I4/365),0)</f>
        <v/>
      </c>
      <c r="J20" s="179">
        <f>IF('Profit &amp; Loss'!J4&gt;0,'Balance Sheet'!J17/('Profit &amp; Loss'!J4/365),0)</f>
        <v/>
      </c>
      <c r="K20" s="179">
        <f>IF('Profit &amp; Loss'!K4&gt;0,'Balance Sheet'!K17/('Profit &amp; Loss'!K4/365),0)</f>
        <v/>
      </c>
    </row>
    <row r="21">
      <c r="A21" t="inlineStr">
        <is>
          <t>Inventory Turnover</t>
        </is>
      </c>
      <c r="B21" s="179">
        <f>IF('Balance Sheet'!B18&gt;0,'Profit &amp; Loss'!B4/'Balance Sheet'!B18,0)</f>
        <v/>
      </c>
      <c r="C21" s="179">
        <f>IF('Balance Sheet'!C18&gt;0,'Profit &amp; Loss'!C4/'Balance Sheet'!C18,0)</f>
        <v/>
      </c>
      <c r="D21" s="179">
        <f>IF('Balance Sheet'!D18&gt;0,'Profit &amp; Loss'!D4/'Balance Sheet'!D18,0)</f>
        <v/>
      </c>
      <c r="E21" s="179">
        <f>IF('Balance Sheet'!E18&gt;0,'Profit &amp; Loss'!E4/'Balance Sheet'!E18,0)</f>
        <v/>
      </c>
      <c r="F21" s="179">
        <f>IF('Balance Sheet'!F18&gt;0,'Profit &amp; Loss'!F4/'Balance Sheet'!F18,0)</f>
        <v/>
      </c>
      <c r="G21" s="179">
        <f>IF('Balance Sheet'!G18&gt;0,'Profit &amp; Loss'!G4/'Balance Sheet'!G18,0)</f>
        <v/>
      </c>
      <c r="H21" s="179">
        <f>IF('Balance Sheet'!H18&gt;0,'Profit &amp; Loss'!H4/'Balance Sheet'!H18,0)</f>
        <v/>
      </c>
      <c r="I21" s="179">
        <f>IF('Balance Sheet'!I18&gt;0,'Profit &amp; Loss'!I4/'Balance Sheet'!I18,0)</f>
        <v/>
      </c>
      <c r="J21" s="179">
        <f>IF('Balance Sheet'!J18&gt;0,'Profit &amp; Loss'!J4/'Balance Sheet'!J18,0)</f>
        <v/>
      </c>
      <c r="K21" s="179">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3">
        <f>'Data Sheet'!B82</f>
        <v/>
      </c>
      <c r="C4" s="173">
        <f>'Data Sheet'!C82</f>
        <v/>
      </c>
      <c r="D4" s="173">
        <f>'Data Sheet'!D82</f>
        <v/>
      </c>
      <c r="E4" s="173">
        <f>'Data Sheet'!E82</f>
        <v/>
      </c>
      <c r="F4" s="173">
        <f>'Data Sheet'!F82</f>
        <v/>
      </c>
      <c r="G4" s="173">
        <f>'Data Sheet'!G82</f>
        <v/>
      </c>
      <c r="H4" s="173">
        <f>'Data Sheet'!H82</f>
        <v/>
      </c>
      <c r="I4" s="173">
        <f>'Data Sheet'!I82</f>
        <v/>
      </c>
      <c r="J4" s="173">
        <f>'Data Sheet'!J82</f>
        <v/>
      </c>
      <c r="K4" s="173">
        <f>'Data Sheet'!K82</f>
        <v/>
      </c>
    </row>
    <row r="5">
      <c r="A5" t="inlineStr">
        <is>
          <t>Cash from Investing Activity</t>
        </is>
      </c>
      <c r="B5" s="174">
        <f>'Data Sheet'!B83</f>
        <v/>
      </c>
      <c r="C5" s="174">
        <f>'Data Sheet'!C83</f>
        <v/>
      </c>
      <c r="D5" s="174">
        <f>'Data Sheet'!D83</f>
        <v/>
      </c>
      <c r="E5" s="174">
        <f>'Data Sheet'!E83</f>
        <v/>
      </c>
      <c r="F5" s="174">
        <f>'Data Sheet'!F83</f>
        <v/>
      </c>
      <c r="G5" s="174">
        <f>'Data Sheet'!G83</f>
        <v/>
      </c>
      <c r="H5" s="174">
        <f>'Data Sheet'!H83</f>
        <v/>
      </c>
      <c r="I5" s="174">
        <f>'Data Sheet'!I83</f>
        <v/>
      </c>
      <c r="J5" s="174">
        <f>'Data Sheet'!J83</f>
        <v/>
      </c>
      <c r="K5" s="174">
        <f>'Data Sheet'!K83</f>
        <v/>
      </c>
    </row>
    <row r="6">
      <c r="A6" t="inlineStr">
        <is>
          <t>Cash from Financing Activity</t>
        </is>
      </c>
      <c r="B6" s="174">
        <f>'Data Sheet'!B84</f>
        <v/>
      </c>
      <c r="C6" s="174">
        <f>'Data Sheet'!C84</f>
        <v/>
      </c>
      <c r="D6" s="174">
        <f>'Data Sheet'!D84</f>
        <v/>
      </c>
      <c r="E6" s="174">
        <f>'Data Sheet'!E84</f>
        <v/>
      </c>
      <c r="F6" s="174">
        <f>'Data Sheet'!F84</f>
        <v/>
      </c>
      <c r="G6" s="174">
        <f>'Data Sheet'!G84</f>
        <v/>
      </c>
      <c r="H6" s="174">
        <f>'Data Sheet'!H84</f>
        <v/>
      </c>
      <c r="I6" s="174">
        <f>'Data Sheet'!I84</f>
        <v/>
      </c>
      <c r="J6" s="174">
        <f>'Data Sheet'!J84</f>
        <v/>
      </c>
      <c r="K6" s="174">
        <f>'Data Sheet'!K84</f>
        <v/>
      </c>
    </row>
    <row r="7" customFormat="1" s="37">
      <c r="A7" s="37" t="inlineStr">
        <is>
          <t>Net Cash Flow</t>
        </is>
      </c>
      <c r="B7" s="173">
        <f>'Data Sheet'!B85</f>
        <v/>
      </c>
      <c r="C7" s="173">
        <f>'Data Sheet'!C85</f>
        <v/>
      </c>
      <c r="D7" s="173">
        <f>'Data Sheet'!D85</f>
        <v/>
      </c>
      <c r="E7" s="173">
        <f>'Data Sheet'!E85</f>
        <v/>
      </c>
      <c r="F7" s="173">
        <f>'Data Sheet'!F85</f>
        <v/>
      </c>
      <c r="G7" s="173">
        <f>'Data Sheet'!G85</f>
        <v/>
      </c>
      <c r="H7" s="173">
        <f>'Data Sheet'!H85</f>
        <v/>
      </c>
      <c r="I7" s="173">
        <f>'Data Sheet'!I85</f>
        <v/>
      </c>
      <c r="J7" s="173">
        <f>'Data Sheet'!J85</f>
        <v/>
      </c>
      <c r="K7" s="173">
        <f>'Data Sheet'!K85</f>
        <v/>
      </c>
    </row>
    <row r="8">
      <c r="B8" s="174" t="n"/>
      <c r="C8" s="174" t="n"/>
      <c r="D8" s="174" t="n"/>
      <c r="E8" s="174" t="n"/>
      <c r="F8" s="174" t="n"/>
      <c r="G8" s="174" t="n"/>
      <c r="H8" s="174" t="n"/>
      <c r="I8" s="174" t="n"/>
      <c r="J8" s="174" t="n"/>
      <c r="K8" s="174"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0">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80">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81">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81">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81">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81">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81">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81">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81">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81">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81">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81">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81">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81">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81">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81">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81">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0">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80"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81">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81">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81">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81">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80"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81"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81">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81">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81">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81">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81">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81">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79" min="1" max="1"/>
    <col width="13.44140625" bestFit="1" customWidth="1" style="179" min="2" max="11"/>
    <col width="8.77734375" customWidth="1" style="179" min="12" max="16384"/>
  </cols>
  <sheetData>
    <row r="1" customFormat="1" s="173">
      <c r="A1" s="173" t="inlineStr">
        <is>
          <t>COMPANY NAME</t>
        </is>
      </c>
      <c r="B1" s="173" t="inlineStr">
        <is>
          <t>Wipro Ltd</t>
        </is>
      </c>
      <c r="E1" s="182">
        <f>IF(B2&lt;&gt;B3, "A NEW VERSION OF THE WORKSHEET IS AVAILABLE", "")</f>
        <v/>
      </c>
    </row>
    <row r="2">
      <c r="A2" s="173" t="inlineStr">
        <is>
          <t>LATEST VERSION</t>
        </is>
      </c>
      <c r="B2" s="179" t="n">
        <v>2.1</v>
      </c>
      <c r="E2" s="183" t="inlineStr">
        <is>
          <t>PLEASE DO NOT MAKE ANY CHANGES TO THIS SHEET</t>
        </is>
      </c>
    </row>
    <row r="3">
      <c r="A3" s="173" t="inlineStr">
        <is>
          <t>CURRENT VERSION</t>
        </is>
      </c>
      <c r="B3" s="179" t="n">
        <v>2.1</v>
      </c>
    </row>
    <row r="4">
      <c r="A4" s="173" t="n"/>
    </row>
    <row r="5">
      <c r="A5" s="173" t="inlineStr">
        <is>
          <t>META</t>
        </is>
      </c>
    </row>
    <row r="6">
      <c r="A6" s="179" t="inlineStr">
        <is>
          <t>Number of shares</t>
        </is>
      </c>
      <c r="B6" s="179">
        <f>IF(B9&gt;0, B9/B8, 0)</f>
        <v/>
      </c>
    </row>
    <row r="7">
      <c r="A7" s="179" t="inlineStr">
        <is>
          <t>Face Value</t>
        </is>
      </c>
      <c r="B7" t="n">
        <v>2</v>
      </c>
    </row>
    <row r="8">
      <c r="A8" s="179" t="inlineStr">
        <is>
          <t>Current Price</t>
        </is>
      </c>
      <c r="B8" t="n">
        <v>167</v>
      </c>
    </row>
    <row r="9">
      <c r="A9" s="179" t="inlineStr">
        <is>
          <t>Market Capitalization</t>
        </is>
      </c>
      <c r="B9" t="n">
        <v>175183</v>
      </c>
    </row>
    <row r="15">
      <c r="A15" s="173" t="inlineStr">
        <is>
          <t>PROFIT &amp; LOSS</t>
        </is>
      </c>
    </row>
    <row r="16" customFormat="1" s="24">
      <c r="A16" s="23" t="inlineStr">
        <is>
          <t>Report Date</t>
        </is>
      </c>
      <c r="B16" s="16" t="inlineStr">
        <is>
          <t>Mar 2017</t>
        </is>
      </c>
      <c r="C16" s="16" t="inlineStr">
        <is>
          <t>Mar 2018</t>
        </is>
      </c>
      <c r="D16" s="16" t="inlineStr">
        <is>
          <t>Mar 2019</t>
        </is>
      </c>
      <c r="E16" s="16" t="inlineStr">
        <is>
          <t>Mar 2020</t>
        </is>
      </c>
      <c r="F16" s="16" t="inlineStr">
        <is>
          <t>Mar 2021</t>
        </is>
      </c>
      <c r="G16" s="16" t="inlineStr">
        <is>
          <t>Mar 2022</t>
        </is>
      </c>
      <c r="H16" s="16" t="inlineStr">
        <is>
          <t>Mar 2023</t>
        </is>
      </c>
      <c r="I16" s="16" t="inlineStr">
        <is>
          <t>Mar 2024</t>
        </is>
      </c>
      <c r="J16" s="16" t="inlineStr">
        <is>
          <t>Mar 2025</t>
        </is>
      </c>
      <c r="K16" s="16" t="inlineStr">
        <is>
          <t>Mar 2026</t>
        </is>
      </c>
    </row>
    <row r="17" customFormat="1" s="174">
      <c r="A17" s="174" t="inlineStr">
        <is>
          <t>Sales</t>
        </is>
      </c>
      <c r="B17" t="n">
        <v>55448</v>
      </c>
      <c r="C17" t="n">
        <v>54487</v>
      </c>
      <c r="D17" t="n">
        <v>59019</v>
      </c>
      <c r="E17" t="n">
        <v>61138</v>
      </c>
      <c r="F17" t="n">
        <v>61935</v>
      </c>
      <c r="G17" t="n">
        <v>79312</v>
      </c>
      <c r="H17" t="n">
        <v>90488</v>
      </c>
      <c r="I17" t="n">
        <v>89760</v>
      </c>
      <c r="J17" t="n">
        <v>89088</v>
      </c>
      <c r="K17" t="n">
        <v>92624</v>
      </c>
    </row>
    <row r="18" customFormat="1" s="174">
      <c r="A18" s="179" t="inlineStr">
        <is>
          <t>Raw Material Cost</t>
        </is>
      </c>
      <c r="B18" t="n">
        <v>2772.4</v>
      </c>
      <c r="C18" t="n">
        <v>1634.61</v>
      </c>
      <c r="D18" t="n">
        <v>1180.38</v>
      </c>
      <c r="E18" t="n">
        <v>1222.76</v>
      </c>
      <c r="F18" t="n">
        <v>619.35</v>
      </c>
      <c r="G18" t="n">
        <v>793.12</v>
      </c>
      <c r="H18" t="n">
        <v>904.88</v>
      </c>
      <c r="I18" t="n">
        <v>0</v>
      </c>
      <c r="J18" t="n">
        <v>0</v>
      </c>
      <c r="K18" t="n">
        <v>926.24</v>
      </c>
    </row>
    <row r="19" customFormat="1" s="174">
      <c r="A19" s="179" t="inlineStr">
        <is>
          <t>Change in Inventory</t>
        </is>
      </c>
      <c r="B19" t="n">
        <v>0</v>
      </c>
      <c r="C19" t="n">
        <v>0</v>
      </c>
      <c r="D19" t="n">
        <v>0</v>
      </c>
      <c r="E19" t="n">
        <v>0</v>
      </c>
      <c r="F19" t="n">
        <v>0</v>
      </c>
      <c r="G19" t="n">
        <v>0</v>
      </c>
      <c r="H19" t="n">
        <v>0</v>
      </c>
      <c r="I19" t="n">
        <v>0</v>
      </c>
      <c r="J19" t="n">
        <v>0</v>
      </c>
      <c r="K19" t="n">
        <v>0</v>
      </c>
    </row>
    <row r="20" customFormat="1" s="174">
      <c r="A20" s="179" t="inlineStr">
        <is>
          <t>Power and Fuel</t>
        </is>
      </c>
      <c r="B20" t="n">
        <v>0</v>
      </c>
      <c r="C20" t="n">
        <v>0</v>
      </c>
      <c r="D20" t="n">
        <v>0</v>
      </c>
      <c r="E20" t="n">
        <v>0</v>
      </c>
      <c r="F20" t="n">
        <v>0</v>
      </c>
      <c r="G20" t="n">
        <v>0</v>
      </c>
      <c r="H20" t="n">
        <v>0</v>
      </c>
      <c r="I20" t="n">
        <v>0</v>
      </c>
      <c r="J20" t="n">
        <v>0</v>
      </c>
      <c r="K20" t="n">
        <v>0</v>
      </c>
    </row>
    <row r="21" customFormat="1" s="174">
      <c r="A21" s="179" t="inlineStr">
        <is>
          <t>Other Mfr. Exp</t>
        </is>
      </c>
      <c r="B21" t="n">
        <v>0</v>
      </c>
      <c r="C21" t="n">
        <v>0</v>
      </c>
      <c r="D21" t="n">
        <v>0</v>
      </c>
      <c r="E21" t="n">
        <v>0</v>
      </c>
      <c r="F21" t="n">
        <v>0</v>
      </c>
      <c r="G21" t="n">
        <v>1586.24</v>
      </c>
      <c r="H21" t="n">
        <v>1809.76</v>
      </c>
      <c r="I21" t="n">
        <v>1795.2</v>
      </c>
      <c r="J21" t="n">
        <v>1781.76</v>
      </c>
      <c r="K21" t="n">
        <v>1852.48</v>
      </c>
    </row>
    <row r="22" customFormat="1" s="174">
      <c r="A22" s="179" t="inlineStr">
        <is>
          <t>Employee Cost</t>
        </is>
      </c>
      <c r="B22" t="n">
        <v>26615.04</v>
      </c>
      <c r="C22" t="n">
        <v>27243.5</v>
      </c>
      <c r="D22" t="n">
        <v>30099.69</v>
      </c>
      <c r="E22" t="n">
        <v>32403.14</v>
      </c>
      <c r="F22" t="n">
        <v>33444.9</v>
      </c>
      <c r="G22" t="n">
        <v>45207.84</v>
      </c>
      <c r="H22" t="n">
        <v>53387.92</v>
      </c>
      <c r="I22" t="n">
        <v>54753.6</v>
      </c>
      <c r="J22" t="n">
        <v>53452.8</v>
      </c>
      <c r="K22" t="n">
        <v>55574.4</v>
      </c>
    </row>
    <row r="23" customFormat="1" s="174">
      <c r="A23" s="179" t="inlineStr">
        <is>
          <t>Selling and admin</t>
        </is>
      </c>
      <c r="B23" t="n">
        <v>0</v>
      </c>
      <c r="C23" t="n">
        <v>0</v>
      </c>
      <c r="D23" t="n">
        <v>0</v>
      </c>
      <c r="E23" t="n">
        <v>0</v>
      </c>
      <c r="F23" t="n">
        <v>0</v>
      </c>
      <c r="G23" t="n">
        <v>0</v>
      </c>
      <c r="H23" t="n">
        <v>0</v>
      </c>
      <c r="I23" t="n">
        <v>0</v>
      </c>
      <c r="J23" t="n">
        <v>0</v>
      </c>
      <c r="K23" t="n">
        <v>0</v>
      </c>
    </row>
    <row r="24" customFormat="1" s="174">
      <c r="A24" s="179" t="inlineStr">
        <is>
          <t>Other Expenses</t>
        </is>
      </c>
      <c r="B24" t="n">
        <v>14416.48</v>
      </c>
      <c r="C24" t="n">
        <v>15256.36</v>
      </c>
      <c r="D24" t="n">
        <v>15935.13</v>
      </c>
      <c r="E24" t="n">
        <v>15284.5</v>
      </c>
      <c r="F24" t="n">
        <v>13006.35</v>
      </c>
      <c r="G24" t="n">
        <v>15862.4</v>
      </c>
      <c r="H24" t="n">
        <v>17192.72</v>
      </c>
      <c r="I24" t="n">
        <v>16156.8</v>
      </c>
      <c r="J24" t="n">
        <v>15144.96</v>
      </c>
      <c r="K24" t="n">
        <v>16672.32</v>
      </c>
    </row>
    <row r="25" customFormat="1" s="174">
      <c r="A25" s="174" t="inlineStr">
        <is>
          <t>Other Income</t>
        </is>
      </c>
      <c r="B25" t="n">
        <v>2623</v>
      </c>
      <c r="C25" t="n">
        <v>2550</v>
      </c>
      <c r="D25" t="n">
        <v>2614</v>
      </c>
      <c r="E25" t="n">
        <v>2728</v>
      </c>
      <c r="F25" t="n">
        <v>2404</v>
      </c>
      <c r="G25" t="n">
        <v>2067</v>
      </c>
      <c r="H25" t="n">
        <v>2275</v>
      </c>
      <c r="I25" t="n">
        <v>2631</v>
      </c>
      <c r="J25" t="n">
        <v>3909</v>
      </c>
      <c r="K25" t="n">
        <v>3899</v>
      </c>
    </row>
    <row r="26" customFormat="1" s="174">
      <c r="A26" s="174" t="inlineStr">
        <is>
          <t>Depreciation</t>
        </is>
      </c>
      <c r="B26" t="n">
        <v>2310</v>
      </c>
      <c r="C26" t="n">
        <v>2112</v>
      </c>
      <c r="D26" t="n">
        <v>1947</v>
      </c>
      <c r="E26" t="n">
        <v>2086</v>
      </c>
      <c r="F26" t="n">
        <v>2763</v>
      </c>
      <c r="G26" t="n">
        <v>3078</v>
      </c>
      <c r="H26" t="n">
        <v>3340</v>
      </c>
      <c r="I26" t="n">
        <v>3407</v>
      </c>
      <c r="J26" t="n">
        <v>2958</v>
      </c>
      <c r="K26" t="n">
        <v>2911</v>
      </c>
    </row>
    <row r="27" customFormat="1" s="174">
      <c r="A27" s="174" t="inlineStr">
        <is>
          <t>Interest</t>
        </is>
      </c>
      <c r="B27" t="n">
        <v>594</v>
      </c>
      <c r="C27" t="n">
        <v>583</v>
      </c>
      <c r="D27" t="n">
        <v>738</v>
      </c>
      <c r="E27" t="n">
        <v>733</v>
      </c>
      <c r="F27" t="n">
        <v>509</v>
      </c>
      <c r="G27" t="n">
        <v>532</v>
      </c>
      <c r="H27" t="n">
        <v>1008</v>
      </c>
      <c r="I27" t="n">
        <v>1255</v>
      </c>
      <c r="J27" t="n">
        <v>1477</v>
      </c>
      <c r="K27" t="n">
        <v>1458</v>
      </c>
    </row>
    <row r="28" customFormat="1" s="174">
      <c r="A28" s="174" t="inlineStr">
        <is>
          <t>Profit before tax</t>
        </is>
      </c>
      <c r="B28" t="n">
        <v>11039</v>
      </c>
      <c r="C28" t="n">
        <v>10242</v>
      </c>
      <c r="D28" t="n">
        <v>11542</v>
      </c>
      <c r="E28" t="n">
        <v>12252</v>
      </c>
      <c r="F28" t="n">
        <v>13903</v>
      </c>
      <c r="G28" t="n">
        <v>15141</v>
      </c>
      <c r="H28" t="n">
        <v>14766</v>
      </c>
      <c r="I28" t="n">
        <v>14721</v>
      </c>
      <c r="J28" t="n">
        <v>17496</v>
      </c>
      <c r="K28" t="n">
        <v>17342</v>
      </c>
    </row>
    <row r="29" customFormat="1" s="174">
      <c r="A29" s="174" t="inlineStr">
        <is>
          <t>Tax</t>
        </is>
      </c>
      <c r="B29" t="n">
        <v>11039</v>
      </c>
      <c r="C29" t="n">
        <v>10242</v>
      </c>
      <c r="D29" t="n">
        <v>11542</v>
      </c>
      <c r="E29" t="n">
        <v>12252</v>
      </c>
      <c r="F29" t="n">
        <v>13903</v>
      </c>
      <c r="G29" t="n">
        <v>15141</v>
      </c>
      <c r="H29" t="n">
        <v>14766</v>
      </c>
      <c r="I29" t="n">
        <v>14721</v>
      </c>
      <c r="J29" t="n">
        <v>17496</v>
      </c>
      <c r="K29" t="n">
        <v>17342</v>
      </c>
    </row>
    <row r="30" customFormat="1" s="174">
      <c r="A30" s="174" t="inlineStr">
        <is>
          <t>Net profit</t>
        </is>
      </c>
      <c r="B30" t="n">
        <v>8518</v>
      </c>
      <c r="C30" t="n">
        <v>8003</v>
      </c>
      <c r="D30" t="n">
        <v>9018</v>
      </c>
      <c r="E30" t="n">
        <v>9772</v>
      </c>
      <c r="F30" t="n">
        <v>10868</v>
      </c>
      <c r="G30" t="n">
        <v>12243</v>
      </c>
      <c r="H30" t="n">
        <v>11366</v>
      </c>
      <c r="I30" t="n">
        <v>11112</v>
      </c>
      <c r="J30" t="n">
        <v>13218</v>
      </c>
      <c r="K30" t="n">
        <v>13266</v>
      </c>
    </row>
    <row r="31" customFormat="1" s="174">
      <c r="A31" s="174" t="inlineStr">
        <is>
          <t>Dividend Amount</t>
        </is>
      </c>
      <c r="B31" t="n">
        <v>511.08</v>
      </c>
      <c r="C31" t="n">
        <v>480.18</v>
      </c>
      <c r="D31" t="n">
        <v>631.26</v>
      </c>
      <c r="E31" t="n">
        <v>586.3200000000001</v>
      </c>
      <c r="F31" t="n">
        <v>543.4</v>
      </c>
      <c r="G31" t="n">
        <v>3305.61</v>
      </c>
      <c r="H31" t="n">
        <v>568.3</v>
      </c>
      <c r="I31" t="n">
        <v>555.6</v>
      </c>
      <c r="J31" t="n">
        <v>6344.64</v>
      </c>
      <c r="K31" t="n">
        <v>11541.42</v>
      </c>
    </row>
    <row r="32" customFormat="1" s="174">
      <c r="A32" s="174" t="inlineStr">
        <is>
          <t>EBITDA</t>
        </is>
      </c>
      <c r="B32" s="174" t="n">
        <v>0</v>
      </c>
      <c r="C32" s="174" t="n">
        <v>0</v>
      </c>
      <c r="D32" s="174" t="n">
        <v>0</v>
      </c>
      <c r="E32" s="174" t="n">
        <v>0</v>
      </c>
      <c r="F32" s="174" t="n">
        <v>0</v>
      </c>
      <c r="G32" s="174" t="n">
        <v>0</v>
      </c>
      <c r="H32" s="174" t="n">
        <v>0</v>
      </c>
      <c r="I32" s="174" t="n">
        <v>0</v>
      </c>
      <c r="J32" s="174" t="n">
        <v>0</v>
      </c>
      <c r="K32" s="174" t="n">
        <v>0</v>
      </c>
    </row>
    <row r="33">
      <c r="A33" s="174" t="n"/>
      <c r="B33">
        <f>B30+B29+B27+B26</f>
        <v/>
      </c>
      <c r="C33">
        <f>C30+C29+C27+C26</f>
        <v/>
      </c>
      <c r="D33">
        <f>D30+D29+D27+D26</f>
        <v/>
      </c>
      <c r="E33">
        <f>E30+E29+E27+E26</f>
        <v/>
      </c>
      <c r="F33">
        <f>F30+F29+F27+F26</f>
        <v/>
      </c>
      <c r="G33">
        <f>G30+G29+G27+G26</f>
        <v/>
      </c>
      <c r="H33">
        <f>H30+H29+H27+H26</f>
        <v/>
      </c>
      <c r="I33">
        <f>I30+I29+I27+I26</f>
        <v/>
      </c>
      <c r="J33">
        <f>J30+J29+J27+J26</f>
        <v/>
      </c>
      <c r="K33">
        <f>K30+K29+K27+K26</f>
        <v/>
      </c>
    </row>
    <row r="34">
      <c r="A34" s="174" t="n"/>
    </row>
    <row r="35">
      <c r="A35" s="174" t="n"/>
    </row>
    <row r="36">
      <c r="A36" s="174" t="n"/>
    </row>
    <row r="37">
      <c r="A37" s="174" t="n"/>
    </row>
    <row r="38">
      <c r="A38" s="174" t="n"/>
    </row>
    <row r="39">
      <c r="A39" s="174" t="n"/>
    </row>
    <row r="40">
      <c r="A40" s="173" t="inlineStr">
        <is>
          <t>Quarters</t>
        </is>
      </c>
    </row>
    <row r="41" customFormat="1" s="24">
      <c r="A41" s="23" t="inlineStr">
        <is>
          <t>Report Date</t>
        </is>
      </c>
      <c r="B41" s="16" t="inlineStr">
        <is>
          <t>Mar 2024</t>
        </is>
      </c>
      <c r="C41" s="16" t="inlineStr">
        <is>
          <t>Jun 2024</t>
        </is>
      </c>
      <c r="D41" s="16" t="inlineStr">
        <is>
          <t>Sep 2024</t>
        </is>
      </c>
      <c r="E41" s="16" t="inlineStr">
        <is>
          <t>Dec 2024</t>
        </is>
      </c>
      <c r="F41" s="16" t="inlineStr">
        <is>
          <t>Mar 2025</t>
        </is>
      </c>
      <c r="G41" s="16" t="inlineStr">
        <is>
          <t>Jun 2025</t>
        </is>
      </c>
      <c r="H41" s="16" t="inlineStr">
        <is>
          <t>Sep 2025</t>
        </is>
      </c>
      <c r="I41" s="16" t="inlineStr">
        <is>
          <t>Dec 2025</t>
        </is>
      </c>
      <c r="J41" s="16" t="inlineStr">
        <is>
          <t>Mar 2026</t>
        </is>
      </c>
      <c r="K41" s="16" t="inlineStr">
        <is>
          <t>Jun 2026</t>
        </is>
      </c>
    </row>
    <row r="42" customFormat="1" s="174">
      <c r="A42" s="174" t="inlineStr">
        <is>
          <t>Sales</t>
        </is>
      </c>
      <c r="B42" t="n">
        <v>22208</v>
      </c>
      <c r="C42" t="n">
        <v>21964</v>
      </c>
      <c r="D42" t="n">
        <v>22302</v>
      </c>
      <c r="E42" t="n">
        <v>22319</v>
      </c>
      <c r="F42" t="n">
        <v>22504</v>
      </c>
      <c r="G42" t="n">
        <v>22135</v>
      </c>
      <c r="H42" t="n">
        <v>22697</v>
      </c>
      <c r="I42" t="n">
        <v>23556</v>
      </c>
      <c r="J42" t="n">
        <v>24236</v>
      </c>
      <c r="K42" t="n">
        <v>24479</v>
      </c>
    </row>
    <row r="43" customFormat="1" s="174">
      <c r="A43" s="174" t="inlineStr">
        <is>
          <t>Expenses</t>
        </is>
      </c>
      <c r="B43" t="n">
        <v>17828</v>
      </c>
      <c r="C43" t="n">
        <v>17614</v>
      </c>
      <c r="D43" t="n">
        <v>17798</v>
      </c>
      <c r="E43" t="n">
        <v>17779</v>
      </c>
      <c r="F43" t="n">
        <v>17880</v>
      </c>
      <c r="G43" t="n">
        <v>17902</v>
      </c>
      <c r="H43" t="n">
        <v>18325</v>
      </c>
      <c r="I43" t="n">
        <v>19259</v>
      </c>
      <c r="J43" t="n">
        <v>19327</v>
      </c>
      <c r="K43" t="n">
        <v>19846</v>
      </c>
    </row>
    <row r="44" customFormat="1" s="174">
      <c r="A44" s="174" t="inlineStr">
        <is>
          <t>Other Income</t>
        </is>
      </c>
      <c r="B44" t="n">
        <v>653</v>
      </c>
      <c r="C44" t="n">
        <v>730</v>
      </c>
      <c r="D44" t="n">
        <v>962</v>
      </c>
      <c r="E44" t="n">
        <v>1005</v>
      </c>
      <c r="F44" t="n">
        <v>1217</v>
      </c>
      <c r="G44" t="n">
        <v>1072</v>
      </c>
      <c r="H44" t="n">
        <v>963</v>
      </c>
      <c r="I44" t="n">
        <v>1008</v>
      </c>
      <c r="J44" t="n">
        <v>857</v>
      </c>
      <c r="K44" t="n">
        <v>979</v>
      </c>
    </row>
    <row r="45" customFormat="1" s="174">
      <c r="A45" s="174" t="inlineStr">
        <is>
          <t>Depreciation</t>
        </is>
      </c>
      <c r="B45" t="n">
        <v>840</v>
      </c>
      <c r="C45" t="n">
        <v>729</v>
      </c>
      <c r="D45" t="n">
        <v>831</v>
      </c>
      <c r="E45" t="n">
        <v>676</v>
      </c>
      <c r="F45" t="n">
        <v>722</v>
      </c>
      <c r="G45" t="n">
        <v>686</v>
      </c>
      <c r="H45" t="n">
        <v>692</v>
      </c>
      <c r="I45" t="n">
        <v>805</v>
      </c>
      <c r="J45" t="n">
        <v>728</v>
      </c>
      <c r="K45" t="n">
        <v>804</v>
      </c>
    </row>
    <row r="46" customFormat="1" s="174">
      <c r="A46" s="174" t="inlineStr">
        <is>
          <t>Interest</t>
        </is>
      </c>
      <c r="B46" t="n">
        <v>331</v>
      </c>
      <c r="C46" t="n">
        <v>329</v>
      </c>
      <c r="D46" t="n">
        <v>357</v>
      </c>
      <c r="E46" t="n">
        <v>415</v>
      </c>
      <c r="F46" t="n">
        <v>377</v>
      </c>
      <c r="G46" t="n">
        <v>361</v>
      </c>
      <c r="H46" t="n">
        <v>361</v>
      </c>
      <c r="I46" t="n">
        <v>366</v>
      </c>
      <c r="J46" t="n">
        <v>370</v>
      </c>
      <c r="K46" t="n">
        <v>473</v>
      </c>
    </row>
    <row r="47" customFormat="1" s="174">
      <c r="A47" s="174" t="inlineStr">
        <is>
          <t>Profit before tax</t>
        </is>
      </c>
      <c r="B47" t="n">
        <v>3862</v>
      </c>
      <c r="C47" t="n">
        <v>4022</v>
      </c>
      <c r="D47" t="n">
        <v>4278</v>
      </c>
      <c r="E47" t="n">
        <v>4453</v>
      </c>
      <c r="F47" t="n">
        <v>4743</v>
      </c>
      <c r="G47" t="n">
        <v>4258</v>
      </c>
      <c r="H47" t="n">
        <v>4282</v>
      </c>
      <c r="I47" t="n">
        <v>4134</v>
      </c>
      <c r="J47" t="n">
        <v>4668</v>
      </c>
      <c r="K47" t="n">
        <v>4334</v>
      </c>
    </row>
    <row r="48" customFormat="1" s="174">
      <c r="A48" s="174" t="inlineStr">
        <is>
          <t>Tax</t>
        </is>
      </c>
      <c r="B48" t="n">
        <v>3862</v>
      </c>
      <c r="C48" t="n">
        <v>4022</v>
      </c>
      <c r="D48" t="n">
        <v>4278</v>
      </c>
      <c r="E48" t="n">
        <v>4453</v>
      </c>
      <c r="F48" t="n">
        <v>4743</v>
      </c>
      <c r="G48" t="n">
        <v>4258</v>
      </c>
      <c r="H48" t="n">
        <v>4282</v>
      </c>
      <c r="I48" t="n">
        <v>4134</v>
      </c>
      <c r="J48" t="n">
        <v>4668</v>
      </c>
      <c r="K48" t="n">
        <v>4334</v>
      </c>
    </row>
    <row r="49" customFormat="1" s="174">
      <c r="A49" s="174" t="inlineStr">
        <is>
          <t>Net profit</t>
        </is>
      </c>
      <c r="B49" t="n">
        <v>2858</v>
      </c>
      <c r="C49" t="n">
        <v>3037</v>
      </c>
      <c r="D49" t="n">
        <v>3227</v>
      </c>
      <c r="E49" t="n">
        <v>3367</v>
      </c>
      <c r="F49" t="n">
        <v>3588</v>
      </c>
      <c r="G49" t="n">
        <v>3336</v>
      </c>
      <c r="H49" t="n">
        <v>3262</v>
      </c>
      <c r="I49" t="n">
        <v>3145</v>
      </c>
      <c r="J49" t="n">
        <v>3522</v>
      </c>
      <c r="K49" t="n">
        <v>3356</v>
      </c>
    </row>
    <row r="50">
      <c r="A50" s="174" t="inlineStr">
        <is>
          <t>Operating Profit</t>
        </is>
      </c>
      <c r="B50" t="n">
        <v>4381</v>
      </c>
      <c r="C50" t="n">
        <v>4350</v>
      </c>
      <c r="D50" t="n">
        <v>4503</v>
      </c>
      <c r="E50" t="n">
        <v>4540</v>
      </c>
      <c r="F50" t="n">
        <v>4624</v>
      </c>
      <c r="G50" t="n">
        <v>4233</v>
      </c>
      <c r="H50" t="n">
        <v>4372</v>
      </c>
      <c r="I50" t="n">
        <v>4296</v>
      </c>
      <c r="J50" t="n">
        <v>4909</v>
      </c>
      <c r="K50" t="n">
        <v>4633</v>
      </c>
    </row>
    <row r="51">
      <c r="A51" s="174" t="n"/>
    </row>
    <row r="52">
      <c r="A52" s="174" t="n"/>
    </row>
    <row r="53">
      <c r="A53" s="174" t="n"/>
    </row>
    <row r="54">
      <c r="A54" s="174" t="n"/>
    </row>
    <row r="55">
      <c r="A55" s="173" t="inlineStr">
        <is>
          <t>BALANCE SHEET</t>
        </is>
      </c>
    </row>
    <row r="56" customFormat="1" s="24">
      <c r="A56" s="23" t="inlineStr">
        <is>
          <t>Report Date</t>
        </is>
      </c>
      <c r="B56" s="16" t="inlineStr">
        <is>
          <t>Mar 2017</t>
        </is>
      </c>
      <c r="C56" s="16" t="inlineStr">
        <is>
          <t>Mar 2018</t>
        </is>
      </c>
      <c r="D56" s="16" t="inlineStr">
        <is>
          <t>Mar 2019</t>
        </is>
      </c>
      <c r="E56" s="16" t="inlineStr">
        <is>
          <t>Mar 2020</t>
        </is>
      </c>
      <c r="F56" s="16" t="inlineStr">
        <is>
          <t>Mar 2021</t>
        </is>
      </c>
      <c r="G56" s="16" t="inlineStr">
        <is>
          <t>Mar 2022</t>
        </is>
      </c>
      <c r="H56" s="16" t="inlineStr">
        <is>
          <t>Mar 2023</t>
        </is>
      </c>
      <c r="I56" s="16" t="inlineStr">
        <is>
          <t>Mar 2024</t>
        </is>
      </c>
      <c r="J56" s="16" t="inlineStr">
        <is>
          <t>Mar 2025</t>
        </is>
      </c>
      <c r="K56" s="16" t="inlineStr">
        <is>
          <t>Mar 2026</t>
        </is>
      </c>
    </row>
    <row r="57">
      <c r="A57" s="174" t="inlineStr">
        <is>
          <t>Equity Share Capital</t>
        </is>
      </c>
      <c r="B57" t="n">
        <v>486</v>
      </c>
      <c r="C57" t="n">
        <v>905</v>
      </c>
      <c r="D57" t="n">
        <v>1207</v>
      </c>
      <c r="E57" t="n">
        <v>1143</v>
      </c>
      <c r="F57" t="n">
        <v>1096</v>
      </c>
      <c r="G57" t="n">
        <v>1096</v>
      </c>
      <c r="H57" t="n">
        <v>1098</v>
      </c>
      <c r="I57" t="n">
        <v>1045</v>
      </c>
      <c r="J57" t="n">
        <v>2094</v>
      </c>
      <c r="K57" t="n">
        <v>2098</v>
      </c>
    </row>
    <row r="58">
      <c r="A58" s="174" t="inlineStr">
        <is>
          <t>Reserves</t>
        </is>
      </c>
      <c r="B58" t="n">
        <v>51184</v>
      </c>
      <c r="C58" t="n">
        <v>47022</v>
      </c>
      <c r="D58" t="n">
        <v>55216</v>
      </c>
      <c r="E58" t="n">
        <v>54179</v>
      </c>
      <c r="F58" t="n">
        <v>53805</v>
      </c>
      <c r="G58" t="n">
        <v>64307</v>
      </c>
      <c r="H58" t="n">
        <v>76570</v>
      </c>
      <c r="I58" t="n">
        <v>73488</v>
      </c>
      <c r="J58" t="n">
        <v>80270</v>
      </c>
      <c r="K58" t="n">
        <v>85921</v>
      </c>
    </row>
    <row r="59">
      <c r="A59" s="174" t="inlineStr">
        <is>
          <t>Borrowings</t>
        </is>
      </c>
      <c r="B59" t="n">
        <v>14241</v>
      </c>
      <c r="C59" t="n">
        <v>13901</v>
      </c>
      <c r="D59" t="n">
        <v>9947</v>
      </c>
      <c r="E59" t="n">
        <v>9724</v>
      </c>
      <c r="F59" t="n">
        <v>10451</v>
      </c>
      <c r="G59" t="n">
        <v>17593</v>
      </c>
      <c r="H59" t="n">
        <v>17467</v>
      </c>
      <c r="I59" t="n">
        <v>16465</v>
      </c>
      <c r="J59" t="n">
        <v>19204</v>
      </c>
      <c r="K59" t="n">
        <v>20291</v>
      </c>
    </row>
    <row r="60">
      <c r="A60" s="174" t="inlineStr">
        <is>
          <t>Other Liabilities</t>
        </is>
      </c>
      <c r="B60" t="n">
        <v>12761</v>
      </c>
      <c r="C60" t="n">
        <v>13563</v>
      </c>
      <c r="D60" t="n">
        <v>16217</v>
      </c>
      <c r="E60" t="n">
        <v>15954</v>
      </c>
      <c r="F60" t="n">
        <v>17213</v>
      </c>
      <c r="G60" t="n">
        <v>24280</v>
      </c>
      <c r="H60" t="n">
        <v>21789</v>
      </c>
      <c r="I60" t="n">
        <v>23611</v>
      </c>
      <c r="J60" t="n">
        <v>26362</v>
      </c>
      <c r="K60" t="n">
        <v>32574</v>
      </c>
    </row>
    <row r="61" customFormat="1" s="173">
      <c r="A61" s="173" t="inlineStr">
        <is>
          <t>Total</t>
        </is>
      </c>
      <c r="B61" t="n">
        <v>78672</v>
      </c>
      <c r="C61" t="n">
        <v>75391</v>
      </c>
      <c r="D61" t="n">
        <v>82586</v>
      </c>
      <c r="E61" t="n">
        <v>81000</v>
      </c>
      <c r="F61" t="n">
        <v>82566</v>
      </c>
      <c r="G61" t="n">
        <v>107276</v>
      </c>
      <c r="H61" t="n">
        <v>116924</v>
      </c>
      <c r="I61" t="n">
        <v>114609</v>
      </c>
      <c r="J61" t="n">
        <v>127929</v>
      </c>
      <c r="K61" t="n">
        <v>140884</v>
      </c>
    </row>
    <row r="62">
      <c r="A62" s="174" t="inlineStr">
        <is>
          <t>Net Block</t>
        </is>
      </c>
      <c r="B62" t="n">
        <v>19886</v>
      </c>
      <c r="C62" t="n">
        <v>18127</v>
      </c>
      <c r="D62" t="n">
        <v>17465</v>
      </c>
      <c r="E62" t="n">
        <v>22062</v>
      </c>
      <c r="F62" t="n">
        <v>23040</v>
      </c>
      <c r="G62" t="n">
        <v>37990</v>
      </c>
      <c r="H62" t="n">
        <v>44757</v>
      </c>
      <c r="I62" t="n">
        <v>43628</v>
      </c>
      <c r="J62" t="n">
        <v>45187</v>
      </c>
      <c r="K62" t="n">
        <v>51690</v>
      </c>
    </row>
    <row r="63">
      <c r="A63" s="174" t="inlineStr">
        <is>
          <t>Capital Work in Progress</t>
        </is>
      </c>
      <c r="B63" t="n">
        <v>738</v>
      </c>
      <c r="C63" t="n">
        <v>1378</v>
      </c>
      <c r="D63" t="n">
        <v>2142</v>
      </c>
      <c r="E63" t="n">
        <v>1881</v>
      </c>
      <c r="F63" t="n">
        <v>1853</v>
      </c>
      <c r="G63" t="n">
        <v>1602</v>
      </c>
      <c r="H63" t="n">
        <v>617</v>
      </c>
      <c r="I63" t="n">
        <v>723</v>
      </c>
      <c r="J63" t="n">
        <v>196</v>
      </c>
      <c r="K63" t="n">
        <v>412</v>
      </c>
    </row>
    <row r="64">
      <c r="A64" s="174" t="inlineStr">
        <is>
          <t>Investments</t>
        </is>
      </c>
      <c r="B64" t="n">
        <v>29913</v>
      </c>
      <c r="C64" t="n">
        <v>25797</v>
      </c>
      <c r="D64" t="n">
        <v>22887</v>
      </c>
      <c r="E64" t="n">
        <v>20032</v>
      </c>
      <c r="F64" t="n">
        <v>18775</v>
      </c>
      <c r="G64" t="n">
        <v>26154</v>
      </c>
      <c r="H64" t="n">
        <v>33073</v>
      </c>
      <c r="I64" t="n">
        <v>33384</v>
      </c>
      <c r="J64" t="n">
        <v>43926</v>
      </c>
      <c r="K64" t="n">
        <v>46786</v>
      </c>
    </row>
    <row r="65">
      <c r="A65" s="174" t="inlineStr">
        <is>
          <t>Other Assets</t>
        </is>
      </c>
      <c r="B65" t="n">
        <v>28135</v>
      </c>
      <c r="C65" t="n">
        <v>30090</v>
      </c>
      <c r="D65" t="n">
        <v>40093</v>
      </c>
      <c r="E65" t="n">
        <v>37024</v>
      </c>
      <c r="F65" t="n">
        <v>38898</v>
      </c>
      <c r="G65" t="n">
        <v>41531</v>
      </c>
      <c r="H65" t="n">
        <v>38477</v>
      </c>
      <c r="I65" t="n">
        <v>36873</v>
      </c>
      <c r="J65" t="n">
        <v>38620</v>
      </c>
      <c r="K65" t="n">
        <v>41995</v>
      </c>
    </row>
    <row r="66" customFormat="1" s="173">
      <c r="A66" s="173" t="inlineStr">
        <is>
          <t>Total</t>
        </is>
      </c>
      <c r="B66" t="n">
        <v>78672</v>
      </c>
      <c r="C66" t="n">
        <v>75391</v>
      </c>
      <c r="D66" t="n">
        <v>82586</v>
      </c>
      <c r="E66" t="n">
        <v>81000</v>
      </c>
      <c r="F66" t="n">
        <v>82566</v>
      </c>
      <c r="G66" t="n">
        <v>107276</v>
      </c>
      <c r="H66" t="n">
        <v>116924</v>
      </c>
      <c r="I66" t="n">
        <v>114609</v>
      </c>
      <c r="J66" t="n">
        <v>127929</v>
      </c>
      <c r="K66" t="n">
        <v>140884</v>
      </c>
    </row>
    <row r="67" customFormat="1" s="174">
      <c r="A67" s="174" t="inlineStr">
        <is>
          <t>Receivables</t>
        </is>
      </c>
      <c r="B67" t="n">
        <v>9485</v>
      </c>
      <c r="C67" t="n">
        <v>10099</v>
      </c>
      <c r="D67" t="n">
        <v>10049</v>
      </c>
      <c r="E67" t="n">
        <v>10447</v>
      </c>
      <c r="F67" t="n">
        <v>9430</v>
      </c>
      <c r="G67" t="n">
        <v>11522</v>
      </c>
      <c r="H67" t="n">
        <v>12635</v>
      </c>
      <c r="I67" t="n">
        <v>11548</v>
      </c>
      <c r="J67" t="n">
        <v>11774</v>
      </c>
      <c r="K67" t="n">
        <v>13590</v>
      </c>
    </row>
    <row r="68">
      <c r="A68" s="174" t="inlineStr">
        <is>
          <t>Inventory</t>
        </is>
      </c>
      <c r="B68" t="n">
        <v>392</v>
      </c>
      <c r="C68" t="n">
        <v>337</v>
      </c>
      <c r="D68" t="n">
        <v>395</v>
      </c>
      <c r="E68" t="n">
        <v>186</v>
      </c>
      <c r="F68" t="n">
        <v>106</v>
      </c>
      <c r="G68" t="n">
        <v>133</v>
      </c>
      <c r="H68" t="n">
        <v>119</v>
      </c>
      <c r="I68" t="n">
        <v>91</v>
      </c>
      <c r="J68" t="n">
        <v>69</v>
      </c>
      <c r="K68" t="n">
        <v>52</v>
      </c>
    </row>
    <row r="69">
      <c r="A69" s="179" t="inlineStr">
        <is>
          <t>Cash &amp; Bank</t>
        </is>
      </c>
      <c r="B69" t="n">
        <v>5271</v>
      </c>
      <c r="C69" t="n">
        <v>4492</v>
      </c>
      <c r="D69" t="n">
        <v>15853</v>
      </c>
      <c r="E69" t="n">
        <v>14450</v>
      </c>
      <c r="F69" t="n">
        <v>16979</v>
      </c>
      <c r="G69" t="n">
        <v>10384</v>
      </c>
      <c r="H69" t="n">
        <v>9188</v>
      </c>
      <c r="I69" t="n">
        <v>9695</v>
      </c>
      <c r="J69" t="n">
        <v>12197</v>
      </c>
      <c r="K69" t="n">
        <v>10556</v>
      </c>
    </row>
    <row r="70">
      <c r="A70" s="179" t="inlineStr">
        <is>
          <t>No. of Equity Shares</t>
        </is>
      </c>
      <c r="B70" t="n">
        <v>2430000000</v>
      </c>
      <c r="C70" t="n">
        <v>4525000000</v>
      </c>
      <c r="D70" t="n">
        <v>6035000000</v>
      </c>
      <c r="E70" t="n">
        <v>5715000000</v>
      </c>
      <c r="F70" t="n">
        <v>5480000000</v>
      </c>
      <c r="G70" t="n">
        <v>5480000000</v>
      </c>
      <c r="H70" t="n">
        <v>5490000000</v>
      </c>
      <c r="I70" t="n">
        <v>5225000000</v>
      </c>
      <c r="J70" t="n">
        <v>10470000000</v>
      </c>
      <c r="K70" t="n">
        <v>10490000000</v>
      </c>
    </row>
    <row r="71">
      <c r="A71" s="179" t="inlineStr">
        <is>
          <t>New Bonus Shares</t>
        </is>
      </c>
      <c r="B71" t="n">
        <v>0</v>
      </c>
      <c r="C71" t="n">
        <v>0</v>
      </c>
      <c r="D71" t="n">
        <v>0</v>
      </c>
      <c r="E71" t="n">
        <v>0</v>
      </c>
      <c r="F71" t="n">
        <v>0</v>
      </c>
      <c r="G71" t="n">
        <v>0</v>
      </c>
      <c r="H71" t="n">
        <v>0</v>
      </c>
      <c r="I71" t="n">
        <v>0</v>
      </c>
      <c r="J71" t="n">
        <v>0</v>
      </c>
      <c r="K71" t="n">
        <v>0</v>
      </c>
    </row>
    <row r="72">
      <c r="A72" s="179" t="inlineStr">
        <is>
          <t>Face value</t>
        </is>
      </c>
      <c r="B72" t="n">
        <v>2</v>
      </c>
      <c r="C72" t="n">
        <v>2</v>
      </c>
      <c r="D72" t="n">
        <v>2</v>
      </c>
      <c r="E72" t="n">
        <v>2</v>
      </c>
      <c r="F72" t="n">
        <v>2</v>
      </c>
      <c r="G72" t="n">
        <v>2</v>
      </c>
      <c r="H72" t="n">
        <v>2</v>
      </c>
      <c r="I72" t="n">
        <v>2</v>
      </c>
      <c r="J72" t="n">
        <v>2</v>
      </c>
      <c r="K72" t="n">
        <v>2</v>
      </c>
    </row>
    <row r="73">
      <c r="B73" t="n">
        <v>0</v>
      </c>
      <c r="C73" t="n">
        <v>0</v>
      </c>
      <c r="D73" t="n">
        <v>0</v>
      </c>
      <c r="E73" t="n">
        <v>0</v>
      </c>
      <c r="F73" t="n">
        <v>0</v>
      </c>
      <c r="G73" t="n">
        <v>0</v>
      </c>
      <c r="H73" t="n">
        <v>0</v>
      </c>
      <c r="I73" t="n">
        <v>0</v>
      </c>
      <c r="J73" t="n">
        <v>0</v>
      </c>
      <c r="K73" t="n">
        <v>0</v>
      </c>
    </row>
    <row r="74">
      <c r="A74" s="174" t="n"/>
      <c r="B74" s="179" t="n">
        <v>0</v>
      </c>
      <c r="C74" s="179" t="n">
        <v>0</v>
      </c>
      <c r="D74" s="179" t="n">
        <v>0</v>
      </c>
      <c r="E74" s="179" t="n">
        <v>0</v>
      </c>
      <c r="F74" s="179" t="n">
        <v>0</v>
      </c>
      <c r="G74" s="179" t="n">
        <v>0</v>
      </c>
      <c r="H74" s="179" t="n">
        <v>0</v>
      </c>
      <c r="I74" s="179" t="n">
        <v>0</v>
      </c>
      <c r="J74" s="179" t="n">
        <v>0</v>
      </c>
      <c r="K74" s="179" t="n">
        <v>0</v>
      </c>
    </row>
    <row r="75">
      <c r="A75" s="174" t="inlineStr">
        <is>
          <t>Other Assets</t>
        </is>
      </c>
      <c r="B75">
        <f>B65-SUM(B67:B69)</f>
        <v/>
      </c>
      <c r="C75">
        <f>C65-SUM(C67:C69)</f>
        <v/>
      </c>
      <c r="D75">
        <f>D65-SUM(D67:D69)</f>
        <v/>
      </c>
      <c r="E75">
        <f>E65-SUM(E67:E69)</f>
        <v/>
      </c>
      <c r="F75">
        <f>F65-SUM(F67:F69)</f>
        <v/>
      </c>
      <c r="G75">
        <f>G65-SUM(G67:G69)</f>
        <v/>
      </c>
      <c r="H75">
        <f>H65-SUM(H67:H69)</f>
        <v/>
      </c>
      <c r="I75">
        <f>I65-SUM(I67:I69)</f>
        <v/>
      </c>
      <c r="J75">
        <f>J65-SUM(J67:J69)</f>
        <v/>
      </c>
      <c r="K75">
        <f>K65-SUM(K67:K69)</f>
        <v/>
      </c>
    </row>
    <row r="76">
      <c r="A76" s="174" t="n"/>
    </row>
    <row r="77">
      <c r="A77" s="174" t="n"/>
    </row>
    <row r="78">
      <c r="A78" s="174" t="n"/>
    </row>
    <row r="79">
      <c r="A79" s="174" t="n"/>
    </row>
    <row r="80">
      <c r="A80" s="173" t="inlineStr">
        <is>
          <t>CASH FLOW:</t>
        </is>
      </c>
    </row>
    <row r="81" customFormat="1" s="24">
      <c r="A81" s="23" t="inlineStr">
        <is>
          <t>Report Date</t>
        </is>
      </c>
      <c r="B81" s="16" t="inlineStr">
        <is>
          <t>Mar 2017</t>
        </is>
      </c>
      <c r="C81" s="16" t="inlineStr">
        <is>
          <t>Mar 2018</t>
        </is>
      </c>
      <c r="D81" s="16" t="inlineStr">
        <is>
          <t>Mar 2019</t>
        </is>
      </c>
      <c r="E81" s="16" t="inlineStr">
        <is>
          <t>Mar 2020</t>
        </is>
      </c>
      <c r="F81" s="16" t="inlineStr">
        <is>
          <t>Mar 2021</t>
        </is>
      </c>
      <c r="G81" s="16" t="inlineStr">
        <is>
          <t>Mar 2022</t>
        </is>
      </c>
      <c r="H81" s="16" t="inlineStr">
        <is>
          <t>Mar 2023</t>
        </is>
      </c>
      <c r="I81" s="16" t="inlineStr">
        <is>
          <t>Mar 2024</t>
        </is>
      </c>
      <c r="J81" s="16" t="inlineStr">
        <is>
          <t>Mar 2025</t>
        </is>
      </c>
      <c r="K81" s="16" t="inlineStr">
        <is>
          <t>Mar 2026</t>
        </is>
      </c>
    </row>
    <row r="82" customFormat="1" s="173">
      <c r="A82" s="174" t="inlineStr">
        <is>
          <t>Cash from Operating Activity</t>
        </is>
      </c>
      <c r="B82" t="n">
        <v>9277</v>
      </c>
      <c r="C82" t="n">
        <v>8423</v>
      </c>
      <c r="D82" t="n">
        <v>11632</v>
      </c>
      <c r="E82" t="n">
        <v>10064</v>
      </c>
      <c r="F82" t="n">
        <v>14755</v>
      </c>
      <c r="G82" t="n">
        <v>11080</v>
      </c>
      <c r="H82" t="n">
        <v>13060</v>
      </c>
      <c r="I82" t="n">
        <v>17622</v>
      </c>
      <c r="J82" t="n">
        <v>16943</v>
      </c>
      <c r="K82" t="n">
        <v>14932</v>
      </c>
    </row>
    <row r="83" customFormat="1" s="174">
      <c r="A83" s="174" t="inlineStr">
        <is>
          <t>Cash from Investing Activity</t>
        </is>
      </c>
      <c r="B83" t="n">
        <v>-11770</v>
      </c>
      <c r="C83" t="n">
        <v>3595</v>
      </c>
      <c r="D83" t="n">
        <v>5065</v>
      </c>
      <c r="E83" t="n">
        <v>3593</v>
      </c>
      <c r="F83" t="n">
        <v>685</v>
      </c>
      <c r="G83" t="n">
        <v>-22321</v>
      </c>
      <c r="H83" t="n">
        <v>-8169</v>
      </c>
      <c r="I83" t="n">
        <v>1144</v>
      </c>
      <c r="J83" t="n">
        <v>-8044</v>
      </c>
      <c r="K83" t="n">
        <v>-2448</v>
      </c>
    </row>
    <row r="84" customFormat="1" s="174">
      <c r="A84" s="174" t="inlineStr">
        <is>
          <t>Cash from Financing Activity</t>
        </is>
      </c>
      <c r="B84" t="n">
        <v>-2275</v>
      </c>
      <c r="C84" t="n">
        <v>-12998</v>
      </c>
      <c r="D84" t="n">
        <v>-4937</v>
      </c>
      <c r="E84" t="n">
        <v>-15100</v>
      </c>
      <c r="F84" t="n">
        <v>-12884</v>
      </c>
      <c r="G84" t="n">
        <v>4659</v>
      </c>
      <c r="H84" t="n">
        <v>-6088</v>
      </c>
      <c r="I84" t="n">
        <v>-18257</v>
      </c>
      <c r="J84" t="n">
        <v>-6396</v>
      </c>
      <c r="K84" t="n">
        <v>-14126</v>
      </c>
    </row>
    <row r="85" customFormat="1" s="173">
      <c r="A85" s="174" t="inlineStr">
        <is>
          <t>Net Cash Flow</t>
        </is>
      </c>
      <c r="B85" t="n">
        <v>-4767</v>
      </c>
      <c r="C85" t="n">
        <v>-979</v>
      </c>
      <c r="D85" t="n">
        <v>11760</v>
      </c>
      <c r="E85" t="n">
        <v>-1442</v>
      </c>
      <c r="F85" t="n">
        <v>2556</v>
      </c>
      <c r="G85" t="n">
        <v>-6583</v>
      </c>
      <c r="H85" t="n">
        <v>-1197</v>
      </c>
      <c r="I85" t="n">
        <v>509</v>
      </c>
      <c r="J85" t="n">
        <v>2502</v>
      </c>
      <c r="K85" t="n">
        <v>-1642</v>
      </c>
    </row>
    <row r="86">
      <c r="A86" s="174" t="n"/>
    </row>
    <row r="87">
      <c r="A87" s="174" t="n"/>
    </row>
    <row r="88">
      <c r="A88" s="174" t="n"/>
    </row>
    <row r="89">
      <c r="A89" s="174" t="n"/>
    </row>
    <row r="90" customFormat="1" s="173">
      <c r="A90" s="173" t="inlineStr">
        <is>
          <t>PRICE:</t>
        </is>
      </c>
      <c r="B90" t="n">
        <v>92.59999999999999</v>
      </c>
      <c r="C90" t="n">
        <v>109.69</v>
      </c>
      <c r="D90" t="n">
        <v>140.89</v>
      </c>
      <c r="E90" t="n">
        <v>110.73</v>
      </c>
      <c r="F90" t="n">
        <v>205.15</v>
      </c>
      <c r="G90" t="n">
        <v>287.65</v>
      </c>
      <c r="H90" t="n">
        <v>195.23</v>
      </c>
      <c r="I90" t="n">
        <v>261.43</v>
      </c>
      <c r="J90" t="n">
        <v>277.65</v>
      </c>
      <c r="K90" t="n">
        <v>200.96</v>
      </c>
    </row>
    <row r="92" customFormat="1" s="173">
      <c r="A92" s="173" t="inlineStr">
        <is>
          <t>DERIVED:</t>
        </is>
      </c>
    </row>
    <row r="93">
      <c r="A93" s="179" t="inlineStr">
        <is>
          <t>Adjusted Equity Shares in Cr</t>
        </is>
      </c>
      <c r="B93" s="184" t="n">
        <v>1324.32</v>
      </c>
      <c r="C93" s="184" t="n">
        <v>1324.32</v>
      </c>
      <c r="D93" s="184" t="n">
        <v>1324.32</v>
      </c>
      <c r="E93" s="184" t="n">
        <v>1324.32</v>
      </c>
      <c r="F93" s="184" t="n">
        <v>1324.32</v>
      </c>
      <c r="G93" s="184" t="n">
        <v>1324.32</v>
      </c>
      <c r="H93" s="184" t="n">
        <v>1324.32</v>
      </c>
      <c r="I93" s="184" t="n">
        <v>1324.32</v>
      </c>
      <c r="J93" s="184" t="n">
        <v>1324.32</v>
      </c>
      <c r="K93" s="184" t="n">
        <v>1324.32</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0" t="inlineStr">
        <is>
          <t>Cash Flow Statement - Wipro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7840</v>
      </c>
      <c r="D6" s="73" t="n">
        <v>7887</v>
      </c>
      <c r="E6" s="73" t="n">
        <v>9277</v>
      </c>
      <c r="F6" s="73" t="n">
        <v>8423</v>
      </c>
      <c r="G6" s="73" t="n">
        <v>11632</v>
      </c>
      <c r="H6" s="73" t="n">
        <v>10064</v>
      </c>
      <c r="I6" s="73" t="n">
        <v>14755</v>
      </c>
      <c r="J6" s="73" t="n">
        <v>11080</v>
      </c>
      <c r="K6" s="73" t="n">
        <v>13060</v>
      </c>
      <c r="L6" s="73" t="n">
        <v>17622</v>
      </c>
      <c r="M6" s="73" t="n">
        <v>16943</v>
      </c>
      <c r="N6" s="73" t="n">
        <v>14932</v>
      </c>
    </row>
    <row r="7">
      <c r="B7" t="inlineStr">
        <is>
          <t>Profit from operations</t>
        </is>
      </c>
      <c r="C7" s="73" t="n">
        <v>10990</v>
      </c>
      <c r="D7" s="73" t="n">
        <v>11180</v>
      </c>
      <c r="E7" s="73" t="n">
        <v>11374</v>
      </c>
      <c r="F7" s="73" t="n">
        <v>11322</v>
      </c>
      <c r="G7" s="73" t="n">
        <v>11430</v>
      </c>
      <c r="H7" s="73" t="n">
        <v>13088</v>
      </c>
      <c r="I7" s="73" t="n">
        <v>14954</v>
      </c>
      <c r="J7" s="73" t="n">
        <v>17297</v>
      </c>
      <c r="K7" s="73" t="n">
        <v>17538</v>
      </c>
      <c r="L7" s="73" t="n">
        <v>17416</v>
      </c>
      <c r="M7" s="73" t="n">
        <v>18533</v>
      </c>
      <c r="N7" s="73" t="n">
        <v>18948</v>
      </c>
    </row>
    <row r="8">
      <c r="B8" t="inlineStr">
        <is>
          <t>Receivables</t>
        </is>
      </c>
      <c r="C8" t="n">
        <v>-888</v>
      </c>
      <c r="D8" t="n">
        <v>-532</v>
      </c>
      <c r="E8" t="n">
        <v>335</v>
      </c>
      <c r="F8" t="n">
        <v>-974</v>
      </c>
      <c r="G8" t="n">
        <v>139</v>
      </c>
      <c r="H8" s="73" t="n">
        <v>-333</v>
      </c>
      <c r="I8" t="n">
        <v>1285</v>
      </c>
      <c r="J8" t="n">
        <v>-4323</v>
      </c>
      <c r="K8" t="n">
        <v>-98</v>
      </c>
      <c r="L8" t="n">
        <v>782</v>
      </c>
      <c r="M8" s="73" t="n">
        <v>189</v>
      </c>
      <c r="N8" t="n">
        <v>-1144</v>
      </c>
    </row>
    <row r="9">
      <c r="B9" t="inlineStr">
        <is>
          <t>Inventory</t>
        </is>
      </c>
      <c r="C9" t="n">
        <v>-256</v>
      </c>
      <c r="D9" t="n">
        <v>-54</v>
      </c>
      <c r="E9" t="n">
        <v>148</v>
      </c>
      <c r="F9" t="n">
        <v>54</v>
      </c>
      <c r="G9" t="n">
        <v>-57</v>
      </c>
      <c r="H9" t="n">
        <v>208</v>
      </c>
      <c r="I9" s="73" t="n">
        <v>80</v>
      </c>
      <c r="J9" t="n">
        <v>-26</v>
      </c>
      <c r="K9" s="73" t="n">
        <v>16</v>
      </c>
      <c r="L9" s="73" t="n">
        <v>29</v>
      </c>
      <c r="M9" s="73" t="n">
        <v>21</v>
      </c>
      <c r="N9" s="73" t="n">
        <v>18</v>
      </c>
    </row>
    <row r="10">
      <c r="B10" t="inlineStr">
        <is>
          <t>Payables</t>
        </is>
      </c>
      <c r="C10" t="n">
        <v>0</v>
      </c>
      <c r="D10" t="n">
        <v>468</v>
      </c>
      <c r="E10" t="n">
        <v>-523</v>
      </c>
      <c r="F10" s="73" t="n">
        <v>450</v>
      </c>
      <c r="G10" t="n">
        <v>2084</v>
      </c>
      <c r="H10" t="n">
        <v>-1240</v>
      </c>
      <c r="I10" s="73" t="n">
        <v>570</v>
      </c>
      <c r="J10" s="73" t="n">
        <v>970</v>
      </c>
      <c r="K10" s="73" t="n">
        <v>-982</v>
      </c>
      <c r="L10" t="n">
        <v>-44</v>
      </c>
      <c r="M10" s="73" t="n">
        <v>55</v>
      </c>
      <c r="N10" t="n">
        <v>848</v>
      </c>
    </row>
    <row r="11">
      <c r="B11" t="inlineStr">
        <is>
          <t>Working capital changes</t>
        </is>
      </c>
      <c r="C11" t="n">
        <v>-723</v>
      </c>
      <c r="D11" t="n">
        <v>-599</v>
      </c>
      <c r="E11" t="n">
        <v>451</v>
      </c>
      <c r="F11" s="73" t="n">
        <v>-88</v>
      </c>
      <c r="G11" t="n">
        <v>2716</v>
      </c>
      <c r="H11" t="n">
        <v>-2386</v>
      </c>
      <c r="I11" t="n">
        <v>2292</v>
      </c>
      <c r="J11" t="n">
        <v>-3649</v>
      </c>
      <c r="K11" t="n">
        <v>-1456</v>
      </c>
      <c r="L11" s="73" t="n">
        <v>1741</v>
      </c>
      <c r="M11" s="73" t="n">
        <v>1027</v>
      </c>
      <c r="N11" s="73" t="n">
        <v>-1392</v>
      </c>
    </row>
    <row r="12">
      <c r="B12" t="inlineStr">
        <is>
          <t>Direct taxes</t>
        </is>
      </c>
      <c r="C12" s="73" t="n">
        <v>-2427</v>
      </c>
      <c r="D12" s="73" t="n">
        <v>-2694</v>
      </c>
      <c r="E12" s="73" t="n">
        <v>-2548</v>
      </c>
      <c r="F12" s="73" t="n">
        <v>-2810</v>
      </c>
      <c r="G12" s="73" t="n">
        <v>-2515</v>
      </c>
      <c r="H12" s="73" t="n">
        <v>-638</v>
      </c>
      <c r="I12" s="73" t="n">
        <v>-2492</v>
      </c>
      <c r="J12" s="73" t="n">
        <v>-2569</v>
      </c>
      <c r="K12" s="73" t="n">
        <v>-3022</v>
      </c>
      <c r="L12" s="73" t="n">
        <v>-1536</v>
      </c>
      <c r="M12" s="73" t="n">
        <v>-2618</v>
      </c>
      <c r="N12" s="73" t="n">
        <v>-2624</v>
      </c>
    </row>
    <row r="13">
      <c r="B13" t="inlineStr">
        <is>
          <t>Cash from Investing Activity -</t>
        </is>
      </c>
      <c r="C13" s="73" t="n">
        <v>-2537</v>
      </c>
      <c r="D13" s="73" t="n">
        <v>-13761</v>
      </c>
      <c r="E13" s="73" t="n">
        <v>-11770</v>
      </c>
      <c r="F13" s="73" t="n">
        <v>3595</v>
      </c>
      <c r="G13" s="73" t="n">
        <v>5065</v>
      </c>
      <c r="H13" s="73" t="n">
        <v>3593</v>
      </c>
      <c r="I13" s="73" t="n">
        <v>685</v>
      </c>
      <c r="J13" s="73" t="n">
        <v>-22321</v>
      </c>
      <c r="K13" s="73" t="n">
        <v>-8169</v>
      </c>
      <c r="L13" s="73" t="n">
        <v>1144</v>
      </c>
      <c r="M13" t="n">
        <v>-8044</v>
      </c>
      <c r="N13" s="73" t="n">
        <v>-2448</v>
      </c>
    </row>
    <row r="14">
      <c r="B14" t="inlineStr">
        <is>
          <t>Fixed assets purchased</t>
        </is>
      </c>
      <c r="C14" s="73" t="n">
        <v>-1285</v>
      </c>
      <c r="D14" s="73" t="n">
        <v>-1395</v>
      </c>
      <c r="E14" s="73" t="n">
        <v>-2085</v>
      </c>
      <c r="F14" s="73" t="n">
        <v>-2187</v>
      </c>
      <c r="G14" s="73" t="n">
        <v>-2278</v>
      </c>
      <c r="H14" s="73" t="n">
        <v>-2350</v>
      </c>
      <c r="I14" s="73" t="n">
        <v>-1958</v>
      </c>
      <c r="J14" s="73" t="n">
        <v>-2015</v>
      </c>
      <c r="K14" s="73" t="n">
        <v>-1483</v>
      </c>
      <c r="L14" s="73" t="n">
        <v>-1051</v>
      </c>
      <c r="M14" s="73" t="n">
        <v>-1504</v>
      </c>
      <c r="N14" s="73" t="n">
        <v>-1560</v>
      </c>
    </row>
    <row r="15">
      <c r="B15" t="inlineStr">
        <is>
          <t>Fixed assets sold</t>
        </is>
      </c>
      <c r="C15" t="n">
        <v>143</v>
      </c>
      <c r="D15" t="n">
        <v>78</v>
      </c>
      <c r="E15" t="n">
        <v>558</v>
      </c>
      <c r="F15" t="n">
        <v>117</v>
      </c>
      <c r="G15" t="n">
        <v>194</v>
      </c>
      <c r="H15" t="n">
        <v>127</v>
      </c>
      <c r="I15" t="n">
        <v>75</v>
      </c>
      <c r="J15" t="n">
        <v>74</v>
      </c>
      <c r="K15" t="n">
        <v>55</v>
      </c>
      <c r="L15" t="n">
        <v>402</v>
      </c>
      <c r="M15" t="n">
        <v>182</v>
      </c>
      <c r="N15" t="n">
        <v>76</v>
      </c>
    </row>
    <row r="16">
      <c r="B16" t="inlineStr">
        <is>
          <t>Investments purchased</t>
        </is>
      </c>
      <c r="C16" s="73" t="n">
        <v>-55128</v>
      </c>
      <c r="D16" s="73" t="n">
        <v>-93496</v>
      </c>
      <c r="E16" s="73" t="n">
        <v>-81344</v>
      </c>
      <c r="F16" s="73" t="n">
        <v>-78248</v>
      </c>
      <c r="G16" s="73" t="n">
        <v>-93061</v>
      </c>
      <c r="H16" s="73" t="n">
        <v>-117825</v>
      </c>
      <c r="I16" s="73" t="n">
        <v>-117225</v>
      </c>
      <c r="J16" s="73" t="n">
        <v>-101549</v>
      </c>
      <c r="K16" s="73" t="n">
        <v>-80663</v>
      </c>
      <c r="L16" s="73" t="n">
        <v>-97507</v>
      </c>
      <c r="M16" s="73" t="n">
        <v>-80158</v>
      </c>
      <c r="N16" s="73" t="n">
        <v>-83781</v>
      </c>
    </row>
    <row r="17">
      <c r="B17" t="inlineStr">
        <is>
          <t>Investments sold</t>
        </is>
      </c>
      <c r="C17" s="73" t="n">
        <v>56158</v>
      </c>
      <c r="D17" s="73" t="n">
        <v>83065</v>
      </c>
      <c r="E17" s="73" t="n">
        <v>72976</v>
      </c>
      <c r="F17" s="73" t="n">
        <v>83045</v>
      </c>
      <c r="G17" s="73" t="n">
        <v>95495</v>
      </c>
      <c r="H17" s="73" t="n">
        <v>121283</v>
      </c>
      <c r="I17" s="73" t="n">
        <v>118906</v>
      </c>
      <c r="J17" s="73" t="n">
        <v>95539</v>
      </c>
      <c r="K17" s="73" t="n">
        <v>74088</v>
      </c>
      <c r="L17" s="73" t="n">
        <v>97860</v>
      </c>
      <c r="M17" s="73" t="n">
        <v>70652</v>
      </c>
      <c r="N17" s="73" t="n">
        <v>81673</v>
      </c>
    </row>
    <row r="18">
      <c r="B18" t="inlineStr">
        <is>
          <t>Interest received</t>
        </is>
      </c>
      <c r="C18" t="n">
        <v>0</v>
      </c>
      <c r="D18" t="n">
        <v>1837</v>
      </c>
      <c r="E18" t="n">
        <v>1707</v>
      </c>
      <c r="F18" t="n">
        <v>1435</v>
      </c>
      <c r="G18" s="73" t="n">
        <v>2016</v>
      </c>
      <c r="H18" s="73" t="n">
        <v>2384</v>
      </c>
      <c r="I18" s="73" t="n">
        <v>1962</v>
      </c>
      <c r="J18" s="73" t="n">
        <v>1228</v>
      </c>
      <c r="K18" s="73" t="n">
        <v>1411</v>
      </c>
      <c r="L18" s="73" t="n">
        <v>2011</v>
      </c>
      <c r="M18" s="73" t="n">
        <v>2621</v>
      </c>
      <c r="N18" t="n">
        <v>2888</v>
      </c>
    </row>
    <row r="19">
      <c r="B19" t="inlineStr">
        <is>
          <t>Dividends received</t>
        </is>
      </c>
      <c r="C19" t="n">
        <v>1243</v>
      </c>
      <c r="D19" t="n">
        <v>7</v>
      </c>
      <c r="E19" t="n">
        <v>31</v>
      </c>
      <c r="F19" t="n">
        <v>61</v>
      </c>
      <c r="G19" t="n">
        <v>36</v>
      </c>
      <c r="H19" t="n">
        <v>37</v>
      </c>
      <c r="I19" t="n">
        <v>0</v>
      </c>
      <c r="J19" t="n">
        <v>0</v>
      </c>
      <c r="K19" t="n">
        <v>2741</v>
      </c>
      <c r="L19" t="n">
        <v>0</v>
      </c>
      <c r="M19" t="n">
        <v>230</v>
      </c>
      <c r="N19" t="n">
        <v>0</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-48</v>
      </c>
      <c r="M21" t="n">
        <v>0</v>
      </c>
      <c r="N21" t="n">
        <v>-35</v>
      </c>
    </row>
    <row r="22">
      <c r="B22" t="inlineStr">
        <is>
          <t>Redemp n Canc of Shares</t>
        </is>
      </c>
      <c r="C22" t="n">
        <v>0</v>
      </c>
      <c r="D22" t="n">
        <v>0</v>
      </c>
      <c r="E22" t="n">
        <v>0</v>
      </c>
      <c r="F22" t="n">
        <v>0</v>
      </c>
      <c r="G22" t="n">
        <v>2610</v>
      </c>
      <c r="H22" t="n">
        <v>746</v>
      </c>
      <c r="I22" t="n">
        <v>0</v>
      </c>
      <c r="J22" t="n">
        <v>0</v>
      </c>
      <c r="K22" t="n">
        <v>0</v>
      </c>
      <c r="L22" t="n">
        <v>0</v>
      </c>
      <c r="M22" t="n">
        <v>0</v>
      </c>
      <c r="N22" t="n">
        <v>0</v>
      </c>
    </row>
    <row r="23">
      <c r="B23" t="inlineStr">
        <is>
          <t>Other investing items</t>
        </is>
      </c>
      <c r="C23" s="73" t="n">
        <v>35</v>
      </c>
      <c r="D23" s="73" t="n">
        <v>-3856</v>
      </c>
      <c r="E23" s="73" t="n">
        <v>-3612</v>
      </c>
      <c r="F23" s="73" t="n">
        <v>-628</v>
      </c>
      <c r="G23" s="73" t="n">
        <v>53</v>
      </c>
      <c r="H23" s="73" t="n">
        <v>-808</v>
      </c>
      <c r="I23" s="73" t="n">
        <v>-1076</v>
      </c>
      <c r="J23" s="73" t="n">
        <v>-15597</v>
      </c>
      <c r="K23" t="n">
        <v>-4318</v>
      </c>
      <c r="L23" s="73" t="n">
        <v>-523</v>
      </c>
      <c r="M23" t="n">
        <v>-67</v>
      </c>
      <c r="N23" s="73" t="n">
        <v>-1708</v>
      </c>
    </row>
    <row r="24">
      <c r="B24" t="inlineStr">
        <is>
          <t>Cash from Financing Activity -</t>
        </is>
      </c>
      <c r="C24" s="73" t="n">
        <v>-830</v>
      </c>
      <c r="D24" s="73" t="n">
        <v>-159</v>
      </c>
      <c r="E24" s="73" t="n">
        <v>-2275</v>
      </c>
      <c r="F24" s="73" t="n">
        <v>-12998</v>
      </c>
      <c r="G24" s="73" t="n">
        <v>-4937</v>
      </c>
      <c r="H24" s="73" t="n">
        <v>-15100</v>
      </c>
      <c r="I24" s="73" t="n">
        <v>-12884</v>
      </c>
      <c r="J24" s="73" t="n">
        <v>4659</v>
      </c>
      <c r="K24" s="73" t="n">
        <v>-6088</v>
      </c>
      <c r="L24" s="73" t="n">
        <v>-18257</v>
      </c>
      <c r="M24" s="73" t="n">
        <v>-6396</v>
      </c>
      <c r="N24" s="73" t="n">
        <v>-14126</v>
      </c>
    </row>
    <row r="25">
      <c r="B25" t="inlineStr">
        <is>
          <t>Proceeds from shares</t>
        </is>
      </c>
      <c r="C25" t="n">
        <v>100</v>
      </c>
      <c r="D25" t="n">
        <v>0</v>
      </c>
      <c r="E25" s="73" t="n">
        <v>0</v>
      </c>
      <c r="F25" t="n">
        <v>2</v>
      </c>
      <c r="G25" t="n">
        <v>0</v>
      </c>
      <c r="H25" t="n">
        <v>1</v>
      </c>
      <c r="I25" t="n">
        <v>1</v>
      </c>
      <c r="J25" t="n">
        <v>1</v>
      </c>
      <c r="K25" s="73" t="n">
        <v>1</v>
      </c>
      <c r="L25" s="73" t="n">
        <v>1</v>
      </c>
      <c r="M25" t="n">
        <v>3</v>
      </c>
      <c r="N25" t="n">
        <v>3</v>
      </c>
    </row>
    <row r="26">
      <c r="B26" t="inlineStr">
        <is>
          <t>Proceeds from borrowings</t>
        </is>
      </c>
      <c r="C26" t="n">
        <v>0</v>
      </c>
      <c r="D26" t="n">
        <v>0</v>
      </c>
      <c r="E26" t="n">
        <v>0</v>
      </c>
      <c r="F26" t="n">
        <v>0</v>
      </c>
      <c r="G26" t="n">
        <v>6516</v>
      </c>
      <c r="H26" t="n">
        <v>10634</v>
      </c>
      <c r="I26" t="n">
        <v>10342</v>
      </c>
      <c r="J26" t="n">
        <v>26012</v>
      </c>
      <c r="K26" t="n">
        <v>16103</v>
      </c>
      <c r="L26" t="n">
        <v>12050</v>
      </c>
      <c r="M26" t="n">
        <v>19560</v>
      </c>
      <c r="N26" s="73" t="n">
        <v>25309</v>
      </c>
    </row>
    <row r="27">
      <c r="B27" t="inlineStr">
        <is>
          <t>Repayment of borrowings</t>
        </is>
      </c>
      <c r="C27" t="n">
        <v>0</v>
      </c>
      <c r="D27" t="n">
        <v>0</v>
      </c>
      <c r="E27" t="n">
        <v>0</v>
      </c>
      <c r="F27" t="n">
        <v>0</v>
      </c>
      <c r="G27" t="n">
        <v>-10404</v>
      </c>
      <c r="H27" t="n">
        <v>-13238</v>
      </c>
      <c r="I27" t="n">
        <v>-9721</v>
      </c>
      <c r="J27" t="n">
        <v>-19181</v>
      </c>
      <c r="K27" t="n">
        <v>-16891</v>
      </c>
      <c r="L27" t="n">
        <v>-13056</v>
      </c>
      <c r="M27" t="n">
        <v>-17767</v>
      </c>
      <c r="N27" t="n">
        <v>-25984</v>
      </c>
    </row>
    <row r="28">
      <c r="B28" t="inlineStr">
        <is>
          <t>Interest paid fin</t>
        </is>
      </c>
      <c r="C28" t="n">
        <v>-92</v>
      </c>
      <c r="D28" t="n">
        <v>-135</v>
      </c>
      <c r="E28" t="n">
        <v>-200</v>
      </c>
      <c r="F28" t="n">
        <v>-312</v>
      </c>
      <c r="G28" t="n">
        <v>-480</v>
      </c>
      <c r="H28" t="n">
        <v>-460</v>
      </c>
      <c r="I28" t="n">
        <v>-334</v>
      </c>
      <c r="J28" t="n">
        <v>-509</v>
      </c>
      <c r="K28" t="n">
        <v>-871</v>
      </c>
      <c r="L28" t="n">
        <v>-1046</v>
      </c>
      <c r="M28" t="n">
        <v>-869</v>
      </c>
      <c r="N28" t="n">
        <v>-634</v>
      </c>
    </row>
    <row r="29">
      <c r="B29" t="inlineStr">
        <is>
          <t>Dividends paid</t>
        </is>
      </c>
      <c r="C29" s="73" t="n">
        <v>-2949</v>
      </c>
      <c r="D29" s="73" t="n">
        <v>-3549</v>
      </c>
      <c r="E29" s="73" t="n">
        <v>-873</v>
      </c>
      <c r="F29" s="73" t="n">
        <v>-542</v>
      </c>
      <c r="G29" s="73" t="n">
        <v>-543</v>
      </c>
      <c r="H29" s="73" t="n">
        <v>-828</v>
      </c>
      <c r="I29" s="73" t="n">
        <v>-642</v>
      </c>
      <c r="J29" s="73" t="n">
        <v>-660</v>
      </c>
      <c r="K29" s="73" t="n">
        <v>-3281</v>
      </c>
      <c r="L29" s="73" t="n">
        <v>-554</v>
      </c>
      <c r="M29" s="73" t="n">
        <v>-6275</v>
      </c>
      <c r="N29" s="73" t="n">
        <v>-11578</v>
      </c>
    </row>
    <row r="30">
      <c r="B30" t="inlineStr">
        <is>
          <t>Financial liabilities</t>
        </is>
      </c>
      <c r="C30" t="n">
        <v>0</v>
      </c>
      <c r="D30" t="n">
        <v>0</v>
      </c>
      <c r="E30" t="n">
        <v>0</v>
      </c>
      <c r="F30" t="n">
        <v>0</v>
      </c>
      <c r="G30" t="n">
        <v>0</v>
      </c>
      <c r="H30" t="n">
        <v>-678</v>
      </c>
      <c r="I30" t="n">
        <v>-866</v>
      </c>
      <c r="J30" t="n">
        <v>-973</v>
      </c>
      <c r="K30" t="n">
        <v>-971</v>
      </c>
      <c r="L30" t="n">
        <v>-1006</v>
      </c>
      <c r="M30" t="n">
        <v>-1047</v>
      </c>
      <c r="N30" t="n">
        <v>-1156</v>
      </c>
    </row>
    <row r="31">
      <c r="B31" t="inlineStr">
        <is>
          <t>Other financing items</t>
        </is>
      </c>
      <c r="C31" t="n">
        <v>2111</v>
      </c>
      <c r="D31" t="n">
        <v>3525</v>
      </c>
      <c r="E31" s="73" t="n">
        <v>-1202</v>
      </c>
      <c r="F31" s="73" t="n">
        <v>-12146</v>
      </c>
      <c r="G31" s="73" t="n">
        <v>-26</v>
      </c>
      <c r="H31" s="73" t="n">
        <v>-10531</v>
      </c>
      <c r="I31" t="n">
        <v>-11664</v>
      </c>
      <c r="J31" t="n">
        <v>-31</v>
      </c>
      <c r="K31" t="n">
        <v>-178</v>
      </c>
      <c r="L31" t="n">
        <v>-14647</v>
      </c>
      <c r="M31" t="n">
        <v>0</v>
      </c>
      <c r="N31" t="n">
        <v>-87</v>
      </c>
    </row>
    <row r="32">
      <c r="B32" t="inlineStr">
        <is>
          <t>Net Cash Flow</t>
        </is>
      </c>
      <c r="C32" t="n">
        <v>4474</v>
      </c>
      <c r="D32" t="n">
        <v>-6032</v>
      </c>
      <c r="E32" t="n">
        <v>-4767</v>
      </c>
      <c r="F32" t="n">
        <v>-979</v>
      </c>
      <c r="G32" t="n">
        <v>11760</v>
      </c>
      <c r="H32" t="n">
        <v>-1442</v>
      </c>
      <c r="I32" t="n">
        <v>2556</v>
      </c>
      <c r="J32" t="n">
        <v>-6583</v>
      </c>
      <c r="K32" t="n">
        <v>-1197</v>
      </c>
      <c r="L32" t="n">
        <v>509</v>
      </c>
      <c r="M32" t="n">
        <v>2502</v>
      </c>
      <c r="N32" t="n">
        <v>-1642</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0">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81">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81">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81">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81">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81"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81"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81">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81">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81">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f>'Data Sheet'!L75</f>
        <v/>
      </c>
      <c r="N60">
        <f>'Data Sheet'!M75</f>
        <v/>
      </c>
      <c r="O60">
        <f>'Data Sheet'!N75</f>
        <v/>
      </c>
    </row>
    <row r="61">
      <c r="B61" s="181"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81" t="n"/>
      <c r="C62" s="107" t="n"/>
      <c r="D62" s="107" t="n"/>
      <c r="E62" s="107" t="n"/>
      <c r="F62" s="107" t="n"/>
      <c r="G62" s="107" t="n"/>
      <c r="H62" s="107" t="n"/>
      <c r="I62" s="107" t="n"/>
      <c r="J62" s="107" t="n"/>
      <c r="K62" s="107" t="n"/>
      <c r="L62" s="107" t="n"/>
    </row>
    <row r="63">
      <c r="B63" s="181">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81">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81">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81"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81"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0">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3">
        <f>'Data Sheet'!$B$1&amp;" -"&amp;'Data Sheet'!A17&amp;" Forecasting"</f>
        <v/>
      </c>
      <c r="G2" s="163">
        <f>'Data Sheet'!$B$1&amp;" -"&amp;'Historical FS'!B19&amp;" Forecasting"</f>
        <v/>
      </c>
      <c r="L2" s="163">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4">TRANSPOSE('Data Sheet'!B16:K16)</f>
        <v/>
      </c>
      <c r="D5" s="107">
        <f t="array" ref="D5:D14">TRANSPOSE('Data Sheet'!B17:K17)</f>
        <v/>
      </c>
      <c r="E5" s="56" t="inlineStr">
        <is>
          <t>-</t>
        </is>
      </c>
      <c r="G5" t="n">
        <v>1</v>
      </c>
      <c r="H5" s="54">
        <f t="array" ref="H5:H14">TRANSPOSE('Data Sheet'!B16:K16)</f>
        <v/>
      </c>
      <c r="I5" s="107">
        <f t="array" ref="I5:I14">TRANSPOSE('Historical FS'!C19:L19)</f>
        <v/>
      </c>
      <c r="J5" s="163" t="inlineStr">
        <is>
          <t>-</t>
        </is>
      </c>
      <c r="L5" t="n">
        <v>1</v>
      </c>
      <c r="M5" s="54">
        <f t="array" ref="M5:M14">TRANSPOSE('Data Sheet'!B16:K16)</f>
        <v/>
      </c>
      <c r="N5" s="107">
        <f t="array" ref="N5:N14">TRANSPOSE('Historical FS'!C37:L37)</f>
        <v/>
      </c>
      <c r="O5" s="56" t="inlineStr">
        <is>
          <t>-</t>
        </is>
      </c>
    </row>
    <row r="6">
      <c r="B6">
        <f>B5+1</f>
        <v/>
      </c>
      <c r="C6" s="54" t="n">
        <v>43190</v>
      </c>
      <c r="D6" s="107" t="n">
        <v>43448.94</v>
      </c>
      <c r="E6" s="36">
        <f>D6/D5-1</f>
        <v/>
      </c>
      <c r="G6">
        <f>G5+1</f>
        <v/>
      </c>
      <c r="H6" s="54" t="n">
        <v>43190</v>
      </c>
      <c r="I6" s="107" t="n">
        <v>17526.57</v>
      </c>
      <c r="J6" s="36">
        <f>I6/I5-1</f>
        <v/>
      </c>
      <c r="L6">
        <f>L5+1</f>
        <v/>
      </c>
      <c r="M6" s="54" t="n">
        <v>43190</v>
      </c>
      <c r="N6" s="107" t="n">
        <v>10258.85</v>
      </c>
      <c r="O6" s="36">
        <f>N6/N5-1</f>
        <v/>
      </c>
    </row>
    <row r="7">
      <c r="B7">
        <f>B6+1</f>
        <v/>
      </c>
      <c r="C7" s="54" t="n">
        <v>43555</v>
      </c>
      <c r="D7" s="107" t="n">
        <v>48339.58</v>
      </c>
      <c r="E7" s="36">
        <f>D7/D6-1</f>
        <v/>
      </c>
      <c r="G7">
        <f>G6+1</f>
        <v/>
      </c>
      <c r="H7" s="54" t="n">
        <v>43555</v>
      </c>
      <c r="I7" s="107" t="n">
        <v>19577.24</v>
      </c>
      <c r="J7" s="36">
        <f>I7/I6-1</f>
        <v/>
      </c>
      <c r="L7">
        <f>L6+1</f>
        <v/>
      </c>
      <c r="M7" s="54" t="n">
        <v>43555</v>
      </c>
      <c r="N7" s="107" t="n">
        <v>11795.31</v>
      </c>
      <c r="O7" s="36">
        <f>N7/N6-1</f>
        <v/>
      </c>
    </row>
    <row r="8">
      <c r="B8">
        <f>B7+1</f>
        <v/>
      </c>
      <c r="C8" s="54" t="n">
        <v>43921</v>
      </c>
      <c r="D8" s="107" t="n">
        <v>49387.7</v>
      </c>
      <c r="E8" s="36">
        <f>D8/D7-1</f>
        <v/>
      </c>
      <c r="G8">
        <f>G7+1</f>
        <v/>
      </c>
      <c r="H8" s="54" t="n">
        <v>43921</v>
      </c>
      <c r="I8" s="107" t="n">
        <v>20568.67</v>
      </c>
      <c r="J8" s="36">
        <f>I8/I7-1</f>
        <v/>
      </c>
      <c r="L8">
        <f>L7+1</f>
        <v/>
      </c>
      <c r="M8" s="54" t="n">
        <v>43921</v>
      </c>
      <c r="N8" s="107" t="n">
        <v>14400.59</v>
      </c>
      <c r="O8" s="36">
        <f>N8/N7-1</f>
        <v/>
      </c>
    </row>
    <row r="9">
      <c r="B9">
        <f>B8+1</f>
        <v/>
      </c>
      <c r="C9" s="54" t="n">
        <v>44286</v>
      </c>
      <c r="D9" s="107" t="n">
        <v>49257.45</v>
      </c>
      <c r="E9" s="36">
        <f>D9/D8-1</f>
        <v/>
      </c>
      <c r="G9">
        <f>G8+1</f>
        <v/>
      </c>
      <c r="H9" s="54" t="n">
        <v>44286</v>
      </c>
      <c r="I9" s="107" t="n">
        <v>18139.17</v>
      </c>
      <c r="J9" s="36">
        <f>I9/I8-1</f>
        <v/>
      </c>
      <c r="L9">
        <f>L8+1</f>
        <v/>
      </c>
      <c r="M9" s="54" t="n">
        <v>44286</v>
      </c>
      <c r="N9" s="107" t="n">
        <v>11880.32</v>
      </c>
      <c r="O9" s="36">
        <f>N9/N8-1</f>
        <v/>
      </c>
    </row>
    <row r="10">
      <c r="B10">
        <f>B9+1</f>
        <v/>
      </c>
      <c r="C10" s="54" t="n">
        <v>44651</v>
      </c>
      <c r="D10" s="107" t="n">
        <v>60644.54</v>
      </c>
      <c r="E10" s="36">
        <f>D10/D9-1</f>
        <v/>
      </c>
      <c r="G10">
        <f>G9+1</f>
        <v/>
      </c>
      <c r="H10" s="54" t="n">
        <v>44651</v>
      </c>
      <c r="I10" s="107" t="n">
        <v>21733.09999999999</v>
      </c>
      <c r="J10" s="36">
        <f>I10/I9-1</f>
        <v/>
      </c>
      <c r="L10">
        <f>L9+1</f>
        <v/>
      </c>
      <c r="M10" s="54" t="n">
        <v>44651</v>
      </c>
      <c r="N10" s="107" t="n">
        <v>14703.35999999999</v>
      </c>
      <c r="O10" s="36">
        <f>N10/N9-1</f>
        <v/>
      </c>
    </row>
    <row r="11">
      <c r="B11">
        <f>B10+1</f>
        <v/>
      </c>
      <c r="C11" s="54" t="n">
        <v>45016</v>
      </c>
      <c r="D11" s="107" t="n">
        <v>70919.03</v>
      </c>
      <c r="E11" s="36">
        <f>D11/D10-1</f>
        <v/>
      </c>
      <c r="G11">
        <f>G10+1</f>
        <v/>
      </c>
      <c r="H11" s="54" t="n">
        <v>45016</v>
      </c>
      <c r="I11" s="107" t="n">
        <v>27012.81999999999</v>
      </c>
      <c r="J11" s="36">
        <f>I11/I10-1</f>
        <v/>
      </c>
      <c r="L11">
        <f>L10+1</f>
        <v/>
      </c>
      <c r="M11" s="54" t="n">
        <v>45016</v>
      </c>
      <c r="N11" s="107" t="n">
        <v>18687.63999999999</v>
      </c>
      <c r="O11" s="36">
        <f>N11/N10-1</f>
        <v/>
      </c>
    </row>
    <row r="12">
      <c r="B12">
        <f>B11+1</f>
        <v/>
      </c>
      <c r="C12" s="54" t="n">
        <v>45382</v>
      </c>
      <c r="D12" s="107" t="n">
        <v>67931.94</v>
      </c>
      <c r="E12" s="36">
        <f>D12/D11-1</f>
        <v/>
      </c>
      <c r="G12">
        <f>G11+1</f>
        <v/>
      </c>
      <c r="H12" s="54" t="n">
        <v>45382</v>
      </c>
      <c r="I12" s="107" t="n">
        <v>26953.5</v>
      </c>
      <c r="J12" s="36">
        <f>I12/I11-1</f>
        <v/>
      </c>
      <c r="L12">
        <f>L11+1</f>
        <v/>
      </c>
      <c r="M12" s="54" t="n">
        <v>45382</v>
      </c>
      <c r="N12" s="107" t="n">
        <v>19186.88</v>
      </c>
      <c r="O12" s="36">
        <f>N12/N11-1</f>
        <v/>
      </c>
    </row>
    <row r="13">
      <c r="B13">
        <f>B12+1</f>
        <v/>
      </c>
      <c r="C13" s="54" t="n">
        <v>45747</v>
      </c>
      <c r="D13" s="107" t="n">
        <v>75323.34</v>
      </c>
      <c r="E13" s="36">
        <f>D13/D12-1</f>
        <v/>
      </c>
      <c r="G13">
        <f>G12+1</f>
        <v/>
      </c>
      <c r="H13" s="54" t="n">
        <v>45747</v>
      </c>
      <c r="I13" s="107" t="n">
        <v>28060.84</v>
      </c>
      <c r="J13" s="36">
        <f>I13/I12-1</f>
        <v/>
      </c>
      <c r="L13">
        <f>L12+1</f>
        <v/>
      </c>
      <c r="M13" s="54" t="n">
        <v>45747</v>
      </c>
      <c r="N13" s="107" t="n">
        <v>19478.98999999999</v>
      </c>
      <c r="O13" s="36">
        <f>N13/N12-1</f>
        <v/>
      </c>
    </row>
    <row r="14">
      <c r="B14">
        <f>B13+1</f>
        <v/>
      </c>
      <c r="C14" s="54" t="n">
        <v>46112</v>
      </c>
      <c r="D14" s="107" t="n">
        <v>78868.39999999999</v>
      </c>
      <c r="E14" s="36">
        <f>D14/D13-1</f>
        <v/>
      </c>
      <c r="G14">
        <f>G13+1</f>
        <v/>
      </c>
      <c r="H14" s="54" t="n">
        <v>46112</v>
      </c>
      <c r="I14" s="107" t="n">
        <v>29630.87999999999</v>
      </c>
      <c r="J14" s="36">
        <f>I14/I13-1</f>
        <v/>
      </c>
      <c r="L14">
        <f>L13+1</f>
        <v/>
      </c>
      <c r="M14" s="54" t="n">
        <v>46112</v>
      </c>
      <c r="N14" s="107" t="n">
        <v>20819.94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0" t="inlineStr">
        <is>
          <t>Nifty 50 Daily Returns</t>
        </is>
      </c>
      <c r="J7" s="160"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3" t="inlineStr">
        <is>
          <t>-</t>
        </is>
      </c>
      <c r="F10" s="34">
        <f>'Raw Data'!G6</f>
        <v/>
      </c>
      <c r="G10">
        <f>'Raw Data'!J6</f>
        <v/>
      </c>
      <c r="H10" s="163"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 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_xlfn.COVARIANCE.S(D10:D252, 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f>'Raw Data'!G249</f>
        <v/>
      </c>
      <c r="G253">
        <f>'Raw Data'!J249</f>
        <v/>
      </c>
      <c r="H253">
        <f>G252/G253-1</f>
        <v/>
      </c>
    </row>
    <row r="254">
      <c r="B254" s="34">
        <f>'Raw Data'!G250</f>
        <v/>
      </c>
      <c r="C254">
        <f>'Raw Data'!H250</f>
        <v/>
      </c>
      <c r="D254">
        <f>C253/C254-1</f>
        <v/>
      </c>
      <c r="F254">
        <f>'Raw Data'!G250</f>
        <v/>
      </c>
      <c r="G254">
        <f>'Raw Data'!J250</f>
        <v/>
      </c>
      <c r="H254">
        <f>G253/G254-1</f>
        <v/>
      </c>
    </row>
    <row r="255">
      <c r="B255" s="34">
        <f>'Raw Data'!G251</f>
        <v/>
      </c>
      <c r="C255">
        <f>'Raw Data'!H251</f>
        <v/>
      </c>
      <c r="D255">
        <f>C254/C255-1</f>
        <v/>
      </c>
      <c r="F255">
        <f>'Raw Data'!G251</f>
        <v/>
      </c>
      <c r="G255">
        <f>'Raw Data'!J251</f>
        <v/>
      </c>
      <c r="H255">
        <f>G254/G255-1</f>
        <v/>
      </c>
    </row>
    <row r="256">
      <c r="B256" s="34">
        <f>'Raw Data'!G252</f>
        <v/>
      </c>
      <c r="C256">
        <f>'Raw Data'!H252</f>
        <v/>
      </c>
      <c r="D256">
        <f>C255/C256-1</f>
        <v/>
      </c>
      <c r="F256">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185" t="inlineStr">
        <is>
          <t>Total Debt</t>
        </is>
      </c>
      <c r="F11" s="185" t="inlineStr">
        <is>
          <t>Total Equity</t>
        </is>
      </c>
      <c r="G11" s="57" t="n"/>
      <c r="H11" s="185" t="inlineStr">
        <is>
          <t>Debt /Equity</t>
        </is>
      </c>
      <c r="I11" s="185" t="inlineStr">
        <is>
          <t>Debt /Capital</t>
        </is>
      </c>
      <c r="J11" s="185" t="inlineStr">
        <is>
          <t>Levered Beta</t>
        </is>
      </c>
      <c r="K11" s="185" t="inlineStr">
        <is>
          <t>Unlevered Beta</t>
        </is>
      </c>
    </row>
    <row r="12">
      <c r="B12" s="58" t="inlineStr">
        <is>
          <t>Name of the Comp</t>
        </is>
      </c>
      <c r="C12" s="58" t="n"/>
      <c r="D12" s="58" t="inlineStr">
        <is>
          <t>Country</t>
        </is>
      </c>
      <c r="E12" s="58" t="n"/>
      <c r="F12" s="58" t="n"/>
      <c r="G12" s="165"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v>
      </c>
      <c r="K14" s="47">
        <f>J14/(1+(1-G14)*H14)</f>
        <v/>
      </c>
    </row>
    <row r="15">
      <c r="B15" s="119">
        <f>'Raw Data'!O25</f>
        <v/>
      </c>
      <c r="C15" s="119" t="n"/>
      <c r="D15" s="119">
        <f>'Raw Data'!Q25</f>
        <v/>
      </c>
      <c r="E15" s="124">
        <f>'Raw Data'!R25</f>
        <v/>
      </c>
      <c r="F15" s="124">
        <f>'Raw Data'!S25</f>
        <v/>
      </c>
      <c r="G15" s="120">
        <f>'Raw Data'!T25</f>
        <v/>
      </c>
      <c r="H15" s="36">
        <f>E15/F15</f>
        <v/>
      </c>
      <c r="I15" s="36">
        <f>E15/SUM(E15:F15)</f>
        <v/>
      </c>
      <c r="J15" s="47">
        <f>'Beta-Regression'!L15</f>
        <v/>
      </c>
      <c r="K15" s="47">
        <f>J15/(1+(1-G15)*H15)</f>
        <v/>
      </c>
    </row>
    <row r="16">
      <c r="B16" s="119">
        <f>'Raw Data'!O26</f>
        <v/>
      </c>
      <c r="C16" s="119" t="n"/>
      <c r="D16" s="119">
        <f>'Raw Data'!Q26</f>
        <v/>
      </c>
      <c r="E16" s="124">
        <f>'Raw Data'!R26</f>
        <v/>
      </c>
      <c r="F16" s="124">
        <f>'Raw Data'!S26</f>
        <v/>
      </c>
      <c r="G16" s="120">
        <f>'Raw Data'!T26</f>
        <v/>
      </c>
      <c r="H16" s="36">
        <f>E16/F16</f>
        <v/>
      </c>
      <c r="I16" s="36">
        <f>E16/SUM(E16:F16)</f>
        <v/>
      </c>
      <c r="J16" t="n">
        <v>1</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v>
      </c>
      <c r="K17" s="47">
        <f>J17/(1+(1-G17)*H17)</f>
        <v/>
      </c>
    </row>
    <row r="18">
      <c r="B18" s="119">
        <f>'Raw Data'!O28</f>
        <v/>
      </c>
      <c r="C18" s="119" t="n"/>
      <c r="D18" s="119">
        <f>'Raw Data'!Q28</f>
        <v/>
      </c>
      <c r="E18" s="124">
        <f>'Raw Data'!R28</f>
        <v/>
      </c>
      <c r="F18" s="124">
        <f>'Raw Data'!S28</f>
        <v/>
      </c>
      <c r="G18" s="120">
        <f>'Raw Data'!T28</f>
        <v/>
      </c>
      <c r="H18" s="36">
        <f>E18/F18</f>
        <v/>
      </c>
      <c r="I18" s="36">
        <f>E18/SUM(E18:F18)</f>
        <v/>
      </c>
      <c r="J18" t="n">
        <v>1</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0.07000000000000001</v>
      </c>
    </row>
    <row r="27">
      <c r="B27" t="inlineStr">
        <is>
          <t>Tax Rate</t>
        </is>
      </c>
      <c r="E27" s="46">
        <f>G15</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E15</f>
        <v/>
      </c>
      <c r="D34" s="36">
        <f>C34/C$36</f>
        <v/>
      </c>
      <c r="E34" s="46">
        <f>I20</f>
        <v/>
      </c>
      <c r="G34" t="inlineStr">
        <is>
          <t>Target Debt/Equity</t>
        </is>
      </c>
      <c r="K34" s="46">
        <f>E38</f>
        <v/>
      </c>
    </row>
    <row r="35">
      <c r="B35" t="inlineStr">
        <is>
          <t>Market Capitalization</t>
        </is>
      </c>
      <c r="C35" s="107">
        <f>F15</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3"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N45"/>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MIN(0.85, MAX(0.15, 'Intrinsic Valuation'!$L$55))</f>
        <v/>
      </c>
      <c r="J11" s="81">
        <f>$I$11+($M$11-$I$11)/4*1</f>
        <v/>
      </c>
      <c r="K11" s="81">
        <f>$I$11+($M$11-$I$11)/4*2</f>
        <v/>
      </c>
      <c r="L11" s="81">
        <f>$I$11+($M$11-$I$11)/4*3</f>
        <v/>
      </c>
      <c r="M11" s="81">
        <f>D21</f>
        <v/>
      </c>
      <c r="N11" t="n">
        <v>0</v>
      </c>
    </row>
    <row r="12">
      <c r="B12" s="72" t="inlineStr">
        <is>
          <t>Free Cash Flow to Firm</t>
        </is>
      </c>
      <c r="C12" s="72" t="n"/>
      <c r="D12" s="72" t="n"/>
      <c r="E12" s="72" t="n"/>
      <c r="F12" s="72" t="n"/>
      <c r="G12" s="72" t="n"/>
      <c r="H12" s="130">
        <f>H10*(1-H11)</f>
        <v/>
      </c>
      <c r="I12" s="130">
        <f>I10*(1-MIN(0.85, I11))</f>
        <v/>
      </c>
      <c r="J12" s="130">
        <f>J10*(1-MIN(0.85, J11))</f>
        <v/>
      </c>
      <c r="K12" s="130">
        <f>K10*(1-MIN(0.85, K11))</f>
        <v/>
      </c>
      <c r="L12" s="130">
        <f>L10*(1-MIN(0.85, L11))</f>
        <v/>
      </c>
      <c r="M12" s="130">
        <f>M10*(1-MIN(0.85, 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t>
        </is>
      </c>
      <c r="D37" s="107">
        <f>'Data Sheet'!K69</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2" ht="15" customHeight="1" s="109" thickBot="1">
      <c r="B42" s="127" t="inlineStr">
        <is>
          <t>Equity Value per Share</t>
        </is>
      </c>
      <c r="C42" s="127" t="n"/>
      <c r="D42" s="128">
        <f>D39/D40</f>
        <v/>
      </c>
    </row>
    <row r="44">
      <c r="B44" t="inlineStr">
        <is>
          <t>Share Price</t>
        </is>
      </c>
      <c r="D44" s="107" t="n">
        <v>167</v>
      </c>
    </row>
    <row r="45">
      <c r="B45" t="inlineStr">
        <is>
          <t>Discount /Premium</t>
        </is>
      </c>
      <c r="D45" s="83">
        <f>D44/D42</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1"/>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inlineStr">
        <is>
          <t>2026-09-18</t>
        </is>
      </c>
      <c r="H6" t="n">
        <v>166.83</v>
      </c>
      <c r="J6" t="n">
        <v>23346.4</v>
      </c>
    </row>
    <row r="7">
      <c r="B7" t="n">
        <v>2024</v>
      </c>
      <c r="C7" s="46" t="n">
        <v>0.08749999999999999</v>
      </c>
      <c r="G7" s="34" t="inlineStr">
        <is>
          <t>2026-09-17</t>
        </is>
      </c>
      <c r="H7" t="n">
        <v>166.4</v>
      </c>
      <c r="J7" t="n">
        <v>23270.6</v>
      </c>
    </row>
    <row r="8">
      <c r="B8" t="n">
        <v>2023</v>
      </c>
      <c r="C8" s="46" t="n">
        <v>0.1942</v>
      </c>
      <c r="G8" s="34" t="inlineStr">
        <is>
          <t>2026-09-16</t>
        </is>
      </c>
      <c r="H8" t="n">
        <v>166.89</v>
      </c>
      <c r="J8" t="n">
        <v>23217.6</v>
      </c>
    </row>
    <row r="9">
      <c r="B9" t="n">
        <v>2022</v>
      </c>
      <c r="C9" s="46" t="n">
        <v>0.0432</v>
      </c>
      <c r="G9" s="34" t="inlineStr">
        <is>
          <t>2026-09-15</t>
        </is>
      </c>
      <c r="H9" t="n">
        <v>170</v>
      </c>
      <c r="J9" t="n">
        <v>23118.6</v>
      </c>
    </row>
    <row r="10">
      <c r="B10" t="n">
        <v>2021</v>
      </c>
      <c r="C10" s="46" t="n">
        <v>0.2412</v>
      </c>
      <c r="G10" s="34" t="inlineStr">
        <is>
          <t>2026-09-11</t>
        </is>
      </c>
      <c r="H10" t="n">
        <v>167.4</v>
      </c>
      <c r="J10" t="n">
        <v>23398.1</v>
      </c>
    </row>
    <row r="11">
      <c r="B11" t="n">
        <v>2020</v>
      </c>
      <c r="C11" s="46" t="n">
        <v>0.149</v>
      </c>
      <c r="G11" s="34" t="inlineStr">
        <is>
          <t>2026-09-10</t>
        </is>
      </c>
      <c r="H11" t="n">
        <v>166.3</v>
      </c>
      <c r="J11" t="n">
        <v>23477.8</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2026-09-09</t>
        </is>
      </c>
      <c r="H12" t="n">
        <v>167</v>
      </c>
      <c r="J12" t="n">
        <v>23431.5</v>
      </c>
      <c r="N12" t="n">
        <v>1</v>
      </c>
      <c r="O12" t="inlineStr">
        <is>
          <t>TCS</t>
        </is>
      </c>
      <c r="P12" t="n">
        <v>2105</v>
      </c>
      <c r="Q12" t="n">
        <v>361.81</v>
      </c>
      <c r="R12" t="n">
        <v>761607.42</v>
      </c>
      <c r="S12" t="n">
        <v>190401.86</v>
      </c>
      <c r="T12" t="n">
        <v>38080.37</v>
      </c>
      <c r="U12" t="n">
        <v>913928.91</v>
      </c>
      <c r="V12" t="n">
        <v>66052</v>
      </c>
      <c r="W12" t="n">
        <v>30.61</v>
      </c>
      <c r="X12" t="n">
        <v>14971</v>
      </c>
    </row>
    <row r="13">
      <c r="B13" t="n">
        <v>2018</v>
      </c>
      <c r="C13" s="46" t="n">
        <v>0.0315</v>
      </c>
      <c r="G13" s="34" t="inlineStr">
        <is>
          <t>2026-09-08</t>
        </is>
      </c>
      <c r="H13" t="n">
        <v>171.5</v>
      </c>
      <c r="J13" t="n">
        <v>23635.1</v>
      </c>
      <c r="N13" t="n">
        <v>2</v>
      </c>
      <c r="O13" t="inlineStr">
        <is>
          <t>Infosys</t>
        </is>
      </c>
      <c r="P13" t="n">
        <v>1051.4</v>
      </c>
      <c r="Q13" t="n">
        <v>405.82</v>
      </c>
      <c r="R13" t="n">
        <v>426682.56</v>
      </c>
      <c r="S13" t="n">
        <v>106670.64</v>
      </c>
      <c r="T13" t="n">
        <v>21334.13</v>
      </c>
      <c r="U13" t="n">
        <v>512019.07</v>
      </c>
      <c r="V13" t="n">
        <v>76487.98</v>
      </c>
      <c r="W13" t="n">
        <v>12.44</v>
      </c>
      <c r="X13" t="n">
        <v>20183.53</v>
      </c>
    </row>
    <row r="14">
      <c r="B14" t="n">
        <v>2017</v>
      </c>
      <c r="C14" s="46" t="n">
        <v>0.2865</v>
      </c>
      <c r="G14" s="34" t="inlineStr">
        <is>
          <t>2026-09-07</t>
        </is>
      </c>
      <c r="H14" t="n">
        <v>172.8</v>
      </c>
      <c r="J14" t="n">
        <v>23779.15</v>
      </c>
      <c r="N14" t="n">
        <v>3</v>
      </c>
      <c r="O14" t="inlineStr">
        <is>
          <t>HCL Technologies</t>
        </is>
      </c>
      <c r="P14" t="n">
        <v>1249.3</v>
      </c>
      <c r="Q14" t="n">
        <v>271.37</v>
      </c>
      <c r="R14" t="n">
        <v>339018.18</v>
      </c>
      <c r="S14" t="n">
        <v>84754.53999999999</v>
      </c>
      <c r="T14" t="n">
        <v>16950.91</v>
      </c>
      <c r="U14" t="n">
        <v>406821.81</v>
      </c>
      <c r="V14" t="n">
        <v>4400.19</v>
      </c>
      <c r="W14" t="n">
        <v>20.53</v>
      </c>
      <c r="X14" t="n">
        <v>158.3</v>
      </c>
    </row>
    <row r="15">
      <c r="B15" t="n">
        <v>2016</v>
      </c>
      <c r="C15" s="46" t="n">
        <v>0.0301</v>
      </c>
      <c r="G15" s="34" t="inlineStr">
        <is>
          <t>2026-09-04</t>
        </is>
      </c>
      <c r="H15" t="n">
        <v>176.4</v>
      </c>
      <c r="J15" t="n">
        <v>23897.7</v>
      </c>
      <c r="N15" t="n">
        <v>4</v>
      </c>
      <c r="O15" t="inlineStr">
        <is>
          <t>Tech Mahindra</t>
        </is>
      </c>
      <c r="P15" t="n">
        <v>1537.1</v>
      </c>
      <c r="Q15" t="n">
        <v>98.01000000000001</v>
      </c>
      <c r="R15" t="n">
        <v>150656.36</v>
      </c>
      <c r="S15" t="n">
        <v>37664.09</v>
      </c>
      <c r="T15" t="n">
        <v>7532.82</v>
      </c>
      <c r="U15" t="n">
        <v>180787.63</v>
      </c>
      <c r="V15" t="n">
        <v>2012.58</v>
      </c>
      <c r="W15" t="n">
        <v>12.74</v>
      </c>
      <c r="X15" t="n">
        <v>0.22</v>
      </c>
    </row>
    <row r="16">
      <c r="B16" t="n">
        <v>2015</v>
      </c>
      <c r="C16" s="46" t="n">
        <v>-0.0406</v>
      </c>
      <c r="G16" s="34" t="inlineStr">
        <is>
          <t>2026-09-03</t>
        </is>
      </c>
      <c r="H16" t="n">
        <v>175.72</v>
      </c>
      <c r="J16" t="n">
        <v>23873.45</v>
      </c>
      <c r="N16" t="n">
        <v>5</v>
      </c>
      <c r="O16" t="inlineStr">
        <is>
          <t>LTM</t>
        </is>
      </c>
      <c r="P16" t="n">
        <v>4275.1</v>
      </c>
      <c r="Q16" t="n">
        <v>29.66</v>
      </c>
      <c r="R16" t="n">
        <v>126808.58</v>
      </c>
      <c r="S16" t="n">
        <v>31702.15</v>
      </c>
      <c r="T16" t="n">
        <v>6340.43</v>
      </c>
      <c r="U16" t="n">
        <v>152170.3</v>
      </c>
      <c r="V16" t="n">
        <v>238.77</v>
      </c>
      <c r="W16" t="n">
        <v>13.43</v>
      </c>
      <c r="X16" t="n">
        <v>8.51</v>
      </c>
    </row>
    <row r="17">
      <c r="B17" t="n">
        <v>2014</v>
      </c>
      <c r="C17" s="46" t="n">
        <v>0.3139</v>
      </c>
      <c r="G17" s="34" t="inlineStr">
        <is>
          <t>2026-09-02</t>
        </is>
      </c>
      <c r="H17" t="n">
        <v>177.09</v>
      </c>
      <c r="J17" t="n">
        <v>23914.45</v>
      </c>
      <c r="N17" t="n">
        <v>6</v>
      </c>
      <c r="O17" t="inlineStr">
        <is>
          <t>Persistent Systems</t>
        </is>
      </c>
      <c r="P17" t="n">
        <v>5416</v>
      </c>
      <c r="Q17" t="n">
        <v>15.77</v>
      </c>
      <c r="R17" t="n">
        <v>85437.39999999999</v>
      </c>
      <c r="S17" t="n">
        <v>21359.35</v>
      </c>
      <c r="T17" t="n">
        <v>4271.87</v>
      </c>
      <c r="U17" t="n">
        <v>102524.88</v>
      </c>
    </row>
    <row r="18">
      <c r="B18" t="n">
        <v>2013</v>
      </c>
      <c r="C18" s="46" t="n">
        <v>0.06759999999999999</v>
      </c>
      <c r="G18" s="34" t="inlineStr">
        <is>
          <t>2026-09-01</t>
        </is>
      </c>
      <c r="H18" t="n">
        <v>181.7</v>
      </c>
      <c r="J18" t="n">
        <v>24055.8</v>
      </c>
      <c r="N18" t="n">
        <v>7</v>
      </c>
      <c r="O18" t="inlineStr">
        <is>
          <t>LTIMindtree</t>
        </is>
      </c>
      <c r="P18" t="n">
        <v>5800</v>
      </c>
      <c r="Q18" t="n">
        <v>27.59</v>
      </c>
      <c r="R18" t="n">
        <v>160000</v>
      </c>
      <c r="S18" t="n">
        <v>0</v>
      </c>
      <c r="T18" t="n">
        <v>8000</v>
      </c>
      <c r="U18" t="n">
        <v>152000</v>
      </c>
    </row>
    <row r="19">
      <c r="B19" t="n">
        <v>2012</v>
      </c>
      <c r="C19" s="46" t="n">
        <v>0.277</v>
      </c>
      <c r="G19" s="34" t="inlineStr">
        <is>
          <t>2026-08-31</t>
        </is>
      </c>
      <c r="H19" t="n">
        <v>184.5</v>
      </c>
      <c r="J19" t="n">
        <v>24080.4</v>
      </c>
    </row>
    <row r="20">
      <c r="B20" t="n">
        <v>2011</v>
      </c>
      <c r="C20" s="46" t="n">
        <v>-0.2462</v>
      </c>
      <c r="G20" s="34" t="inlineStr">
        <is>
          <t>2026-08-28</t>
        </is>
      </c>
      <c r="H20" t="n">
        <v>180.95</v>
      </c>
      <c r="J20" t="n">
        <v>24175.65</v>
      </c>
    </row>
    <row r="21">
      <c r="B21" t="n">
        <v>2010</v>
      </c>
      <c r="C21" s="46" t="n">
        <v>0.1795</v>
      </c>
      <c r="G21" s="34" t="inlineStr">
        <is>
          <t>2026-08-27</t>
        </is>
      </c>
      <c r="H21" t="n">
        <v>176.4</v>
      </c>
      <c r="J21" t="n">
        <v>24090.85</v>
      </c>
    </row>
    <row r="22">
      <c r="B22" t="n">
        <v>2009</v>
      </c>
      <c r="C22" s="46" t="n">
        <v>0.7576000000000001</v>
      </c>
      <c r="G22" s="34" t="inlineStr">
        <is>
          <t>2026-08-26</t>
        </is>
      </c>
      <c r="H22" t="n">
        <v>177.35</v>
      </c>
      <c r="J22" t="n">
        <v>24207.75</v>
      </c>
    </row>
    <row r="23">
      <c r="B23" t="n">
        <v>2008</v>
      </c>
      <c r="C23" s="46" t="n">
        <v>-0.5179</v>
      </c>
      <c r="G23" s="34" t="inlineStr">
        <is>
          <t>2026-08-25</t>
        </is>
      </c>
      <c r="H23" t="n">
        <v>180.09</v>
      </c>
      <c r="J23" t="n">
        <v>24334.55</v>
      </c>
    </row>
    <row r="24">
      <c r="B24" t="n">
        <v>2007</v>
      </c>
      <c r="C24" s="46" t="n">
        <v>0.5477</v>
      </c>
      <c r="G24" s="34" t="inlineStr">
        <is>
          <t>2026-08-24</t>
        </is>
      </c>
      <c r="H24" t="n">
        <v>181.31</v>
      </c>
      <c r="J24" t="n">
        <v>24219.05</v>
      </c>
      <c r="O24" t="inlineStr">
        <is>
          <t>TCS</t>
        </is>
      </c>
      <c r="Q24" t="inlineStr">
        <is>
          <t>India</t>
        </is>
      </c>
      <c r="R24" t="n">
        <v>190401.86</v>
      </c>
      <c r="S24" t="n">
        <v>761607.42</v>
      </c>
      <c r="T24" s="46" t="n">
        <v>0.3</v>
      </c>
    </row>
    <row r="25">
      <c r="B25" t="n">
        <v>2006</v>
      </c>
      <c r="C25" s="46" t="n">
        <v>0.3983</v>
      </c>
      <c r="G25" s="34" t="inlineStr">
        <is>
          <t>2026-08-21</t>
        </is>
      </c>
      <c r="H25" t="n">
        <v>180.79</v>
      </c>
      <c r="J25" t="n">
        <v>24252</v>
      </c>
      <c r="O25" t="inlineStr">
        <is>
          <t>Wipro Ltd</t>
        </is>
      </c>
      <c r="Q25">
        <f>Q24</f>
        <v/>
      </c>
      <c r="R25" t="n">
        <v>20291</v>
      </c>
      <c r="S25" t="n">
        <v>165244</v>
      </c>
      <c r="T25" s="46">
        <f>T24</f>
        <v/>
      </c>
    </row>
    <row r="26">
      <c r="B26" t="n">
        <v>2005</v>
      </c>
      <c r="C26" s="46" t="n">
        <v>0.3634</v>
      </c>
      <c r="G26" s="34" t="inlineStr">
        <is>
          <t>2026-08-20</t>
        </is>
      </c>
      <c r="H26" t="n">
        <v>181</v>
      </c>
      <c r="J26" t="n">
        <v>24231.85</v>
      </c>
      <c r="O26" t="inlineStr">
        <is>
          <t>Infosys</t>
        </is>
      </c>
      <c r="Q26">
        <f>Q25</f>
        <v/>
      </c>
      <c r="R26" t="n">
        <v>106670.64</v>
      </c>
      <c r="S26" t="n">
        <v>426682.56</v>
      </c>
      <c r="T26" s="46">
        <f>T25</f>
        <v/>
      </c>
    </row>
    <row r="27">
      <c r="B27" t="n">
        <v>2004</v>
      </c>
      <c r="C27" s="46" t="n">
        <v>0.1068</v>
      </c>
      <c r="G27" s="34" t="inlineStr">
        <is>
          <t>2026-08-19</t>
        </is>
      </c>
      <c r="H27" t="n">
        <v>179.55</v>
      </c>
      <c r="J27" t="n">
        <v>24078.3</v>
      </c>
      <c r="O27" t="inlineStr">
        <is>
          <t>HCL Technologies</t>
        </is>
      </c>
      <c r="Q27">
        <f>Q26</f>
        <v/>
      </c>
      <c r="R27" t="n">
        <v>84754.53999999999</v>
      </c>
      <c r="S27" t="n">
        <v>339018.18</v>
      </c>
      <c r="T27" s="46">
        <f>T26</f>
        <v/>
      </c>
    </row>
    <row r="28">
      <c r="B28" t="n">
        <v>2003</v>
      </c>
      <c r="C28" s="46" t="n">
        <v>0.719</v>
      </c>
      <c r="G28" s="34" t="inlineStr">
        <is>
          <t>2026-08-18</t>
        </is>
      </c>
      <c r="H28" t="n">
        <v>178.06</v>
      </c>
      <c r="J28" t="n">
        <v>24154.9</v>
      </c>
      <c r="O28" t="inlineStr">
        <is>
          <t>Tech Mahindra</t>
        </is>
      </c>
      <c r="Q28">
        <f>Q27</f>
        <v/>
      </c>
      <c r="R28" t="n">
        <v>37664.09</v>
      </c>
      <c r="S28" t="n">
        <v>150656.36</v>
      </c>
      <c r="T28" s="46">
        <f>T27</f>
        <v/>
      </c>
    </row>
    <row r="29">
      <c r="B29" t="n">
        <v>2002</v>
      </c>
      <c r="C29" s="46" t="n">
        <v>0.0325</v>
      </c>
      <c r="G29" s="34" t="inlineStr">
        <is>
          <t>2026-08-17</t>
        </is>
      </c>
      <c r="H29" t="n">
        <v>181.9</v>
      </c>
      <c r="J29" t="n">
        <v>24287.65</v>
      </c>
    </row>
    <row r="30">
      <c r="G30" s="34" t="inlineStr">
        <is>
          <t>2026-08-14</t>
        </is>
      </c>
      <c r="H30" t="n">
        <v>184</v>
      </c>
      <c r="J30" t="n">
        <v>24366</v>
      </c>
    </row>
    <row r="31">
      <c r="G31" s="34" t="inlineStr">
        <is>
          <t>2026-08-13</t>
        </is>
      </c>
      <c r="H31" t="n">
        <v>183.1</v>
      </c>
      <c r="J31" t="n">
        <v>24395.85</v>
      </c>
    </row>
    <row r="32">
      <c r="G32" s="34" t="inlineStr">
        <is>
          <t>2026-08-12</t>
        </is>
      </c>
      <c r="H32" t="n">
        <v>183.94</v>
      </c>
      <c r="J32" t="n">
        <v>24435.95</v>
      </c>
    </row>
    <row r="33">
      <c r="G33" s="34" t="inlineStr">
        <is>
          <t>2026-08-11</t>
        </is>
      </c>
      <c r="H33" t="n">
        <v>184.6</v>
      </c>
      <c r="J33" t="n">
        <v>24471.7</v>
      </c>
    </row>
    <row r="34">
      <c r="G34" s="34" t="inlineStr">
        <is>
          <t>2026-08-10</t>
        </is>
      </c>
      <c r="H34" t="n">
        <v>185.5</v>
      </c>
      <c r="J34" t="n">
        <v>24583.8</v>
      </c>
    </row>
    <row r="35">
      <c r="G35" s="34" t="inlineStr">
        <is>
          <t>2026-08-07</t>
        </is>
      </c>
      <c r="H35" t="n">
        <v>187.53</v>
      </c>
      <c r="J35" t="n">
        <v>24570.65</v>
      </c>
    </row>
    <row r="36">
      <c r="G36" s="34" t="inlineStr">
        <is>
          <t>2026-08-06</t>
        </is>
      </c>
      <c r="H36" t="n">
        <v>186.12</v>
      </c>
      <c r="J36" t="n">
        <v>24636</v>
      </c>
    </row>
    <row r="37">
      <c r="G37" s="34" t="inlineStr">
        <is>
          <t>2026-08-05</t>
        </is>
      </c>
      <c r="H37" t="n">
        <v>186.99</v>
      </c>
      <c r="J37" t="n">
        <v>24624.65</v>
      </c>
    </row>
    <row r="38">
      <c r="G38" s="34" t="inlineStr">
        <is>
          <t>2026-08-04</t>
        </is>
      </c>
      <c r="H38" t="n">
        <v>186.3</v>
      </c>
      <c r="J38" t="n">
        <v>24614.9</v>
      </c>
    </row>
    <row r="39">
      <c r="G39" s="34" t="inlineStr">
        <is>
          <t>2026-08-03</t>
        </is>
      </c>
      <c r="H39" t="n">
        <v>188.66</v>
      </c>
      <c r="J39" t="n">
        <v>24774.3</v>
      </c>
    </row>
    <row r="40">
      <c r="G40" s="34" t="inlineStr">
        <is>
          <t>2026-07-31</t>
        </is>
      </c>
      <c r="H40" t="n">
        <v>183.65</v>
      </c>
      <c r="J40" t="n">
        <v>24383.6</v>
      </c>
    </row>
    <row r="41">
      <c r="G41" s="34" t="inlineStr">
        <is>
          <t>2026-07-30</t>
        </is>
      </c>
      <c r="H41" t="n">
        <v>186.33</v>
      </c>
      <c r="J41" t="n">
        <v>24317.15</v>
      </c>
    </row>
    <row r="42">
      <c r="G42" s="34" t="inlineStr">
        <is>
          <t>2026-07-29</t>
        </is>
      </c>
      <c r="H42" t="n">
        <v>183.61</v>
      </c>
      <c r="J42" t="n">
        <v>24250.2</v>
      </c>
    </row>
    <row r="43">
      <c r="G43" s="34" t="inlineStr">
        <is>
          <t>2026-07-28</t>
        </is>
      </c>
      <c r="H43" t="n">
        <v>181.12</v>
      </c>
      <c r="J43" t="n">
        <v>23985.35</v>
      </c>
    </row>
    <row r="44">
      <c r="G44" s="34" t="inlineStr">
        <is>
          <t>2026-07-27</t>
        </is>
      </c>
      <c r="H44" t="n">
        <v>178.53</v>
      </c>
      <c r="J44" t="n">
        <v>23995.95</v>
      </c>
    </row>
    <row r="45">
      <c r="G45" s="34" t="inlineStr">
        <is>
          <t>2026-07-24</t>
        </is>
      </c>
      <c r="H45" t="n">
        <v>177.12</v>
      </c>
      <c r="J45" t="n">
        <v>23767.45</v>
      </c>
    </row>
    <row r="46">
      <c r="G46" s="34" t="inlineStr">
        <is>
          <t>2026-07-23</t>
        </is>
      </c>
      <c r="H46" t="n">
        <v>174.82</v>
      </c>
      <c r="J46" t="n">
        <v>23869.6</v>
      </c>
    </row>
    <row r="47">
      <c r="G47" s="34" t="inlineStr">
        <is>
          <t>2026-07-22</t>
        </is>
      </c>
      <c r="H47" t="n">
        <v>174.44</v>
      </c>
      <c r="J47" t="n">
        <v>23996.25</v>
      </c>
    </row>
    <row r="48">
      <c r="G48" s="34" t="inlineStr">
        <is>
          <t>2026-07-21</t>
        </is>
      </c>
      <c r="H48" t="n">
        <v>174.97</v>
      </c>
      <c r="J48" t="n">
        <v>24187.7</v>
      </c>
    </row>
    <row r="49">
      <c r="G49" s="34" t="inlineStr">
        <is>
          <t>2026-07-20</t>
        </is>
      </c>
      <c r="H49" t="n">
        <v>176.38</v>
      </c>
      <c r="J49" t="n">
        <v>24238.5</v>
      </c>
    </row>
    <row r="50">
      <c r="G50" s="34" t="inlineStr">
        <is>
          <t>2026-07-17</t>
        </is>
      </c>
      <c r="H50" t="n">
        <v>176</v>
      </c>
      <c r="J50" t="n">
        <v>24334.3</v>
      </c>
    </row>
    <row r="51">
      <c r="G51" s="34" t="inlineStr">
        <is>
          <t>2026-07-16</t>
        </is>
      </c>
      <c r="H51" t="n">
        <v>177.74</v>
      </c>
      <c r="J51" t="n">
        <v>24072.75</v>
      </c>
    </row>
    <row r="52">
      <c r="G52" s="34" t="inlineStr">
        <is>
          <t>2026-07-15</t>
        </is>
      </c>
      <c r="H52" t="n">
        <v>174.65</v>
      </c>
      <c r="J52" t="n">
        <v>24078.5</v>
      </c>
    </row>
    <row r="53">
      <c r="G53" s="34" t="inlineStr">
        <is>
          <t>2026-07-14</t>
        </is>
      </c>
      <c r="H53" t="n">
        <v>177.14</v>
      </c>
      <c r="J53" t="n">
        <v>24052.05</v>
      </c>
    </row>
    <row r="54">
      <c r="G54" s="34" t="inlineStr">
        <is>
          <t>2026-07-13</t>
        </is>
      </c>
      <c r="H54" t="n">
        <v>178.43</v>
      </c>
      <c r="J54" t="n">
        <v>24211</v>
      </c>
    </row>
    <row r="55">
      <c r="G55" s="34" t="inlineStr">
        <is>
          <t>2026-07-10</t>
        </is>
      </c>
      <c r="H55" t="n">
        <v>175.46</v>
      </c>
      <c r="J55" t="n">
        <v>24206.9</v>
      </c>
    </row>
    <row r="56">
      <c r="G56" s="34" t="inlineStr">
        <is>
          <t>2026-07-09</t>
        </is>
      </c>
      <c r="H56" t="n">
        <v>172.76</v>
      </c>
      <c r="J56" t="n">
        <v>23962.8</v>
      </c>
    </row>
    <row r="57">
      <c r="G57" s="34" t="inlineStr">
        <is>
          <t>2026-07-08</t>
        </is>
      </c>
      <c r="H57" t="n">
        <v>172.72</v>
      </c>
      <c r="J57" t="n">
        <v>23882.05</v>
      </c>
    </row>
    <row r="58">
      <c r="G58" s="34" t="inlineStr">
        <is>
          <t>2026-07-07</t>
        </is>
      </c>
      <c r="H58" t="n">
        <v>173</v>
      </c>
      <c r="J58" t="n">
        <v>24398.7</v>
      </c>
    </row>
    <row r="59">
      <c r="G59" s="34" t="inlineStr">
        <is>
          <t>2026-07-06</t>
        </is>
      </c>
      <c r="H59" t="n">
        <v>174.32</v>
      </c>
      <c r="J59" t="n">
        <v>24430.35</v>
      </c>
    </row>
    <row r="60">
      <c r="G60" s="34" t="inlineStr">
        <is>
          <t>2026-07-03</t>
        </is>
      </c>
      <c r="H60" t="n">
        <v>176.08</v>
      </c>
      <c r="J60" t="n">
        <v>24270.85</v>
      </c>
    </row>
    <row r="61">
      <c r="G61" s="34" t="inlineStr">
        <is>
          <t>2026-07-02</t>
        </is>
      </c>
      <c r="H61" t="n">
        <v>174</v>
      </c>
      <c r="J61" t="n">
        <v>24175.7</v>
      </c>
    </row>
    <row r="62">
      <c r="G62" s="34" t="inlineStr">
        <is>
          <t>2026-07-01</t>
        </is>
      </c>
      <c r="H62" t="n">
        <v>170.13</v>
      </c>
      <c r="J62" t="n">
        <v>24005.85</v>
      </c>
    </row>
    <row r="63">
      <c r="G63" s="34" t="inlineStr">
        <is>
          <t>2026-06-30</t>
        </is>
      </c>
      <c r="H63" t="n">
        <v>170.39</v>
      </c>
      <c r="J63" t="n">
        <v>23865.75</v>
      </c>
    </row>
    <row r="64">
      <c r="G64" s="34" t="inlineStr">
        <is>
          <t>2026-06-29</t>
        </is>
      </c>
      <c r="H64" t="n">
        <v>175.48</v>
      </c>
      <c r="J64" t="n">
        <v>23946.25</v>
      </c>
    </row>
    <row r="65">
      <c r="G65" s="34" t="inlineStr">
        <is>
          <t>2026-06-25</t>
        </is>
      </c>
      <c r="H65" t="n">
        <v>175</v>
      </c>
      <c r="J65" t="n">
        <v>24056</v>
      </c>
    </row>
    <row r="66">
      <c r="G66" s="34" t="inlineStr">
        <is>
          <t>2026-06-24</t>
        </is>
      </c>
      <c r="H66" t="n">
        <v>174.48</v>
      </c>
      <c r="J66" t="n">
        <v>24021.65</v>
      </c>
    </row>
    <row r="67">
      <c r="G67" s="34" t="inlineStr">
        <is>
          <t>2026-06-23</t>
        </is>
      </c>
      <c r="H67" t="n">
        <v>174.49</v>
      </c>
      <c r="J67" t="n">
        <v>23824.1</v>
      </c>
    </row>
    <row r="68">
      <c r="G68" s="34" t="inlineStr">
        <is>
          <t>2026-06-22</t>
        </is>
      </c>
      <c r="H68" t="n">
        <v>180.18</v>
      </c>
      <c r="J68" t="n">
        <v>24102.9</v>
      </c>
    </row>
    <row r="69">
      <c r="G69" s="34" t="inlineStr">
        <is>
          <t>2026-06-19</t>
        </is>
      </c>
      <c r="H69" t="n">
        <v>180.8</v>
      </c>
      <c r="J69" t="n">
        <v>24013.1</v>
      </c>
    </row>
    <row r="70">
      <c r="G70" s="34" t="inlineStr">
        <is>
          <t>2026-06-18</t>
        </is>
      </c>
      <c r="H70" t="n">
        <v>182.84</v>
      </c>
      <c r="J70" t="n">
        <v>24168</v>
      </c>
    </row>
    <row r="71">
      <c r="G71" s="34" t="inlineStr">
        <is>
          <t>2026-06-17</t>
        </is>
      </c>
      <c r="H71" t="n">
        <v>184.47</v>
      </c>
      <c r="J71" t="n">
        <v>24085.7</v>
      </c>
    </row>
    <row r="72">
      <c r="G72" s="34" t="inlineStr">
        <is>
          <t>2026-06-16</t>
        </is>
      </c>
      <c r="H72" t="n">
        <v>182.67</v>
      </c>
      <c r="J72" t="n">
        <v>23989.15</v>
      </c>
    </row>
    <row r="73">
      <c r="G73" s="34" t="inlineStr">
        <is>
          <t>2026-06-15</t>
        </is>
      </c>
      <c r="H73" t="n">
        <v>181.38</v>
      </c>
      <c r="J73" t="n">
        <v>23853.9</v>
      </c>
    </row>
    <row r="74">
      <c r="G74" s="34" t="inlineStr">
        <is>
          <t>2026-06-12</t>
        </is>
      </c>
      <c r="H74" t="n">
        <v>180.14</v>
      </c>
      <c r="J74" t="n">
        <v>23622.9</v>
      </c>
    </row>
    <row r="75">
      <c r="G75" s="34" t="inlineStr">
        <is>
          <t>2026-06-11</t>
        </is>
      </c>
      <c r="H75" t="n">
        <v>177.37</v>
      </c>
      <c r="J75" t="n">
        <v>23161.6</v>
      </c>
    </row>
    <row r="76">
      <c r="G76" s="34" t="inlineStr">
        <is>
          <t>2026-06-10</t>
        </is>
      </c>
      <c r="H76" t="n">
        <v>178.93</v>
      </c>
      <c r="J76" t="n">
        <v>23214.95</v>
      </c>
    </row>
    <row r="77">
      <c r="G77" s="34" t="inlineStr">
        <is>
          <t>2026-06-09</t>
        </is>
      </c>
      <c r="H77" t="n">
        <v>181.67</v>
      </c>
      <c r="J77" t="n">
        <v>23242.1</v>
      </c>
    </row>
    <row r="78">
      <c r="G78" s="34" t="inlineStr">
        <is>
          <t>2026-06-08</t>
        </is>
      </c>
      <c r="H78" t="n">
        <v>181.76</v>
      </c>
      <c r="J78" t="n">
        <v>23123</v>
      </c>
    </row>
    <row r="79">
      <c r="G79" s="34" t="inlineStr">
        <is>
          <t>2026-06-05</t>
        </is>
      </c>
      <c r="H79" t="n">
        <v>198.37</v>
      </c>
      <c r="J79" t="n">
        <v>23366.7</v>
      </c>
    </row>
    <row r="80">
      <c r="G80" s="34" t="inlineStr">
        <is>
          <t>2026-06-04</t>
        </is>
      </c>
      <c r="H80" t="n">
        <v>204.32</v>
      </c>
      <c r="J80" t="n">
        <v>23416.55</v>
      </c>
    </row>
    <row r="81">
      <c r="G81" s="34" t="inlineStr">
        <is>
          <t>2026-06-03</t>
        </is>
      </c>
      <c r="H81" t="n">
        <v>204.1</v>
      </c>
      <c r="J81" t="n">
        <v>23405.6</v>
      </c>
    </row>
    <row r="82">
      <c r="G82" s="34" t="inlineStr">
        <is>
          <t>2026-06-02</t>
        </is>
      </c>
      <c r="H82" t="n">
        <v>209.84</v>
      </c>
      <c r="J82" t="n">
        <v>23483.55</v>
      </c>
    </row>
    <row r="83">
      <c r="G83" s="34" t="inlineStr">
        <is>
          <t>2026-06-01</t>
        </is>
      </c>
      <c r="H83" t="n">
        <v>206.41</v>
      </c>
      <c r="J83" t="n">
        <v>23382.6</v>
      </c>
    </row>
    <row r="84">
      <c r="G84" s="34" t="inlineStr">
        <is>
          <t>2026-05-29</t>
        </is>
      </c>
      <c r="H84" t="n">
        <v>204.25</v>
      </c>
      <c r="J84" t="n">
        <v>23547.75</v>
      </c>
    </row>
    <row r="85">
      <c r="G85" s="34" t="inlineStr">
        <is>
          <t>2026-05-27</t>
        </is>
      </c>
      <c r="H85" t="n">
        <v>201.58</v>
      </c>
      <c r="J85" t="n">
        <v>23907.15</v>
      </c>
    </row>
    <row r="86">
      <c r="G86" s="34" t="inlineStr">
        <is>
          <t>2026-05-26</t>
        </is>
      </c>
      <c r="H86" t="n">
        <v>203.73</v>
      </c>
      <c r="J86" t="n">
        <v>23913.7</v>
      </c>
    </row>
    <row r="87">
      <c r="G87" s="34" t="inlineStr">
        <is>
          <t>2026-05-25</t>
        </is>
      </c>
      <c r="H87" t="n">
        <v>206.84</v>
      </c>
      <c r="J87" t="n">
        <v>24031.7</v>
      </c>
    </row>
    <row r="88">
      <c r="G88" s="34" t="inlineStr">
        <is>
          <t>2026-05-22</t>
        </is>
      </c>
      <c r="H88" t="n">
        <v>203.11</v>
      </c>
      <c r="J88" t="n">
        <v>23719.3</v>
      </c>
    </row>
    <row r="89">
      <c r="G89" s="34" t="inlineStr">
        <is>
          <t>2026-05-21</t>
        </is>
      </c>
      <c r="H89" t="n">
        <v>199.74</v>
      </c>
      <c r="J89" t="n">
        <v>23654.7</v>
      </c>
    </row>
    <row r="90">
      <c r="G90" s="34" t="inlineStr">
        <is>
          <t>2026-05-20</t>
        </is>
      </c>
      <c r="H90" t="n">
        <v>197.12</v>
      </c>
      <c r="J90" t="n">
        <v>23659</v>
      </c>
    </row>
    <row r="91">
      <c r="G91" s="34" t="inlineStr">
        <is>
          <t>2026-05-19</t>
        </is>
      </c>
      <c r="H91" t="n">
        <v>195.17</v>
      </c>
      <c r="J91" t="n">
        <v>23618</v>
      </c>
    </row>
    <row r="92">
      <c r="G92" s="34" t="inlineStr">
        <is>
          <t>2026-05-18</t>
        </is>
      </c>
      <c r="H92" t="n">
        <v>192.17</v>
      </c>
      <c r="J92" t="n">
        <v>23649.95</v>
      </c>
    </row>
    <row r="93">
      <c r="G93" s="34" t="inlineStr">
        <is>
          <t>2026-05-15</t>
        </is>
      </c>
      <c r="H93" t="n">
        <v>190</v>
      </c>
      <c r="J93" t="n">
        <v>23643.5</v>
      </c>
    </row>
    <row r="94">
      <c r="G94" s="34" t="inlineStr">
        <is>
          <t>2026-05-14</t>
        </is>
      </c>
      <c r="H94" t="n">
        <v>188.3</v>
      </c>
      <c r="J94" t="n">
        <v>23689.6</v>
      </c>
    </row>
    <row r="95">
      <c r="G95" s="34" t="inlineStr">
        <is>
          <t>2026-05-13</t>
        </is>
      </c>
      <c r="H95" t="n">
        <v>187.8</v>
      </c>
      <c r="J95" t="n">
        <v>23412.6</v>
      </c>
    </row>
    <row r="96">
      <c r="G96" s="34" t="inlineStr">
        <is>
          <t>2026-05-12</t>
        </is>
      </c>
      <c r="H96" t="n">
        <v>189.57</v>
      </c>
      <c r="J96" t="n">
        <v>23379.55</v>
      </c>
    </row>
    <row r="97">
      <c r="G97" s="34" t="inlineStr">
        <is>
          <t>2026-05-11</t>
        </is>
      </c>
      <c r="H97" t="n">
        <v>196.68</v>
      </c>
      <c r="J97" t="n">
        <v>23815.85</v>
      </c>
    </row>
    <row r="98">
      <c r="G98" s="34" t="inlineStr">
        <is>
          <t>2026-05-08</t>
        </is>
      </c>
      <c r="H98" t="n">
        <v>197.91</v>
      </c>
      <c r="J98" t="n">
        <v>24176.15</v>
      </c>
    </row>
    <row r="99">
      <c r="G99" s="34" t="inlineStr">
        <is>
          <t>2026-05-07</t>
        </is>
      </c>
      <c r="H99" t="n">
        <v>197.36</v>
      </c>
      <c r="J99" t="n">
        <v>24326.65</v>
      </c>
    </row>
    <row r="100">
      <c r="G100" s="34" t="inlineStr">
        <is>
          <t>2026-05-06</t>
        </is>
      </c>
      <c r="H100" t="n">
        <v>199.12</v>
      </c>
      <c r="J100" t="n">
        <v>24330.95</v>
      </c>
    </row>
    <row r="101">
      <c r="G101" s="34" t="inlineStr">
        <is>
          <t>2026-05-05</t>
        </is>
      </c>
      <c r="H101" t="n">
        <v>199.78</v>
      </c>
      <c r="J101" t="n">
        <v>24032.8</v>
      </c>
    </row>
    <row r="102">
      <c r="G102" s="34" t="inlineStr">
        <is>
          <t>2026-05-04</t>
        </is>
      </c>
      <c r="H102" t="n">
        <v>200.75</v>
      </c>
      <c r="J102" t="n">
        <v>24119.3</v>
      </c>
    </row>
    <row r="103">
      <c r="G103" s="34" t="inlineStr">
        <is>
          <t>2026-04-30</t>
        </is>
      </c>
      <c r="H103" t="n">
        <v>200.65</v>
      </c>
      <c r="J103" t="n">
        <v>23997.55</v>
      </c>
    </row>
    <row r="104">
      <c r="G104" s="34" t="inlineStr">
        <is>
          <t>2026-04-29</t>
        </is>
      </c>
      <c r="H104" t="n">
        <v>200.68</v>
      </c>
      <c r="J104" t="n">
        <v>24177.65</v>
      </c>
    </row>
    <row r="105">
      <c r="G105" s="34" t="inlineStr">
        <is>
          <t>2026-04-28</t>
        </is>
      </c>
      <c r="H105" t="n">
        <v>201.58</v>
      </c>
      <c r="J105" t="n">
        <v>23995.7</v>
      </c>
    </row>
    <row r="106">
      <c r="G106" s="34" t="inlineStr">
        <is>
          <t>2026-04-27</t>
        </is>
      </c>
      <c r="H106" t="n">
        <v>205.05</v>
      </c>
      <c r="J106" t="n">
        <v>24092.7</v>
      </c>
    </row>
    <row r="107">
      <c r="G107" s="34" t="inlineStr">
        <is>
          <t>2026-04-24</t>
        </is>
      </c>
      <c r="H107" t="n">
        <v>199.36</v>
      </c>
      <c r="J107" t="n">
        <v>23897.95</v>
      </c>
    </row>
    <row r="108">
      <c r="G108" s="34" t="inlineStr">
        <is>
          <t>2026-04-23</t>
        </is>
      </c>
      <c r="H108" t="n">
        <v>202.76</v>
      </c>
      <c r="J108" t="n">
        <v>24173.05</v>
      </c>
    </row>
    <row r="109">
      <c r="G109" s="34" t="inlineStr">
        <is>
          <t>2026-04-22</t>
        </is>
      </c>
      <c r="H109" t="n">
        <v>204</v>
      </c>
      <c r="J109" t="n">
        <v>24378.1</v>
      </c>
    </row>
    <row r="110">
      <c r="G110" s="34" t="inlineStr">
        <is>
          <t>2026-04-21</t>
        </is>
      </c>
      <c r="H110" t="n">
        <v>205.01</v>
      </c>
      <c r="J110" t="n">
        <v>24576.6</v>
      </c>
    </row>
    <row r="111">
      <c r="G111" s="34" t="inlineStr">
        <is>
          <t>2026-04-20</t>
        </is>
      </c>
      <c r="H111" t="n">
        <v>202.48</v>
      </c>
      <c r="J111" t="n">
        <v>24364.85</v>
      </c>
    </row>
    <row r="112">
      <c r="G112" s="34" t="inlineStr">
        <is>
          <t>2026-04-17</t>
        </is>
      </c>
      <c r="H112" t="n">
        <v>204.32</v>
      </c>
      <c r="J112" t="n">
        <v>24353.55</v>
      </c>
    </row>
    <row r="113">
      <c r="G113" s="34" t="inlineStr">
        <is>
          <t>2026-04-16</t>
        </is>
      </c>
      <c r="H113" t="n">
        <v>210.26</v>
      </c>
      <c r="J113" t="n">
        <v>24196.75</v>
      </c>
    </row>
    <row r="114">
      <c r="G114" s="34" t="inlineStr">
        <is>
          <t>2026-04-15</t>
        </is>
      </c>
      <c r="H114" t="n">
        <v>209.75</v>
      </c>
      <c r="J114" t="n">
        <v>24231.3</v>
      </c>
    </row>
    <row r="115">
      <c r="G115" s="34" t="inlineStr">
        <is>
          <t>2026-04-13</t>
        </is>
      </c>
      <c r="H115" t="n">
        <v>202.97</v>
      </c>
      <c r="J115" t="n">
        <v>23842.65</v>
      </c>
    </row>
    <row r="116">
      <c r="G116" s="34" t="inlineStr">
        <is>
          <t>2026-04-10</t>
        </is>
      </c>
      <c r="H116" t="n">
        <v>204.88</v>
      </c>
      <c r="J116" t="n">
        <v>24050.6</v>
      </c>
    </row>
    <row r="117">
      <c r="G117" s="34" t="inlineStr">
        <is>
          <t>2026-04-09</t>
        </is>
      </c>
      <c r="H117" t="n">
        <v>202.87</v>
      </c>
      <c r="J117" t="n">
        <v>23775.1</v>
      </c>
    </row>
    <row r="118">
      <c r="G118" s="34" t="inlineStr">
        <is>
          <t>2026-04-08</t>
        </is>
      </c>
      <c r="H118" t="n">
        <v>203.42</v>
      </c>
      <c r="J118" t="n">
        <v>23997.35</v>
      </c>
    </row>
    <row r="119">
      <c r="G119" s="34" t="inlineStr">
        <is>
          <t>2026-04-07</t>
        </is>
      </c>
      <c r="H119" t="n">
        <v>204.72</v>
      </c>
      <c r="J119" t="n">
        <v>23123.65</v>
      </c>
    </row>
    <row r="120">
      <c r="G120" s="34" t="inlineStr">
        <is>
          <t>2026-04-06</t>
        </is>
      </c>
      <c r="H120" t="n">
        <v>197.29</v>
      </c>
      <c r="J120" t="n">
        <v>22968.25</v>
      </c>
    </row>
    <row r="121">
      <c r="G121" s="34" t="inlineStr">
        <is>
          <t>2026-04-02</t>
        </is>
      </c>
      <c r="H121" t="n">
        <v>194.91</v>
      </c>
      <c r="J121" t="n">
        <v>22713.1</v>
      </c>
    </row>
    <row r="122">
      <c r="G122" s="34" t="inlineStr">
        <is>
          <t>2026-04-01</t>
        </is>
      </c>
      <c r="H122" t="n">
        <v>191.18</v>
      </c>
      <c r="J122" t="n">
        <v>22679.4</v>
      </c>
    </row>
    <row r="123">
      <c r="G123" s="34" t="inlineStr">
        <is>
          <t>2026-03-30</t>
        </is>
      </c>
      <c r="H123" t="n">
        <v>187.64</v>
      </c>
      <c r="J123" t="n">
        <v>22331.4</v>
      </c>
    </row>
    <row r="124">
      <c r="G124" s="34" t="inlineStr">
        <is>
          <t>2026-03-27</t>
        </is>
      </c>
      <c r="H124" t="n">
        <v>191.6</v>
      </c>
      <c r="J124" t="n">
        <v>22819.6</v>
      </c>
    </row>
    <row r="125">
      <c r="G125" s="34" t="inlineStr">
        <is>
          <t>2026-03-25</t>
        </is>
      </c>
      <c r="H125" t="n">
        <v>189.05</v>
      </c>
      <c r="J125" t="n">
        <v>23306.45</v>
      </c>
    </row>
    <row r="126">
      <c r="G126" s="34" t="inlineStr">
        <is>
          <t>2026-03-24</t>
        </is>
      </c>
      <c r="H126" t="n">
        <v>188.74</v>
      </c>
      <c r="J126" t="n">
        <v>22912.4</v>
      </c>
    </row>
    <row r="127">
      <c r="G127" s="34" t="inlineStr">
        <is>
          <t>2026-03-23</t>
        </is>
      </c>
      <c r="H127" t="n">
        <v>187.54</v>
      </c>
      <c r="J127" t="n">
        <v>22512.65</v>
      </c>
    </row>
    <row r="128">
      <c r="G128" s="34" t="inlineStr">
        <is>
          <t>2026-03-20</t>
        </is>
      </c>
      <c r="H128" t="n">
        <v>190.9</v>
      </c>
      <c r="J128" t="n">
        <v>23114.5</v>
      </c>
    </row>
    <row r="129">
      <c r="G129" s="34" t="inlineStr">
        <is>
          <t>2026-03-19</t>
        </is>
      </c>
      <c r="H129" t="n">
        <v>188.41</v>
      </c>
      <c r="J129" t="n">
        <v>23002.15</v>
      </c>
    </row>
    <row r="130">
      <c r="G130" s="34" t="inlineStr">
        <is>
          <t>2026-03-18</t>
        </is>
      </c>
      <c r="H130" t="n">
        <v>194.3</v>
      </c>
      <c r="J130" t="n">
        <v>23777.8</v>
      </c>
    </row>
    <row r="131">
      <c r="G131" s="34" t="inlineStr">
        <is>
          <t>2026-03-17</t>
        </is>
      </c>
      <c r="H131" t="n">
        <v>191.32</v>
      </c>
      <c r="J131" t="n">
        <v>23581.15</v>
      </c>
    </row>
    <row r="132">
      <c r="G132" s="34" t="inlineStr">
        <is>
          <t>2026-03-16</t>
        </is>
      </c>
      <c r="H132" t="n">
        <v>195.11</v>
      </c>
      <c r="J132" t="n">
        <v>23408.8</v>
      </c>
    </row>
    <row r="133">
      <c r="G133" s="34" t="inlineStr">
        <is>
          <t>2026-03-13</t>
        </is>
      </c>
      <c r="H133" t="n">
        <v>197.58</v>
      </c>
      <c r="J133" t="n">
        <v>23151.1</v>
      </c>
    </row>
    <row r="134">
      <c r="G134" s="34" t="inlineStr">
        <is>
          <t>2026-03-12</t>
        </is>
      </c>
      <c r="H134" t="n">
        <v>202.51</v>
      </c>
      <c r="J134" t="n">
        <v>23639.15</v>
      </c>
    </row>
    <row r="135">
      <c r="G135" s="34" t="inlineStr">
        <is>
          <t>2026-03-11</t>
        </is>
      </c>
      <c r="H135" t="n">
        <v>202.23</v>
      </c>
      <c r="J135" t="n">
        <v>23866.85</v>
      </c>
    </row>
    <row r="136">
      <c r="G136" s="34" t="inlineStr">
        <is>
          <t>2026-03-10</t>
        </is>
      </c>
      <c r="H136" t="n">
        <v>200.93</v>
      </c>
      <c r="J136" t="n">
        <v>24261.6</v>
      </c>
    </row>
    <row r="137">
      <c r="G137" s="34" t="inlineStr">
        <is>
          <t>2026-03-09</t>
        </is>
      </c>
      <c r="H137" t="n">
        <v>198.75</v>
      </c>
      <c r="J137" t="n">
        <v>24028.05</v>
      </c>
    </row>
    <row r="138">
      <c r="G138" s="34" t="inlineStr">
        <is>
          <t>2026-03-06</t>
        </is>
      </c>
      <c r="H138" t="n">
        <v>195.4</v>
      </c>
      <c r="J138" t="n">
        <v>24450.45</v>
      </c>
    </row>
    <row r="139">
      <c r="G139" s="34" t="inlineStr">
        <is>
          <t>2026-03-05</t>
        </is>
      </c>
      <c r="H139" t="n">
        <v>195.68</v>
      </c>
      <c r="J139" t="n">
        <v>24765.9</v>
      </c>
    </row>
    <row r="140">
      <c r="G140" s="34" t="inlineStr">
        <is>
          <t>2026-03-04</t>
        </is>
      </c>
      <c r="H140" t="n">
        <v>195.55</v>
      </c>
      <c r="J140" t="n">
        <v>24480.5</v>
      </c>
    </row>
    <row r="141">
      <c r="G141" s="34" t="inlineStr">
        <is>
          <t>2026-03-02</t>
        </is>
      </c>
      <c r="H141" t="n">
        <v>198.57</v>
      </c>
      <c r="J141" t="n">
        <v>24865.7</v>
      </c>
    </row>
    <row r="142">
      <c r="G142" s="34" t="inlineStr">
        <is>
          <t>2026-02-27</t>
        </is>
      </c>
      <c r="H142" t="n">
        <v>200.96</v>
      </c>
      <c r="J142" t="n">
        <v>25178.65</v>
      </c>
    </row>
    <row r="143">
      <c r="G143" s="34" t="inlineStr">
        <is>
          <t>2026-02-26</t>
        </is>
      </c>
      <c r="H143" t="n">
        <v>201.08</v>
      </c>
      <c r="J143" t="n">
        <v>25496.55</v>
      </c>
    </row>
    <row r="144">
      <c r="G144" s="34" t="inlineStr">
        <is>
          <t>2026-02-25</t>
        </is>
      </c>
      <c r="H144" t="n">
        <v>201.92</v>
      </c>
      <c r="J144" t="n">
        <v>25482.5</v>
      </c>
    </row>
    <row r="145">
      <c r="G145" s="34" t="inlineStr">
        <is>
          <t>2026-02-24</t>
        </is>
      </c>
      <c r="H145" t="n">
        <v>200.14</v>
      </c>
      <c r="J145" t="n">
        <v>25424.65</v>
      </c>
    </row>
    <row r="146">
      <c r="G146" s="34" t="inlineStr">
        <is>
          <t>2026-02-23</t>
        </is>
      </c>
      <c r="H146" t="n">
        <v>205.89</v>
      </c>
      <c r="J146" t="n">
        <v>25713</v>
      </c>
    </row>
    <row r="147">
      <c r="G147" s="34" t="inlineStr">
        <is>
          <t>2026-02-20</t>
        </is>
      </c>
      <c r="H147" t="n">
        <v>209.86</v>
      </c>
      <c r="J147" t="n">
        <v>25571.25</v>
      </c>
    </row>
    <row r="148">
      <c r="G148" s="34" t="inlineStr">
        <is>
          <t>2026-02-19</t>
        </is>
      </c>
      <c r="H148" t="n">
        <v>211.21</v>
      </c>
      <c r="J148" t="n">
        <v>25454.35</v>
      </c>
    </row>
    <row r="149">
      <c r="G149" s="34" t="inlineStr">
        <is>
          <t>2026-02-18</t>
        </is>
      </c>
      <c r="H149" t="n">
        <v>211.95</v>
      </c>
      <c r="J149" t="n">
        <v>25819.35</v>
      </c>
    </row>
    <row r="150">
      <c r="G150" s="34" t="inlineStr">
        <is>
          <t>2026-02-17</t>
        </is>
      </c>
      <c r="H150" t="n">
        <v>215.69</v>
      </c>
      <c r="J150" t="n">
        <v>25725.4</v>
      </c>
    </row>
    <row r="151">
      <c r="G151" s="34" t="inlineStr">
        <is>
          <t>2026-02-16</t>
        </is>
      </c>
      <c r="H151" t="n">
        <v>213.26</v>
      </c>
      <c r="J151" t="n">
        <v>25682.75</v>
      </c>
    </row>
    <row r="152">
      <c r="G152" s="34" t="inlineStr">
        <is>
          <t>2026-02-13</t>
        </is>
      </c>
      <c r="H152" t="n">
        <v>214.09</v>
      </c>
      <c r="J152" t="n">
        <v>25471.1</v>
      </c>
    </row>
    <row r="153">
      <c r="G153" s="34" t="inlineStr">
        <is>
          <t>2026-02-12</t>
        </is>
      </c>
      <c r="H153" t="n">
        <v>219.08</v>
      </c>
      <c r="J153" t="n">
        <v>25807.2</v>
      </c>
    </row>
    <row r="154">
      <c r="G154" s="34" t="inlineStr">
        <is>
          <t>2026-02-11</t>
        </is>
      </c>
      <c r="H154" t="n">
        <v>229.81</v>
      </c>
      <c r="J154" t="n">
        <v>25953.85</v>
      </c>
    </row>
    <row r="155">
      <c r="G155" s="34" t="inlineStr">
        <is>
          <t>2026-02-10</t>
        </is>
      </c>
      <c r="H155" t="n">
        <v>231.47</v>
      </c>
      <c r="J155" t="n">
        <v>25935.15</v>
      </c>
    </row>
    <row r="156">
      <c r="G156" s="34" t="inlineStr">
        <is>
          <t>2026-02-09</t>
        </is>
      </c>
      <c r="H156" t="n">
        <v>230.08</v>
      </c>
      <c r="J156" t="n">
        <v>25867.3</v>
      </c>
    </row>
    <row r="157">
      <c r="G157" s="34" t="inlineStr">
        <is>
          <t>2026-02-06</t>
        </is>
      </c>
      <c r="H157" t="n">
        <v>230.72</v>
      </c>
      <c r="J157" t="n">
        <v>25693.7</v>
      </c>
    </row>
    <row r="158">
      <c r="G158" s="34" t="inlineStr">
        <is>
          <t>2026-02-05</t>
        </is>
      </c>
      <c r="H158" t="n">
        <v>233.39</v>
      </c>
      <c r="J158" t="n">
        <v>25642.8</v>
      </c>
    </row>
    <row r="159">
      <c r="G159" s="34" t="inlineStr">
        <is>
          <t>2026-02-04</t>
        </is>
      </c>
      <c r="H159" t="n">
        <v>233.34</v>
      </c>
      <c r="J159" t="n">
        <v>25776</v>
      </c>
    </row>
    <row r="160">
      <c r="G160" s="34" t="inlineStr">
        <is>
          <t>2026-02-03</t>
        </is>
      </c>
      <c r="H160" t="n">
        <v>242.69</v>
      </c>
      <c r="J160" t="n">
        <v>25727.55</v>
      </c>
    </row>
    <row r="161">
      <c r="G161" s="34" t="inlineStr">
        <is>
          <t>2026-02-02</t>
        </is>
      </c>
      <c r="H161" t="n">
        <v>242.3</v>
      </c>
      <c r="J161" t="n">
        <v>25088.4</v>
      </c>
    </row>
    <row r="162">
      <c r="G162" s="34" t="inlineStr">
        <is>
          <t>2026-02-01</t>
        </is>
      </c>
      <c r="H162" t="n">
        <v>241.8</v>
      </c>
      <c r="J162" t="n">
        <v>25320.65</v>
      </c>
    </row>
    <row r="163">
      <c r="G163" s="34" t="inlineStr">
        <is>
          <t>2026-01-30</t>
        </is>
      </c>
      <c r="H163" t="n">
        <v>236.9</v>
      </c>
      <c r="J163" t="n">
        <v>25320.65</v>
      </c>
    </row>
    <row r="164">
      <c r="G164" s="34" t="inlineStr">
        <is>
          <t>2026-01-29</t>
        </is>
      </c>
      <c r="H164" t="n">
        <v>239.8</v>
      </c>
      <c r="J164" t="n">
        <v>25418.9</v>
      </c>
    </row>
    <row r="165">
      <c r="G165" s="34" t="inlineStr">
        <is>
          <t>2026-01-28</t>
        </is>
      </c>
      <c r="H165" t="n">
        <v>237.35</v>
      </c>
      <c r="J165" t="n">
        <v>25342.75</v>
      </c>
    </row>
    <row r="166">
      <c r="G166" s="34" t="inlineStr">
        <is>
          <t>2026-01-27</t>
        </is>
      </c>
      <c r="H166" t="n">
        <v>234.8</v>
      </c>
      <c r="J166" t="n">
        <v>25175.4</v>
      </c>
    </row>
    <row r="167">
      <c r="G167" s="34" t="inlineStr">
        <is>
          <t>2026-01-23</t>
        </is>
      </c>
      <c r="H167" t="n">
        <v>238.4</v>
      </c>
      <c r="J167" t="n">
        <v>25048.65</v>
      </c>
    </row>
    <row r="168">
      <c r="G168" s="34" t="inlineStr">
        <is>
          <t>2026-01-22</t>
        </is>
      </c>
      <c r="H168" t="n">
        <v>240.65</v>
      </c>
      <c r="J168" t="n">
        <v>25289.9</v>
      </c>
    </row>
    <row r="169">
      <c r="G169" s="34" t="inlineStr">
        <is>
          <t>2026-01-21</t>
        </is>
      </c>
      <c r="H169" t="n">
        <v>239.55</v>
      </c>
      <c r="J169" t="n">
        <v>25157.5</v>
      </c>
    </row>
    <row r="170">
      <c r="G170" s="34" t="inlineStr">
        <is>
          <t>2026-01-20</t>
        </is>
      </c>
      <c r="H170" t="n">
        <v>239.9</v>
      </c>
      <c r="J170" t="n">
        <v>25232.5</v>
      </c>
    </row>
    <row r="171">
      <c r="G171" s="34" t="inlineStr">
        <is>
          <t>2026-01-19</t>
        </is>
      </c>
      <c r="H171" t="n">
        <v>245.95</v>
      </c>
      <c r="J171" t="n">
        <v>25585.5</v>
      </c>
    </row>
    <row r="172">
      <c r="G172" s="34" t="inlineStr">
        <is>
          <t>2026-01-16</t>
        </is>
      </c>
      <c r="H172" t="n">
        <v>267.45</v>
      </c>
      <c r="J172" t="n">
        <v>25694.35</v>
      </c>
    </row>
    <row r="173">
      <c r="G173" s="34" t="inlineStr">
        <is>
          <t>2026-01-14</t>
        </is>
      </c>
      <c r="H173" t="n">
        <v>260.2</v>
      </c>
      <c r="J173" t="n">
        <v>25665.6</v>
      </c>
    </row>
    <row r="174">
      <c r="G174" s="34" t="inlineStr">
        <is>
          <t>2026-01-13</t>
        </is>
      </c>
      <c r="H174" t="n">
        <v>264.2</v>
      </c>
      <c r="J174" t="n">
        <v>25732.3</v>
      </c>
    </row>
    <row r="175">
      <c r="G175" s="34" t="inlineStr">
        <is>
          <t>2026-01-12</t>
        </is>
      </c>
      <c r="H175" t="n">
        <v>263.1</v>
      </c>
      <c r="J175" t="n">
        <v>25790.25</v>
      </c>
    </row>
    <row r="176">
      <c r="G176" s="34" t="inlineStr">
        <is>
          <t>2026-01-09</t>
        </is>
      </c>
      <c r="H176" t="n">
        <v>261.95</v>
      </c>
      <c r="J176" t="n">
        <v>25683.3</v>
      </c>
    </row>
    <row r="177">
      <c r="G177" s="34" t="inlineStr">
        <is>
          <t>2026-01-08</t>
        </is>
      </c>
      <c r="H177" t="n">
        <v>262.2</v>
      </c>
      <c r="J177" t="n">
        <v>25876.85</v>
      </c>
    </row>
    <row r="178">
      <c r="G178" s="34" t="inlineStr">
        <is>
          <t>2026-01-07</t>
        </is>
      </c>
      <c r="H178" t="n">
        <v>270.8</v>
      </c>
      <c r="J178" t="n">
        <v>26140.75</v>
      </c>
    </row>
    <row r="179">
      <c r="G179" s="34" t="inlineStr">
        <is>
          <t>2026-01-06</t>
        </is>
      </c>
      <c r="H179" t="n">
        <v>265.6</v>
      </c>
      <c r="J179" t="n">
        <v>26178.7</v>
      </c>
    </row>
    <row r="180">
      <c r="G180" s="34" t="inlineStr">
        <is>
          <t>2026-01-05</t>
        </is>
      </c>
      <c r="H180" t="n">
        <v>263.3</v>
      </c>
      <c r="J180" t="n">
        <v>26250.3</v>
      </c>
    </row>
    <row r="181">
      <c r="G181" s="34" t="inlineStr">
        <is>
          <t>2026-01-02</t>
        </is>
      </c>
      <c r="H181" t="n">
        <v>269</v>
      </c>
      <c r="J181" t="n">
        <v>26328.55</v>
      </c>
    </row>
    <row r="182">
      <c r="G182" s="34" t="inlineStr">
        <is>
          <t>2026-01-01</t>
        </is>
      </c>
      <c r="H182" t="n">
        <v>267.35</v>
      </c>
      <c r="J182" t="n">
        <v>26146.55</v>
      </c>
    </row>
    <row r="183">
      <c r="G183" s="34" t="inlineStr">
        <is>
          <t>2025-12-31</t>
        </is>
      </c>
      <c r="H183" t="n">
        <v>263.28</v>
      </c>
      <c r="J183" t="n">
        <v>26129.6</v>
      </c>
    </row>
    <row r="184">
      <c r="G184" s="34" t="inlineStr">
        <is>
          <t>2025-12-30</t>
        </is>
      </c>
      <c r="H184" t="n">
        <v>263.65</v>
      </c>
      <c r="J184" t="n">
        <v>25938.85</v>
      </c>
    </row>
    <row r="185">
      <c r="G185" s="34" t="inlineStr">
        <is>
          <t>2025-12-29</t>
        </is>
      </c>
      <c r="H185" t="n">
        <v>264.24</v>
      </c>
      <c r="J185" t="n">
        <v>25942.1</v>
      </c>
    </row>
    <row r="186">
      <c r="G186" s="34" t="inlineStr">
        <is>
          <t>2025-12-26</t>
        </is>
      </c>
      <c r="H186" t="n">
        <v>266.3</v>
      </c>
      <c r="J186" t="n">
        <v>26042.3</v>
      </c>
    </row>
    <row r="187">
      <c r="G187" s="34" t="inlineStr">
        <is>
          <t>2025-12-24</t>
        </is>
      </c>
      <c r="H187" t="n">
        <v>268.06</v>
      </c>
      <c r="J187" t="n">
        <v>26142.1</v>
      </c>
    </row>
    <row r="188">
      <c r="G188" s="34" t="inlineStr">
        <is>
          <t>2025-12-23</t>
        </is>
      </c>
      <c r="H188" t="n">
        <v>271.4</v>
      </c>
      <c r="J188" t="n">
        <v>26177.15</v>
      </c>
    </row>
    <row r="189">
      <c r="G189" s="34" t="inlineStr">
        <is>
          <t>2025-12-22</t>
        </is>
      </c>
      <c r="H189" t="n">
        <v>272.67</v>
      </c>
      <c r="J189" t="n">
        <v>26172.4</v>
      </c>
    </row>
    <row r="190">
      <c r="G190" s="34" t="inlineStr">
        <is>
          <t>2025-12-19</t>
        </is>
      </c>
      <c r="H190" t="n">
        <v>264.45</v>
      </c>
      <c r="J190" t="n">
        <v>25966.4</v>
      </c>
    </row>
    <row r="191">
      <c r="G191" s="34" t="inlineStr">
        <is>
          <t>2025-12-18</t>
        </is>
      </c>
      <c r="H191" t="n">
        <v>263.85</v>
      </c>
      <c r="J191" t="n">
        <v>25815.55</v>
      </c>
    </row>
    <row r="192">
      <c r="G192" s="34" t="inlineStr">
        <is>
          <t>2025-12-17</t>
        </is>
      </c>
      <c r="H192" t="n">
        <v>261.14</v>
      </c>
      <c r="J192" t="n">
        <v>25818.55</v>
      </c>
    </row>
    <row r="193">
      <c r="G193" s="34" t="inlineStr">
        <is>
          <t>2025-12-16</t>
        </is>
      </c>
      <c r="H193" t="n">
        <v>259.22</v>
      </c>
      <c r="J193" t="n">
        <v>25860.1</v>
      </c>
    </row>
    <row r="194">
      <c r="G194" s="34" t="inlineStr">
        <is>
          <t>2025-12-15</t>
        </is>
      </c>
      <c r="H194" t="n">
        <v>261.74</v>
      </c>
      <c r="J194" t="n">
        <v>26027.3</v>
      </c>
    </row>
    <row r="195">
      <c r="G195" s="34" t="inlineStr">
        <is>
          <t>2025-12-12</t>
        </is>
      </c>
      <c r="H195" t="n">
        <v>260.6</v>
      </c>
      <c r="J195" t="n">
        <v>26046.95</v>
      </c>
    </row>
    <row r="196">
      <c r="G196" s="34" t="inlineStr">
        <is>
          <t>2025-12-11</t>
        </is>
      </c>
      <c r="H196" t="n">
        <v>259.25</v>
      </c>
      <c r="J196" t="n">
        <v>25898.55</v>
      </c>
    </row>
    <row r="197">
      <c r="G197" s="34" t="inlineStr">
        <is>
          <t>2025-12-10</t>
        </is>
      </c>
      <c r="H197" t="n">
        <v>257.98</v>
      </c>
      <c r="J197" t="n">
        <v>25758</v>
      </c>
    </row>
    <row r="198">
      <c r="G198" s="34" t="inlineStr">
        <is>
          <t>2025-12-09</t>
        </is>
      </c>
      <c r="H198" t="n">
        <v>257.41</v>
      </c>
      <c r="J198" t="n">
        <v>25839.65</v>
      </c>
    </row>
    <row r="199">
      <c r="G199" s="34" t="inlineStr">
        <is>
          <t>2025-12-08</t>
        </is>
      </c>
      <c r="H199" t="n">
        <v>261.38</v>
      </c>
      <c r="J199" t="n">
        <v>25960.55</v>
      </c>
    </row>
    <row r="200">
      <c r="G200" s="34" t="inlineStr">
        <is>
          <t>2025-12-05</t>
        </is>
      </c>
      <c r="H200" t="n">
        <v>259.91</v>
      </c>
      <c r="J200" t="n">
        <v>26186.45</v>
      </c>
    </row>
    <row r="201">
      <c r="G201" s="34" t="inlineStr">
        <is>
          <t>2025-12-04</t>
        </is>
      </c>
      <c r="H201" t="n">
        <v>256.93</v>
      </c>
      <c r="J201" t="n">
        <v>26033.75</v>
      </c>
    </row>
    <row r="202">
      <c r="G202" s="34" t="inlineStr">
        <is>
          <t>2025-12-03</t>
        </is>
      </c>
      <c r="H202" t="n">
        <v>254.69</v>
      </c>
      <c r="J202" t="n">
        <v>25986</v>
      </c>
    </row>
    <row r="203">
      <c r="G203" s="34" t="inlineStr">
        <is>
          <t>2025-12-02</t>
        </is>
      </c>
      <c r="H203" t="n">
        <v>250.17</v>
      </c>
      <c r="J203" t="n">
        <v>26032.2</v>
      </c>
    </row>
    <row r="204">
      <c r="G204" s="34" t="inlineStr">
        <is>
          <t>2025-12-01</t>
        </is>
      </c>
      <c r="H204" t="n">
        <v>250.28</v>
      </c>
      <c r="J204" t="n">
        <v>26175.75</v>
      </c>
    </row>
    <row r="205">
      <c r="G205" s="34" t="inlineStr">
        <is>
          <t>2025-11-28</t>
        </is>
      </c>
      <c r="H205" t="n">
        <v>249.53</v>
      </c>
      <c r="J205" t="n">
        <v>26202.95</v>
      </c>
    </row>
    <row r="206">
      <c r="G206" s="34" t="inlineStr">
        <is>
          <t>2025-11-27</t>
        </is>
      </c>
      <c r="H206" t="n">
        <v>249.56</v>
      </c>
      <c r="J206" t="n">
        <v>26215.55</v>
      </c>
    </row>
    <row r="207">
      <c r="G207" s="34" t="inlineStr">
        <is>
          <t>2025-11-26</t>
        </is>
      </c>
      <c r="H207" t="n">
        <v>250.19</v>
      </c>
      <c r="J207" t="n">
        <v>26205.3</v>
      </c>
    </row>
    <row r="208">
      <c r="G208" s="34" t="inlineStr">
        <is>
          <t>2025-11-25</t>
        </is>
      </c>
      <c r="H208" t="n">
        <v>245.64</v>
      </c>
      <c r="J208" t="n">
        <v>25884.8</v>
      </c>
    </row>
    <row r="209">
      <c r="G209" s="34" t="inlineStr">
        <is>
          <t>2025-11-24</t>
        </is>
      </c>
      <c r="H209" t="n">
        <v>247.27</v>
      </c>
      <c r="J209" t="n">
        <v>25959.5</v>
      </c>
    </row>
    <row r="210">
      <c r="G210" s="34" t="inlineStr">
        <is>
          <t>2025-11-21</t>
        </is>
      </c>
      <c r="H210" t="n">
        <v>244.49</v>
      </c>
      <c r="J210" t="n">
        <v>26068.15</v>
      </c>
    </row>
    <row r="211">
      <c r="G211" s="34" t="inlineStr">
        <is>
          <t>2025-11-20</t>
        </is>
      </c>
      <c r="H211" t="n">
        <v>246.26</v>
      </c>
      <c r="J211" t="n">
        <v>26192.15</v>
      </c>
    </row>
    <row r="212">
      <c r="G212" s="34" t="inlineStr">
        <is>
          <t>2025-11-19</t>
        </is>
      </c>
      <c r="H212" t="n">
        <v>246.07</v>
      </c>
      <c r="J212" t="n">
        <v>26052.65</v>
      </c>
    </row>
    <row r="213">
      <c r="G213" s="34" t="inlineStr">
        <is>
          <t>2025-11-18</t>
        </is>
      </c>
      <c r="H213" t="n">
        <v>240.9</v>
      </c>
      <c r="J213" t="n">
        <v>25910.05</v>
      </c>
    </row>
    <row r="214">
      <c r="G214" s="34" t="inlineStr">
        <is>
          <t>2025-11-17</t>
        </is>
      </c>
      <c r="H214" t="n">
        <v>244.05</v>
      </c>
      <c r="J214" t="n">
        <v>26013.45</v>
      </c>
    </row>
    <row r="215">
      <c r="G215" s="34" t="inlineStr">
        <is>
          <t>2025-11-14</t>
        </is>
      </c>
      <c r="H215" t="n">
        <v>244.37</v>
      </c>
      <c r="J215" t="n">
        <v>25910.05</v>
      </c>
    </row>
    <row r="216">
      <c r="G216" s="34" t="inlineStr">
        <is>
          <t>2025-11-13</t>
        </is>
      </c>
      <c r="H216" t="n">
        <v>245.33</v>
      </c>
      <c r="J216" t="n">
        <v>25879.15</v>
      </c>
    </row>
    <row r="217">
      <c r="G217" s="34" t="inlineStr">
        <is>
          <t>2025-11-12</t>
        </is>
      </c>
      <c r="H217" t="n">
        <v>245.22</v>
      </c>
      <c r="J217" t="n">
        <v>25875.8</v>
      </c>
    </row>
    <row r="218">
      <c r="G218" s="34" t="inlineStr">
        <is>
          <t>2025-11-11</t>
        </is>
      </c>
      <c r="H218" t="n">
        <v>241.69</v>
      </c>
      <c r="J218" t="n">
        <v>25694.95</v>
      </c>
    </row>
    <row r="219">
      <c r="G219" s="34" t="inlineStr">
        <is>
          <t>2025-11-10</t>
        </is>
      </c>
      <c r="H219" t="n">
        <v>239.84</v>
      </c>
      <c r="J219" t="n">
        <v>25574.35</v>
      </c>
    </row>
    <row r="220">
      <c r="G220" s="34" t="inlineStr">
        <is>
          <t>2025-11-07</t>
        </is>
      </c>
      <c r="H220" t="n">
        <v>236.49</v>
      </c>
      <c r="J220" t="n">
        <v>25492.3</v>
      </c>
    </row>
    <row r="221">
      <c r="G221" s="34" t="inlineStr">
        <is>
          <t>2025-11-06</t>
        </is>
      </c>
      <c r="H221" t="n">
        <v>240.05</v>
      </c>
      <c r="J221" t="n">
        <v>25509.7</v>
      </c>
    </row>
    <row r="222">
      <c r="G222" s="34" t="inlineStr">
        <is>
          <t>2025-11-04</t>
        </is>
      </c>
      <c r="H222" t="n">
        <v>237.92</v>
      </c>
      <c r="J222" t="n">
        <v>25597.65</v>
      </c>
    </row>
    <row r="223">
      <c r="G223" s="34" t="inlineStr">
        <is>
          <t>2025-11-03</t>
        </is>
      </c>
      <c r="H223" t="n">
        <v>240.5</v>
      </c>
      <c r="J223" t="n">
        <v>25763.35</v>
      </c>
    </row>
    <row r="224">
      <c r="G224" s="34" t="inlineStr">
        <is>
          <t>2025-10-31</t>
        </is>
      </c>
      <c r="H224" t="n">
        <v>240.67</v>
      </c>
      <c r="J224" t="n">
        <v>25722.1</v>
      </c>
    </row>
    <row r="225">
      <c r="G225" s="34" t="inlineStr">
        <is>
          <t>2025-10-30</t>
        </is>
      </c>
      <c r="H225" t="n">
        <v>241.92</v>
      </c>
      <c r="J225" t="n">
        <v>25877.85</v>
      </c>
    </row>
    <row r="226">
      <c r="G226" s="34" t="inlineStr">
        <is>
          <t>2025-10-29</t>
        </is>
      </c>
      <c r="H226" t="n">
        <v>242.28</v>
      </c>
      <c r="J226" t="n">
        <v>26053.9</v>
      </c>
    </row>
    <row r="227">
      <c r="G227" s="34" t="inlineStr">
        <is>
          <t>2025-10-28</t>
        </is>
      </c>
      <c r="H227" t="n">
        <v>242.38</v>
      </c>
      <c r="J227" t="n">
        <v>25936.2</v>
      </c>
    </row>
    <row r="228">
      <c r="G228" s="34" t="inlineStr">
        <is>
          <t>2025-10-27</t>
        </is>
      </c>
      <c r="H228" t="n">
        <v>243.91</v>
      </c>
      <c r="J228" t="n">
        <v>25966.05</v>
      </c>
    </row>
    <row r="229">
      <c r="G229" s="34" t="inlineStr">
        <is>
          <t>2025-10-24</t>
        </is>
      </c>
      <c r="H229" t="n">
        <v>242.98</v>
      </c>
      <c r="J229" t="n">
        <v>25795.15</v>
      </c>
    </row>
    <row r="230">
      <c r="G230" s="34" t="inlineStr">
        <is>
          <t>2025-10-23</t>
        </is>
      </c>
      <c r="H230" t="n">
        <v>244.3</v>
      </c>
      <c r="J230" t="n">
        <v>25891.4</v>
      </c>
    </row>
    <row r="231">
      <c r="G231" s="34" t="inlineStr">
        <is>
          <t>2025-10-21</t>
        </is>
      </c>
      <c r="H231" t="n">
        <v>241.36</v>
      </c>
      <c r="J231" t="n">
        <v>25868.6</v>
      </c>
    </row>
    <row r="232">
      <c r="G232" s="34" t="inlineStr">
        <is>
          <t>2025-10-20</t>
        </is>
      </c>
      <c r="H232" t="n">
        <v>241.24</v>
      </c>
      <c r="J232" t="n">
        <v>25843.15</v>
      </c>
    </row>
    <row r="233">
      <c r="G233" s="34" t="inlineStr">
        <is>
          <t>2025-10-17</t>
        </is>
      </c>
      <c r="H233" t="n">
        <v>240.9</v>
      </c>
      <c r="J233" t="n">
        <v>25709.85</v>
      </c>
    </row>
    <row r="234">
      <c r="G234" s="34" t="inlineStr">
        <is>
          <t>2025-10-16</t>
        </is>
      </c>
      <c r="H234" t="n">
        <v>253.81</v>
      </c>
      <c r="J234" t="n">
        <v>25585.3</v>
      </c>
    </row>
    <row r="235">
      <c r="G235" s="34" t="inlineStr">
        <is>
          <t>2025-10-15</t>
        </is>
      </c>
      <c r="H235" t="n">
        <v>250.21</v>
      </c>
      <c r="J235" t="n">
        <v>25323.55</v>
      </c>
    </row>
    <row r="236">
      <c r="G236" s="34" t="inlineStr">
        <is>
          <t>2025-10-14</t>
        </is>
      </c>
      <c r="H236" t="n">
        <v>248.42</v>
      </c>
      <c r="J236" t="n">
        <v>25145.5</v>
      </c>
    </row>
    <row r="237">
      <c r="G237" s="34" t="inlineStr">
        <is>
          <t>2025-10-13</t>
        </is>
      </c>
      <c r="H237" t="n">
        <v>245.13</v>
      </c>
      <c r="J237" t="n">
        <v>25227.35</v>
      </c>
    </row>
    <row r="238">
      <c r="G238" s="34" t="inlineStr">
        <is>
          <t>2025-10-10</t>
        </is>
      </c>
      <c r="H238" t="n">
        <v>248.7</v>
      </c>
      <c r="J238" t="n">
        <v>25285.35</v>
      </c>
    </row>
    <row r="239">
      <c r="G239" s="34" t="inlineStr">
        <is>
          <t>2025-10-09</t>
        </is>
      </c>
      <c r="H239" t="n">
        <v>246.4</v>
      </c>
      <c r="J239" t="n">
        <v>25181.8</v>
      </c>
    </row>
    <row r="240">
      <c r="G240" s="34" t="inlineStr">
        <is>
          <t>2025-10-08</t>
        </is>
      </c>
      <c r="H240" t="n">
        <v>244.27</v>
      </c>
      <c r="J240" t="n">
        <v>25046.15</v>
      </c>
    </row>
    <row r="241">
      <c r="G241" s="34" t="inlineStr">
        <is>
          <t>2025-10-07</t>
        </is>
      </c>
      <c r="H241" t="n">
        <v>243.53</v>
      </c>
      <c r="J241" t="n">
        <v>25108.3</v>
      </c>
    </row>
    <row r="242">
      <c r="G242" s="34" t="inlineStr">
        <is>
          <t>2025-10-06</t>
        </is>
      </c>
      <c r="H242" t="n">
        <v>242.13</v>
      </c>
      <c r="J242" t="n">
        <v>25077.65</v>
      </c>
    </row>
    <row r="243">
      <c r="G243" s="34" t="inlineStr">
        <is>
          <t>2025-10-03</t>
        </is>
      </c>
      <c r="H243" t="n">
        <v>240.98</v>
      </c>
      <c r="J243" t="n">
        <v>24894.25</v>
      </c>
    </row>
    <row r="244">
      <c r="G244" s="34" t="inlineStr">
        <is>
          <t>2025-10-01</t>
        </is>
      </c>
      <c r="H244" t="n">
        <v>241.07</v>
      </c>
      <c r="J244" t="n">
        <v>24836.3</v>
      </c>
    </row>
    <row r="245">
      <c r="G245" s="34" t="inlineStr">
        <is>
          <t>2025-09-30</t>
        </is>
      </c>
      <c r="H245" t="n">
        <v>239.37</v>
      </c>
      <c r="J245" t="n">
        <v>24611.1</v>
      </c>
    </row>
    <row r="246">
      <c r="G246" s="34" t="inlineStr">
        <is>
          <t>2025-09-29</t>
        </is>
      </c>
      <c r="H246" t="n">
        <v>239.64</v>
      </c>
      <c r="J246" t="n">
        <v>24634.9</v>
      </c>
    </row>
    <row r="247">
      <c r="G247" s="34" t="inlineStr">
        <is>
          <t>2025-09-26</t>
        </is>
      </c>
      <c r="H247" t="n">
        <v>235.75</v>
      </c>
      <c r="J247" t="n">
        <v>24654.7</v>
      </c>
    </row>
    <row r="248">
      <c r="G248" s="34" t="inlineStr">
        <is>
          <t>2025-09-25</t>
        </is>
      </c>
      <c r="H248" t="n">
        <v>242</v>
      </c>
      <c r="J248" t="n">
        <v>24890.85</v>
      </c>
    </row>
    <row r="249">
      <c r="G249" t="inlineStr">
        <is>
          <t>2025-09-24</t>
        </is>
      </c>
      <c r="H249" t="n">
        <v>244.59</v>
      </c>
      <c r="J249" t="n">
        <v>25056.9</v>
      </c>
    </row>
    <row r="250">
      <c r="G250" t="inlineStr">
        <is>
          <t>2025-09-23</t>
        </is>
      </c>
      <c r="H250" t="n">
        <v>249.63</v>
      </c>
      <c r="J250" t="n">
        <v>25169.5</v>
      </c>
    </row>
    <row r="251">
      <c r="G251" t="inlineStr">
        <is>
          <t>2025-09-22</t>
        </is>
      </c>
      <c r="H251" t="n">
        <v>250.33</v>
      </c>
      <c r="J251" t="n">
        <v>25202.35</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abSelected="1"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6" t="inlineStr">
        <is>
          <t>Market Data</t>
        </is>
      </c>
      <c r="E9" s="186" t="n"/>
      <c r="F9" s="186" t="n"/>
      <c r="G9" s="186" t="n"/>
      <c r="H9" s="186" t="n"/>
      <c r="I9" s="186" t="n"/>
      <c r="J9" s="84" t="n"/>
      <c r="K9" s="166" t="inlineStr">
        <is>
          <t>Financials</t>
        </is>
      </c>
      <c r="L9" s="186" t="n"/>
      <c r="M9" s="186" t="n"/>
      <c r="N9" s="84" t="n"/>
      <c r="O9" s="166" t="inlineStr">
        <is>
          <t>Valuation</t>
        </is>
      </c>
      <c r="P9" s="186" t="n"/>
      <c r="Q9" s="186"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n"/>
      <c r="J10" s="84" t="n"/>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09"/>
    <row r="12">
      <c r="B12" s="150">
        <f>'Raw FS'!L57</f>
        <v/>
      </c>
      <c r="C12" s="150" t="inlineStr">
        <is>
          <t>TCS</t>
        </is>
      </c>
      <c r="D12" s="155">
        <f>'Raw FS'!M57</f>
        <v/>
      </c>
      <c r="E12" s="155">
        <f>'Raw FS'!N57</f>
        <v/>
      </c>
      <c r="F12" s="155">
        <f>D12*E12</f>
        <v/>
      </c>
      <c r="G12" s="155">
        <f>'Raw FS'!AS56</f>
        <v/>
      </c>
      <c r="H12" s="155">
        <f>'Raw FS'!AT56</f>
        <v/>
      </c>
      <c r="I12" s="150" t="n"/>
      <c r="J12" s="150" t="n"/>
      <c r="K12" s="155">
        <f>'Raw FS'!AU56</f>
        <v/>
      </c>
      <c r="L12" s="155">
        <f>'Raw FS'!AV56</f>
        <v/>
      </c>
      <c r="M12" s="155">
        <f>'Raw FS'!AW56</f>
        <v/>
      </c>
      <c r="N12" s="150" t="n"/>
      <c r="O12" s="151">
        <f>IFERROR($H12/K12, "N/A")</f>
        <v/>
      </c>
      <c r="P12" s="151">
        <f>IFERROR($H12/L12, "N/A")</f>
        <v/>
      </c>
      <c r="Q12" s="151">
        <f>IFERROR(F12/M12, "N/A")</f>
        <v/>
      </c>
    </row>
    <row r="13">
      <c r="B13" s="150">
        <f>'Raw FS'!L58</f>
        <v/>
      </c>
      <c r="C13" s="150" t="inlineStr">
        <is>
          <t>INFY</t>
        </is>
      </c>
      <c r="D13" s="155">
        <f>'Raw FS'!M58</f>
        <v/>
      </c>
      <c r="E13" s="155">
        <f>'Raw FS'!N58</f>
        <v/>
      </c>
      <c r="F13" s="155">
        <f>D13*E13</f>
        <v/>
      </c>
      <c r="G13" s="155">
        <f>'Raw FS'!AS57</f>
        <v/>
      </c>
      <c r="H13" s="155">
        <f>'Raw FS'!AT57</f>
        <v/>
      </c>
      <c r="I13" s="150" t="n"/>
      <c r="J13" s="150" t="n"/>
      <c r="K13" s="155">
        <f>'Raw FS'!AU57</f>
        <v/>
      </c>
      <c r="L13" s="155">
        <f>'Raw FS'!AV57</f>
        <v/>
      </c>
      <c r="M13" s="155">
        <f>'Raw FS'!AW57</f>
        <v/>
      </c>
      <c r="N13" s="150" t="n"/>
      <c r="O13" s="151">
        <f>IFERROR($H13/K13, "N/A")</f>
        <v/>
      </c>
      <c r="P13" s="151">
        <f>IFERROR($H13/L13, "N/A")</f>
        <v/>
      </c>
      <c r="Q13" s="151">
        <f>IFERROR(F13/M13, "N/A")</f>
        <v/>
      </c>
    </row>
    <row r="14">
      <c r="B14" s="150">
        <f>'Raw FS'!L59</f>
        <v/>
      </c>
      <c r="C14" s="150" t="inlineStr">
        <is>
          <t>HCLTECH</t>
        </is>
      </c>
      <c r="D14" s="155">
        <f>'Raw FS'!M59</f>
        <v/>
      </c>
      <c r="E14" s="155">
        <f>'Raw FS'!N59</f>
        <v/>
      </c>
      <c r="F14" s="155">
        <f>D14*E14</f>
        <v/>
      </c>
      <c r="G14" s="155">
        <f>'Raw FS'!AS58</f>
        <v/>
      </c>
      <c r="H14" s="155">
        <f>'Raw FS'!AT58</f>
        <v/>
      </c>
      <c r="I14" s="150" t="n"/>
      <c r="J14" s="150" t="n"/>
      <c r="K14" s="155">
        <f>'Raw FS'!AU58</f>
        <v/>
      </c>
      <c r="L14" s="155">
        <f>'Raw FS'!AV58</f>
        <v/>
      </c>
      <c r="M14" s="155">
        <f>'Raw FS'!AW58</f>
        <v/>
      </c>
      <c r="N14" s="150" t="n"/>
      <c r="O14" s="151">
        <f>IFERROR($H14/K14, "N/A")</f>
        <v/>
      </c>
      <c r="P14" s="151">
        <f>IFERROR($H14/L14, "N/A")</f>
        <v/>
      </c>
      <c r="Q14" s="151">
        <f>IFERROR(F14/M14, "N/A")</f>
        <v/>
      </c>
    </row>
    <row r="15">
      <c r="B15" s="150">
        <f>'Raw FS'!L60</f>
        <v/>
      </c>
      <c r="C15" s="150" t="inlineStr">
        <is>
          <t>TECHM</t>
        </is>
      </c>
      <c r="D15" s="155">
        <f>'Raw FS'!M60</f>
        <v/>
      </c>
      <c r="E15" s="155">
        <f>'Raw FS'!N60</f>
        <v/>
      </c>
      <c r="F15" s="155">
        <f>D15*E15</f>
        <v/>
      </c>
      <c r="G15" s="155">
        <f>'Raw FS'!AS59</f>
        <v/>
      </c>
      <c r="H15" s="155">
        <f>'Raw FS'!AT59</f>
        <v/>
      </c>
      <c r="I15" s="150" t="n"/>
      <c r="J15" s="150" t="n"/>
      <c r="K15" s="155">
        <f>'Raw FS'!AU59</f>
        <v/>
      </c>
      <c r="L15" s="155">
        <f>'Raw FS'!AV59</f>
        <v/>
      </c>
      <c r="M15" s="155">
        <f>'Raw FS'!AW59</f>
        <v/>
      </c>
      <c r="N15" s="150" t="n"/>
      <c r="O15" s="151">
        <f>IFERROR($H15/K15, "N/A")</f>
        <v/>
      </c>
      <c r="P15" s="151">
        <f>IFERROR($H15/L15, "N/A")</f>
        <v/>
      </c>
      <c r="Q15" s="151">
        <f>IFERROR(F15/M15, "N/A")</f>
        <v/>
      </c>
    </row>
    <row r="16">
      <c r="B16" s="150">
        <f>'Raw FS'!L61</f>
        <v/>
      </c>
      <c r="C16" s="150" t="inlineStr">
        <is>
          <t>LTM</t>
        </is>
      </c>
      <c r="D16" s="155">
        <f>'Raw FS'!M61</f>
        <v/>
      </c>
      <c r="E16" s="155">
        <f>'Raw FS'!N61</f>
        <v/>
      </c>
      <c r="F16" s="155">
        <f>D16*E16</f>
        <v/>
      </c>
      <c r="G16" s="155">
        <f>'Raw FS'!AS60</f>
        <v/>
      </c>
      <c r="H16" s="155">
        <f>'Raw FS'!AT60</f>
        <v/>
      </c>
      <c r="I16" s="150" t="n"/>
      <c r="J16" s="150" t="n"/>
      <c r="K16" s="155">
        <f>'Raw FS'!AU60</f>
        <v/>
      </c>
      <c r="L16" s="155">
        <f>'Raw FS'!AV60</f>
        <v/>
      </c>
      <c r="M16" s="155">
        <f>'Raw FS'!AW60</f>
        <v/>
      </c>
      <c r="N16" s="150" t="n"/>
      <c r="O16" s="151">
        <f>IFERROR($H16/K16, "N/A")</f>
        <v/>
      </c>
      <c r="P16" s="151">
        <f>IFERROR($H16/L16, "N/A")</f>
        <v/>
      </c>
      <c r="Q16" s="151">
        <f>IFERROR(F16/M16, "N/A")</f>
        <v/>
      </c>
    </row>
    <row r="17">
      <c r="B17" s="150">
        <f>'Raw FS'!L62</f>
        <v/>
      </c>
      <c r="C17" s="150" t="inlineStr">
        <is>
          <t>PERSISTENT</t>
        </is>
      </c>
      <c r="D17" s="155">
        <f>'Raw FS'!M62</f>
        <v/>
      </c>
      <c r="E17" s="155">
        <f>'Raw FS'!N62</f>
        <v/>
      </c>
      <c r="F17" s="155">
        <f>D17*E17</f>
        <v/>
      </c>
      <c r="G17" s="155">
        <f>'Raw FS'!AS61</f>
        <v/>
      </c>
      <c r="H17" s="155">
        <f>'Raw FS'!AT61</f>
        <v/>
      </c>
      <c r="I17" s="150" t="n"/>
      <c r="J17" s="150" t="n"/>
      <c r="K17" s="155">
        <f>'Raw FS'!AU61</f>
        <v/>
      </c>
      <c r="L17" s="155">
        <f>'Raw FS'!AV61</f>
        <v/>
      </c>
      <c r="M17" s="155">
        <f>'Raw FS'!AW61</f>
        <v/>
      </c>
      <c r="N17" s="150" t="n"/>
      <c r="O17" s="151">
        <f>IFERROR($H17/K17, "N/A")</f>
        <v/>
      </c>
      <c r="P17" s="151">
        <f>IFERROR($H17/L17, "N/A")</f>
        <v/>
      </c>
      <c r="Q17" s="151">
        <f>IFERROR(F17/M17, "N/A")</f>
        <v/>
      </c>
    </row>
    <row r="18">
      <c r="B18" s="150">
        <f>'Raw FS'!L63</f>
        <v/>
      </c>
      <c r="C18" s="150" t="inlineStr">
        <is>
          <t>LTIM</t>
        </is>
      </c>
      <c r="D18" s="155">
        <f>'Raw FS'!M63</f>
        <v/>
      </c>
      <c r="E18" s="155">
        <f>'Raw FS'!N63</f>
        <v/>
      </c>
      <c r="F18" s="155">
        <f>D18*E18</f>
        <v/>
      </c>
      <c r="G18" s="155">
        <f>'Raw FS'!AS62</f>
        <v/>
      </c>
      <c r="H18" s="155">
        <f>'Raw FS'!AT62</f>
        <v/>
      </c>
      <c r="I18" s="150" t="n"/>
      <c r="J18" s="150" t="n"/>
      <c r="K18" s="155">
        <f>'Raw FS'!AU62</f>
        <v/>
      </c>
      <c r="L18" s="155">
        <f>'Raw FS'!AV62</f>
        <v/>
      </c>
      <c r="M18" s="155">
        <f>'Raw FS'!AW62</f>
        <v/>
      </c>
      <c r="N18" s="150" t="n"/>
      <c r="O18" s="151">
        <f>IFERROR($H18/K18, "N/A")</f>
        <v/>
      </c>
      <c r="P18" s="151">
        <f>IFERROR($H18/L18, "N/A")</f>
        <v/>
      </c>
      <c r="Q18" s="151">
        <f>IFERROR(F18/M18, "N/A")</f>
        <v/>
      </c>
    </row>
    <row r="19">
      <c r="B19" s="150" t="n"/>
      <c r="C19" s="150" t="n"/>
      <c r="D19" s="155" t="n"/>
      <c r="E19" s="155" t="n"/>
      <c r="F19" s="155" t="n"/>
      <c r="G19" s="155" t="n"/>
      <c r="H19" s="155" t="n"/>
      <c r="I19" s="150" t="n"/>
      <c r="J19" s="150" t="n"/>
      <c r="K19" s="155" t="n"/>
      <c r="L19" s="155" t="n"/>
      <c r="M19" s="155" t="n"/>
      <c r="N19" s="150" t="n"/>
      <c r="O19" s="151" t="n"/>
      <c r="P19" s="151" t="n"/>
      <c r="Q19" s="151" t="n"/>
    </row>
    <row r="20">
      <c r="B20" s="150" t="n"/>
      <c r="C20" s="150" t="n"/>
      <c r="D20" s="155" t="n"/>
      <c r="E20" s="155" t="n"/>
      <c r="F20" s="155" t="n"/>
      <c r="G20" s="155" t="n"/>
      <c r="H20" s="155" t="n"/>
      <c r="I20" s="150" t="n"/>
      <c r="J20" s="150" t="n"/>
      <c r="K20" s="155" t="n"/>
      <c r="L20" s="155" t="n"/>
      <c r="M20" s="155" t="n"/>
      <c r="N20" s="150" t="n"/>
      <c r="O20" s="151" t="n"/>
      <c r="P20" s="151" t="n"/>
      <c r="Q20" s="151" t="n"/>
    </row>
    <row r="21">
      <c r="B21" s="150" t="n"/>
      <c r="C21" s="150" t="n"/>
      <c r="D21" s="155" t="n"/>
      <c r="E21" s="155" t="n"/>
      <c r="F21" s="155" t="n"/>
      <c r="G21" s="155" t="n"/>
      <c r="H21" s="155" t="n"/>
      <c r="I21" s="150" t="n"/>
      <c r="J21" s="150" t="n"/>
      <c r="K21" s="155" t="n"/>
      <c r="L21" s="155" t="n"/>
      <c r="M21" s="155" t="n"/>
      <c r="N21" s="150" t="n"/>
      <c r="O21" s="151" t="n"/>
      <c r="P21" s="151" t="n"/>
      <c r="Q21" s="151" t="n"/>
    </row>
    <row r="22" ht="6.6" customHeight="1" s="109"/>
    <row r="23">
      <c r="B23" s="79" t="inlineStr">
        <is>
          <t>High</t>
        </is>
      </c>
      <c r="C23" s="79" t="n"/>
      <c r="D23" s="79" t="n"/>
      <c r="E23" s="79" t="n"/>
      <c r="F23" s="79" t="n"/>
      <c r="G23" s="79" t="n"/>
      <c r="H23" s="79" t="n"/>
      <c r="I23" s="79" t="n"/>
      <c r="J23" s="79" t="n"/>
      <c r="K23" s="79" t="n"/>
      <c r="L23" s="79" t="n"/>
      <c r="M23" s="79" t="n"/>
      <c r="N23" s="79" t="n"/>
      <c r="O23" s="86">
        <f>MAX(O12:O18)</f>
        <v/>
      </c>
      <c r="P23" s="86">
        <f>MAX(P12:P18)</f>
        <v/>
      </c>
      <c r="Q23" s="86">
        <f>MAX(Q12:Q18)</f>
        <v/>
      </c>
    </row>
    <row r="24">
      <c r="B24" s="79" t="inlineStr">
        <is>
          <t>25th Percentile</t>
        </is>
      </c>
      <c r="C24" s="79" t="n"/>
      <c r="D24" s="79" t="n"/>
      <c r="E24" s="79" t="n"/>
      <c r="F24" s="79" t="n"/>
      <c r="G24" s="79" t="n"/>
      <c r="H24" s="79" t="n"/>
      <c r="I24" s="79" t="n"/>
      <c r="J24" s="79" t="n"/>
      <c r="K24" s="79" t="n"/>
      <c r="L24" s="79" t="n"/>
      <c r="M24" s="79" t="n"/>
      <c r="N24" s="79" t="n"/>
      <c r="O24" s="87">
        <f>_xlfn.QUARTILE.INC(O12:O18,1)</f>
        <v/>
      </c>
      <c r="P24" s="87">
        <f>_xlfn.QUARTILE.INC(P12:P18,1)</f>
        <v/>
      </c>
      <c r="Q24" s="87">
        <f>_xlfn.QUARTILE.INC(Q12:Q18,1)</f>
        <v/>
      </c>
    </row>
    <row r="25">
      <c r="B25" s="152" t="inlineStr">
        <is>
          <t>Median</t>
        </is>
      </c>
      <c r="C25" s="152" t="n"/>
      <c r="D25" s="152" t="n"/>
      <c r="E25" s="152" t="n"/>
      <c r="F25" s="152" t="n"/>
      <c r="G25" s="152" t="n"/>
      <c r="H25" s="152" t="n"/>
      <c r="I25" s="152" t="n"/>
      <c r="J25" s="152" t="n"/>
      <c r="K25" s="152" t="n"/>
      <c r="L25" s="152" t="n"/>
      <c r="M25" s="152" t="n"/>
      <c r="N25" s="152" t="n"/>
      <c r="O25" s="153">
        <f>MEDIAN(O12:O18)</f>
        <v/>
      </c>
      <c r="P25" s="153">
        <f>MEDIAN(P12:P18)</f>
        <v/>
      </c>
      <c r="Q25" s="153">
        <f>MEDIAN(Q12:Q18)</f>
        <v/>
      </c>
    </row>
    <row r="26">
      <c r="B26" s="152" t="inlineStr">
        <is>
          <t>Average</t>
        </is>
      </c>
      <c r="C26" s="152" t="n"/>
      <c r="D26" s="152" t="n"/>
      <c r="E26" s="152" t="n"/>
      <c r="F26" s="152" t="n"/>
      <c r="G26" s="152" t="n"/>
      <c r="H26" s="152" t="n"/>
      <c r="I26" s="152" t="n"/>
      <c r="J26" s="152" t="n"/>
      <c r="K26" s="152" t="n"/>
      <c r="L26" s="152" t="n"/>
      <c r="M26" s="152" t="n"/>
      <c r="N26" s="152" t="n"/>
      <c r="O26" s="153">
        <f>AVERAGE(O12:O18)</f>
        <v/>
      </c>
      <c r="P26" s="153">
        <f>AVERAGE(P12:P18)</f>
        <v/>
      </c>
      <c r="Q26" s="153">
        <f>AVERAGE(Q12:Q18)</f>
        <v/>
      </c>
    </row>
    <row r="27">
      <c r="B27" s="79" t="inlineStr">
        <is>
          <t>75th Percentile</t>
        </is>
      </c>
      <c r="C27" s="79" t="n"/>
      <c r="D27" s="79" t="n"/>
      <c r="E27" s="79" t="n"/>
      <c r="F27" s="79" t="n"/>
      <c r="G27" s="79" t="n"/>
      <c r="H27" s="79" t="n"/>
      <c r="I27" s="79" t="n"/>
      <c r="J27" s="79" t="n"/>
      <c r="K27" s="79" t="n"/>
      <c r="L27" s="79" t="n"/>
      <c r="M27" s="79" t="n"/>
      <c r="N27" s="79" t="n"/>
      <c r="O27" s="87">
        <f>_xlfn.QUARTILE.INC(O12:O18,3)</f>
        <v/>
      </c>
      <c r="P27" s="87">
        <f>_xlfn.QUARTILE.INC(P12:P18,3)</f>
        <v/>
      </c>
      <c r="Q27" s="87">
        <f>_xlfn.QUARTILE.INC(Q12:Q18,3)</f>
        <v/>
      </c>
    </row>
    <row r="28">
      <c r="B28" s="79" t="inlineStr">
        <is>
          <t>Low</t>
        </is>
      </c>
      <c r="C28" s="79" t="n"/>
      <c r="D28" s="79" t="n"/>
      <c r="E28" s="79" t="n"/>
      <c r="F28" s="79" t="n"/>
      <c r="G28" s="79" t="n"/>
      <c r="H28" s="79" t="n"/>
      <c r="I28" s="79" t="n"/>
      <c r="J28" s="79" t="n"/>
      <c r="K28" s="79" t="n"/>
      <c r="L28" s="79" t="n"/>
      <c r="M28" s="79" t="n"/>
      <c r="N28" s="79" t="n"/>
      <c r="O28" s="86">
        <f>MIN(O12:O18)</f>
        <v/>
      </c>
      <c r="P28" s="86">
        <f>MIN(P12:P18)</f>
        <v/>
      </c>
      <c r="Q28" s="86">
        <f>MIN(Q12:Q18)</f>
        <v/>
      </c>
    </row>
    <row r="30">
      <c r="B30" s="84" t="inlineStr">
        <is>
          <t>Wipro Ltd Comparable Valuation</t>
        </is>
      </c>
      <c r="C30" s="84" t="n"/>
      <c r="D30" s="84" t="n"/>
      <c r="E30" s="84" t="n"/>
      <c r="F30" s="84" t="n"/>
      <c r="G30" s="84" t="n"/>
      <c r="H30" s="84" t="n"/>
      <c r="I30" s="84" t="n"/>
      <c r="J30" s="84" t="n"/>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t="n"/>
      <c r="J32" s="150" t="n"/>
      <c r="K32" s="150" t="n"/>
      <c r="L32" s="150" t="n"/>
      <c r="M32" s="150" t="n"/>
      <c r="N32" s="150" t="n"/>
      <c r="O32" s="155">
        <f>'Raw FS'!AU56*O26</f>
        <v/>
      </c>
      <c r="P32" s="155">
        <f>'Raw FS'!AV56*P26</f>
        <v/>
      </c>
      <c r="Q32" s="155">
        <f>'Raw FS'!AW56*Q26</f>
        <v/>
      </c>
    </row>
    <row r="33">
      <c r="B33" s="150" t="inlineStr">
        <is>
          <t>Net Debt Value</t>
        </is>
      </c>
      <c r="C33" s="150" t="n"/>
      <c r="D33" s="150" t="n"/>
      <c r="E33" s="150" t="n"/>
      <c r="F33" s="150" t="n"/>
      <c r="G33" s="150" t="n"/>
      <c r="H33" s="150" t="n"/>
      <c r="I33" s="150" t="n"/>
      <c r="J33" s="150" t="n"/>
      <c r="K33" s="150" t="n"/>
      <c r="L33" s="150" t="n"/>
      <c r="M33" s="150" t="n"/>
      <c r="N33" s="150" t="n"/>
      <c r="O33" s="155">
        <f>'Raw FS'!AS56</f>
        <v/>
      </c>
      <c r="P33" s="155">
        <f>'Raw FS'!AS56</f>
        <v/>
      </c>
      <c r="Q33" s="155">
        <f>'Raw FS'!AS56</f>
        <v/>
      </c>
    </row>
    <row r="34">
      <c r="B34" s="150" t="inlineStr">
        <is>
          <t>Implied Market Value</t>
        </is>
      </c>
      <c r="C34" s="150" t="n"/>
      <c r="D34" s="150" t="n"/>
      <c r="E34" s="150" t="n"/>
      <c r="F34" s="150" t="n"/>
      <c r="G34" s="150" t="n"/>
      <c r="H34" s="150" t="n"/>
      <c r="I34" s="150" t="n"/>
      <c r="J34" s="150" t="n"/>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t="n"/>
      <c r="J35" s="150" t="n"/>
      <c r="K35" s="150" t="n"/>
      <c r="L35" s="150" t="n"/>
      <c r="M35" s="150" t="n"/>
      <c r="N35" s="150" t="n"/>
      <c r="O35" s="155">
        <f>'Raw FS'!N56</f>
        <v/>
      </c>
      <c r="P35" s="155">
        <f>'Raw FS'!N56</f>
        <v/>
      </c>
      <c r="Q35" s="155">
        <f>'Raw FS'!N56</f>
        <v/>
      </c>
    </row>
    <row r="36" ht="3.6" customFormat="1" customHeight="1" s="93">
      <c r="O36" s="156" t="n"/>
      <c r="P36" s="156" t="n"/>
      <c r="Q36" s="156" t="n"/>
    </row>
    <row r="37">
      <c r="B37" s="152" t="inlineStr">
        <is>
          <t>Implied Value per Share</t>
        </is>
      </c>
      <c r="C37" s="152" t="n"/>
      <c r="D37" s="152" t="n"/>
      <c r="E37" s="152" t="n"/>
      <c r="F37" s="152" t="n"/>
      <c r="G37" s="152" t="n"/>
      <c r="H37" s="152" t="n"/>
      <c r="I37" s="152" t="n"/>
      <c r="J37" s="152" t="n"/>
      <c r="K37" s="152" t="n"/>
      <c r="L37" s="152" t="n"/>
      <c r="M37" s="152" t="n"/>
      <c r="N37" s="152" t="n"/>
      <c r="O37" s="157">
        <f>O34/O35</f>
        <v/>
      </c>
      <c r="P37" s="157">
        <f>P34/P35</f>
        <v/>
      </c>
      <c r="Q37" s="157">
        <f>Q34/Q35</f>
        <v/>
      </c>
    </row>
    <row r="38">
      <c r="B38" s="52" t="inlineStr">
        <is>
          <t>Source : Screener.in</t>
        </is>
      </c>
    </row>
    <row r="39">
      <c r="B39" t="inlineStr">
        <is>
          <t>Verdict</t>
        </is>
      </c>
      <c r="O39">
        <f>IF(O37&gt;'Raw FS'!M56,"Undervalued","Overvalued")</f>
        <v/>
      </c>
      <c r="P39">
        <f>IF(P37="N/A","N/A",IF(P37&gt;'Raw FS'!M56,"Undervalued","Overvalued"))</f>
        <v/>
      </c>
      <c r="Q39">
        <f>IF(Q37&gt;'Raw FS'!M56,"Undervalued","Overvalued")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187">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- 273.00 &amp; low INR - 163.00)</t>
        </is>
      </c>
      <c r="C5" s="58" t="n"/>
      <c r="D5" s="58" t="n"/>
      <c r="E5" s="58" t="n"/>
      <c r="F5" s="58" t="n"/>
      <c r="G5" s="58" t="n"/>
      <c r="H5" s="58" t="n"/>
      <c r="I5" s="58" t="n"/>
    </row>
    <row r="6">
      <c r="B6" s="37" t="inlineStr">
        <is>
          <t>About the Company</t>
        </is>
      </c>
    </row>
    <row r="7" ht="4.2" customHeight="1" s="109">
      <c r="B7" s="37" t="n"/>
    </row>
    <row r="8">
      <c r="B8" s="168" t="inlineStr">
        <is>
          <t>Wipro Limited ( ) is an Indian multinational technology company based in Bengaluru. It provides information technology, consulting and business process services, and is one of India's Big Six IT services companies. Wipro's services include cloud computing, computer security, digital transformation, artificial intelligence, robotics, data analytics, and other technologies.</t>
        </is>
      </c>
    </row>
    <row r="9"/>
    <row r="10"/>
    <row r="11"/>
    <row r="13" ht="5.4" customHeight="1" s="109"/>
    <row r="15" ht="21" customHeight="1" s="109">
      <c r="B15" s="99" t="inlineStr">
        <is>
          <t>Financial Summary</t>
        </is>
      </c>
    </row>
    <row r="35" ht="18" customHeight="1" s="109">
      <c r="B35" s="101" t="inlineStr">
        <is>
          <t>Recent Updates</t>
        </is>
      </c>
    </row>
    <row r="37">
      <c r="A37" t="inlineStr">
        <is>
          <t>•</t>
        </is>
      </c>
      <c r="B37" s="167" t="inlineStr">
        <is>
          <t>Stocks in news: Tata Group, Wipro, BEL, HAL, Petronet LNG and Bharat Forge</t>
        </is>
      </c>
    </row>
    <row r="38"/>
    <row r="39">
      <c r="A39" t="inlineStr">
        <is>
          <t>•</t>
        </is>
      </c>
      <c r="B39" s="167" t="inlineStr">
        <is>
          <t>Wipro - Voltas among 7 stocks hitting 52-week low; slipped up to 10% in a month</t>
        </is>
      </c>
    </row>
    <row r="40"/>
    <row r="41">
      <c r="A41" t="inlineStr">
        <is>
          <t>•</t>
        </is>
      </c>
      <c r="B41" s="167" t="inlineStr">
        <is>
          <t>Stocks in news: Reliance Industries, Wipro, Tata Motors, among 9 stocks that will be in focus today</t>
        </is>
      </c>
    </row>
    <row r="42"/>
    <row r="43">
      <c r="A43" t="inlineStr">
        <is>
          <t>•</t>
        </is>
      </c>
      <c r="B43" s="167" t="inlineStr">
        <is>
          <t>BSE to replace Wipro in Nifty 50 index</t>
        </is>
      </c>
    </row>
    <row r="44"/>
    <row r="45">
      <c r="A45" t="inlineStr">
        <is>
          <t>•</t>
        </is>
      </c>
      <c r="B45" s="167" t="inlineStr">
        <is>
          <t>Wipro shares gain 2% after IT major expands Google Cloud AI partnership. What investors should know</t>
        </is>
      </c>
    </row>
    <row r="46"/>
    <row r="47">
      <c r="A47" t="inlineStr">
        <is>
          <t>•</t>
        </is>
      </c>
      <c r="B47" s="167" t="inlineStr">
        <is>
          <t>Wipro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0"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0"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0"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0"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187">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- 273.00 &amp; low INR - 163.00)</t>
        </is>
      </c>
      <c r="C5" s="58" t="n"/>
      <c r="D5" s="58" t="n"/>
      <c r="E5" s="58" t="n"/>
      <c r="F5" s="58" t="n"/>
      <c r="G5" s="58" t="n"/>
      <c r="H5" s="58" t="n"/>
      <c r="I5" s="58" t="n"/>
    </row>
    <row r="6">
      <c r="B6" s="37" t="inlineStr">
        <is>
          <t>About the Company</t>
        </is>
      </c>
    </row>
    <row r="7" ht="6.6" customHeight="1" s="109"/>
    <row r="8">
      <c r="B8" s="168" t="inlineStr">
        <is>
          <t>Wipro Limited ( ) is an Indian multinational technology company based in Bengaluru. It provides information technology, consulting and business process services, and is one of India's Big Six IT services companies. Wipro's services include cloud computing, computer security, digital transformation, artificial intelligence, robotics, data analytics, and other technologies.</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7" t="inlineStr">
        <is>
          <t>Stocks in news: Tata Group, Wipro, BEL, HAL, Petronet LNG and Bharat Forge</t>
        </is>
      </c>
    </row>
    <row r="37"/>
    <row r="38" ht="14.4" customHeight="1" s="109">
      <c r="A38" t="inlineStr">
        <is>
          <t>•</t>
        </is>
      </c>
      <c r="B38" s="167" t="inlineStr">
        <is>
          <t>Wipro - Voltas among 7 stocks hitting 52-week low; slipped up to 10% in a month</t>
        </is>
      </c>
    </row>
    <row r="39"/>
    <row r="40" ht="20.4" customHeight="1" s="109">
      <c r="A40" t="inlineStr">
        <is>
          <t>•</t>
        </is>
      </c>
      <c r="B40" s="167" t="inlineStr">
        <is>
          <t>Stocks in news: Reliance Industries, Wipro, Tata Motors, among 9 stocks that will be in focus today</t>
        </is>
      </c>
    </row>
    <row r="41"/>
    <row r="42">
      <c r="A42" t="inlineStr">
        <is>
          <t>•</t>
        </is>
      </c>
      <c r="B42" s="167" t="inlineStr">
        <is>
          <t>BSE to replace Wipro in Nifty 50 index</t>
        </is>
      </c>
    </row>
    <row r="43"/>
    <row r="44">
      <c r="A44" t="inlineStr">
        <is>
          <t>•</t>
        </is>
      </c>
      <c r="B44" s="167" t="inlineStr">
        <is>
          <t>Wipro shares gain 2% after IT major expands Google Cloud AI partnership. What investors should know</t>
        </is>
      </c>
    </row>
    <row r="45"/>
    <row r="46">
      <c r="A46" t="inlineStr">
        <is>
          <t>•</t>
        </is>
      </c>
      <c r="B46" s="167" t="inlineStr">
        <is>
          <t>Wipro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0"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0"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0"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0"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0"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0"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69"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c r="D4" s="35" t="n"/>
      <c r="E4" s="35" t="n"/>
      <c r="F4" s="35" t="n"/>
      <c r="G4" s="35" t="n"/>
      <c r="H4" s="35" t="n"/>
      <c r="I4" s="35" t="n"/>
      <c r="J4" s="35" t="n"/>
      <c r="K4" s="35" t="n"/>
      <c r="L4" s="35" t="n"/>
      <c r="M4" s="35" t="n"/>
      <c r="N4" s="35" t="n"/>
      <c r="O4" s="35" t="n"/>
      <c r="R4" t="inlineStr">
        <is>
          <t>Sales +</t>
        </is>
      </c>
      <c r="S4" s="73" t="n">
        <v>46951</v>
      </c>
      <c r="T4" s="73" t="n">
        <v>51244</v>
      </c>
      <c r="U4" s="73" t="n">
        <v>55448</v>
      </c>
      <c r="V4" s="73" t="n">
        <v>54487</v>
      </c>
      <c r="W4" s="73" t="n">
        <v>59019</v>
      </c>
      <c r="X4" s="73" t="n">
        <v>61138</v>
      </c>
      <c r="Y4" s="73" t="n">
        <v>61935</v>
      </c>
      <c r="Z4" s="73" t="n">
        <v>79312</v>
      </c>
      <c r="AA4" s="73" t="n">
        <v>90488</v>
      </c>
      <c r="AB4" s="73" t="n">
        <v>89760</v>
      </c>
      <c r="AC4" s="73" t="n">
        <v>89088</v>
      </c>
      <c r="AD4" s="73" t="n">
        <v>92624</v>
      </c>
      <c r="AE4" s="73" t="n">
        <v>94968</v>
      </c>
    </row>
    <row r="5">
      <c r="B5" s="35" t="inlineStr">
        <is>
          <t>Equity Capital</t>
        </is>
      </c>
      <c r="C5" t="n">
        <v>494</v>
      </c>
      <c r="D5" s="47" t="n">
        <v>494</v>
      </c>
      <c r="E5" s="47" t="n">
        <v>486</v>
      </c>
      <c r="F5" s="47" t="n">
        <v>905</v>
      </c>
      <c r="G5" s="47" t="n">
        <v>1207</v>
      </c>
      <c r="H5" s="47" t="n">
        <v>1143</v>
      </c>
      <c r="I5" s="47" t="n">
        <v>1096</v>
      </c>
      <c r="J5" s="47" t="n">
        <v>1096</v>
      </c>
      <c r="K5" s="47" t="n">
        <v>1098</v>
      </c>
      <c r="L5" s="47" t="n">
        <v>1045</v>
      </c>
      <c r="M5" s="47" t="n">
        <v>2094</v>
      </c>
      <c r="N5" s="47" t="n">
        <v>2098</v>
      </c>
      <c r="R5" t="inlineStr">
        <is>
          <t>Expenses +</t>
        </is>
      </c>
      <c r="S5" s="73" t="n">
        <v>36652</v>
      </c>
      <c r="T5" s="73" t="n">
        <v>40448</v>
      </c>
      <c r="U5" s="73" t="n">
        <v>44128</v>
      </c>
      <c r="V5" s="73" t="n">
        <v>44100</v>
      </c>
      <c r="W5" s="73" t="n">
        <v>47406</v>
      </c>
      <c r="X5" s="73" t="n">
        <v>48795</v>
      </c>
      <c r="Y5" s="73" t="n">
        <v>47164</v>
      </c>
      <c r="Z5" s="73" t="n">
        <v>62628</v>
      </c>
      <c r="AA5" s="73" t="n">
        <v>73649</v>
      </c>
      <c r="AB5" s="73" t="n">
        <v>73008</v>
      </c>
      <c r="AC5" s="73" t="n">
        <v>71067</v>
      </c>
      <c r="AD5" s="73" t="n">
        <v>74813</v>
      </c>
      <c r="AE5" s="73" t="n">
        <v>76757</v>
      </c>
    </row>
    <row r="6">
      <c r="B6" t="inlineStr">
        <is>
          <t>Reserves</t>
        </is>
      </c>
      <c r="C6" s="73" t="n">
        <v>36598</v>
      </c>
      <c r="D6" s="73" t="n">
        <v>45651</v>
      </c>
      <c r="E6" s="73" t="n">
        <v>51184</v>
      </c>
      <c r="F6" s="73" t="n">
        <v>47022</v>
      </c>
      <c r="G6" s="73" t="n">
        <v>55216</v>
      </c>
      <c r="H6" s="73" t="n">
        <v>54179</v>
      </c>
      <c r="I6" s="73" t="n">
        <v>53805</v>
      </c>
      <c r="J6" s="73" t="n">
        <v>64307</v>
      </c>
      <c r="K6" s="73" t="n">
        <v>76570</v>
      </c>
      <c r="L6" s="73" t="n">
        <v>73488</v>
      </c>
      <c r="M6" s="73" t="n">
        <v>80270</v>
      </c>
      <c r="N6" s="73" t="n">
        <v>85921</v>
      </c>
      <c r="O6" s="73" t="n"/>
      <c r="R6" t="inlineStr">
        <is>
          <t>Operating Profit</t>
        </is>
      </c>
      <c r="S6" s="73" t="n">
        <v>10299</v>
      </c>
      <c r="T6" s="73" t="n">
        <v>10796</v>
      </c>
      <c r="U6" s="73" t="n">
        <v>11321</v>
      </c>
      <c r="V6" s="73" t="n">
        <v>10387</v>
      </c>
      <c r="W6" s="73" t="n">
        <v>11613</v>
      </c>
      <c r="X6" s="73" t="n">
        <v>12342</v>
      </c>
      <c r="Y6" s="73" t="n">
        <v>14771</v>
      </c>
      <c r="Z6" s="73" t="n">
        <v>16684</v>
      </c>
      <c r="AA6" s="73" t="n">
        <v>16839</v>
      </c>
      <c r="AB6" s="73" t="n">
        <v>16752</v>
      </c>
      <c r="AC6" s="73" t="n">
        <v>18021</v>
      </c>
      <c r="AD6" s="73" t="n">
        <v>17811</v>
      </c>
      <c r="AE6" s="73" t="n">
        <v>18211</v>
      </c>
    </row>
    <row r="7">
      <c r="B7" s="73" t="inlineStr">
        <is>
          <t>Borrowings -</t>
        </is>
      </c>
      <c r="C7" s="73" t="n">
        <v>7891</v>
      </c>
      <c r="D7" s="73" t="n">
        <v>12522</v>
      </c>
      <c r="E7" s="73" t="n">
        <v>14241</v>
      </c>
      <c r="F7" s="73" t="n">
        <v>13901</v>
      </c>
      <c r="G7" s="73" t="n">
        <v>9947</v>
      </c>
      <c r="H7" s="73" t="n">
        <v>9724</v>
      </c>
      <c r="I7" s="73" t="n">
        <v>10451</v>
      </c>
      <c r="J7" s="73" t="n">
        <v>17593</v>
      </c>
      <c r="K7" s="73" t="n">
        <v>17467</v>
      </c>
      <c r="L7" s="73" t="n">
        <v>16465</v>
      </c>
      <c r="M7" s="73" t="n">
        <v>19204</v>
      </c>
      <c r="N7" s="73" t="n">
        <v>20291</v>
      </c>
      <c r="O7" s="73" t="n"/>
      <c r="R7" t="inlineStr">
        <is>
          <t>OPM %</t>
        </is>
      </c>
      <c r="S7" s="75" t="n">
        <v>22</v>
      </c>
      <c r="T7" s="75" t="n">
        <v>21</v>
      </c>
      <c r="U7" s="75" t="n">
        <v>20</v>
      </c>
      <c r="V7" s="75" t="n">
        <v>19</v>
      </c>
      <c r="W7" s="75" t="n">
        <v>20</v>
      </c>
      <c r="X7" s="75" t="n">
        <v>20</v>
      </c>
      <c r="Y7" s="75" t="n">
        <v>24</v>
      </c>
      <c r="Z7" s="75" t="n">
        <v>21</v>
      </c>
      <c r="AA7" s="75" t="n">
        <v>19</v>
      </c>
      <c r="AB7" s="75" t="n">
        <v>19</v>
      </c>
      <c r="AC7" s="75" t="n">
        <v>20</v>
      </c>
      <c r="AD7" s="75" t="n">
        <v>19</v>
      </c>
      <c r="AE7" s="75" t="n">
        <v>19</v>
      </c>
    </row>
    <row r="8">
      <c r="B8" s="73" t="inlineStr">
        <is>
          <t>Long term Borrowings</t>
        </is>
      </c>
      <c r="C8" s="73" t="n">
        <v>1271</v>
      </c>
      <c r="D8" s="73" t="n">
        <v>1736</v>
      </c>
      <c r="E8" s="73" t="n">
        <v>1961</v>
      </c>
      <c r="F8" s="73" t="n">
        <v>4527</v>
      </c>
      <c r="G8" s="73" t="n">
        <v>2837</v>
      </c>
      <c r="H8" s="73" t="n">
        <v>484</v>
      </c>
      <c r="I8" s="73" t="n">
        <v>746</v>
      </c>
      <c r="J8" s="73" t="n">
        <v>5646</v>
      </c>
      <c r="K8" s="73" t="n">
        <v>6127</v>
      </c>
      <c r="L8" s="73" t="n">
        <v>6230</v>
      </c>
      <c r="M8" s="73" t="n">
        <v>6395</v>
      </c>
      <c r="N8" s="73" t="n">
        <v>196</v>
      </c>
      <c r="R8" t="inlineStr">
        <is>
          <t>Other Income +</t>
        </is>
      </c>
      <c r="S8" s="73" t="n">
        <v>2450</v>
      </c>
      <c r="T8" s="73" t="n">
        <v>2752</v>
      </c>
      <c r="U8" s="73" t="n">
        <v>2623</v>
      </c>
      <c r="V8" s="73" t="n">
        <v>2550</v>
      </c>
      <c r="W8" s="73" t="n">
        <v>2614</v>
      </c>
      <c r="X8" s="73" t="n">
        <v>2728</v>
      </c>
      <c r="Y8" s="73" t="n">
        <v>2404</v>
      </c>
      <c r="Z8" s="73" t="n">
        <v>2067</v>
      </c>
      <c r="AA8" s="73" t="n">
        <v>2275</v>
      </c>
      <c r="AB8" s="73" t="n">
        <v>2631</v>
      </c>
      <c r="AC8" s="73" t="n">
        <v>3909</v>
      </c>
      <c r="AD8" s="73" t="n">
        <v>3899</v>
      </c>
      <c r="AE8" s="73" t="n">
        <v>3807</v>
      </c>
    </row>
    <row r="9">
      <c r="B9" t="inlineStr">
        <is>
          <t>Short term Borrowings</t>
        </is>
      </c>
      <c r="C9" t="n">
        <v>6444</v>
      </c>
      <c r="D9" t="n">
        <v>10265</v>
      </c>
      <c r="E9" t="n">
        <v>11674</v>
      </c>
      <c r="F9" t="n">
        <v>7960</v>
      </c>
      <c r="G9" t="n">
        <v>6808</v>
      </c>
      <c r="H9" t="n">
        <v>5402</v>
      </c>
      <c r="I9" t="n">
        <v>7587</v>
      </c>
      <c r="J9" t="n">
        <v>9523</v>
      </c>
      <c r="K9" t="n">
        <v>8882</v>
      </c>
      <c r="L9" t="n">
        <v>7917</v>
      </c>
      <c r="M9" t="n">
        <v>9786</v>
      </c>
      <c r="N9" s="73" t="n">
        <v>16591</v>
      </c>
      <c r="R9" t="inlineStr">
        <is>
          <t>Interest</t>
        </is>
      </c>
      <c r="S9" t="n">
        <v>350</v>
      </c>
      <c r="T9" t="n">
        <v>558</v>
      </c>
      <c r="U9" t="n">
        <v>594</v>
      </c>
      <c r="V9" t="n">
        <v>583</v>
      </c>
      <c r="W9" t="n">
        <v>738</v>
      </c>
      <c r="X9" t="n">
        <v>733</v>
      </c>
      <c r="Y9" t="n">
        <v>509</v>
      </c>
      <c r="Z9" t="n">
        <v>532</v>
      </c>
      <c r="AA9" t="n">
        <v>1008</v>
      </c>
      <c r="AB9" t="n">
        <v>1255</v>
      </c>
      <c r="AC9" t="n">
        <v>1477</v>
      </c>
      <c r="AD9" t="n">
        <v>1458</v>
      </c>
      <c r="AE9" t="n">
        <v>1570</v>
      </c>
    </row>
    <row r="10">
      <c r="B10" t="inlineStr">
        <is>
          <t>Lease Liabilities</t>
        </is>
      </c>
      <c r="C10" t="n">
        <v>0</v>
      </c>
      <c r="D10" t="n">
        <v>0</v>
      </c>
      <c r="E10" t="n">
        <v>0</v>
      </c>
      <c r="F10" t="n">
        <v>0</v>
      </c>
      <c r="G10" t="n">
        <v>0</v>
      </c>
      <c r="H10" t="n">
        <v>1920</v>
      </c>
      <c r="I10" t="n">
        <v>2118</v>
      </c>
      <c r="J10" t="n">
        <v>2423</v>
      </c>
      <c r="K10" t="n">
        <v>2457</v>
      </c>
      <c r="L10" t="n">
        <v>2318</v>
      </c>
      <c r="M10" t="n">
        <v>3022</v>
      </c>
      <c r="N10" t="n">
        <v>3504</v>
      </c>
      <c r="O10" s="73" t="n"/>
      <c r="R10" t="inlineStr">
        <is>
          <t>Depreciation</t>
        </is>
      </c>
      <c r="S10" s="73" t="n">
        <v>1175</v>
      </c>
      <c r="T10" s="73" t="n">
        <v>1496</v>
      </c>
      <c r="U10" s="73" t="n">
        <v>2310</v>
      </c>
      <c r="V10" s="73" t="n">
        <v>2112</v>
      </c>
      <c r="W10" s="73" t="n">
        <v>1947</v>
      </c>
      <c r="X10" s="73" t="n">
        <v>2086</v>
      </c>
      <c r="Y10" s="73" t="n">
        <v>2763</v>
      </c>
      <c r="Z10" s="73" t="n">
        <v>3078</v>
      </c>
      <c r="AA10" s="73" t="n">
        <v>3340</v>
      </c>
      <c r="AB10" s="73" t="n">
        <v>3407</v>
      </c>
      <c r="AC10" s="73" t="n">
        <v>2958</v>
      </c>
      <c r="AD10" s="73" t="n">
        <v>2911</v>
      </c>
      <c r="AE10" s="73" t="n">
        <v>3030</v>
      </c>
    </row>
    <row r="11">
      <c r="B11" s="73" t="inlineStr">
        <is>
          <t>Other Borrowings</t>
        </is>
      </c>
      <c r="C11" s="73" t="n">
        <v>176</v>
      </c>
      <c r="D11" s="73" t="n">
        <v>521</v>
      </c>
      <c r="E11" s="73" t="n">
        <v>606</v>
      </c>
      <c r="F11" s="73" t="n">
        <v>1415</v>
      </c>
      <c r="G11" s="73" t="n">
        <v>301</v>
      </c>
      <c r="H11" s="73" t="n">
        <v>1918</v>
      </c>
      <c r="I11" s="73" t="n">
        <v>0</v>
      </c>
      <c r="J11" s="73" t="n">
        <v>0</v>
      </c>
      <c r="K11" s="73" t="n">
        <v>0</v>
      </c>
      <c r="L11" s="73" t="n">
        <v>0</v>
      </c>
      <c r="M11" s="73" t="n">
        <v>0</v>
      </c>
      <c r="N11" s="73" t="n">
        <v>0</v>
      </c>
      <c r="O11" s="73" t="n"/>
      <c r="R11" t="inlineStr">
        <is>
          <t>Profit before tax</t>
        </is>
      </c>
      <c r="S11" s="73" t="n">
        <v>11224</v>
      </c>
      <c r="T11" s="73" t="n">
        <v>11494</v>
      </c>
      <c r="U11" s="73" t="n">
        <v>11039</v>
      </c>
      <c r="V11" s="73" t="n">
        <v>10242</v>
      </c>
      <c r="W11" s="73" t="n">
        <v>11542</v>
      </c>
      <c r="X11" s="73" t="n">
        <v>12252</v>
      </c>
      <c r="Y11" s="73" t="n">
        <v>13903</v>
      </c>
      <c r="Z11" s="73" t="n">
        <v>15141</v>
      </c>
      <c r="AA11" s="73" t="n">
        <v>14766</v>
      </c>
      <c r="AB11" s="73" t="n">
        <v>14721</v>
      </c>
      <c r="AC11" s="73" t="n">
        <v>17496</v>
      </c>
      <c r="AD11" s="73" t="n">
        <v>17342</v>
      </c>
      <c r="AE11" s="73" t="n">
        <v>17418</v>
      </c>
    </row>
    <row r="12">
      <c r="B12" s="73" t="inlineStr">
        <is>
          <t>Other Liabilities -</t>
        </is>
      </c>
      <c r="C12" s="73" t="n">
        <v>13367</v>
      </c>
      <c r="D12" s="73" t="n">
        <v>12924</v>
      </c>
      <c r="E12" s="73" t="n">
        <v>12761</v>
      </c>
      <c r="F12" s="73" t="n">
        <v>13563</v>
      </c>
      <c r="G12" s="73" t="n">
        <v>16217</v>
      </c>
      <c r="H12" s="73" t="n">
        <v>15954</v>
      </c>
      <c r="I12" s="73" t="n">
        <v>17213</v>
      </c>
      <c r="J12" s="73" t="n">
        <v>24280</v>
      </c>
      <c r="K12" s="73" t="n">
        <v>21789</v>
      </c>
      <c r="L12" s="73" t="n">
        <v>23611</v>
      </c>
      <c r="M12" s="73" t="n">
        <v>26362</v>
      </c>
      <c r="N12" s="73" t="n">
        <v>32574</v>
      </c>
      <c r="R12" t="inlineStr">
        <is>
          <t>Tax %</t>
        </is>
      </c>
      <c r="S12" s="75" t="n">
        <v>22</v>
      </c>
      <c r="T12" s="75" t="n">
        <v>22</v>
      </c>
      <c r="U12" s="75" t="n">
        <v>23</v>
      </c>
      <c r="V12" s="75" t="n">
        <v>22</v>
      </c>
      <c r="W12" s="75" t="n">
        <v>22</v>
      </c>
      <c r="X12" s="75" t="n">
        <v>20</v>
      </c>
      <c r="Y12" s="75" t="n">
        <v>22</v>
      </c>
      <c r="Z12" s="75" t="n">
        <v>19</v>
      </c>
      <c r="AA12" s="75" t="n">
        <v>23</v>
      </c>
      <c r="AB12" s="75" t="n">
        <v>25</v>
      </c>
      <c r="AC12" s="75" t="n">
        <v>24</v>
      </c>
      <c r="AD12" s="75" t="n">
        <v>24</v>
      </c>
      <c r="AE12" t="n">
        <v>0</v>
      </c>
    </row>
    <row r="13">
      <c r="B13" t="inlineStr">
        <is>
          <t>Non controlling int</t>
        </is>
      </c>
      <c r="C13" t="n">
        <v>165</v>
      </c>
      <c r="D13" t="n">
        <v>221</v>
      </c>
      <c r="E13" t="n">
        <v>239</v>
      </c>
      <c r="F13" t="n">
        <v>241</v>
      </c>
      <c r="G13" t="n">
        <v>264</v>
      </c>
      <c r="H13" t="n">
        <v>188</v>
      </c>
      <c r="I13" t="n">
        <v>150</v>
      </c>
      <c r="J13" t="n">
        <v>52</v>
      </c>
      <c r="K13" t="n">
        <v>59</v>
      </c>
      <c r="L13" t="n">
        <v>134</v>
      </c>
      <c r="M13" t="n">
        <v>214</v>
      </c>
      <c r="N13" t="n">
        <v>251</v>
      </c>
      <c r="O13" s="73" t="n"/>
      <c r="R13" t="inlineStr">
        <is>
          <t>Net Profit +</t>
        </is>
      </c>
      <c r="S13" s="73" t="n">
        <v>8714</v>
      </c>
      <c r="T13" s="73" t="n">
        <v>8957</v>
      </c>
      <c r="U13" s="73" t="n">
        <v>8518</v>
      </c>
      <c r="V13" s="73" t="n">
        <v>8003</v>
      </c>
      <c r="W13" s="73" t="n">
        <v>9018</v>
      </c>
      <c r="X13" s="73" t="n">
        <v>9772</v>
      </c>
      <c r="Y13" s="73" t="n">
        <v>10868</v>
      </c>
      <c r="Z13" s="73" t="n">
        <v>12243</v>
      </c>
      <c r="AA13" s="73" t="n">
        <v>11366</v>
      </c>
      <c r="AB13" s="73" t="n">
        <v>11112</v>
      </c>
      <c r="AC13" s="73" t="n">
        <v>13218</v>
      </c>
      <c r="AD13" s="73" t="n">
        <v>13266</v>
      </c>
      <c r="AE13" s="73" t="n">
        <v>13285</v>
      </c>
    </row>
    <row r="14">
      <c r="B14" s="73" t="inlineStr">
        <is>
          <t>Trade Payables</t>
        </is>
      </c>
      <c r="C14" s="73" t="n">
        <v>5849</v>
      </c>
      <c r="D14" s="73" t="n">
        <v>4902</v>
      </c>
      <c r="E14" s="73" t="n">
        <v>4867</v>
      </c>
      <c r="F14" s="73" t="n">
        <v>5120</v>
      </c>
      <c r="G14" s="73" t="n">
        <v>6266</v>
      </c>
      <c r="H14" s="73" t="n">
        <v>5840</v>
      </c>
      <c r="I14" s="73" t="n">
        <v>5182</v>
      </c>
      <c r="J14" s="73" t="n">
        <v>6252</v>
      </c>
      <c r="K14" s="73" t="n">
        <v>5972</v>
      </c>
      <c r="L14" s="73" t="n">
        <v>5766</v>
      </c>
      <c r="M14" s="73" t="n">
        <v>5867</v>
      </c>
      <c r="N14" s="73" t="n">
        <v>6289</v>
      </c>
      <c r="S14" t="n">
        <v>6.58</v>
      </c>
      <c r="T14" t="n">
        <v>6.76</v>
      </c>
      <c r="U14" t="n">
        <v>6.55</v>
      </c>
      <c r="V14" t="n">
        <v>6.63</v>
      </c>
      <c r="W14" t="n">
        <v>7.46</v>
      </c>
      <c r="X14" t="n">
        <v>8.51</v>
      </c>
      <c r="Y14" t="n">
        <v>9.85</v>
      </c>
      <c r="Z14" t="n">
        <v>11.15</v>
      </c>
      <c r="AA14" t="n">
        <v>10.34</v>
      </c>
      <c r="AB14" t="n">
        <v>10.57</v>
      </c>
      <c r="AC14" t="n">
        <v>12.54</v>
      </c>
      <c r="AD14" t="n">
        <v>12.58</v>
      </c>
      <c r="AE14" t="n">
        <v>12.79</v>
      </c>
    </row>
    <row r="15">
      <c r="B15" t="inlineStr">
        <is>
          <t>Advance from Customers</t>
        </is>
      </c>
      <c r="C15" t="n">
        <v>220</v>
      </c>
      <c r="D15" t="n">
        <v>238</v>
      </c>
      <c r="E15" t="n">
        <v>239</v>
      </c>
      <c r="F15" t="n">
        <v>190</v>
      </c>
      <c r="G15" t="n">
        <v>136</v>
      </c>
      <c r="H15" t="n">
        <v>146</v>
      </c>
      <c r="I15" t="n">
        <v>36</v>
      </c>
      <c r="J15" s="73" t="n">
        <v>63</v>
      </c>
      <c r="K15" s="73" t="n">
        <v>64</v>
      </c>
      <c r="L15" t="n">
        <v>119</v>
      </c>
      <c r="M15" s="73" t="n">
        <v>79</v>
      </c>
      <c r="N15" s="73" t="n">
        <v>82</v>
      </c>
      <c r="O15" s="73" t="n"/>
      <c r="S15" t="n">
        <v>34</v>
      </c>
      <c r="T15" t="n">
        <v>17</v>
      </c>
      <c r="U15" t="n">
        <v>6</v>
      </c>
      <c r="V15" t="n">
        <v>6</v>
      </c>
      <c r="W15" t="n">
        <v>7</v>
      </c>
      <c r="X15" t="n">
        <v>6</v>
      </c>
      <c r="Y15" t="n">
        <v>5</v>
      </c>
      <c r="Z15" t="n">
        <v>27</v>
      </c>
      <c r="AA15" t="n">
        <v>5</v>
      </c>
      <c r="AB15" t="n">
        <v>5</v>
      </c>
      <c r="AC15" t="n">
        <v>48</v>
      </c>
      <c r="AD15" t="n">
        <v>87</v>
      </c>
      <c r="AE15" t="n">
        <v>0</v>
      </c>
    </row>
    <row r="16">
      <c r="B16" s="73" t="inlineStr">
        <is>
          <t>Other liability items</t>
        </is>
      </c>
      <c r="C16" s="73" t="n">
        <v>7134</v>
      </c>
      <c r="D16" s="73" t="n">
        <v>7562</v>
      </c>
      <c r="E16" s="73" t="n">
        <v>7415</v>
      </c>
      <c r="F16" s="73" t="n">
        <v>8012</v>
      </c>
      <c r="G16" s="73" t="n">
        <v>9551</v>
      </c>
      <c r="H16" s="73" t="n">
        <v>9780</v>
      </c>
      <c r="I16" s="73" t="n">
        <v>11846</v>
      </c>
      <c r="J16" s="73" t="n">
        <v>17913</v>
      </c>
      <c r="K16" s="73" t="n">
        <v>15694</v>
      </c>
      <c r="L16" s="73" t="n">
        <v>17592</v>
      </c>
      <c r="M16" s="73" t="n">
        <v>20202</v>
      </c>
      <c r="N16" s="73" t="n">
        <v>25952</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58350</v>
      </c>
      <c r="D18" s="71" t="n">
        <v>71590</v>
      </c>
      <c r="E18" s="71" t="n">
        <v>78672</v>
      </c>
      <c r="F18" s="71" t="n">
        <v>75391</v>
      </c>
      <c r="G18" s="71" t="n">
        <v>82586</v>
      </c>
      <c r="H18" s="71" t="n">
        <v>81000</v>
      </c>
      <c r="I18" s="71" t="n">
        <v>82566</v>
      </c>
      <c r="J18" s="71" t="n">
        <v>107276</v>
      </c>
      <c r="K18" s="71" t="n">
        <v>116924</v>
      </c>
      <c r="L18" s="71" t="n">
        <v>114609</v>
      </c>
      <c r="M18" s="71" t="n">
        <v>127929</v>
      </c>
      <c r="N18" s="71" t="n">
        <v>140884</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7840</v>
      </c>
      <c r="T19" s="73" t="n">
        <v>7887</v>
      </c>
      <c r="U19" s="73" t="n">
        <v>9277</v>
      </c>
      <c r="V19" s="73" t="n">
        <v>8423</v>
      </c>
      <c r="W19" s="73" t="n">
        <v>11632</v>
      </c>
      <c r="X19" s="73" t="n">
        <v>10064</v>
      </c>
      <c r="Y19" s="73" t="n">
        <v>14755</v>
      </c>
      <c r="Z19" s="73" t="n">
        <v>11080</v>
      </c>
      <c r="AA19" s="73" t="n">
        <v>13060</v>
      </c>
      <c r="AB19" s="73" t="n">
        <v>17622</v>
      </c>
      <c r="AC19" s="73" t="n">
        <v>16943</v>
      </c>
      <c r="AD19" s="73" t="n">
        <v>14932</v>
      </c>
    </row>
    <row r="20">
      <c r="C20" s="73" t="n"/>
      <c r="D20" s="73" t="n"/>
      <c r="E20" s="73" t="n"/>
      <c r="F20" s="73" t="n"/>
      <c r="G20" s="73" t="n"/>
      <c r="H20" s="73" t="n"/>
      <c r="I20" s="73" t="n"/>
      <c r="J20" s="73" t="n"/>
      <c r="K20" s="73" t="n"/>
      <c r="L20" s="73" t="n"/>
      <c r="M20" s="73" t="n"/>
      <c r="N20" s="73" t="n"/>
      <c r="O20" s="73" t="n"/>
      <c r="R20" t="inlineStr">
        <is>
          <t>Profit from operations</t>
        </is>
      </c>
      <c r="S20" s="73" t="n">
        <v>10990</v>
      </c>
      <c r="T20" s="73" t="n">
        <v>11180</v>
      </c>
      <c r="U20" s="73" t="n">
        <v>11374</v>
      </c>
      <c r="V20" s="73" t="n">
        <v>11322</v>
      </c>
      <c r="W20" s="73" t="n">
        <v>11430</v>
      </c>
      <c r="X20" s="73" t="n">
        <v>13088</v>
      </c>
      <c r="Y20" s="73" t="n">
        <v>14954</v>
      </c>
      <c r="Z20" s="73" t="n">
        <v>17297</v>
      </c>
      <c r="AA20" s="73" t="n">
        <v>17538</v>
      </c>
      <c r="AB20" s="73" t="n">
        <v>17416</v>
      </c>
      <c r="AC20" s="73" t="n">
        <v>18533</v>
      </c>
      <c r="AD20" s="73" t="n">
        <v>18948</v>
      </c>
    </row>
    <row r="21">
      <c r="B21" s="73" t="inlineStr">
        <is>
          <t>Fixed Assets -</t>
        </is>
      </c>
      <c r="C21" s="73" t="n">
        <v>10837</v>
      </c>
      <c r="D21" s="73" t="n">
        <v>17279</v>
      </c>
      <c r="E21" s="73" t="n">
        <v>19886</v>
      </c>
      <c r="F21" s="73" t="n">
        <v>18127</v>
      </c>
      <c r="G21" s="73" t="n">
        <v>17465</v>
      </c>
      <c r="H21" s="73" t="n">
        <v>22062</v>
      </c>
      <c r="I21" s="73" t="n">
        <v>23040</v>
      </c>
      <c r="J21" s="73" t="n">
        <v>37990</v>
      </c>
      <c r="K21" s="73" t="n">
        <v>44757</v>
      </c>
      <c r="L21" s="73" t="n">
        <v>43628</v>
      </c>
      <c r="M21" s="73" t="n">
        <v>45187</v>
      </c>
      <c r="N21" s="73" t="n">
        <v>51690</v>
      </c>
      <c r="R21" t="inlineStr">
        <is>
          <t>Receivables</t>
        </is>
      </c>
      <c r="S21" t="n">
        <v>-888</v>
      </c>
      <c r="T21" t="n">
        <v>-532</v>
      </c>
      <c r="U21" t="n">
        <v>335</v>
      </c>
      <c r="V21" t="n">
        <v>-974</v>
      </c>
      <c r="W21" t="n">
        <v>139</v>
      </c>
      <c r="X21" s="73" t="n">
        <v>-333</v>
      </c>
      <c r="Y21" t="n">
        <v>1285</v>
      </c>
      <c r="Z21" t="n">
        <v>-4323</v>
      </c>
      <c r="AA21" t="n">
        <v>-98</v>
      </c>
      <c r="AB21" t="n">
        <v>782</v>
      </c>
      <c r="AC21" s="73" t="n">
        <v>189</v>
      </c>
      <c r="AD21" t="n">
        <v>-1144</v>
      </c>
    </row>
    <row r="22">
      <c r="B22" s="73" t="inlineStr">
        <is>
          <t>Land</t>
        </is>
      </c>
      <c r="C22" s="73" t="n">
        <v>587</v>
      </c>
      <c r="D22" s="73" t="n">
        <v>370</v>
      </c>
      <c r="E22" s="73" t="n">
        <v>381</v>
      </c>
      <c r="F22" s="73" t="n">
        <v>364</v>
      </c>
      <c r="G22" s="73" t="n">
        <v>370</v>
      </c>
      <c r="H22" s="73" t="n">
        <v>576</v>
      </c>
      <c r="I22" s="73" t="n">
        <v>590</v>
      </c>
      <c r="J22" s="73" t="n">
        <v>609</v>
      </c>
      <c r="K22" s="73" t="n">
        <v>614</v>
      </c>
      <c r="L22" s="73" t="n">
        <v>572</v>
      </c>
      <c r="M22" s="73" t="n">
        <v>550</v>
      </c>
      <c r="N22" s="73" t="n">
        <v>553</v>
      </c>
      <c r="O22" s="73" t="n"/>
      <c r="R22" t="inlineStr">
        <is>
          <t>Inventory</t>
        </is>
      </c>
      <c r="S22" t="n">
        <v>-256</v>
      </c>
      <c r="T22" t="n">
        <v>-54</v>
      </c>
      <c r="U22" t="n">
        <v>148</v>
      </c>
      <c r="V22" t="n">
        <v>54</v>
      </c>
      <c r="W22" t="n">
        <v>-57</v>
      </c>
      <c r="X22" t="n">
        <v>208</v>
      </c>
      <c r="Y22" s="73" t="n">
        <v>80</v>
      </c>
      <c r="Z22" t="n">
        <v>-26</v>
      </c>
      <c r="AA22" s="73" t="n">
        <v>16</v>
      </c>
      <c r="AB22" s="73" t="n">
        <v>29</v>
      </c>
      <c r="AC22" s="73" t="n">
        <v>21</v>
      </c>
      <c r="AD22" s="73" t="n">
        <v>18</v>
      </c>
    </row>
    <row r="23">
      <c r="B23" s="73" t="inlineStr">
        <is>
          <t>Building</t>
        </is>
      </c>
      <c r="C23" s="73" t="n">
        <v>2437</v>
      </c>
      <c r="D23" s="73" t="n">
        <v>2589</v>
      </c>
      <c r="E23" s="73" t="n">
        <v>2738</v>
      </c>
      <c r="F23" s="73" t="n">
        <v>2495</v>
      </c>
      <c r="G23" s="73" t="n">
        <v>2729</v>
      </c>
      <c r="H23" s="73" t="n">
        <v>5194</v>
      </c>
      <c r="I23" s="73" t="n">
        <v>5806</v>
      </c>
      <c r="J23" s="73" t="n">
        <v>6648</v>
      </c>
      <c r="K23" s="73" t="n">
        <v>7545</v>
      </c>
      <c r="L23" s="73" t="n">
        <v>7528</v>
      </c>
      <c r="M23" s="73" t="n">
        <v>8740</v>
      </c>
      <c r="N23" s="73" t="n">
        <v>9351</v>
      </c>
      <c r="O23" s="73" t="n"/>
      <c r="R23" t="inlineStr">
        <is>
          <t>Payables</t>
        </is>
      </c>
      <c r="S23" t="n">
        <v>0</v>
      </c>
      <c r="T23" t="n">
        <v>468</v>
      </c>
      <c r="U23" t="n">
        <v>-523</v>
      </c>
      <c r="V23" s="73" t="n">
        <v>450</v>
      </c>
      <c r="W23" t="n">
        <v>2084</v>
      </c>
      <c r="X23" t="n">
        <v>-1240</v>
      </c>
      <c r="Y23" s="73" t="n">
        <v>570</v>
      </c>
      <c r="Z23" s="73" t="n">
        <v>970</v>
      </c>
      <c r="AA23" s="73" t="n">
        <v>-982</v>
      </c>
      <c r="AB23" t="n">
        <v>-44</v>
      </c>
      <c r="AC23" s="73" t="n">
        <v>55</v>
      </c>
      <c r="AD23" t="n">
        <v>848</v>
      </c>
    </row>
    <row r="24">
      <c r="B24" s="73" t="inlineStr">
        <is>
          <t>Plant Machinery</t>
        </is>
      </c>
      <c r="C24" s="73" t="n">
        <v>7979</v>
      </c>
      <c r="D24" s="73" t="n">
        <v>9950</v>
      </c>
      <c r="E24" s="73" t="n">
        <v>10889</v>
      </c>
      <c r="F24" s="73" t="n">
        <v>6938</v>
      </c>
      <c r="G24" s="73" t="n">
        <v>9229</v>
      </c>
      <c r="H24" s="73" t="n">
        <v>8801</v>
      </c>
      <c r="I24" s="73" t="n">
        <v>9618</v>
      </c>
      <c r="J24" s="73" t="n">
        <v>10074</v>
      </c>
      <c r="K24" s="73" t="n">
        <v>12023</v>
      </c>
      <c r="L24" s="73" t="n">
        <v>10468</v>
      </c>
      <c r="M24" s="73" t="n">
        <v>10492</v>
      </c>
      <c r="N24" s="73" t="n">
        <v>10212</v>
      </c>
      <c r="R24" t="inlineStr">
        <is>
          <t>Working capital changes</t>
        </is>
      </c>
      <c r="S24" t="n">
        <v>-723</v>
      </c>
      <c r="T24" t="n">
        <v>-599</v>
      </c>
      <c r="U24" t="n">
        <v>451</v>
      </c>
      <c r="V24" s="73" t="n">
        <v>-88</v>
      </c>
      <c r="W24" t="n">
        <v>2716</v>
      </c>
      <c r="X24" t="n">
        <v>-2386</v>
      </c>
      <c r="Y24" t="n">
        <v>2292</v>
      </c>
      <c r="Z24" t="n">
        <v>-3649</v>
      </c>
      <c r="AA24" t="n">
        <v>-1456</v>
      </c>
      <c r="AB24" s="73" t="n">
        <v>1741</v>
      </c>
      <c r="AC24" s="73" t="n">
        <v>1027</v>
      </c>
      <c r="AD24" s="73" t="n">
        <v>-1392</v>
      </c>
    </row>
    <row r="25">
      <c r="B25" t="inlineStr">
        <is>
          <t>Equipments</t>
        </is>
      </c>
      <c r="C25" t="n">
        <v>422</v>
      </c>
      <c r="D25" t="n">
        <v>441</v>
      </c>
      <c r="E25" t="n">
        <v>543</v>
      </c>
      <c r="F25" t="n">
        <v>582</v>
      </c>
      <c r="G25" t="n">
        <v>591</v>
      </c>
      <c r="H25" t="n">
        <v>687</v>
      </c>
      <c r="I25" t="n">
        <v>686</v>
      </c>
      <c r="J25" t="n">
        <v>726</v>
      </c>
      <c r="K25" t="n">
        <v>782</v>
      </c>
      <c r="L25" t="n">
        <v>751</v>
      </c>
      <c r="M25" t="n">
        <v>766</v>
      </c>
      <c r="N25" t="n">
        <v>793</v>
      </c>
      <c r="R25" t="inlineStr">
        <is>
          <t>Direct taxes</t>
        </is>
      </c>
      <c r="S25" s="73" t="n">
        <v>-2427</v>
      </c>
      <c r="T25" s="73" t="n">
        <v>-2694</v>
      </c>
      <c r="U25" s="73" t="n">
        <v>-2548</v>
      </c>
      <c r="V25" s="73" t="n">
        <v>-2810</v>
      </c>
      <c r="W25" s="73" t="n">
        <v>-2515</v>
      </c>
      <c r="X25" s="73" t="n">
        <v>-638</v>
      </c>
      <c r="Y25" s="73" t="n">
        <v>-2492</v>
      </c>
      <c r="Z25" s="73" t="n">
        <v>-2569</v>
      </c>
      <c r="AA25" s="73" t="n">
        <v>-3022</v>
      </c>
      <c r="AB25" s="73" t="n">
        <v>-1536</v>
      </c>
      <c r="AC25" s="73" t="n">
        <v>-2618</v>
      </c>
      <c r="AD25" s="73" t="n">
        <v>-2624</v>
      </c>
    </row>
    <row r="26">
      <c r="B26" s="73" t="inlineStr">
        <is>
          <t>Furniture n fittings</t>
        </is>
      </c>
      <c r="C26" s="73" t="n">
        <v>857</v>
      </c>
      <c r="D26" s="73" t="n">
        <v>961</v>
      </c>
      <c r="E26" s="73" t="n">
        <v>1022</v>
      </c>
      <c r="F26" s="73" t="n">
        <v>986</v>
      </c>
      <c r="G26" s="73" t="n">
        <v>1050</v>
      </c>
      <c r="H26" s="73" t="n">
        <v>1290</v>
      </c>
      <c r="I26" s="73" t="n">
        <v>1373</v>
      </c>
      <c r="J26" s="73" t="n">
        <v>1529</v>
      </c>
      <c r="K26" s="73" t="n">
        <v>1799</v>
      </c>
      <c r="L26" s="73" t="n">
        <v>1814</v>
      </c>
      <c r="M26" s="73" t="n">
        <v>1948</v>
      </c>
      <c r="N26" s="73" t="n">
        <v>2012</v>
      </c>
      <c r="R26" t="inlineStr">
        <is>
          <t>Cash from Investing Activity -</t>
        </is>
      </c>
      <c r="S26" s="73" t="n">
        <v>-2537</v>
      </c>
      <c r="T26" s="73" t="n">
        <v>-13761</v>
      </c>
      <c r="U26" s="73" t="n">
        <v>-11770</v>
      </c>
      <c r="V26" s="73" t="n">
        <v>3595</v>
      </c>
      <c r="W26" s="73" t="n">
        <v>5065</v>
      </c>
      <c r="X26" s="73" t="n">
        <v>3593</v>
      </c>
      <c r="Y26" s="73" t="n">
        <v>685</v>
      </c>
      <c r="Z26" s="73" t="n">
        <v>-22321</v>
      </c>
      <c r="AA26" s="73" t="n">
        <v>-8169</v>
      </c>
      <c r="AB26" s="73" t="n">
        <v>1144</v>
      </c>
      <c r="AC26" t="n">
        <v>-8044</v>
      </c>
      <c r="AD26" s="73" t="n">
        <v>-2448</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-1285</v>
      </c>
      <c r="T27" s="73" t="n">
        <v>-1395</v>
      </c>
      <c r="U27" s="73" t="n">
        <v>-2085</v>
      </c>
      <c r="V27" s="73" t="n">
        <v>-2187</v>
      </c>
      <c r="W27" s="73" t="n">
        <v>-2278</v>
      </c>
      <c r="X27" s="73" t="n">
        <v>-2350</v>
      </c>
      <c r="Y27" s="73" t="n">
        <v>-1958</v>
      </c>
      <c r="Z27" s="73" t="n">
        <v>-2015</v>
      </c>
      <c r="AA27" s="73" t="n">
        <v>-1483</v>
      </c>
      <c r="AB27" s="73" t="n">
        <v>-1051</v>
      </c>
      <c r="AC27" s="73" t="n">
        <v>-1504</v>
      </c>
      <c r="AD27" s="73" t="n">
        <v>-1560</v>
      </c>
    </row>
    <row r="28">
      <c r="B28" t="inlineStr">
        <is>
          <t>Vehicles</t>
        </is>
      </c>
      <c r="C28" t="n">
        <v>85</v>
      </c>
      <c r="D28" t="n">
        <v>59</v>
      </c>
      <c r="E28" t="n">
        <v>43</v>
      </c>
      <c r="F28" t="n">
        <v>114</v>
      </c>
      <c r="G28" t="n">
        <v>95</v>
      </c>
      <c r="H28" t="n">
        <v>163</v>
      </c>
      <c r="I28" t="n">
        <v>134</v>
      </c>
      <c r="J28" t="n">
        <v>122</v>
      </c>
      <c r="K28" t="n">
        <v>103</v>
      </c>
      <c r="L28" t="n">
        <v>88</v>
      </c>
      <c r="M28" t="n">
        <v>77</v>
      </c>
      <c r="N28" t="n">
        <v>94</v>
      </c>
      <c r="O28" s="73" t="n"/>
      <c r="R28" t="inlineStr">
        <is>
          <t>Fixed assets sold</t>
        </is>
      </c>
      <c r="S28" s="73" t="n">
        <v>143</v>
      </c>
      <c r="T28" s="73" t="n">
        <v>78</v>
      </c>
      <c r="U28" s="73" t="n">
        <v>558</v>
      </c>
      <c r="V28" s="73" t="n">
        <v>117</v>
      </c>
      <c r="W28" s="73" t="n">
        <v>194</v>
      </c>
      <c r="X28" s="73" t="n">
        <v>127</v>
      </c>
      <c r="Y28" s="73" t="n">
        <v>75</v>
      </c>
      <c r="Z28" s="73" t="n">
        <v>74</v>
      </c>
      <c r="AA28" s="73" t="n">
        <v>55</v>
      </c>
      <c r="AB28" t="n">
        <v>402</v>
      </c>
      <c r="AC28" s="73" t="n">
        <v>182</v>
      </c>
      <c r="AD28" s="73" t="n">
        <v>76</v>
      </c>
    </row>
    <row r="29">
      <c r="B29" t="inlineStr">
        <is>
          <t>Intangible Assets</t>
        </is>
      </c>
      <c r="C29" t="n">
        <v>395</v>
      </c>
      <c r="D29" t="n">
        <v>381</v>
      </c>
      <c r="E29" t="n">
        <v>738</v>
      </c>
      <c r="F29" t="n">
        <v>1378</v>
      </c>
      <c r="G29" t="n">
        <v>2142</v>
      </c>
      <c r="H29" t="n">
        <v>1881</v>
      </c>
      <c r="I29" s="73" t="n">
        <v>1853</v>
      </c>
      <c r="J29" s="73" t="n">
        <v>1602</v>
      </c>
      <c r="K29" s="73" t="n">
        <v>617</v>
      </c>
      <c r="L29" s="73" t="n">
        <v>723</v>
      </c>
      <c r="M29" s="73" t="n">
        <v>196</v>
      </c>
      <c r="N29" s="73" t="n">
        <v>412</v>
      </c>
      <c r="R29" t="inlineStr">
        <is>
          <t>Investments purchased</t>
        </is>
      </c>
      <c r="S29" s="73" t="n">
        <v>-55128</v>
      </c>
      <c r="T29" s="73" t="n">
        <v>-93496</v>
      </c>
      <c r="U29" s="73" t="n">
        <v>-81344</v>
      </c>
      <c r="V29" s="73" t="n">
        <v>-78248</v>
      </c>
      <c r="W29" s="73" t="n">
        <v>-93061</v>
      </c>
      <c r="X29" s="73" t="n">
        <v>-117825</v>
      </c>
      <c r="Y29" s="73" t="n">
        <v>-117225</v>
      </c>
      <c r="Z29" s="73" t="n">
        <v>-101549</v>
      </c>
      <c r="AA29" s="73" t="n">
        <v>-80663</v>
      </c>
      <c r="AB29" s="73" t="n">
        <v>-97507</v>
      </c>
      <c r="AC29" s="73" t="n">
        <v>-80158</v>
      </c>
      <c r="AD29" s="73" t="n">
        <v>-83781</v>
      </c>
    </row>
    <row r="30">
      <c r="B30" t="inlineStr">
        <is>
          <t>Other fixed assets</t>
        </is>
      </c>
      <c r="C30" t="n">
        <v>5532</v>
      </c>
      <c r="D30" t="n">
        <v>20915</v>
      </c>
      <c r="E30" t="n">
        <v>29913</v>
      </c>
      <c r="F30" t="n">
        <v>25797</v>
      </c>
      <c r="G30" t="n">
        <v>22887</v>
      </c>
      <c r="H30" t="n">
        <v>20032</v>
      </c>
      <c r="I30" t="n">
        <v>18775</v>
      </c>
      <c r="J30" t="n">
        <v>26154</v>
      </c>
      <c r="K30" t="n">
        <v>33073</v>
      </c>
      <c r="L30" t="n">
        <v>33384</v>
      </c>
      <c r="M30" t="n">
        <v>43926</v>
      </c>
      <c r="N30" s="73" t="n">
        <v>46786</v>
      </c>
      <c r="O30" s="73" t="n"/>
      <c r="R30" t="inlineStr">
        <is>
          <t>Investments sold</t>
        </is>
      </c>
      <c r="S30" s="73" t="n">
        <v>56158</v>
      </c>
      <c r="T30" s="73" t="n">
        <v>83065</v>
      </c>
      <c r="U30" s="73" t="n">
        <v>72976</v>
      </c>
      <c r="V30" s="73" t="n">
        <v>83045</v>
      </c>
      <c r="W30" s="73" t="n">
        <v>95495</v>
      </c>
      <c r="X30" s="73" t="n">
        <v>121283</v>
      </c>
      <c r="Y30" s="73" t="n">
        <v>118906</v>
      </c>
      <c r="Z30" s="73" t="n">
        <v>95539</v>
      </c>
      <c r="AA30" s="73" t="n">
        <v>74088</v>
      </c>
      <c r="AB30" s="73" t="n">
        <v>97860</v>
      </c>
      <c r="AC30" s="73" t="n">
        <v>70652</v>
      </c>
      <c r="AD30" s="73" t="n">
        <v>81673</v>
      </c>
    </row>
    <row r="31">
      <c r="B31" t="inlineStr">
        <is>
          <t>Gross Block</t>
        </is>
      </c>
      <c r="C31" s="73" t="n">
        <v>41586</v>
      </c>
      <c r="D31" s="73" t="n">
        <v>33016</v>
      </c>
      <c r="E31" s="73" t="n">
        <v>28135</v>
      </c>
      <c r="F31" s="73" t="n">
        <v>30090</v>
      </c>
      <c r="G31" s="73" t="n">
        <v>40093</v>
      </c>
      <c r="H31" s="73" t="n">
        <v>37024</v>
      </c>
      <c r="I31" s="73" t="n">
        <v>38898</v>
      </c>
      <c r="J31" s="73" t="n">
        <v>41531</v>
      </c>
      <c r="K31" s="73" t="n">
        <v>38477</v>
      </c>
      <c r="L31" s="73" t="n">
        <v>36873</v>
      </c>
      <c r="M31" s="73" t="n">
        <v>38620</v>
      </c>
      <c r="N31" s="73" t="n">
        <v>41995</v>
      </c>
      <c r="O31" s="73" t="n"/>
      <c r="R31" t="inlineStr">
        <is>
          <t>Interest received</t>
        </is>
      </c>
      <c r="S31" t="n">
        <v>0</v>
      </c>
      <c r="T31" t="n">
        <v>1837</v>
      </c>
      <c r="U31" s="73" t="n">
        <v>1707</v>
      </c>
      <c r="V31" s="73" t="n">
        <v>1435</v>
      </c>
      <c r="W31" s="73" t="n">
        <v>2016</v>
      </c>
      <c r="X31" s="73" t="n">
        <v>2384</v>
      </c>
      <c r="Y31" s="73" t="n">
        <v>1962</v>
      </c>
      <c r="Z31" s="73" t="n">
        <v>1228</v>
      </c>
      <c r="AA31" s="73" t="n">
        <v>1411</v>
      </c>
      <c r="AB31" s="73" t="n">
        <v>2011</v>
      </c>
      <c r="AC31" s="73" t="n">
        <v>2621</v>
      </c>
      <c r="AD31" s="73" t="n">
        <v>2888</v>
      </c>
    </row>
    <row r="32">
      <c r="B32" s="73" t="inlineStr">
        <is>
          <t>Accumulated Depreciation</t>
        </is>
      </c>
      <c r="C32" s="73" t="n">
        <v>485</v>
      </c>
      <c r="D32" s="73" t="n">
        <v>539</v>
      </c>
      <c r="E32" s="73" t="n">
        <v>392</v>
      </c>
      <c r="F32" s="73" t="n">
        <v>337</v>
      </c>
      <c r="G32" s="73" t="n">
        <v>395</v>
      </c>
      <c r="H32" s="73" t="n">
        <v>186</v>
      </c>
      <c r="I32" s="73" t="n">
        <v>106</v>
      </c>
      <c r="J32" s="73" t="n">
        <v>133</v>
      </c>
      <c r="K32" s="73" t="n">
        <v>119</v>
      </c>
      <c r="L32" s="73" t="n">
        <v>91</v>
      </c>
      <c r="M32" s="73" t="n">
        <v>69</v>
      </c>
      <c r="N32" s="73" t="n">
        <v>52</v>
      </c>
      <c r="O32" s="73" t="n"/>
      <c r="R32" t="inlineStr">
        <is>
          <t>Dividends received</t>
        </is>
      </c>
      <c r="S32" t="n">
        <v>1243</v>
      </c>
      <c r="T32" t="n">
        <v>7</v>
      </c>
      <c r="U32" s="73" t="n">
        <v>31</v>
      </c>
      <c r="V32" t="n">
        <v>61</v>
      </c>
      <c r="W32" t="n">
        <v>36</v>
      </c>
      <c r="X32" t="n">
        <v>37</v>
      </c>
      <c r="Y32" s="73" t="n">
        <v>0</v>
      </c>
      <c r="Z32" s="73" t="n">
        <v>0</v>
      </c>
      <c r="AA32" s="73" t="n">
        <v>2741</v>
      </c>
      <c r="AB32" s="73" t="n">
        <v>0</v>
      </c>
      <c r="AC32" s="73" t="n">
        <v>230</v>
      </c>
      <c r="AD32" s="73" t="n">
        <v>0</v>
      </c>
    </row>
    <row r="33">
      <c r="B33" t="inlineStr">
        <is>
          <t>Net Block</t>
        </is>
      </c>
      <c r="C33" s="73" t="n">
        <v>9155</v>
      </c>
      <c r="D33" s="73" t="n">
        <v>9961</v>
      </c>
      <c r="E33" s="73" t="n">
        <v>9485</v>
      </c>
      <c r="F33" s="73" t="n">
        <v>10099</v>
      </c>
      <c r="G33" s="73" t="n">
        <v>10049</v>
      </c>
      <c r="H33" s="73" t="n">
        <v>10447</v>
      </c>
      <c r="I33" s="73" t="n">
        <v>9430</v>
      </c>
      <c r="J33" s="73" t="n">
        <v>11522</v>
      </c>
      <c r="K33" s="73" t="n">
        <v>12635</v>
      </c>
      <c r="L33" s="73" t="n">
        <v>11548</v>
      </c>
      <c r="M33" s="73" t="n">
        <v>11774</v>
      </c>
      <c r="N33" s="73" t="n">
        <v>13590</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v>16619</v>
      </c>
      <c r="D34" t="n">
        <v>9905</v>
      </c>
      <c r="E34" t="n">
        <v>5271</v>
      </c>
      <c r="F34" s="73" t="n">
        <v>4492</v>
      </c>
      <c r="G34" s="73" t="n">
        <v>15853</v>
      </c>
      <c r="H34" s="73" t="n">
        <v>14450</v>
      </c>
      <c r="I34" s="73" t="n">
        <v>16979</v>
      </c>
      <c r="J34" s="73" t="n">
        <v>10384</v>
      </c>
      <c r="K34" s="73" t="n">
        <v>9188</v>
      </c>
      <c r="L34" s="73" t="n">
        <v>9695</v>
      </c>
      <c r="M34" s="73" t="n">
        <v>12197</v>
      </c>
      <c r="N34" s="73" t="n">
        <v>10556</v>
      </c>
      <c r="R34" t="inlineStr">
        <is>
          <t>Investment in group cos</t>
        </is>
      </c>
      <c r="S34" s="73" t="n">
        <v>35</v>
      </c>
      <c r="T34" s="73" t="n">
        <v>-3856</v>
      </c>
      <c r="U34" s="73" t="n">
        <v>-3612</v>
      </c>
      <c r="V34" s="73" t="n">
        <v>-628</v>
      </c>
      <c r="W34" s="73" t="n">
        <v>53</v>
      </c>
      <c r="X34" s="73" t="n">
        <v>-808</v>
      </c>
      <c r="Y34" s="73" t="n">
        <v>-1076</v>
      </c>
      <c r="Z34" s="73" t="n">
        <v>-15597</v>
      </c>
      <c r="AA34" s="73" t="n">
        <v>-4318</v>
      </c>
      <c r="AB34" s="73" t="n">
        <v>-523</v>
      </c>
      <c r="AC34" s="73" t="n">
        <v>-67</v>
      </c>
      <c r="AD34" s="73" t="n">
        <v>-1708</v>
      </c>
    </row>
    <row r="35">
      <c r="B35" t="inlineStr">
        <is>
          <t>CWIP</t>
        </is>
      </c>
      <c r="C35" s="73" t="n">
        <v>2700</v>
      </c>
      <c r="D35" s="73" t="n">
        <v>2560</v>
      </c>
      <c r="E35" s="73" t="n">
        <v>3730</v>
      </c>
      <c r="F35" s="73" t="n">
        <v>5508</v>
      </c>
      <c r="G35" s="73" t="n">
        <v>4136</v>
      </c>
      <c r="H35" s="73" t="n">
        <v>3256</v>
      </c>
      <c r="I35" s="73" t="n">
        <v>4011</v>
      </c>
      <c r="J35" s="73" t="n">
        <v>3226</v>
      </c>
      <c r="K35" s="73" t="n">
        <v>3003</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14001</v>
      </c>
      <c r="D36" s="73" t="n">
        <v>9998</v>
      </c>
      <c r="E36" s="73" t="n">
        <v>11374</v>
      </c>
      <c r="F36" s="73" t="n">
        <v>12807</v>
      </c>
      <c r="G36" s="73" t="n">
        <v>11438</v>
      </c>
      <c r="H36" s="73" t="n">
        <v>10315</v>
      </c>
      <c r="I36" s="73" t="n">
        <v>10552</v>
      </c>
      <c r="J36" s="73" t="n">
        <v>17198</v>
      </c>
      <c r="K36" s="73" t="n">
        <v>13705</v>
      </c>
      <c r="L36" s="73" t="n">
        <v>12713</v>
      </c>
      <c r="M36" s="73" t="n">
        <v>11910</v>
      </c>
      <c r="N36" s="73" t="n">
        <v>14458</v>
      </c>
      <c r="O36" s="73" t="n"/>
      <c r="R36" t="inlineStr">
        <is>
          <t>Other investing items</t>
        </is>
      </c>
      <c r="S36" s="73" t="n">
        <v>-830</v>
      </c>
      <c r="T36" s="73" t="n">
        <v>-159</v>
      </c>
      <c r="U36" s="73" t="n">
        <v>-2275</v>
      </c>
      <c r="V36" s="73" t="n">
        <v>-12998</v>
      </c>
      <c r="W36" s="73" t="n">
        <v>-4937</v>
      </c>
      <c r="X36" s="73" t="n">
        <v>-15100</v>
      </c>
      <c r="Y36" s="73" t="n">
        <v>-12884</v>
      </c>
      <c r="Z36" s="73" t="n">
        <v>4659</v>
      </c>
      <c r="AA36" t="n">
        <v>-6088</v>
      </c>
      <c r="AB36" s="73" t="n">
        <v>-18257</v>
      </c>
      <c r="AC36" t="n">
        <v>-6396</v>
      </c>
      <c r="AD36" s="73" t="n">
        <v>-14126</v>
      </c>
    </row>
    <row r="37">
      <c r="C37" s="73" t="n"/>
      <c r="D37" s="73" t="n"/>
      <c r="E37" s="73" t="n"/>
      <c r="F37" s="73" t="n"/>
      <c r="G37" s="73" t="n"/>
      <c r="H37" s="73" t="n"/>
      <c r="I37" s="73" t="n"/>
      <c r="J37" s="73" t="n"/>
      <c r="K37" s="73" t="n"/>
      <c r="L37" s="73" t="n"/>
      <c r="M37" s="73" t="n"/>
      <c r="N37" s="73" t="n"/>
      <c r="O37" s="73" t="n"/>
      <c r="R37" t="inlineStr">
        <is>
          <t>Cash from Financing Activity -</t>
        </is>
      </c>
      <c r="S37" s="73" t="n">
        <v>100</v>
      </c>
      <c r="T37" s="73" t="n">
        <v>0</v>
      </c>
      <c r="U37" s="73" t="n">
        <v>0</v>
      </c>
      <c r="V37" s="73" t="n">
        <v>2</v>
      </c>
      <c r="W37" s="73" t="n">
        <v>0</v>
      </c>
      <c r="X37" s="73" t="n">
        <v>1</v>
      </c>
      <c r="Y37" s="73" t="n">
        <v>1</v>
      </c>
      <c r="Z37" s="73" t="n">
        <v>1</v>
      </c>
      <c r="AA37" s="73" t="n">
        <v>1</v>
      </c>
      <c r="AB37" s="73" t="n">
        <v>1</v>
      </c>
      <c r="AC37" s="73" t="n">
        <v>3</v>
      </c>
      <c r="AD37" s="73" t="n">
        <v>3</v>
      </c>
    </row>
    <row r="38">
      <c r="B38" t="inlineStr">
        <is>
          <t>Other Assets -</t>
        </is>
      </c>
      <c r="C38" s="73" t="n">
        <v>58350</v>
      </c>
      <c r="D38" s="73" t="n">
        <v>71590</v>
      </c>
      <c r="E38" s="73" t="n">
        <v>78672</v>
      </c>
      <c r="F38" s="73" t="n">
        <v>75391</v>
      </c>
      <c r="G38" s="73" t="n">
        <v>82586</v>
      </c>
      <c r="H38" s="73" t="n">
        <v>81000</v>
      </c>
      <c r="I38" s="73" t="n">
        <v>82566</v>
      </c>
      <c r="J38" s="73" t="n">
        <v>107276</v>
      </c>
      <c r="K38" s="73" t="n">
        <v>116924</v>
      </c>
      <c r="L38" s="73" t="n">
        <v>114609</v>
      </c>
      <c r="M38" s="73" t="n">
        <v>127929</v>
      </c>
      <c r="N38" s="73" t="n">
        <v>140884</v>
      </c>
      <c r="O38" s="73" t="n"/>
      <c r="R38" t="inlineStr">
        <is>
          <t>Proceeds from shares</t>
        </is>
      </c>
      <c r="S38" t="n">
        <v>0</v>
      </c>
      <c r="T38" t="n">
        <v>0</v>
      </c>
      <c r="U38" s="73" t="n">
        <v>0</v>
      </c>
      <c r="V38" t="n">
        <v>0</v>
      </c>
      <c r="W38" t="n">
        <v>6516</v>
      </c>
      <c r="X38" t="n">
        <v>10634</v>
      </c>
      <c r="Y38" t="n">
        <v>10342</v>
      </c>
      <c r="Z38" t="n">
        <v>26012</v>
      </c>
      <c r="AA38" s="73" t="n">
        <v>16103</v>
      </c>
      <c r="AB38" s="73" t="n">
        <v>12050</v>
      </c>
      <c r="AC38" t="n">
        <v>19560</v>
      </c>
      <c r="AD38" t="n">
        <v>25309</v>
      </c>
    </row>
    <row r="39">
      <c r="B39" t="inlineStr">
        <is>
          <t>Inventories</t>
        </is>
      </c>
      <c r="C39" s="73" t="n">
        <v>8587</v>
      </c>
      <c r="D39" s="73" t="n">
        <v>9062</v>
      </c>
      <c r="E39" s="73" t="n">
        <v>8116</v>
      </c>
      <c r="F39" s="73" t="n">
        <v>7495</v>
      </c>
      <c r="G39" s="73" t="n">
        <v>7860</v>
      </c>
      <c r="H39" s="73" t="n">
        <v>8879</v>
      </c>
      <c r="I39" s="73" t="n">
        <v>10397</v>
      </c>
      <c r="J39" s="73" t="n">
        <v>10864</v>
      </c>
      <c r="K39" s="73" t="n">
        <v>11771</v>
      </c>
      <c r="L39" s="73" t="n">
        <v>14153</v>
      </c>
      <c r="M39" s="73" t="n">
        <v>15638</v>
      </c>
      <c r="N39" s="73" t="n">
        <v>18623</v>
      </c>
      <c r="O39" s="73" t="n"/>
      <c r="R39" t="inlineStr">
        <is>
          <t>Proceeds from borrowings</t>
        </is>
      </c>
      <c r="S39" t="n">
        <v>0</v>
      </c>
      <c r="T39" t="n">
        <v>0</v>
      </c>
      <c r="U39" t="n">
        <v>0</v>
      </c>
      <c r="V39" t="n">
        <v>0</v>
      </c>
      <c r="W39" t="n">
        <v>-10404</v>
      </c>
      <c r="X39" t="n">
        <v>-13238</v>
      </c>
      <c r="Y39" t="n">
        <v>-9721</v>
      </c>
      <c r="Z39" t="n">
        <v>-19181</v>
      </c>
      <c r="AA39" t="n">
        <v>-16891</v>
      </c>
      <c r="AB39" t="n">
        <v>-13056</v>
      </c>
      <c r="AC39" t="n">
        <v>-17767</v>
      </c>
      <c r="AD39" s="73" t="n">
        <v>-25984</v>
      </c>
    </row>
    <row r="40">
      <c r="B40" t="inlineStr">
        <is>
          <t>Trade receivables +</t>
        </is>
      </c>
      <c r="C40" s="73" t="n">
        <v>1982</v>
      </c>
      <c r="D40" s="73" t="n">
        <v>1917</v>
      </c>
      <c r="E40" s="73" t="n">
        <v>2474</v>
      </c>
      <c r="F40" s="73" t="n">
        <v>2682</v>
      </c>
      <c r="G40" s="73" t="n">
        <v>4035</v>
      </c>
      <c r="H40" s="73" t="n">
        <v>2562</v>
      </c>
      <c r="I40" s="73" t="n">
        <v>2502</v>
      </c>
      <c r="J40" s="73" t="n">
        <v>2462</v>
      </c>
      <c r="K40" s="73" t="n">
        <v>2956</v>
      </c>
      <c r="L40" s="73" t="n">
        <v>4026</v>
      </c>
      <c r="M40" s="73" t="n">
        <v>4720</v>
      </c>
      <c r="N40" s="73" t="n">
        <v>3923</v>
      </c>
      <c r="O40" s="73" t="n"/>
      <c r="R40" t="inlineStr">
        <is>
          <t>Repayment of borrowings</t>
        </is>
      </c>
      <c r="S40" t="n">
        <v>-92</v>
      </c>
      <c r="T40" t="n">
        <v>-135</v>
      </c>
      <c r="U40" t="n">
        <v>-200</v>
      </c>
      <c r="V40" s="73" t="n">
        <v>-312</v>
      </c>
      <c r="W40" t="n">
        <v>-480</v>
      </c>
      <c r="X40" t="n">
        <v>-460</v>
      </c>
      <c r="Y40" s="73" t="n">
        <v>-334</v>
      </c>
      <c r="Z40" t="n">
        <v>-509</v>
      </c>
      <c r="AA40" s="73" t="n">
        <v>-871</v>
      </c>
      <c r="AB40" s="73" t="n">
        <v>-1046</v>
      </c>
      <c r="AC40" s="73" t="n">
        <v>-869</v>
      </c>
      <c r="AD40" s="73" t="n">
        <v>-634</v>
      </c>
    </row>
    <row r="41">
      <c r="B41" t="inlineStr">
        <is>
          <t>Cash Equivalents</t>
        </is>
      </c>
      <c r="C41" s="73" t="n">
        <v>7896</v>
      </c>
      <c r="D41" s="73" t="n">
        <v>6063</v>
      </c>
      <c r="E41" s="73" t="n">
        <v>2967</v>
      </c>
      <c r="F41" s="73" t="n">
        <v>2900</v>
      </c>
      <c r="G41" s="73" t="n">
        <v>4152</v>
      </c>
      <c r="H41" s="73" t="n">
        <v>7277</v>
      </c>
      <c r="I41" s="73" t="n">
        <v>4659</v>
      </c>
      <c r="J41" s="73" t="n">
        <v>4654</v>
      </c>
      <c r="K41" s="73" t="n">
        <v>4880</v>
      </c>
      <c r="L41" s="73" t="n">
        <v>7218</v>
      </c>
      <c r="M41" s="73" t="n">
        <v>4012</v>
      </c>
      <c r="N41" s="73" t="n">
        <v>3009</v>
      </c>
      <c r="O41" s="73" t="n"/>
      <c r="R41" t="inlineStr">
        <is>
          <t>Interest paid fin</t>
        </is>
      </c>
      <c r="S41" s="73" t="n">
        <v>-2949</v>
      </c>
      <c r="T41" s="73" t="n">
        <v>-3549</v>
      </c>
      <c r="U41" s="73" t="n">
        <v>-873</v>
      </c>
      <c r="V41" s="73" t="n">
        <v>-542</v>
      </c>
      <c r="W41" s="73" t="n">
        <v>-543</v>
      </c>
      <c r="X41" s="73" t="n">
        <v>-828</v>
      </c>
      <c r="Y41" s="73" t="n">
        <v>-642</v>
      </c>
      <c r="Z41" s="73" t="n">
        <v>-660</v>
      </c>
      <c r="AA41" s="73" t="n">
        <v>-3281</v>
      </c>
      <c r="AB41" s="73" t="n">
        <v>-554</v>
      </c>
      <c r="AC41" s="73" t="n">
        <v>-6275</v>
      </c>
      <c r="AD41" s="73" t="n">
        <v>-11578</v>
      </c>
    </row>
    <row r="42">
      <c r="B42" t="inlineStr">
        <is>
          <t>Loans n Advances</t>
        </is>
      </c>
      <c r="C42" s="73" t="n">
        <v>150</v>
      </c>
      <c r="D42" s="73" t="n">
        <v>14</v>
      </c>
      <c r="E42" s="73" t="n">
        <v>7</v>
      </c>
      <c r="F42" s="73" t="n">
        <v>74</v>
      </c>
      <c r="G42" s="73" t="n">
        <v>67</v>
      </c>
      <c r="H42" s="73" t="n">
        <v>6</v>
      </c>
      <c r="I42" s="73" t="n">
        <v>7</v>
      </c>
      <c r="J42" s="73" t="n">
        <v>11</v>
      </c>
      <c r="K42" s="73" t="n">
        <v>13</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2391</v>
      </c>
      <c r="D43" s="73" t="n">
        <v>5180</v>
      </c>
      <c r="E43" s="73" t="n">
        <v>5129</v>
      </c>
      <c r="F43" s="73" t="n">
        <v>7004</v>
      </c>
      <c r="G43" s="73" t="n">
        <v>7071</v>
      </c>
      <c r="H43" s="73" t="n">
        <v>4952</v>
      </c>
      <c r="I43" s="73" t="n">
        <v>4015</v>
      </c>
      <c r="J43" s="73" t="n">
        <v>6906</v>
      </c>
      <c r="K43" s="73" t="n">
        <v>7941</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45952</v>
      </c>
      <c r="D44" s="73" t="n">
        <v>51651</v>
      </c>
      <c r="E44" s="73" t="n">
        <v>55898</v>
      </c>
      <c r="F44" s="73" t="n">
        <v>64241</v>
      </c>
      <c r="G44" s="73" t="n">
        <v>71739</v>
      </c>
      <c r="H44" s="73" t="n">
        <v>77311</v>
      </c>
      <c r="I44" s="73" t="n">
        <v>73761</v>
      </c>
      <c r="J44" s="73" t="n">
        <v>77196</v>
      </c>
      <c r="K44" s="73" t="n">
        <v>85831</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4474</v>
      </c>
      <c r="T45" t="n">
        <v>-6032</v>
      </c>
      <c r="U45" t="n">
        <v>-4767</v>
      </c>
      <c r="V45" t="n">
        <v>-979</v>
      </c>
      <c r="W45" t="n">
        <v>11760</v>
      </c>
      <c r="X45" t="n">
        <v>-1442</v>
      </c>
      <c r="Y45" t="n">
        <v>2556</v>
      </c>
      <c r="Z45" t="n">
        <v>-6583</v>
      </c>
      <c r="AA45" t="n">
        <v>-1197</v>
      </c>
      <c r="AB45" t="n">
        <v>509</v>
      </c>
      <c r="AC45" t="n">
        <v>2502</v>
      </c>
      <c r="AD45" t="n">
        <v>-1642</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Wipro Ltd</t>
        </is>
      </c>
      <c r="M56" t="n">
        <v>167</v>
      </c>
      <c r="N56" t="n">
        <v>1049</v>
      </c>
      <c r="AR56" t="n">
        <v>761607.42</v>
      </c>
      <c r="AS56">
        <f>AZ56-BA56</f>
        <v/>
      </c>
      <c r="AT56">
        <f>AR56+AS56</f>
        <v/>
      </c>
      <c r="AU56" t="n">
        <v>289100</v>
      </c>
      <c r="AV56" t="n">
        <v>43365</v>
      </c>
      <c r="AW56" t="n">
        <v>53680</v>
      </c>
      <c r="AX56" t="n">
        <v>63.03</v>
      </c>
      <c r="AZ56" t="n">
        <v>190401.86</v>
      </c>
      <c r="BA56" t="n">
        <v>38080.37</v>
      </c>
    </row>
    <row r="57">
      <c r="K57" t="n">
        <v>1</v>
      </c>
      <c r="L57" t="inlineStr">
        <is>
          <t>TCS</t>
        </is>
      </c>
      <c r="M57" t="n">
        <v>2105</v>
      </c>
      <c r="N57" t="n">
        <v>361.81</v>
      </c>
      <c r="AR57" t="n">
        <v>426682.56</v>
      </c>
      <c r="AS57">
        <f>AZ57-BA57</f>
        <v/>
      </c>
      <c r="AT57">
        <f>AR57+AS57</f>
        <v/>
      </c>
      <c r="AU57" t="n">
        <v>192844</v>
      </c>
      <c r="AV57" t="n">
        <v>28926.6</v>
      </c>
      <c r="AW57" t="n">
        <v>31100</v>
      </c>
      <c r="AX57" t="n">
        <v>39.95</v>
      </c>
      <c r="AZ57" t="n">
        <v>106670.64</v>
      </c>
      <c r="BA57" t="n">
        <v>21334.13</v>
      </c>
    </row>
    <row r="58">
      <c r="K58" t="n">
        <v>2</v>
      </c>
      <c r="L58" t="inlineStr">
        <is>
          <t>Infosys</t>
        </is>
      </c>
      <c r="M58" t="n">
        <v>1051.4</v>
      </c>
      <c r="N58" t="n">
        <v>405.82</v>
      </c>
      <c r="AR58" t="n">
        <v>339018.18</v>
      </c>
      <c r="AS58">
        <f>AZ58-BA58</f>
        <v/>
      </c>
      <c r="AT58">
        <f>AR58+AS58</f>
        <v/>
      </c>
      <c r="AU58" t="n">
        <v>138316</v>
      </c>
      <c r="AV58" t="n">
        <v>20747.4</v>
      </c>
      <c r="AW58" t="n">
        <v>18504</v>
      </c>
      <c r="AX58" t="n">
        <v>30.4</v>
      </c>
      <c r="AZ58" t="n">
        <v>84754.53999999999</v>
      </c>
      <c r="BA58" t="n">
        <v>16950.91</v>
      </c>
    </row>
    <row r="59">
      <c r="K59" t="n">
        <v>3</v>
      </c>
      <c r="L59" t="inlineStr">
        <is>
          <t>HCL Technologies</t>
        </is>
      </c>
      <c r="M59" t="n">
        <v>1249.3</v>
      </c>
      <c r="N59" t="n">
        <v>271.37</v>
      </c>
      <c r="AR59" t="n">
        <v>150656.36</v>
      </c>
      <c r="AS59">
        <f>AZ59-BA59</f>
        <v/>
      </c>
      <c r="AT59">
        <f>AR59+AS59</f>
        <v/>
      </c>
      <c r="AU59" t="n">
        <v>62847.6</v>
      </c>
      <c r="AV59" t="n">
        <v>9427.139999999999</v>
      </c>
      <c r="AW59" t="n">
        <v>5945.2</v>
      </c>
      <c r="AX59" t="n">
        <v>23.12</v>
      </c>
      <c r="AZ59" t="n">
        <v>37664.09</v>
      </c>
      <c r="BA59" t="n">
        <v>7532.82</v>
      </c>
    </row>
    <row r="60">
      <c r="K60" t="n">
        <v>4</v>
      </c>
      <c r="L60" t="inlineStr">
        <is>
          <t>Tech Mahindra</t>
        </is>
      </c>
      <c r="M60" t="n">
        <v>1537.1</v>
      </c>
      <c r="N60" t="n">
        <v>98.01000000000001</v>
      </c>
      <c r="AR60" t="n">
        <v>126808.58</v>
      </c>
      <c r="AS60">
        <f>AZ60-BA60</f>
        <v/>
      </c>
      <c r="AT60">
        <f>AR60+AS60</f>
        <v/>
      </c>
      <c r="AU60" t="n">
        <v>46432</v>
      </c>
      <c r="AV60" t="n">
        <v>6964.8</v>
      </c>
      <c r="AW60" t="n">
        <v>5874.4</v>
      </c>
      <c r="AX60" t="n">
        <v>29.6</v>
      </c>
      <c r="AZ60" t="n">
        <v>31702.15</v>
      </c>
      <c r="BA60" t="n">
        <v>6340.43</v>
      </c>
    </row>
    <row r="61">
      <c r="K61" t="n">
        <v>5</v>
      </c>
      <c r="L61" t="inlineStr">
        <is>
          <t>LTM</t>
        </is>
      </c>
      <c r="M61" t="n">
        <v>4275.1</v>
      </c>
      <c r="N61" t="n">
        <v>29.66</v>
      </c>
      <c r="AR61" t="n">
        <v>85437.39999999999</v>
      </c>
      <c r="AS61">
        <f>AZ61-BA61</f>
        <v/>
      </c>
      <c r="AT61">
        <f>AR61+AS61</f>
        <v/>
      </c>
      <c r="AU61" t="n">
        <v>17212.92</v>
      </c>
      <c r="AV61" t="n">
        <v>2581.94</v>
      </c>
      <c r="AW61" t="n">
        <v>1932.16</v>
      </c>
      <c r="AX61" t="n">
        <v>34.36</v>
      </c>
      <c r="AZ61" t="n">
        <v>21359.35</v>
      </c>
      <c r="BA61" t="n">
        <v>4271.87</v>
      </c>
    </row>
    <row r="62">
      <c r="K62" t="n">
        <v>6</v>
      </c>
      <c r="L62" t="inlineStr">
        <is>
          <t>Persistent Systems</t>
        </is>
      </c>
      <c r="M62" t="n">
        <v>5416</v>
      </c>
      <c r="N62" t="n">
        <v>15.77</v>
      </c>
      <c r="AR62" t="n">
        <v>160000</v>
      </c>
      <c r="AS62">
        <f>AZ62-BA62</f>
        <v/>
      </c>
      <c r="AT62">
        <f>AR62+AS62</f>
        <v/>
      </c>
      <c r="AU62" t="n">
        <v>136000</v>
      </c>
      <c r="AV62" t="n">
        <v>21760</v>
      </c>
      <c r="AW62" t="n">
        <v>12240</v>
      </c>
      <c r="AX62" t="n">
        <v>15</v>
      </c>
      <c r="AZ62" t="n">
        <v>0</v>
      </c>
      <c r="BA62" t="n">
        <v>8000</v>
      </c>
    </row>
    <row r="63">
      <c r="K63" t="n">
        <v>7</v>
      </c>
      <c r="L63" t="inlineStr">
        <is>
          <t>LTIMindtree</t>
        </is>
      </c>
      <c r="M63" t="n">
        <v>5800</v>
      </c>
      <c r="N63" t="n">
        <v>27.59</v>
      </c>
      <c r="AR63" t="n">
        <v>108322.98</v>
      </c>
      <c r="AS63">
        <f>AZ63-BA63</f>
        <v/>
      </c>
      <c r="AT63" t="n">
        <v>107722</v>
      </c>
      <c r="AU63" t="n">
        <v>20860.4</v>
      </c>
      <c r="AV63">
        <f>AT63/AX63</f>
        <v/>
      </c>
      <c r="AW63" t="n">
        <v>1642.24</v>
      </c>
      <c r="AX63" t="n">
        <v>34.7</v>
      </c>
      <c r="AZ63" t="n">
        <v>2819.51</v>
      </c>
      <c r="BA63" t="n">
        <v>3420.49</v>
      </c>
    </row>
    <row r="64">
      <c r="K64" t="n">
        <v>8</v>
      </c>
      <c r="L64" t="inlineStr">
        <is>
          <t>Tata Consumer</t>
        </is>
      </c>
      <c r="M64" t="n">
        <v>1087.9</v>
      </c>
      <c r="N64" t="n">
        <v>98.97</v>
      </c>
      <c r="AR64" t="n">
        <v>103910.9</v>
      </c>
      <c r="AS64">
        <f>AZ64-BA64</f>
        <v/>
      </c>
      <c r="AT64" t="n">
        <v>107326.01</v>
      </c>
      <c r="AU64" t="n">
        <v>15948.95</v>
      </c>
      <c r="AV64">
        <f>AT64/AX64</f>
        <v/>
      </c>
      <c r="AW64" t="n">
        <v>1913.54</v>
      </c>
      <c r="AX64" t="n">
        <v>30.69</v>
      </c>
      <c r="AZ64" t="n">
        <v>4420.52</v>
      </c>
      <c r="BA64" t="n">
        <v>1005.41</v>
      </c>
    </row>
    <row r="65">
      <c r="K65" t="n">
        <v>9</v>
      </c>
      <c r="L65" t="inlineStr">
        <is>
          <t>Godrej Consumer</t>
        </is>
      </c>
      <c r="M65" t="n">
        <v>1018</v>
      </c>
      <c r="N65" t="n">
        <v>102.33</v>
      </c>
      <c r="AR65" t="n">
        <v>72767.19</v>
      </c>
      <c r="AS65">
        <f>AZ65-BA65</f>
        <v/>
      </c>
      <c r="AT65" t="n">
        <v>73492.44</v>
      </c>
      <c r="AU65" t="n">
        <v>13552.38</v>
      </c>
      <c r="AV65">
        <f>AT65/AX65</f>
        <v/>
      </c>
      <c r="AW65" t="n">
        <v>1946.56</v>
      </c>
      <c r="AX65" t="n">
        <v>23.32</v>
      </c>
      <c r="AZ65" t="n">
        <v>1287.32</v>
      </c>
      <c r="BA65" t="n">
        <v>562.0700000000001</v>
      </c>
    </row>
    <row r="66">
      <c r="K66" t="n">
        <v>10</v>
      </c>
      <c r="L66" t="inlineStr">
        <is>
          <t>Dabur India</t>
        </is>
      </c>
      <c r="M66" t="n">
        <v>410</v>
      </c>
      <c r="N66" t="n">
        <v>177.4</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ITC LTD</t>
        </is>
      </c>
      <c r="C448" s="97" t="n">
        <v>540376</v>
      </c>
      <c r="D448" s="96" t="inlineStr">
        <is>
          <t>ITC</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ITC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2026-09-20T07:33:56Z</dcterms:modified>
  <cp:lastModifiedBy>Loveish</cp:lastModifiedBy>
  <cp:lastPrinted>2012-12-06T18:14:13Z</cp:lastPrinted>
</cp:coreProperties>
</file>