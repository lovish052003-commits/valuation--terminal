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6.xml" ContentType="application/vnd.openxmlformats-officedocument.drawing+xml"/>
  <Override PartName="/xl/worksheets/sheet20.xml" ContentType="application/vnd.openxmlformats-officedocument.spreadsheetml.worksheet+xml"/>
  <Override PartName="/xl/drawings/drawing7.xml" ContentType="application/vnd.openxmlformats-officedocument.drawing+xml"/>
  <Override PartName="/xl/worksheets/sheet21.xml" ContentType="application/vnd.openxmlformats-officedocument.spreadsheetml.worksheet+xml"/>
  <Override PartName="/xl/drawings/drawing8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Quarter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Customization" sheetId="6" state="visible" r:id="rId6"/>
    <sheet xmlns:r="http://schemas.openxmlformats.org/officeDocument/2006/relationships" name="Common Size Statement" sheetId="7" state="visible" r:id="rId7"/>
    <sheet xmlns:r="http://schemas.openxmlformats.org/officeDocument/2006/relationships" name="Data Sheet" sheetId="8" state="visible" r:id="rId8"/>
    <sheet xmlns:r="http://schemas.openxmlformats.org/officeDocument/2006/relationships" name="Cash Flow Statement" sheetId="9" state="visible" r:id="rId9"/>
    <sheet xmlns:r="http://schemas.openxmlformats.org/officeDocument/2006/relationships" name="Historical FS" sheetId="10" state="visible" r:id="rId10"/>
    <sheet xmlns:r="http://schemas.openxmlformats.org/officeDocument/2006/relationships" name="Ratio Analysis" sheetId="11" state="visible" r:id="rId11"/>
    <sheet xmlns:r="http://schemas.openxmlformats.org/officeDocument/2006/relationships" name="Forecasting" sheetId="12" state="visible" r:id="rId12"/>
    <sheet xmlns:r="http://schemas.openxmlformats.org/officeDocument/2006/relationships" name="Rm" sheetId="13" state="visible" r:id="rId13"/>
    <sheet xmlns:r="http://schemas.openxmlformats.org/officeDocument/2006/relationships" name="Beta-Regression" sheetId="14" state="visible" r:id="rId14"/>
    <sheet xmlns:r="http://schemas.openxmlformats.org/officeDocument/2006/relationships" name="WACC" sheetId="15" state="visible" r:id="rId15"/>
    <sheet xmlns:r="http://schemas.openxmlformats.org/officeDocument/2006/relationships" name="Intrinsic Valuation" sheetId="16" state="visible" r:id="rId16"/>
    <sheet xmlns:r="http://schemas.openxmlformats.org/officeDocument/2006/relationships" name="DCF" sheetId="17" state="visible" r:id="rId17"/>
    <sheet xmlns:r="http://schemas.openxmlformats.org/officeDocument/2006/relationships" name="Raw Data" sheetId="18" state="visible" r:id="rId18"/>
    <sheet xmlns:r="http://schemas.openxmlformats.org/officeDocument/2006/relationships" name="Comp_Valuation" sheetId="19" state="visible" r:id="rId19"/>
    <sheet xmlns:r="http://schemas.openxmlformats.org/officeDocument/2006/relationships" name="Dupont Analysis" sheetId="20" state="visible" r:id="rId20"/>
    <sheet xmlns:r="http://schemas.openxmlformats.org/officeDocument/2006/relationships" name="Altman's Z Score" sheetId="21" state="visible" r:id="rId21"/>
    <sheet xmlns:r="http://schemas.openxmlformats.org/officeDocument/2006/relationships" name="Raw FS" sheetId="22" state="visible" r:id="rId22"/>
    <sheet xmlns:r="http://schemas.openxmlformats.org/officeDocument/2006/relationships" name="List of Stocks" sheetId="23" state="visible" r:id="rId23"/>
  </sheets>
  <definedNames>
    <definedName name="UPDATE">'Data Sheet'!$E$1</definedName>
    <definedName name="UPDATE" localSheetId="22">#REF!</definedName>
    <definedName name="_xlnm._FilterDatabase" localSheetId="22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</numFmts>
  <fonts count="2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</fonts>
  <fills count="1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10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20" fillId="15" borderId="0" applyAlignment="1" pivotButton="0" quotePrefix="0" xfId="0">
      <alignment horizontal="center"/>
    </xf>
    <xf numFmtId="174" fontId="0" fillId="0" borderId="0" pivotButton="0" quotePrefix="0" xfId="0"/>
    <xf numFmtId="174" fontId="22" fillId="15" borderId="0" applyAlignment="1" pivotButton="0" quotePrefix="0" xfId="0">
      <alignment horizontal="center"/>
    </xf>
    <xf numFmtId="175" fontId="0" fillId="0" borderId="0" pivotButton="0" quotePrefix="0" xfId="0"/>
    <xf numFmtId="175" fontId="22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2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4" fontId="0" fillId="0" borderId="0" pivotButton="0" quotePrefix="0" xfId="0"/>
    <xf numFmtId="176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0" fontId="3" fillId="0" borderId="13" pivotButton="0" quotePrefix="0" xfId="0"/>
    <xf numFmtId="172" fontId="3" fillId="0" borderId="13" pivotButton="0" quotePrefix="0" xfId="0"/>
    <xf numFmtId="170" fontId="3" fillId="0" borderId="13" pivotButton="0" quotePrefix="0" xfId="0"/>
    <xf numFmtId="0" fontId="3" fillId="10" borderId="0" pivotButton="0" quotePrefix="0" xfId="0"/>
    <xf numFmtId="170" fontId="3" fillId="10" borderId="0" pivotButton="0" quotePrefix="0" xfId="0"/>
    <xf numFmtId="171" fontId="3" fillId="10" borderId="0" pivotButton="0" quotePrefix="0" xfId="0"/>
    <xf numFmtId="164" fontId="3" fillId="0" borderId="13" pivotButton="0" quotePrefix="0" xfId="0"/>
    <xf numFmtId="164" fontId="13" fillId="8" borderId="0" pivotButton="0" quotePrefix="0" xfId="0"/>
    <xf numFmtId="10" fontId="23" fillId="14" borderId="0" applyAlignment="1" pivotButton="0" quotePrefix="0" xfId="0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13488</v>
                </pt>
                <pt idx="1">
                  <v>14500</v>
                </pt>
                <pt idx="2">
                  <v>14680</v>
                </pt>
                <pt idx="3">
                  <v>14334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87381</v>
                </pt>
                <pt idx="1">
                  <v>107705</v>
                </pt>
                <pt idx="2">
                  <v>123160</v>
                </pt>
                <pt idx="3">
                  <v>139948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0.2076146937267669</v>
                </pt>
                <pt idx="1">
                  <v>0.1809830500012481</v>
                </pt>
                <pt idx="2">
                  <v>0.1614286656843124</v>
                </pt>
                <pt idx="3">
                  <v>0.14094672461602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0.154358498987194</v>
                </pt>
                <pt idx="1">
                  <v>0.1346269903904183</v>
                </pt>
                <pt idx="2">
                  <v>0.119194543683014</v>
                </pt>
                <pt idx="3">
                  <v>0.1024237573956041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1.345016277620004</v>
                </pt>
                <pt idx="1">
                  <v>1.344329613819616</v>
                </pt>
                <pt idx="2">
                  <v>1.354329323275199</v>
                </pt>
                <pt idx="3">
                  <v>1.376113591221066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74443</v>
                </pt>
                <pt idx="1">
                  <v>85479</v>
                </pt>
                <pt idx="2">
                  <v>96083</v>
                </pt>
                <pt idx="3">
                  <v>106999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11.33492423144602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10.19092664471105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11.78202109946409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10.38082548309179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10.76067826670501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1.586074796399486</v>
                </pt>
                <pt idx="1">
                  <v>1.417077897428725</v>
                </pt>
                <pt idx="2">
                  <v>1.32617255255672</v>
                </pt>
                <pt idx="3">
                  <v>1.399187885449106</v>
                </pt>
                <pt idx="4">
                  <v>1.324429070392262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9.587511547011632</v>
                </pt>
                <pt idx="1">
                  <v>8.860145661771186</v>
                </pt>
                <pt idx="2">
                  <v>9.863153893287</v>
                </pt>
                <pt idx="3">
                  <v>9.054092163519357</v>
                </pt>
                <pt idx="4">
                  <v>9.103688663408285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tabSelected="1" workbookViewId="0">
      <selection activeCell="A1" sqref="A1:G2"/>
    </sheetView>
  </sheetViews>
  <sheetFormatPr baseColWidth="8" defaultRowHeight="14.4"/>
  <cols>
    <col width="54.44140625" bestFit="1" customWidth="1" style="176" min="1" max="1"/>
    <col width="10.6640625" bestFit="1" customWidth="1" style="176" min="2" max="2"/>
    <col width="12.109375" bestFit="1" customWidth="1" style="176" min="3" max="3"/>
    <col width="20" bestFit="1" customWidth="1" style="176" min="4" max="4"/>
    <col width="9" bestFit="1" customWidth="1" style="176" min="5" max="5"/>
    <col width="14.109375" bestFit="1" customWidth="1" style="176" min="6" max="6"/>
    <col width="9.77734375" bestFit="1" customWidth="1" style="176" min="7" max="7"/>
  </cols>
  <sheetData>
    <row r="1">
      <c r="A1" s="174" t="inlineStr">
        <is>
          <t>HINDUSTAN UNILEVER LTD (HINDUNILVR) - Institutional Equity Valuation Model</t>
        </is>
      </c>
    </row>
    <row r="2"/>
    <row r="3"/>
    <row r="4">
      <c r="A4" s="162" t="inlineStr">
        <is>
          <t>Current Price</t>
        </is>
      </c>
      <c r="B4" s="162" t="inlineStr">
        <is>
          <t>Intrinsic Value</t>
        </is>
      </c>
      <c r="C4" s="162" t="inlineStr">
        <is>
          <t>Upside / (Downside)</t>
        </is>
      </c>
      <c r="D4" s="162" t="inlineStr">
        <is>
          <t>Margin of Safety</t>
        </is>
      </c>
      <c r="E4" s="162" t="inlineStr">
        <is>
          <t>Verdict</t>
        </is>
      </c>
      <c r="F4" s="162" t="inlineStr">
        <is>
          <t>WACC</t>
        </is>
      </c>
      <c r="G4" s="162" t="inlineStr">
        <is>
          <t>Altman Z-Score</t>
        </is>
      </c>
      <c r="H4" t="inlineStr">
        <is>
          <t>DuPont ROE</t>
        </is>
      </c>
    </row>
    <row r="5" ht="15.6" customHeight="1" s="176">
      <c r="A5" s="164">
        <f>DCF!D44</f>
        <v/>
      </c>
      <c r="B5" s="164">
        <f>DCF!D42</f>
        <v/>
      </c>
      <c r="C5" s="166">
        <f>(B5-A5)/A5</f>
        <v/>
      </c>
      <c r="D5" s="166">
        <f>(B5-A5)/B5</f>
        <v/>
      </c>
      <c r="E5" s="169">
        <f>IF(C5&gt;0.15,"UNDERVALUED / BUY",IF(C5&lt;-0.15,"OVERVALUED / SELL","FAIRLY VALUED / HOLD"))</f>
        <v/>
      </c>
      <c r="F5" s="169">
        <f>DCF!D20</f>
        <v/>
      </c>
      <c r="G5" s="170">
        <f>'Altman''s Z Score'!I89</f>
        <v/>
      </c>
      <c r="H5" s="46">
        <f>'Dupont Analysis'!I78</f>
        <v/>
      </c>
    </row>
    <row r="6"/>
    <row r="7" ht="15.6" customHeight="1" s="176">
      <c r="A7" s="167" t="n"/>
      <c r="B7" t="inlineStr">
        <is>
          <t>KEY VALUATION PARAMETERS &amp; LIVE MODEL INPUTS</t>
        </is>
      </c>
    </row>
    <row r="8">
      <c r="A8" s="37" t="n"/>
      <c r="B8" t="inlineStr">
        <is>
          <t>Discount Rate (WACC)</t>
        </is>
      </c>
      <c r="C8" s="46">
        <f>WACC!K46</f>
        <v/>
      </c>
      <c r="D8" t="inlineStr">
        <is>
          <t>%</t>
        </is>
      </c>
    </row>
    <row r="9">
      <c r="A9" s="37" t="n"/>
      <c r="B9" t="inlineStr">
        <is>
          <t>Cost of Equity (Ke)</t>
        </is>
      </c>
      <c r="C9" s="46">
        <f>WACC!K29</f>
        <v/>
      </c>
      <c r="D9" t="inlineStr">
        <is>
          <t>%</t>
        </is>
      </c>
    </row>
    <row r="10">
      <c r="A10" s="37" t="n"/>
      <c r="B10" t="inlineStr">
        <is>
          <t>Risk-Free Rate (Rf)</t>
        </is>
      </c>
      <c r="C10" s="46">
        <f>WACC!K26</f>
        <v/>
      </c>
      <c r="D10" t="inlineStr">
        <is>
          <t>%</t>
        </is>
      </c>
    </row>
    <row r="11">
      <c r="A11" s="37" t="n"/>
      <c r="B11" t="inlineStr">
        <is>
          <t>Equity Risk Premium (ERP)</t>
        </is>
      </c>
      <c r="C11" s="46">
        <f>WACC!K27</f>
        <v/>
      </c>
      <c r="D11" t="inlineStr">
        <is>
          <t>%</t>
        </is>
      </c>
    </row>
    <row r="12">
      <c r="B12" t="inlineStr">
        <is>
          <t>Levered Beta</t>
        </is>
      </c>
      <c r="C12" s="47">
        <f>WACC!K28</f>
        <v/>
      </c>
      <c r="D12" t="inlineStr">
        <is>
          <t>Ratio</t>
        </is>
      </c>
    </row>
    <row r="13">
      <c r="A13" s="37" t="n"/>
      <c r="B13" t="inlineStr">
        <is>
          <t>Terminal Growth Rate</t>
        </is>
      </c>
      <c r="C13" s="46">
        <f>DCF!D19</f>
        <v/>
      </c>
      <c r="D13" t="inlineStr">
        <is>
          <t>%</t>
        </is>
      </c>
    </row>
    <row r="14">
      <c r="A14" s="171" t="n"/>
      <c r="B14" s="171" t="inlineStr">
        <is>
          <t>Terminal ROIC (Stable)</t>
        </is>
      </c>
      <c r="C14" s="209">
        <f>DCF!D22</f>
        <v/>
      </c>
      <c r="D14" s="171" t="inlineStr">
        <is>
          <t>%</t>
        </is>
      </c>
      <c r="E14" s="171" t="n"/>
      <c r="F14" s="171" t="n"/>
      <c r="G14" s="171" t="n"/>
    </row>
    <row r="15">
      <c r="A15" s="180" t="n"/>
      <c r="B15" s="172" t="inlineStr">
        <is>
          <t>Terminal Reinvestment Rate</t>
        </is>
      </c>
      <c r="C15" s="46">
        <f>DCF!D21</f>
        <v/>
      </c>
      <c r="D15" s="46" t="inlineStr">
        <is>
          <t>%</t>
        </is>
      </c>
      <c r="E15" s="172" t="n"/>
      <c r="F15" s="173" t="n"/>
      <c r="G15" s="172" t="n"/>
    </row>
    <row r="16">
      <c r="A16" s="180" t="n"/>
      <c r="B16" s="172" t="inlineStr">
        <is>
          <t>Post-Tax Cost of Debt (Kd)</t>
        </is>
      </c>
      <c r="C16" s="46">
        <f>WACC!K43</f>
        <v/>
      </c>
      <c r="D16" s="46" t="inlineStr">
        <is>
          <t>%</t>
        </is>
      </c>
      <c r="E16" s="172" t="n"/>
      <c r="F16" s="173" t="n"/>
      <c r="G16" s="172" t="n"/>
    </row>
    <row r="17">
      <c r="A17" s="180" t="n"/>
      <c r="B17" s="172" t="inlineStr">
        <is>
          <t>Cash &amp; Liquid Investments</t>
        </is>
      </c>
      <c r="C17" s="172">
        <f>DCF!D37</f>
        <v/>
      </c>
      <c r="D17" s="46" t="inlineStr">
        <is>
          <t>₹ Cr</t>
        </is>
      </c>
      <c r="E17" s="172" t="n"/>
      <c r="F17" s="173" t="n"/>
      <c r="G17" s="172" t="n"/>
    </row>
    <row r="18">
      <c r="A18" s="180" t="n"/>
      <c r="B18" s="172" t="inlineStr">
        <is>
          <t>Total Debt &amp; Borrowings</t>
        </is>
      </c>
      <c r="C18" s="172">
        <f>DCF!D38</f>
        <v/>
      </c>
      <c r="D18" s="46" t="inlineStr">
        <is>
          <t>₹ Cr</t>
        </is>
      </c>
      <c r="E18" s="172" t="n"/>
      <c r="F18" s="173" t="n"/>
      <c r="G18" s="172" t="n"/>
    </row>
    <row r="19">
      <c r="A19" s="180" t="n"/>
      <c r="B19" s="172" t="inlineStr">
        <is>
          <t>Shares Outstanding</t>
        </is>
      </c>
      <c r="C19" s="172">
        <f>DCF!D40</f>
        <v/>
      </c>
      <c r="D19" s="46" t="inlineStr">
        <is>
          <t>Cr shares</t>
        </is>
      </c>
      <c r="E19" s="172" t="n"/>
      <c r="F19" s="173" t="n"/>
      <c r="G19" s="172" t="n"/>
    </row>
    <row r="20">
      <c r="B20" t="inlineStr">
        <is>
          <t>Sector Median EV/Revenue</t>
        </is>
      </c>
      <c r="C20" s="47">
        <f>Comp_Valuation!O25</f>
        <v/>
      </c>
      <c r="D20" t="inlineStr">
        <is>
          <t>x</t>
        </is>
      </c>
    </row>
    <row r="21">
      <c r="A21" s="37" t="n"/>
      <c r="B21" t="inlineStr">
        <is>
          <t>Sector Median EV/EBITDA</t>
        </is>
      </c>
      <c r="C21" s="47">
        <f>Comp_Valuation!P25</f>
        <v/>
      </c>
      <c r="D21" t="inlineStr">
        <is>
          <t>x</t>
        </is>
      </c>
    </row>
    <row r="22">
      <c r="A22" s="37" t="n"/>
      <c r="B22" s="172" t="inlineStr">
        <is>
          <t>Sector Median P/E</t>
        </is>
      </c>
      <c r="C22" s="47">
        <f>Comp_Valuation!Q25</f>
        <v/>
      </c>
      <c r="D22" t="inlineStr">
        <is>
          <t>x</t>
        </is>
      </c>
    </row>
    <row r="23">
      <c r="A23" s="37" t="n"/>
      <c r="B23" s="172" t="n"/>
    </row>
    <row r="24">
      <c r="A24" s="37" t="inlineStr">
        <is>
          <t>5-Year Discounted Cash Flow (DCF) Schedule (Amounts in ₹ Cr)</t>
        </is>
      </c>
      <c r="B24" s="172" t="n"/>
    </row>
    <row r="25">
      <c r="A25" s="37" t="inlineStr">
        <is>
          <t>Year</t>
        </is>
      </c>
      <c r="B25" s="172" t="inlineStr">
        <is>
          <t>EBIT</t>
        </is>
      </c>
      <c r="C25" t="inlineStr">
        <is>
          <t>NOPAT</t>
        </is>
      </c>
      <c r="D25" t="inlineStr">
        <is>
          <t>Reinvest Rate</t>
        </is>
      </c>
      <c r="E25" t="inlineStr">
        <is>
          <t>FCFF</t>
        </is>
      </c>
      <c r="F25" t="inlineStr">
        <is>
          <t>Discount Factor</t>
        </is>
      </c>
      <c r="G25" t="inlineStr">
        <is>
          <t>PV of FCFF</t>
        </is>
      </c>
    </row>
    <row r="26">
      <c r="A26" s="37" t="inlineStr">
        <is>
          <t>Year 1</t>
        </is>
      </c>
      <c r="B26" s="172">
        <f>DCF!I8</f>
        <v/>
      </c>
      <c r="C26" s="172">
        <f>DCF!I10</f>
        <v/>
      </c>
      <c r="D26" s="46">
        <f>DCF!I11</f>
        <v/>
      </c>
      <c r="E26" s="172">
        <f>DCF!I12</f>
        <v/>
      </c>
      <c r="F26" s="173">
        <f>DCF!I14</f>
        <v/>
      </c>
      <c r="G26" s="172">
        <f>DCF!I16</f>
        <v/>
      </c>
    </row>
    <row r="27">
      <c r="A27" s="37" t="inlineStr">
        <is>
          <t>Year 2</t>
        </is>
      </c>
      <c r="B27" s="172">
        <f>DCF!J8</f>
        <v/>
      </c>
      <c r="C27" s="172">
        <f>DCF!J10</f>
        <v/>
      </c>
      <c r="D27" s="46">
        <f>DCF!J11</f>
        <v/>
      </c>
      <c r="E27" s="172">
        <f>DCF!J12</f>
        <v/>
      </c>
      <c r="F27" s="173">
        <f>DCF!J14</f>
        <v/>
      </c>
      <c r="G27" s="172">
        <f>DCF!J16</f>
        <v/>
      </c>
    </row>
    <row r="28">
      <c r="A28" s="37" t="inlineStr">
        <is>
          <t>Year 3</t>
        </is>
      </c>
      <c r="B28" s="172">
        <f>DCF!K8</f>
        <v/>
      </c>
      <c r="C28" s="172">
        <f>DCF!K10</f>
        <v/>
      </c>
      <c r="D28" s="46">
        <f>DCF!K11</f>
        <v/>
      </c>
      <c r="E28" s="172">
        <f>DCF!K12</f>
        <v/>
      </c>
      <c r="F28" s="173">
        <f>DCF!K14</f>
        <v/>
      </c>
      <c r="G28" s="172">
        <f>DCF!K16</f>
        <v/>
      </c>
    </row>
    <row r="29">
      <c r="A29" s="37" t="inlineStr">
        <is>
          <t>Year 4</t>
        </is>
      </c>
      <c r="B29" s="172">
        <f>DCF!L8</f>
        <v/>
      </c>
      <c r="C29" s="172">
        <f>DCF!L10</f>
        <v/>
      </c>
      <c r="D29" s="46">
        <f>DCF!L11</f>
        <v/>
      </c>
      <c r="E29" s="172">
        <f>DCF!L12</f>
        <v/>
      </c>
      <c r="F29" s="173">
        <f>DCF!L14</f>
        <v/>
      </c>
      <c r="G29" s="172">
        <f>DCF!L16</f>
        <v/>
      </c>
    </row>
    <row r="30">
      <c r="A30" s="37" t="inlineStr">
        <is>
          <t>Year 5</t>
        </is>
      </c>
      <c r="B30" s="172">
        <f>DCF!M8</f>
        <v/>
      </c>
      <c r="C30" s="172">
        <f>DCF!M10</f>
        <v/>
      </c>
      <c r="D30" s="46">
        <f>DCF!M11</f>
        <v/>
      </c>
      <c r="E30" s="172">
        <f>DCF!M12</f>
        <v/>
      </c>
      <c r="F30" s="173">
        <f>DCF!M14</f>
        <v/>
      </c>
      <c r="G30" s="172">
        <f>DCF!M16</f>
        <v/>
      </c>
    </row>
    <row r="31">
      <c r="A31" s="37" t="n"/>
      <c r="B31" s="163" t="n"/>
    </row>
    <row r="32">
      <c r="A32" s="37" t="n"/>
      <c r="B32" s="165" t="inlineStr">
        <is>
          <t>Enterprise to Equity Value Bridge</t>
        </is>
      </c>
    </row>
    <row r="33">
      <c r="B33" t="inlineStr">
        <is>
          <t>PV of 5-Year FCFFs</t>
        </is>
      </c>
      <c r="C33" s="163">
        <f>DCF!D33</f>
        <v/>
      </c>
      <c r="D33" t="inlineStr">
        <is>
          <t>₹ Cr</t>
        </is>
      </c>
    </row>
    <row r="34">
      <c r="B34" t="inlineStr">
        <is>
          <t>Terminal Value</t>
        </is>
      </c>
      <c r="C34" s="163">
        <f>DCF!D29</f>
        <v/>
      </c>
      <c r="D34" t="inlineStr">
        <is>
          <t>₹ Cr</t>
        </is>
      </c>
    </row>
    <row r="35">
      <c r="B35" t="inlineStr">
        <is>
          <t>PV of Terminal Value</t>
        </is>
      </c>
      <c r="C35" s="163">
        <f>DCF!D34</f>
        <v/>
      </c>
      <c r="D35" t="inlineStr">
        <is>
          <t>₹ Cr</t>
        </is>
      </c>
    </row>
    <row r="36">
      <c r="B36" t="inlineStr">
        <is>
          <t>Enterprise Value (Operating Assets)</t>
        </is>
      </c>
      <c r="C36" s="163">
        <f>DCF!D35</f>
        <v/>
      </c>
      <c r="D36" t="inlineStr">
        <is>
          <t>₹ Cr</t>
        </is>
      </c>
    </row>
    <row r="37">
      <c r="B37" t="inlineStr">
        <is>
          <t>Add: Estimated Cash &amp; Liquid Assets</t>
        </is>
      </c>
      <c r="C37" s="163">
        <f>DCF!D37</f>
        <v/>
      </c>
      <c r="D37" t="inlineStr">
        <is>
          <t>₹ Cr</t>
        </is>
      </c>
    </row>
    <row r="38">
      <c r="B38" t="inlineStr">
        <is>
          <t>Less: Total Debt &amp; Borrowings</t>
        </is>
      </c>
      <c r="C38" s="163">
        <f>DCF!D38</f>
        <v/>
      </c>
      <c r="D38" t="inlineStr">
        <is>
          <t>₹ Cr</t>
        </is>
      </c>
    </row>
    <row r="39">
      <c r="B39" t="inlineStr">
        <is>
          <t>Net Equity Value</t>
        </is>
      </c>
      <c r="C39" s="163">
        <f>DCF!D39</f>
        <v/>
      </c>
      <c r="D39" t="inlineStr">
        <is>
          <t>₹ Cr</t>
        </is>
      </c>
    </row>
    <row r="40">
      <c r="B40" t="inlineStr">
        <is>
          <t>Shares Outstanding</t>
        </is>
      </c>
      <c r="C40" s="172">
        <f>DCF!D40</f>
        <v/>
      </c>
      <c r="D40" t="inlineStr">
        <is>
          <t>Cr shares</t>
        </is>
      </c>
    </row>
    <row r="41">
      <c r="B41" t="inlineStr">
        <is>
          <t>Intrinsic Value per Share</t>
        </is>
      </c>
      <c r="C41" s="163">
        <f>DCF!D42</f>
        <v/>
      </c>
      <c r="D41" t="inlineStr">
        <is>
          <t>₹</t>
        </is>
      </c>
    </row>
    <row r="42">
      <c r="B42" t="inlineStr">
        <is>
          <t>Current Market Price</t>
        </is>
      </c>
      <c r="C42" s="163">
        <f>DCF!D44</f>
        <v/>
      </c>
      <c r="D42" t="inlineStr">
        <is>
          <t>₹</t>
        </is>
      </c>
    </row>
    <row r="43">
      <c r="B43" t="inlineStr">
        <is>
          <t>Upside / (Downside)</t>
        </is>
      </c>
      <c r="C43" s="165">
        <f>(C41-C42)/C42</f>
        <v/>
      </c>
      <c r="D43" t="inlineStr">
        <is>
          <t>%</t>
        </is>
      </c>
    </row>
    <row r="44">
      <c r="B44" t="inlineStr">
        <is>
          <t>Margin of Safety (Standard)</t>
        </is>
      </c>
      <c r="C44" s="165">
        <f>(C41-C42)/C41</f>
        <v/>
      </c>
      <c r="D44" t="inlineStr">
        <is>
          <t>%</t>
        </is>
      </c>
    </row>
    <row r="45"/>
    <row r="46"/>
    <row r="47">
      <c r="B47" t="inlineStr">
        <is>
          <t>Pillar 4: Relative Multiples Implied Valuation</t>
        </is>
      </c>
    </row>
    <row r="48">
      <c r="B48" t="inlineStr">
        <is>
          <t>Peer P/E Implied Price</t>
        </is>
      </c>
      <c r="C48" s="163">
        <f>IF(ISNUMBER(Comp_Valuation!Q25), Comp_Valuation!Q25*'Data Sheet'!K30/'Data Sheet'!B6, 'Data Sheet'!B8)</f>
        <v/>
      </c>
      <c r="D48" t="inlineStr">
        <is>
          <t>₹</t>
        </is>
      </c>
    </row>
    <row r="49">
      <c r="B49" t="inlineStr">
        <is>
          <t>Peer EV/EBITDA Implied Price</t>
        </is>
      </c>
      <c r="C49" s="163">
        <f>IF(ISNUMBER(Comp_Valuation!P25), (Comp_Valuation!P25*'Data Sheet'!K32+DCF!D37-DCF!D38)/'Data Sheet'!B6, 'Data Sheet'!B8)</f>
        <v/>
      </c>
      <c r="D49" t="inlineStr">
        <is>
          <t>₹</t>
        </is>
      </c>
    </row>
    <row r="50">
      <c r="B50" t="inlineStr">
        <is>
          <t>DCF Model Intrinsic Price</t>
        </is>
      </c>
      <c r="C50" s="163">
        <f>DCF!D42</f>
        <v/>
      </c>
      <c r="D50" t="inlineStr">
        <is>
          <t>₹</t>
        </is>
      </c>
    </row>
    <row r="51"/>
    <row r="52"/>
    <row r="53"/>
    <row r="54"/>
    <row r="55"/>
    <row r="56"/>
    <row r="57"/>
    <row r="58"/>
    <row r="59"/>
    <row r="60"/>
    <row r="61"/>
    <row r="62"/>
    <row r="63"/>
    <row r="64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76" min="1" max="1"/>
    <col width="13.44140625" customWidth="1" style="176" min="2" max="6"/>
    <col width="14.77734375" bestFit="1" customWidth="1" style="176" min="7" max="7"/>
    <col width="13.44140625" customWidth="1" style="176" min="8" max="11"/>
    <col width="13.33203125" customWidth="1" style="176" min="12" max="12"/>
    <col width="12.109375" customWidth="1" style="176" min="13" max="14"/>
    <col width="8.77734375" customWidth="1" style="176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87">
        <f>'Data Sheet'!B17</f>
        <v/>
      </c>
      <c r="C4" s="187">
        <f>'Data Sheet'!C17</f>
        <v/>
      </c>
      <c r="D4" s="187">
        <f>'Data Sheet'!D17</f>
        <v/>
      </c>
      <c r="E4" s="187">
        <f>'Data Sheet'!E17</f>
        <v/>
      </c>
      <c r="F4" s="187">
        <f>'Data Sheet'!F17</f>
        <v/>
      </c>
      <c r="G4" s="187">
        <f>'Data Sheet'!G17</f>
        <v/>
      </c>
      <c r="H4" s="187">
        <f>'Data Sheet'!H17</f>
        <v/>
      </c>
      <c r="I4" s="187">
        <f>'Data Sheet'!I17</f>
        <v/>
      </c>
      <c r="J4" s="187">
        <f>'Data Sheet'!J17</f>
        <v/>
      </c>
      <c r="K4" s="187">
        <f>'Data Sheet'!K17</f>
        <v/>
      </c>
      <c r="L4" s="187">
        <f>SUM(Quarters!H4:K4)</f>
        <v/>
      </c>
      <c r="M4" s="187">
        <f>$K4+M23*K4</f>
        <v/>
      </c>
      <c r="N4" s="187">
        <f>$K4+N23*L4</f>
        <v/>
      </c>
    </row>
    <row r="5">
      <c r="A5" t="inlineStr">
        <is>
          <t>Expenses</t>
        </is>
      </c>
      <c r="B5" s="188">
        <f>SUM('Data Sheet'!B18,'Data Sheet'!B20:B24, -1*'Data Sheet'!B19)</f>
        <v/>
      </c>
      <c r="C5" s="188">
        <f>SUM('Data Sheet'!C18,'Data Sheet'!C20:C24, -1*'Data Sheet'!C19)</f>
        <v/>
      </c>
      <c r="D5" s="188">
        <f>SUM('Data Sheet'!D18,'Data Sheet'!D20:D24, -1*'Data Sheet'!D19)</f>
        <v/>
      </c>
      <c r="E5" s="188">
        <f>SUM('Data Sheet'!E18,'Data Sheet'!E20:E24, -1*'Data Sheet'!E19)</f>
        <v/>
      </c>
      <c r="F5" s="188">
        <f>SUM('Data Sheet'!F18,'Data Sheet'!F20:F24, -1*'Data Sheet'!F19)</f>
        <v/>
      </c>
      <c r="G5" s="188">
        <f>SUM('Data Sheet'!G18,'Data Sheet'!G20:G24, -1*'Data Sheet'!G19)</f>
        <v/>
      </c>
      <c r="H5" s="188">
        <f>SUM('Data Sheet'!H18,'Data Sheet'!H20:H24, -1*'Data Sheet'!H19)</f>
        <v/>
      </c>
      <c r="I5" s="188">
        <f>SUM('Data Sheet'!I18,'Data Sheet'!I20:I24, -1*'Data Sheet'!I19)</f>
        <v/>
      </c>
      <c r="J5" s="188">
        <f>SUM('Data Sheet'!J18,'Data Sheet'!J20:J24, -1*'Data Sheet'!J19)</f>
        <v/>
      </c>
      <c r="K5" s="188">
        <f>SUM('Data Sheet'!K18,'Data Sheet'!K20:K24, -1*'Data Sheet'!K19)</f>
        <v/>
      </c>
      <c r="L5" s="188">
        <f>SUM(Quarters!H5:K5)</f>
        <v/>
      </c>
      <c r="M5" s="188">
        <f>M4-M6</f>
        <v/>
      </c>
      <c r="N5" s="188">
        <f>N4-N6</f>
        <v/>
      </c>
    </row>
    <row r="6" customFormat="1" s="37">
      <c r="A6" s="37" t="inlineStr">
        <is>
          <t>Operating Profit</t>
        </is>
      </c>
      <c r="B6" s="187">
        <f>B4-B5</f>
        <v/>
      </c>
      <c r="C6" s="187">
        <f>C4-C5</f>
        <v/>
      </c>
      <c r="D6" s="187">
        <f>D4-D5</f>
        <v/>
      </c>
      <c r="E6" s="187">
        <f>E4-E5</f>
        <v/>
      </c>
      <c r="F6" s="187">
        <f>F4-F5</f>
        <v/>
      </c>
      <c r="G6" s="187">
        <f>G4-G5</f>
        <v/>
      </c>
      <c r="H6" s="187">
        <f>H4-H5</f>
        <v/>
      </c>
      <c r="I6" s="187">
        <f>I4-I5</f>
        <v/>
      </c>
      <c r="J6" s="187">
        <f>J4-J5</f>
        <v/>
      </c>
      <c r="K6" s="187">
        <f>K4-K5</f>
        <v/>
      </c>
      <c r="L6" s="187">
        <f>SUM(Quarters!H6:K6)</f>
        <v/>
      </c>
      <c r="M6" s="187">
        <f>M4*M24</f>
        <v/>
      </c>
      <c r="N6" s="187">
        <f>N4*N24</f>
        <v/>
      </c>
    </row>
    <row r="7">
      <c r="A7" t="inlineStr">
        <is>
          <t>Other Income</t>
        </is>
      </c>
      <c r="B7" s="188">
        <f>'Data Sheet'!B25</f>
        <v/>
      </c>
      <c r="C7" s="188">
        <f>'Data Sheet'!C25</f>
        <v/>
      </c>
      <c r="D7" s="188">
        <f>'Data Sheet'!D25</f>
        <v/>
      </c>
      <c r="E7" s="188">
        <f>'Data Sheet'!E25</f>
        <v/>
      </c>
      <c r="F7" s="188">
        <f>'Data Sheet'!F25</f>
        <v/>
      </c>
      <c r="G7" s="188">
        <f>'Data Sheet'!G25</f>
        <v/>
      </c>
      <c r="H7" s="188">
        <f>'Data Sheet'!H25</f>
        <v/>
      </c>
      <c r="I7" s="188">
        <f>'Data Sheet'!I25</f>
        <v/>
      </c>
      <c r="J7" s="188">
        <f>'Data Sheet'!J25</f>
        <v/>
      </c>
      <c r="K7" s="188">
        <f>'Data Sheet'!K25</f>
        <v/>
      </c>
      <c r="L7" s="188">
        <f>SUM(Quarters!H7:K7)</f>
        <v/>
      </c>
      <c r="M7" s="188" t="n">
        <v>0</v>
      </c>
      <c r="N7" s="188" t="n">
        <v>0</v>
      </c>
    </row>
    <row r="8">
      <c r="A8" t="inlineStr">
        <is>
          <t>Depreciation</t>
        </is>
      </c>
      <c r="B8" s="188">
        <f>'Data Sheet'!B26</f>
        <v/>
      </c>
      <c r="C8" s="188">
        <f>'Data Sheet'!C26</f>
        <v/>
      </c>
      <c r="D8" s="188">
        <f>'Data Sheet'!D26</f>
        <v/>
      </c>
      <c r="E8" s="188">
        <f>'Data Sheet'!E26</f>
        <v/>
      </c>
      <c r="F8" s="188">
        <f>'Data Sheet'!F26</f>
        <v/>
      </c>
      <c r="G8" s="188">
        <f>'Data Sheet'!G26</f>
        <v/>
      </c>
      <c r="H8" s="188">
        <f>'Data Sheet'!H26</f>
        <v/>
      </c>
      <c r="I8" s="188">
        <f>'Data Sheet'!I26</f>
        <v/>
      </c>
      <c r="J8" s="188">
        <f>'Data Sheet'!J26</f>
        <v/>
      </c>
      <c r="K8" s="188">
        <f>'Data Sheet'!K26</f>
        <v/>
      </c>
      <c r="L8" s="188">
        <f>SUM(Quarters!H8:K8)</f>
        <v/>
      </c>
      <c r="M8" s="188">
        <f>+$L8</f>
        <v/>
      </c>
      <c r="N8" s="188">
        <f>+$L8</f>
        <v/>
      </c>
    </row>
    <row r="9">
      <c r="A9" t="inlineStr">
        <is>
          <t>Interest</t>
        </is>
      </c>
      <c r="B9" s="188">
        <f>'Data Sheet'!B27</f>
        <v/>
      </c>
      <c r="C9" s="188">
        <f>'Data Sheet'!C27</f>
        <v/>
      </c>
      <c r="D9" s="188">
        <f>'Data Sheet'!D27</f>
        <v/>
      </c>
      <c r="E9" s="188">
        <f>'Data Sheet'!E27</f>
        <v/>
      </c>
      <c r="F9" s="188">
        <f>'Data Sheet'!F27</f>
        <v/>
      </c>
      <c r="G9" s="188">
        <f>'Data Sheet'!G27</f>
        <v/>
      </c>
      <c r="H9" s="188">
        <f>'Data Sheet'!H27</f>
        <v/>
      </c>
      <c r="I9" s="188">
        <f>'Data Sheet'!I27</f>
        <v/>
      </c>
      <c r="J9" s="188">
        <f>'Data Sheet'!J27</f>
        <v/>
      </c>
      <c r="K9" s="188">
        <f>'Data Sheet'!K27</f>
        <v/>
      </c>
      <c r="L9" s="188">
        <f>SUM(Quarters!H9:K9)</f>
        <v/>
      </c>
      <c r="M9" s="188">
        <f>+$L9</f>
        <v/>
      </c>
      <c r="N9" s="188">
        <f>+$L9</f>
        <v/>
      </c>
    </row>
    <row r="10">
      <c r="A10" t="inlineStr">
        <is>
          <t>Profit before tax</t>
        </is>
      </c>
      <c r="B10" s="188">
        <f>'Data Sheet'!B28</f>
        <v/>
      </c>
      <c r="C10" s="188">
        <f>'Data Sheet'!C28</f>
        <v/>
      </c>
      <c r="D10" s="188">
        <f>'Data Sheet'!D28</f>
        <v/>
      </c>
      <c r="E10" s="188">
        <f>'Data Sheet'!E28</f>
        <v/>
      </c>
      <c r="F10" s="188">
        <f>'Data Sheet'!F28</f>
        <v/>
      </c>
      <c r="G10" s="188">
        <f>'Data Sheet'!G28</f>
        <v/>
      </c>
      <c r="H10" s="188">
        <f>'Data Sheet'!H28</f>
        <v/>
      </c>
      <c r="I10" s="188">
        <f>'Data Sheet'!I28</f>
        <v/>
      </c>
      <c r="J10" s="188">
        <f>'Data Sheet'!J28</f>
        <v/>
      </c>
      <c r="K10" s="188">
        <f>'Data Sheet'!K28</f>
        <v/>
      </c>
      <c r="L10" s="188">
        <f>SUM(Quarters!H10:K10)</f>
        <v/>
      </c>
      <c r="M10" s="188">
        <f>M6+M7-SUM(M8:M9)</f>
        <v/>
      </c>
      <c r="N10" s="188">
        <f>N6+N7-SUM(N8:N9)</f>
        <v/>
      </c>
    </row>
    <row r="11">
      <c r="A11" t="inlineStr">
        <is>
          <t>Tax</t>
        </is>
      </c>
      <c r="B11" s="188">
        <f>'Data Sheet'!B29</f>
        <v/>
      </c>
      <c r="C11" s="188">
        <f>'Data Sheet'!C29</f>
        <v/>
      </c>
      <c r="D11" s="188">
        <f>'Data Sheet'!D29</f>
        <v/>
      </c>
      <c r="E11" s="188">
        <f>'Data Sheet'!E29</f>
        <v/>
      </c>
      <c r="F11" s="188">
        <f>'Data Sheet'!F29</f>
        <v/>
      </c>
      <c r="G11" s="188">
        <f>'Data Sheet'!G29</f>
        <v/>
      </c>
      <c r="H11" s="188">
        <f>'Data Sheet'!H29</f>
        <v/>
      </c>
      <c r="I11" s="188">
        <f>'Data Sheet'!I29</f>
        <v/>
      </c>
      <c r="J11" s="188">
        <f>'Data Sheet'!J29</f>
        <v/>
      </c>
      <c r="K11" s="188">
        <f>'Data Sheet'!K29</f>
        <v/>
      </c>
      <c r="L11" s="188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87">
        <f>'Data Sheet'!B30</f>
        <v/>
      </c>
      <c r="C12" s="187">
        <f>'Data Sheet'!C30</f>
        <v/>
      </c>
      <c r="D12" s="187">
        <f>'Data Sheet'!D30</f>
        <v/>
      </c>
      <c r="E12" s="187">
        <f>'Data Sheet'!E30</f>
        <v/>
      </c>
      <c r="F12" s="187">
        <f>'Data Sheet'!F30</f>
        <v/>
      </c>
      <c r="G12" s="187">
        <f>'Data Sheet'!G30</f>
        <v/>
      </c>
      <c r="H12" s="187">
        <f>'Data Sheet'!H30</f>
        <v/>
      </c>
      <c r="I12" s="187">
        <f>'Data Sheet'!I30</f>
        <v/>
      </c>
      <c r="J12" s="187">
        <f>'Data Sheet'!J30</f>
        <v/>
      </c>
      <c r="K12" s="187">
        <f>'Data Sheet'!K30</f>
        <v/>
      </c>
      <c r="L12" s="187">
        <f>SUM(Quarters!H12:K12)</f>
        <v/>
      </c>
      <c r="M12" s="187">
        <f>M10-M11*M10</f>
        <v/>
      </c>
      <c r="N12" s="187">
        <f>N10-N11*N10</f>
        <v/>
      </c>
    </row>
    <row r="13">
      <c r="A13" t="inlineStr">
        <is>
          <t>EPS</t>
        </is>
      </c>
      <c r="B13" s="188">
        <f>IF('Data Sheet'!B93&gt;0,B12/'Data Sheet'!B93,0)</f>
        <v/>
      </c>
      <c r="C13" s="188">
        <f>IF('Data Sheet'!C93&gt;0,C12/'Data Sheet'!C93,0)</f>
        <v/>
      </c>
      <c r="D13" s="188">
        <f>IF('Data Sheet'!D93&gt;0,D12/'Data Sheet'!D93,0)</f>
        <v/>
      </c>
      <c r="E13" s="188">
        <f>IF('Data Sheet'!E93&gt;0,E12/'Data Sheet'!E93,0)</f>
        <v/>
      </c>
      <c r="F13" s="188">
        <f>IF('Data Sheet'!F93&gt;0,F12/'Data Sheet'!F93,0)</f>
        <v/>
      </c>
      <c r="G13" s="188">
        <f>IF('Data Sheet'!G93&gt;0,G12/'Data Sheet'!G93,0)</f>
        <v/>
      </c>
      <c r="H13" s="188">
        <f>IF('Data Sheet'!H93&gt;0,H12/'Data Sheet'!H93,0)</f>
        <v/>
      </c>
      <c r="I13" s="188">
        <f>IF('Data Sheet'!I93&gt;0,I12/'Data Sheet'!I93,0)</f>
        <v/>
      </c>
      <c r="J13" s="188">
        <f>IF('Data Sheet'!J93&gt;0,J12/'Data Sheet'!J93,0)</f>
        <v/>
      </c>
      <c r="K13" s="188">
        <f>IF('Data Sheet'!K93&gt;0,K12/'Data Sheet'!K93,0)</f>
        <v/>
      </c>
      <c r="L13" s="188">
        <f>IF('Data Sheet'!$B6&gt;0,'Profit &amp; Loss'!L12/'Data Sheet'!$B6,0)</f>
        <v/>
      </c>
      <c r="M13" s="188">
        <f>IF('Data Sheet'!$B6&gt;0,'Profit &amp; Loss'!M12/'Data Sheet'!$B6,0)</f>
        <v/>
      </c>
      <c r="N13" s="188">
        <f>IF('Data Sheet'!$B6&gt;0,'Profit &amp; Loss'!N12/'Data Sheet'!$B6,0)</f>
        <v/>
      </c>
    </row>
    <row r="14">
      <c r="A14" t="inlineStr">
        <is>
          <t>Price to earning</t>
        </is>
      </c>
      <c r="B14" s="188">
        <f>IF(B15&gt;0,B15/B13,"")</f>
        <v/>
      </c>
      <c r="C14" s="188">
        <f>IF(C15&gt;0,C15/C13,"")</f>
        <v/>
      </c>
      <c r="D14" s="188">
        <f>IF(D15&gt;0,D15/D13,"")</f>
        <v/>
      </c>
      <c r="E14" s="188">
        <f>IF(E15&gt;0,E15/E13,"")</f>
        <v/>
      </c>
      <c r="F14" s="188">
        <f>IF(F15&gt;0,F15/F13,"")</f>
        <v/>
      </c>
      <c r="G14" s="188">
        <f>IF(G15&gt;0,G15/G13,"")</f>
        <v/>
      </c>
      <c r="H14" s="188">
        <f>IF(H15&gt;0,H15/H13,"")</f>
        <v/>
      </c>
      <c r="I14" s="188">
        <f>IF(I15&gt;0,I15/I13,"")</f>
        <v/>
      </c>
      <c r="J14" s="188">
        <f>IF(J15&gt;0,J15/J13,"")</f>
        <v/>
      </c>
      <c r="K14" s="188">
        <f>IF(K15&gt;0,K15/K13,"")</f>
        <v/>
      </c>
      <c r="L14" s="188">
        <f>IF(L13&gt;0,L15/L13,0)</f>
        <v/>
      </c>
      <c r="M14" s="188">
        <f>M25</f>
        <v/>
      </c>
      <c r="N14" s="188">
        <f>N25</f>
        <v/>
      </c>
    </row>
    <row r="15" customFormat="1" s="37">
      <c r="A15" s="37" t="inlineStr">
        <is>
          <t>Price</t>
        </is>
      </c>
      <c r="B15" s="187">
        <f>'Data Sheet'!B90</f>
        <v/>
      </c>
      <c r="C15" s="187">
        <f>'Data Sheet'!C90</f>
        <v/>
      </c>
      <c r="D15" s="187">
        <f>'Data Sheet'!D90</f>
        <v/>
      </c>
      <c r="E15" s="187">
        <f>'Data Sheet'!E90</f>
        <v/>
      </c>
      <c r="F15" s="187">
        <f>'Data Sheet'!F90</f>
        <v/>
      </c>
      <c r="G15" s="187">
        <f>'Data Sheet'!G90</f>
        <v/>
      </c>
      <c r="H15" s="187">
        <f>'Data Sheet'!H90</f>
        <v/>
      </c>
      <c r="I15" s="187">
        <f>'Data Sheet'!I90</f>
        <v/>
      </c>
      <c r="J15" s="187">
        <f>'Data Sheet'!J90</f>
        <v/>
      </c>
      <c r="K15" s="187">
        <f>'Data Sheet'!K90</f>
        <v/>
      </c>
      <c r="L15" s="187">
        <f>'Data Sheet'!B8</f>
        <v/>
      </c>
      <c r="M15" s="189">
        <f>M13*M14</f>
        <v/>
      </c>
      <c r="N15" s="190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88">
        <f>IF(ISERROR(AVERAGEIF(B14:$L14,"&gt;0")),"",AVERAGEIF(B14:$L14,"&gt;0"))</f>
        <v/>
      </c>
      <c r="I25" s="188">
        <f>IF(ISERROR(AVERAGEIF(E14:$L14,"&gt;0")),"",AVERAGEIF(E14:$L14,"&gt;0"))</f>
        <v/>
      </c>
      <c r="J25" s="188">
        <f>IF(ISERROR(AVERAGEIF(G14:$L14,"&gt;0")),"",AVERAGEIF(G14:$L14,"&gt;0"))</f>
        <v/>
      </c>
      <c r="K25" s="188">
        <f>IF(ISERROR(AVERAGEIF(I14:$L14,"&gt;0")),"",AVERAGEIF(I14:$L14,"&gt;0"))</f>
        <v/>
      </c>
      <c r="L25" s="188">
        <f>L14</f>
        <v/>
      </c>
      <c r="M25" s="187">
        <f>MAX(K25:L25)</f>
        <v/>
      </c>
      <c r="N25" s="187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76" min="1" max="1"/>
    <col width="13.44140625" bestFit="1" customWidth="1" style="176" min="2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87">
        <f>'Data Sheet'!B42</f>
        <v/>
      </c>
      <c r="C4" s="187">
        <f>'Data Sheet'!C42</f>
        <v/>
      </c>
      <c r="D4" s="187">
        <f>'Data Sheet'!D42</f>
        <v/>
      </c>
      <c r="E4" s="187">
        <f>'Data Sheet'!E42</f>
        <v/>
      </c>
      <c r="F4" s="187">
        <f>'Data Sheet'!F42</f>
        <v/>
      </c>
      <c r="G4" s="187">
        <f>'Data Sheet'!G42</f>
        <v/>
      </c>
      <c r="H4" s="187">
        <f>'Data Sheet'!H42</f>
        <v/>
      </c>
      <c r="I4" s="187">
        <f>'Data Sheet'!I42</f>
        <v/>
      </c>
      <c r="J4" s="187">
        <f>'Data Sheet'!J42</f>
        <v/>
      </c>
      <c r="K4" s="187">
        <f>'Data Sheet'!K42</f>
        <v/>
      </c>
    </row>
    <row r="5">
      <c r="A5" t="inlineStr">
        <is>
          <t>Expenses</t>
        </is>
      </c>
      <c r="B5" s="188">
        <f>'Data Sheet'!B43</f>
        <v/>
      </c>
      <c r="C5" s="188">
        <f>'Data Sheet'!C43</f>
        <v/>
      </c>
      <c r="D5" s="188">
        <f>'Data Sheet'!D43</f>
        <v/>
      </c>
      <c r="E5" s="188">
        <f>'Data Sheet'!E43</f>
        <v/>
      </c>
      <c r="F5" s="188">
        <f>'Data Sheet'!F43</f>
        <v/>
      </c>
      <c r="G5" s="188">
        <f>'Data Sheet'!G43</f>
        <v/>
      </c>
      <c r="H5" s="188">
        <f>'Data Sheet'!H43</f>
        <v/>
      </c>
      <c r="I5" s="188">
        <f>'Data Sheet'!I43</f>
        <v/>
      </c>
      <c r="J5" s="188">
        <f>'Data Sheet'!J43</f>
        <v/>
      </c>
      <c r="K5" s="188">
        <f>'Data Sheet'!K43</f>
        <v/>
      </c>
    </row>
    <row r="6" customFormat="1" s="37">
      <c r="A6" s="37" t="inlineStr">
        <is>
          <t>Operating Profit</t>
        </is>
      </c>
      <c r="B6" s="187">
        <f>'Data Sheet'!B50</f>
        <v/>
      </c>
      <c r="C6" s="187">
        <f>'Data Sheet'!C50</f>
        <v/>
      </c>
      <c r="D6" s="187">
        <f>'Data Sheet'!D50</f>
        <v/>
      </c>
      <c r="E6" s="187">
        <f>'Data Sheet'!E50</f>
        <v/>
      </c>
      <c r="F6" s="187">
        <f>'Data Sheet'!F50</f>
        <v/>
      </c>
      <c r="G6" s="187">
        <f>'Data Sheet'!G50</f>
        <v/>
      </c>
      <c r="H6" s="187">
        <f>'Data Sheet'!H50</f>
        <v/>
      </c>
      <c r="I6" s="187">
        <f>'Data Sheet'!I50</f>
        <v/>
      </c>
      <c r="J6" s="187">
        <f>'Data Sheet'!J50</f>
        <v/>
      </c>
      <c r="K6" s="187">
        <f>'Data Sheet'!K50</f>
        <v/>
      </c>
    </row>
    <row r="7">
      <c r="A7" t="inlineStr">
        <is>
          <t>Other Income</t>
        </is>
      </c>
      <c r="B7" s="188">
        <f>'Data Sheet'!B44</f>
        <v/>
      </c>
      <c r="C7" s="188">
        <f>'Data Sheet'!C44</f>
        <v/>
      </c>
      <c r="D7" s="188">
        <f>'Data Sheet'!D44</f>
        <v/>
      </c>
      <c r="E7" s="188">
        <f>'Data Sheet'!E44</f>
        <v/>
      </c>
      <c r="F7" s="188">
        <f>'Data Sheet'!F44</f>
        <v/>
      </c>
      <c r="G7" s="188">
        <f>'Data Sheet'!G44</f>
        <v/>
      </c>
      <c r="H7" s="188">
        <f>'Data Sheet'!H44</f>
        <v/>
      </c>
      <c r="I7" s="188">
        <f>'Data Sheet'!I44</f>
        <v/>
      </c>
      <c r="J7" s="188">
        <f>'Data Sheet'!J44</f>
        <v/>
      </c>
      <c r="K7" s="188">
        <f>'Data Sheet'!K44</f>
        <v/>
      </c>
    </row>
    <row r="8">
      <c r="A8" t="inlineStr">
        <is>
          <t>Depreciation</t>
        </is>
      </c>
      <c r="B8" s="188">
        <f>'Data Sheet'!B45</f>
        <v/>
      </c>
      <c r="C8" s="188">
        <f>'Data Sheet'!C45</f>
        <v/>
      </c>
      <c r="D8" s="188">
        <f>'Data Sheet'!D45</f>
        <v/>
      </c>
      <c r="E8" s="188">
        <f>'Data Sheet'!E45</f>
        <v/>
      </c>
      <c r="F8" s="188">
        <f>'Data Sheet'!F45</f>
        <v/>
      </c>
      <c r="G8" s="188">
        <f>'Data Sheet'!G45</f>
        <v/>
      </c>
      <c r="H8" s="188">
        <f>'Data Sheet'!H45</f>
        <v/>
      </c>
      <c r="I8" s="188">
        <f>'Data Sheet'!I45</f>
        <v/>
      </c>
      <c r="J8" s="188">
        <f>'Data Sheet'!J45</f>
        <v/>
      </c>
      <c r="K8" s="188">
        <f>'Data Sheet'!K45</f>
        <v/>
      </c>
    </row>
    <row r="9">
      <c r="A9" t="inlineStr">
        <is>
          <t>Interest</t>
        </is>
      </c>
      <c r="B9" s="188">
        <f>'Data Sheet'!B46</f>
        <v/>
      </c>
      <c r="C9" s="188">
        <f>'Data Sheet'!C46</f>
        <v/>
      </c>
      <c r="D9" s="188">
        <f>'Data Sheet'!D46</f>
        <v/>
      </c>
      <c r="E9" s="188">
        <f>'Data Sheet'!E46</f>
        <v/>
      </c>
      <c r="F9" s="188">
        <f>'Data Sheet'!F46</f>
        <v/>
      </c>
      <c r="G9" s="188">
        <f>'Data Sheet'!G46</f>
        <v/>
      </c>
      <c r="H9" s="188">
        <f>'Data Sheet'!H46</f>
        <v/>
      </c>
      <c r="I9" s="188">
        <f>'Data Sheet'!I46</f>
        <v/>
      </c>
      <c r="J9" s="188">
        <f>'Data Sheet'!J46</f>
        <v/>
      </c>
      <c r="K9" s="188">
        <f>'Data Sheet'!K46</f>
        <v/>
      </c>
    </row>
    <row r="10">
      <c r="A10" t="inlineStr">
        <is>
          <t>Profit before tax</t>
        </is>
      </c>
      <c r="B10" s="188">
        <f>'Data Sheet'!B47</f>
        <v/>
      </c>
      <c r="C10" s="188">
        <f>'Data Sheet'!C47</f>
        <v/>
      </c>
      <c r="D10" s="188">
        <f>'Data Sheet'!D47</f>
        <v/>
      </c>
      <c r="E10" s="188">
        <f>'Data Sheet'!E47</f>
        <v/>
      </c>
      <c r="F10" s="188">
        <f>'Data Sheet'!F47</f>
        <v/>
      </c>
      <c r="G10" s="188">
        <f>'Data Sheet'!G47</f>
        <v/>
      </c>
      <c r="H10" s="188">
        <f>'Data Sheet'!H47</f>
        <v/>
      </c>
      <c r="I10" s="188">
        <f>'Data Sheet'!I47</f>
        <v/>
      </c>
      <c r="J10" s="188">
        <f>'Data Sheet'!J47</f>
        <v/>
      </c>
      <c r="K10" s="188">
        <f>'Data Sheet'!K47</f>
        <v/>
      </c>
    </row>
    <row r="11">
      <c r="A11" t="inlineStr">
        <is>
          <t>Tax</t>
        </is>
      </c>
      <c r="B11" s="188">
        <f>'Data Sheet'!B48</f>
        <v/>
      </c>
      <c r="C11" s="188">
        <f>'Data Sheet'!C48</f>
        <v/>
      </c>
      <c r="D11" s="188">
        <f>'Data Sheet'!D48</f>
        <v/>
      </c>
      <c r="E11" s="188">
        <f>'Data Sheet'!E48</f>
        <v/>
      </c>
      <c r="F11" s="188">
        <f>'Data Sheet'!F48</f>
        <v/>
      </c>
      <c r="G11" s="188">
        <f>'Data Sheet'!G48</f>
        <v/>
      </c>
      <c r="H11" s="188">
        <f>'Data Sheet'!H48</f>
        <v/>
      </c>
      <c r="I11" s="188">
        <f>'Data Sheet'!I48</f>
        <v/>
      </c>
      <c r="J11" s="188">
        <f>'Data Sheet'!J48</f>
        <v/>
      </c>
      <c r="K11" s="188">
        <f>'Data Sheet'!K48</f>
        <v/>
      </c>
    </row>
    <row r="12" customFormat="1" s="37">
      <c r="A12" s="37" t="inlineStr">
        <is>
          <t>Net profit</t>
        </is>
      </c>
      <c r="B12" s="187">
        <f>'Data Sheet'!B49</f>
        <v/>
      </c>
      <c r="C12" s="187">
        <f>'Data Sheet'!C49</f>
        <v/>
      </c>
      <c r="D12" s="187">
        <f>'Data Sheet'!D49</f>
        <v/>
      </c>
      <c r="E12" s="187">
        <f>'Data Sheet'!E49</f>
        <v/>
      </c>
      <c r="F12" s="187">
        <f>'Data Sheet'!F49</f>
        <v/>
      </c>
      <c r="G12" s="187">
        <f>'Data Sheet'!G49</f>
        <v/>
      </c>
      <c r="H12" s="187">
        <f>'Data Sheet'!H49</f>
        <v/>
      </c>
      <c r="I12" s="187">
        <f>'Data Sheet'!I49</f>
        <v/>
      </c>
      <c r="J12" s="187">
        <f>'Data Sheet'!J49</f>
        <v/>
      </c>
      <c r="K12" s="187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76" min="1" max="1"/>
    <col width="13.44140625" customWidth="1" style="176" min="2" max="2"/>
    <col width="15.44140625" customWidth="1" style="176" min="3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76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1">
        <f>'Data Sheet'!B57</f>
        <v/>
      </c>
      <c r="C4" s="191">
        <f>'Data Sheet'!C57</f>
        <v/>
      </c>
      <c r="D4" s="191">
        <f>'Data Sheet'!D57</f>
        <v/>
      </c>
      <c r="E4" s="191">
        <f>'Data Sheet'!E57</f>
        <v/>
      </c>
      <c r="F4" s="191">
        <f>'Data Sheet'!F57</f>
        <v/>
      </c>
      <c r="G4" s="191">
        <f>'Data Sheet'!G57</f>
        <v/>
      </c>
      <c r="H4" s="191">
        <f>'Data Sheet'!H57</f>
        <v/>
      </c>
      <c r="I4" s="191">
        <f>'Data Sheet'!I57</f>
        <v/>
      </c>
      <c r="J4" s="191">
        <f>'Data Sheet'!J57</f>
        <v/>
      </c>
      <c r="K4" s="191">
        <f>'Data Sheet'!K57</f>
        <v/>
      </c>
    </row>
    <row r="5" s="176">
      <c r="A5" t="inlineStr">
        <is>
          <t>Reserves</t>
        </is>
      </c>
      <c r="B5" s="191">
        <f>'Data Sheet'!B58</f>
        <v/>
      </c>
      <c r="C5" s="191">
        <f>'Data Sheet'!C58</f>
        <v/>
      </c>
      <c r="D5" s="191">
        <f>'Data Sheet'!D58</f>
        <v/>
      </c>
      <c r="E5" s="191">
        <f>'Data Sheet'!E58</f>
        <v/>
      </c>
      <c r="F5" s="191">
        <f>'Data Sheet'!F58</f>
        <v/>
      </c>
      <c r="G5" s="191">
        <f>'Data Sheet'!G58</f>
        <v/>
      </c>
      <c r="H5" s="191">
        <f>'Data Sheet'!H58</f>
        <v/>
      </c>
      <c r="I5" s="191">
        <f>'Data Sheet'!I58</f>
        <v/>
      </c>
      <c r="J5" s="191">
        <f>'Data Sheet'!J58</f>
        <v/>
      </c>
      <c r="K5" s="191">
        <f>'Data Sheet'!K58</f>
        <v/>
      </c>
    </row>
    <row r="6">
      <c r="A6" t="inlineStr">
        <is>
          <t>Borrowings</t>
        </is>
      </c>
      <c r="B6" s="191">
        <f>'Data Sheet'!B59</f>
        <v/>
      </c>
      <c r="C6" s="191">
        <f>'Data Sheet'!C59</f>
        <v/>
      </c>
      <c r="D6" s="191">
        <f>'Data Sheet'!D59</f>
        <v/>
      </c>
      <c r="E6" s="191">
        <f>'Data Sheet'!E59</f>
        <v/>
      </c>
      <c r="F6" s="191">
        <f>'Data Sheet'!F59</f>
        <v/>
      </c>
      <c r="G6" s="191">
        <f>'Data Sheet'!G59</f>
        <v/>
      </c>
      <c r="H6" s="191">
        <f>'Data Sheet'!H59</f>
        <v/>
      </c>
      <c r="I6" s="191">
        <f>'Data Sheet'!I59</f>
        <v/>
      </c>
      <c r="J6" s="191">
        <f>'Data Sheet'!J59</f>
        <v/>
      </c>
      <c r="K6" s="191">
        <f>'Data Sheet'!K59</f>
        <v/>
      </c>
    </row>
    <row r="7" s="176">
      <c r="A7" t="inlineStr">
        <is>
          <t>Other Liabilities</t>
        </is>
      </c>
      <c r="B7" s="191">
        <f>'Data Sheet'!B60</f>
        <v/>
      </c>
      <c r="C7" s="191">
        <f>'Data Sheet'!C60</f>
        <v/>
      </c>
      <c r="D7" s="191">
        <f>'Data Sheet'!D60</f>
        <v/>
      </c>
      <c r="E7" s="191">
        <f>'Data Sheet'!E60</f>
        <v/>
      </c>
      <c r="F7" s="191">
        <f>'Data Sheet'!F60</f>
        <v/>
      </c>
      <c r="G7" s="191">
        <f>'Data Sheet'!G60</f>
        <v/>
      </c>
      <c r="H7" s="191">
        <f>'Data Sheet'!H60</f>
        <v/>
      </c>
      <c r="I7" s="191">
        <f>'Data Sheet'!I60</f>
        <v/>
      </c>
      <c r="J7" s="191">
        <f>'Data Sheet'!J60</f>
        <v/>
      </c>
      <c r="K7" s="191">
        <f>'Data Sheet'!K60</f>
        <v/>
      </c>
    </row>
    <row r="8" customFormat="1" s="37">
      <c r="A8" s="37" t="inlineStr">
        <is>
          <t>Total</t>
        </is>
      </c>
      <c r="B8" s="192">
        <f>'Data Sheet'!B61</f>
        <v/>
      </c>
      <c r="C8" s="192">
        <f>'Data Sheet'!C61</f>
        <v/>
      </c>
      <c r="D8" s="192">
        <f>'Data Sheet'!D61</f>
        <v/>
      </c>
      <c r="E8" s="192">
        <f>'Data Sheet'!E61</f>
        <v/>
      </c>
      <c r="F8" s="192">
        <f>'Data Sheet'!F61</f>
        <v/>
      </c>
      <c r="G8" s="192">
        <f>'Data Sheet'!G61</f>
        <v/>
      </c>
      <c r="H8" s="192">
        <f>'Data Sheet'!H61</f>
        <v/>
      </c>
      <c r="I8" s="192">
        <f>'Data Sheet'!I61</f>
        <v/>
      </c>
      <c r="J8" s="192">
        <f>'Data Sheet'!J61</f>
        <v/>
      </c>
      <c r="K8" s="192">
        <f>'Data Sheet'!K61</f>
        <v/>
      </c>
    </row>
    <row r="9" customFormat="1" s="37">
      <c r="B9" s="192" t="n"/>
      <c r="C9" s="192" t="n"/>
      <c r="D9" s="192" t="n"/>
      <c r="E9" s="192" t="n"/>
      <c r="F9" s="192" t="n"/>
      <c r="G9" s="192" t="n"/>
      <c r="H9" s="192" t="n"/>
      <c r="I9" s="192" t="n"/>
      <c r="J9" s="192" t="n"/>
      <c r="K9" s="192" t="n"/>
    </row>
    <row r="10">
      <c r="A10" t="inlineStr">
        <is>
          <t>Net Block</t>
        </is>
      </c>
      <c r="B10" s="191">
        <f>'Data Sheet'!B62</f>
        <v/>
      </c>
      <c r="C10" s="191">
        <f>'Data Sheet'!C62</f>
        <v/>
      </c>
      <c r="D10" s="191">
        <f>'Data Sheet'!D62</f>
        <v/>
      </c>
      <c r="E10" s="191">
        <f>'Data Sheet'!E62</f>
        <v/>
      </c>
      <c r="F10" s="191">
        <f>'Data Sheet'!F62</f>
        <v/>
      </c>
      <c r="G10" s="191">
        <f>'Data Sheet'!G62</f>
        <v/>
      </c>
      <c r="H10" s="191">
        <f>'Data Sheet'!H62</f>
        <v/>
      </c>
      <c r="I10" s="191">
        <f>'Data Sheet'!I62</f>
        <v/>
      </c>
      <c r="J10" s="191">
        <f>'Data Sheet'!J62</f>
        <v/>
      </c>
      <c r="K10" s="191">
        <f>'Data Sheet'!K62</f>
        <v/>
      </c>
    </row>
    <row r="11">
      <c r="A11" t="inlineStr">
        <is>
          <t>Capital Work in Progress</t>
        </is>
      </c>
      <c r="B11" s="191">
        <f>'Data Sheet'!B63</f>
        <v/>
      </c>
      <c r="C11" s="191">
        <f>'Data Sheet'!C63</f>
        <v/>
      </c>
      <c r="D11" s="191">
        <f>'Data Sheet'!D63</f>
        <v/>
      </c>
      <c r="E11" s="191">
        <f>'Data Sheet'!E63</f>
        <v/>
      </c>
      <c r="F11" s="191">
        <f>'Data Sheet'!F63</f>
        <v/>
      </c>
      <c r="G11" s="191">
        <f>'Data Sheet'!G63</f>
        <v/>
      </c>
      <c r="H11" s="191">
        <f>'Data Sheet'!H63</f>
        <v/>
      </c>
      <c r="I11" s="191">
        <f>'Data Sheet'!I63</f>
        <v/>
      </c>
      <c r="J11" s="191">
        <f>'Data Sheet'!J63</f>
        <v/>
      </c>
      <c r="K11" s="191">
        <f>'Data Sheet'!K63</f>
        <v/>
      </c>
    </row>
    <row r="12">
      <c r="A12" t="inlineStr">
        <is>
          <t>Investments</t>
        </is>
      </c>
      <c r="B12" s="191">
        <f>'Data Sheet'!B64</f>
        <v/>
      </c>
      <c r="C12" s="191">
        <f>'Data Sheet'!C64</f>
        <v/>
      </c>
      <c r="D12" s="191">
        <f>'Data Sheet'!D64</f>
        <v/>
      </c>
      <c r="E12" s="191">
        <f>'Data Sheet'!E64</f>
        <v/>
      </c>
      <c r="F12" s="191">
        <f>'Data Sheet'!F64</f>
        <v/>
      </c>
      <c r="G12" s="191">
        <f>'Data Sheet'!G64</f>
        <v/>
      </c>
      <c r="H12" s="191">
        <f>'Data Sheet'!H64</f>
        <v/>
      </c>
      <c r="I12" s="191">
        <f>'Data Sheet'!I64</f>
        <v/>
      </c>
      <c r="J12" s="191">
        <f>'Data Sheet'!J64</f>
        <v/>
      </c>
      <c r="K12" s="191">
        <f>'Data Sheet'!K64</f>
        <v/>
      </c>
    </row>
    <row r="13">
      <c r="A13" t="inlineStr">
        <is>
          <t>Other Assets</t>
        </is>
      </c>
      <c r="B13" s="191">
        <f>'Data Sheet'!B65</f>
        <v/>
      </c>
      <c r="C13" s="191">
        <f>'Data Sheet'!C65</f>
        <v/>
      </c>
      <c r="D13" s="191">
        <f>'Data Sheet'!D65</f>
        <v/>
      </c>
      <c r="E13" s="191">
        <f>'Data Sheet'!E65</f>
        <v/>
      </c>
      <c r="F13" s="191">
        <f>'Data Sheet'!F65</f>
        <v/>
      </c>
      <c r="G13" s="191">
        <f>'Data Sheet'!G65</f>
        <v/>
      </c>
      <c r="H13" s="191">
        <f>'Data Sheet'!H65</f>
        <v/>
      </c>
      <c r="I13" s="191">
        <f>'Data Sheet'!I65</f>
        <v/>
      </c>
      <c r="J13" s="191">
        <f>'Data Sheet'!J65</f>
        <v/>
      </c>
      <c r="K13" s="191">
        <f>'Data Sheet'!K65</f>
        <v/>
      </c>
    </row>
    <row r="14" customFormat="1" s="37">
      <c r="A14" s="37" t="inlineStr">
        <is>
          <t>Total</t>
        </is>
      </c>
      <c r="B14" s="191">
        <f>'Data Sheet'!B66</f>
        <v/>
      </c>
      <c r="C14" s="191">
        <f>'Data Sheet'!C66</f>
        <v/>
      </c>
      <c r="D14" s="191">
        <f>'Data Sheet'!D66</f>
        <v/>
      </c>
      <c r="E14" s="191">
        <f>'Data Sheet'!E66</f>
        <v/>
      </c>
      <c r="F14" s="191">
        <f>'Data Sheet'!F66</f>
        <v/>
      </c>
      <c r="G14" s="191">
        <f>'Data Sheet'!G66</f>
        <v/>
      </c>
      <c r="H14" s="191">
        <f>'Data Sheet'!H66</f>
        <v/>
      </c>
      <c r="I14" s="191">
        <f>'Data Sheet'!I66</f>
        <v/>
      </c>
      <c r="J14" s="191">
        <f>'Data Sheet'!J66</f>
        <v/>
      </c>
      <c r="K14" s="191">
        <f>'Data Sheet'!K66</f>
        <v/>
      </c>
    </row>
    <row r="15"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3" t="n"/>
    </row>
    <row r="16">
      <c r="A16" t="inlineStr">
        <is>
          <t>Working Capital</t>
        </is>
      </c>
      <c r="B16" s="193">
        <f>B13-B7</f>
        <v/>
      </c>
      <c r="C16" s="193">
        <f>C13-C7</f>
        <v/>
      </c>
      <c r="D16" s="193">
        <f>D13-D7</f>
        <v/>
      </c>
      <c r="E16" s="193">
        <f>E13-E7</f>
        <v/>
      </c>
      <c r="F16" s="193">
        <f>F13-F7</f>
        <v/>
      </c>
      <c r="G16" s="193">
        <f>G13-G7</f>
        <v/>
      </c>
      <c r="H16" s="193">
        <f>H13-H7</f>
        <v/>
      </c>
      <c r="I16" s="193">
        <f>I13-I7</f>
        <v/>
      </c>
      <c r="J16" s="193">
        <f>J13-J7</f>
        <v/>
      </c>
      <c r="K16" s="193">
        <f>K13-K7</f>
        <v/>
      </c>
    </row>
    <row r="17">
      <c r="A17" t="inlineStr">
        <is>
          <t>Debtors</t>
        </is>
      </c>
      <c r="B17" s="193">
        <f>'Data Sheet'!B67</f>
        <v/>
      </c>
      <c r="C17" s="193">
        <f>'Data Sheet'!C67</f>
        <v/>
      </c>
      <c r="D17" s="193">
        <f>'Data Sheet'!D67</f>
        <v/>
      </c>
      <c r="E17" s="193">
        <f>'Data Sheet'!E67</f>
        <v/>
      </c>
      <c r="F17" s="193">
        <f>'Data Sheet'!F67</f>
        <v/>
      </c>
      <c r="G17" s="193">
        <f>'Data Sheet'!G67</f>
        <v/>
      </c>
      <c r="H17" s="193">
        <f>'Data Sheet'!H67</f>
        <v/>
      </c>
      <c r="I17" s="193">
        <f>'Data Sheet'!I67</f>
        <v/>
      </c>
      <c r="J17" s="193">
        <f>'Data Sheet'!J67</f>
        <v/>
      </c>
      <c r="K17" s="193">
        <f>'Data Sheet'!K67</f>
        <v/>
      </c>
    </row>
    <row r="18">
      <c r="A18" t="inlineStr">
        <is>
          <t>Inventory</t>
        </is>
      </c>
      <c r="B18" s="193">
        <f>'Data Sheet'!B68</f>
        <v/>
      </c>
      <c r="C18" s="193">
        <f>'Data Sheet'!C68</f>
        <v/>
      </c>
      <c r="D18" s="193">
        <f>'Data Sheet'!D68</f>
        <v/>
      </c>
      <c r="E18" s="193">
        <f>'Data Sheet'!E68</f>
        <v/>
      </c>
      <c r="F18" s="193">
        <f>'Data Sheet'!F68</f>
        <v/>
      </c>
      <c r="G18" s="193">
        <f>'Data Sheet'!G68</f>
        <v/>
      </c>
      <c r="H18" s="193">
        <f>'Data Sheet'!H68</f>
        <v/>
      </c>
      <c r="I18" s="193">
        <f>'Data Sheet'!I68</f>
        <v/>
      </c>
      <c r="J18" s="193">
        <f>'Data Sheet'!J68</f>
        <v/>
      </c>
      <c r="K18" s="193">
        <f>'Data Sheet'!K68</f>
        <v/>
      </c>
    </row>
    <row r="20">
      <c r="A20" t="inlineStr">
        <is>
          <t>Debtor Days</t>
        </is>
      </c>
      <c r="B20" s="193">
        <f>IF('Profit &amp; Loss'!B4&gt;0,'Balance Sheet'!B17/('Profit &amp; Loss'!B4/365),0)</f>
        <v/>
      </c>
      <c r="C20" s="193">
        <f>IF('Profit &amp; Loss'!C4&gt;0,'Balance Sheet'!C17/('Profit &amp; Loss'!C4/365),0)</f>
        <v/>
      </c>
      <c r="D20" s="193">
        <f>IF('Profit &amp; Loss'!D4&gt;0,'Balance Sheet'!D17/('Profit &amp; Loss'!D4/365),0)</f>
        <v/>
      </c>
      <c r="E20" s="193">
        <f>IF('Profit &amp; Loss'!E4&gt;0,'Balance Sheet'!E17/('Profit &amp; Loss'!E4/365),0)</f>
        <v/>
      </c>
      <c r="F20" s="193">
        <f>IF('Profit &amp; Loss'!F4&gt;0,'Balance Sheet'!F17/('Profit &amp; Loss'!F4/365),0)</f>
        <v/>
      </c>
      <c r="G20" s="193">
        <f>IF('Profit &amp; Loss'!G4&gt;0,'Balance Sheet'!G17/('Profit &amp; Loss'!G4/365),0)</f>
        <v/>
      </c>
      <c r="H20" s="193">
        <f>IF('Profit &amp; Loss'!H4&gt;0,'Balance Sheet'!H17/('Profit &amp; Loss'!H4/365),0)</f>
        <v/>
      </c>
      <c r="I20" s="193">
        <f>IF('Profit &amp; Loss'!I4&gt;0,'Balance Sheet'!I17/('Profit &amp; Loss'!I4/365),0)</f>
        <v/>
      </c>
      <c r="J20" s="193">
        <f>IF('Profit &amp; Loss'!J4&gt;0,'Balance Sheet'!J17/('Profit &amp; Loss'!J4/365),0)</f>
        <v/>
      </c>
      <c r="K20" s="193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93">
        <f>IF('Balance Sheet'!B18&gt;0,'Profit &amp; Loss'!B4/'Balance Sheet'!B18,0)</f>
        <v/>
      </c>
      <c r="C21" s="193">
        <f>IF('Balance Sheet'!C18&gt;0,'Profit &amp; Loss'!C4/'Balance Sheet'!C18,0)</f>
        <v/>
      </c>
      <c r="D21" s="193">
        <f>IF('Balance Sheet'!D18&gt;0,'Profit &amp; Loss'!D4/'Balance Sheet'!D18,0)</f>
        <v/>
      </c>
      <c r="E21" s="193">
        <f>IF('Balance Sheet'!E18&gt;0,'Profit &amp; Loss'!E4/'Balance Sheet'!E18,0)</f>
        <v/>
      </c>
      <c r="F21" s="193">
        <f>IF('Balance Sheet'!F18&gt;0,'Profit &amp; Loss'!F4/'Balance Sheet'!F18,0)</f>
        <v/>
      </c>
      <c r="G21" s="193">
        <f>IF('Balance Sheet'!G18&gt;0,'Profit &amp; Loss'!G4/'Balance Sheet'!G18,0)</f>
        <v/>
      </c>
      <c r="H21" s="193">
        <f>IF('Balance Sheet'!H18&gt;0,'Profit &amp; Loss'!H4/'Balance Sheet'!H18,0)</f>
        <v/>
      </c>
      <c r="I21" s="193">
        <f>IF('Balance Sheet'!I18&gt;0,'Profit &amp; Loss'!I4/'Balance Sheet'!I18,0)</f>
        <v/>
      </c>
      <c r="J21" s="193">
        <f>IF('Balance Sheet'!J18&gt;0,'Profit &amp; Loss'!J4/'Balance Sheet'!J18,0)</f>
        <v/>
      </c>
      <c r="K21" s="193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76" min="1" max="1"/>
    <col width="13.44140625" customWidth="1" style="176" min="2" max="6"/>
    <col width="13.44140625" bestFit="1" customWidth="1" style="176" min="7" max="11"/>
    <col width="8.77734375" customWidth="1" style="176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87">
        <f>'Data Sheet'!B82</f>
        <v/>
      </c>
      <c r="C4" s="187">
        <f>'Data Sheet'!C82</f>
        <v/>
      </c>
      <c r="D4" s="187">
        <f>'Data Sheet'!D82</f>
        <v/>
      </c>
      <c r="E4" s="187">
        <f>'Data Sheet'!E82</f>
        <v/>
      </c>
      <c r="F4" s="187">
        <f>'Data Sheet'!F82</f>
        <v/>
      </c>
      <c r="G4" s="187">
        <f>'Data Sheet'!G82</f>
        <v/>
      </c>
      <c r="H4" s="187">
        <f>'Data Sheet'!H82</f>
        <v/>
      </c>
      <c r="I4" s="187">
        <f>'Data Sheet'!I82</f>
        <v/>
      </c>
      <c r="J4" s="187">
        <f>'Data Sheet'!J82</f>
        <v/>
      </c>
      <c r="K4" s="187">
        <f>'Data Sheet'!K82</f>
        <v/>
      </c>
    </row>
    <row r="5">
      <c r="A5" t="inlineStr">
        <is>
          <t>Cash from Investing Activity</t>
        </is>
      </c>
      <c r="B5" s="188">
        <f>'Data Sheet'!B83</f>
        <v/>
      </c>
      <c r="C5" s="188">
        <f>'Data Sheet'!C83</f>
        <v/>
      </c>
      <c r="D5" s="188">
        <f>'Data Sheet'!D83</f>
        <v/>
      </c>
      <c r="E5" s="188">
        <f>'Data Sheet'!E83</f>
        <v/>
      </c>
      <c r="F5" s="188">
        <f>'Data Sheet'!F83</f>
        <v/>
      </c>
      <c r="G5" s="188">
        <f>'Data Sheet'!G83</f>
        <v/>
      </c>
      <c r="H5" s="188">
        <f>'Data Sheet'!H83</f>
        <v/>
      </c>
      <c r="I5" s="188">
        <f>'Data Sheet'!I83</f>
        <v/>
      </c>
      <c r="J5" s="188">
        <f>'Data Sheet'!J83</f>
        <v/>
      </c>
      <c r="K5" s="188">
        <f>'Data Sheet'!K83</f>
        <v/>
      </c>
    </row>
    <row r="6">
      <c r="A6" t="inlineStr">
        <is>
          <t>Cash from Financing Activity</t>
        </is>
      </c>
      <c r="B6" s="188">
        <f>'Data Sheet'!B84</f>
        <v/>
      </c>
      <c r="C6" s="188">
        <f>'Data Sheet'!C84</f>
        <v/>
      </c>
      <c r="D6" s="188">
        <f>'Data Sheet'!D84</f>
        <v/>
      </c>
      <c r="E6" s="188">
        <f>'Data Sheet'!E84</f>
        <v/>
      </c>
      <c r="F6" s="188">
        <f>'Data Sheet'!F84</f>
        <v/>
      </c>
      <c r="G6" s="188">
        <f>'Data Sheet'!G84</f>
        <v/>
      </c>
      <c r="H6" s="188">
        <f>'Data Sheet'!H84</f>
        <v/>
      </c>
      <c r="I6" s="188">
        <f>'Data Sheet'!I84</f>
        <v/>
      </c>
      <c r="J6" s="188">
        <f>'Data Sheet'!J84</f>
        <v/>
      </c>
      <c r="K6" s="188">
        <f>'Data Sheet'!K84</f>
        <v/>
      </c>
    </row>
    <row r="7" customFormat="1" s="37">
      <c r="A7" s="37" t="inlineStr">
        <is>
          <t>Net Cash Flow</t>
        </is>
      </c>
      <c r="B7" s="187">
        <f>'Data Sheet'!B85</f>
        <v/>
      </c>
      <c r="C7" s="187">
        <f>'Data Sheet'!C85</f>
        <v/>
      </c>
      <c r="D7" s="187">
        <f>'Data Sheet'!D85</f>
        <v/>
      </c>
      <c r="E7" s="187">
        <f>'Data Sheet'!E85</f>
        <v/>
      </c>
      <c r="F7" s="187">
        <f>'Data Sheet'!F85</f>
        <v/>
      </c>
      <c r="G7" s="187">
        <f>'Data Sheet'!G85</f>
        <v/>
      </c>
      <c r="H7" s="187">
        <f>'Data Sheet'!H85</f>
        <v/>
      </c>
      <c r="I7" s="187">
        <f>'Data Sheet'!I85</f>
        <v/>
      </c>
      <c r="J7" s="187">
        <f>'Data Sheet'!J85</f>
        <v/>
      </c>
      <c r="K7" s="187">
        <f>'Data Sheet'!K85</f>
        <v/>
      </c>
    </row>
    <row r="8">
      <c r="B8" s="188" t="n"/>
      <c r="C8" s="188" t="n"/>
      <c r="D8" s="188" t="n"/>
      <c r="E8" s="188" t="n"/>
      <c r="F8" s="188" t="n"/>
      <c r="G8" s="188" t="n"/>
      <c r="H8" s="188" t="n"/>
      <c r="I8" s="188" t="n"/>
      <c r="J8" s="188" t="n"/>
      <c r="K8" s="188" t="n"/>
    </row>
    <row r="24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76" min="2" max="2"/>
    <col width="13.33203125" customWidth="1" style="26" min="3" max="3"/>
    <col width="8.77734375" customWidth="1" style="176" min="4" max="5"/>
    <col width="6.77734375" customWidth="1" style="176" min="6" max="6"/>
    <col width="8.77734375" customWidth="1" style="176" min="7" max="16384"/>
  </cols>
  <sheetData>
    <row r="1" ht="21" customHeight="1" s="176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76" min="1" max="1"/>
    <col width="27.33203125" customWidth="1" style="176" min="2" max="2"/>
    <col width="9.6640625" bestFit="1" customWidth="1" style="176" min="3" max="3"/>
  </cols>
  <sheetData>
    <row r="2">
      <c r="B2" s="177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76"/>
    <row r="6">
      <c r="B6" s="194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95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95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95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95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95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95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95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95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95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95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95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95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95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95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95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77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76"/>
    <row r="27">
      <c r="B27" s="194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95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95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95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95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94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95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95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95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95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95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95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95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93" min="1" max="1"/>
    <col width="13.44140625" bestFit="1" customWidth="1" style="193" min="2" max="11"/>
    <col width="8.77734375" customWidth="1" style="193" min="12" max="16384"/>
  </cols>
  <sheetData>
    <row r="1" customFormat="1" s="187">
      <c r="A1" s="187" t="inlineStr">
        <is>
          <t>COMPANY NAME</t>
        </is>
      </c>
      <c r="B1" s="187" t="inlineStr">
        <is>
          <t>HINDUSTAN UNILEVER LTD</t>
        </is>
      </c>
      <c r="E1" s="196">
        <f>IF(B2&lt;&gt;B3, "A NEW VERSION OF THE WORKSHEET IS AVAILABLE", "")</f>
        <v/>
      </c>
    </row>
    <row r="2">
      <c r="A2" s="187" t="inlineStr">
        <is>
          <t>LATEST VERSION</t>
        </is>
      </c>
      <c r="B2" s="193" t="n">
        <v>2.1</v>
      </c>
      <c r="E2" s="197" t="inlineStr">
        <is>
          <t>PLEASE DO NOT MAKE ANY CHANGES TO THIS SHEET</t>
        </is>
      </c>
    </row>
    <row r="3">
      <c r="A3" s="187" t="inlineStr">
        <is>
          <t>CURRENT VERSION</t>
        </is>
      </c>
      <c r="B3" s="193" t="n">
        <v>2.1</v>
      </c>
    </row>
    <row r="4">
      <c r="A4" s="187" t="n"/>
    </row>
    <row r="5">
      <c r="A5" s="187" t="inlineStr">
        <is>
          <t>META</t>
        </is>
      </c>
    </row>
    <row r="6">
      <c r="A6" s="193" t="inlineStr">
        <is>
          <t>Number of shares</t>
        </is>
      </c>
      <c r="B6" s="193">
        <f>IF(B9&gt;0, B9/B8, 0)</f>
        <v/>
      </c>
    </row>
    <row r="7">
      <c r="A7" s="193" t="inlineStr">
        <is>
          <t>Face Value</t>
        </is>
      </c>
      <c r="B7" t="n">
        <v>1</v>
      </c>
    </row>
    <row r="8">
      <c r="A8" s="193" t="inlineStr">
        <is>
          <t>Current Price</t>
        </is>
      </c>
      <c r="B8" t="n">
        <v>1841</v>
      </c>
    </row>
    <row r="9">
      <c r="A9" s="193" t="inlineStr">
        <is>
          <t>Market Capitalization</t>
        </is>
      </c>
      <c r="B9" t="n">
        <v>431951</v>
      </c>
    </row>
    <row r="15">
      <c r="A15" s="187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88">
      <c r="A17" s="188" t="inlineStr">
        <is>
          <t>Sales</t>
        </is>
      </c>
      <c r="B17" t="n">
        <v>33162</v>
      </c>
      <c r="C17" t="n">
        <v>35545</v>
      </c>
      <c r="D17" t="n">
        <v>39310</v>
      </c>
      <c r="E17" t="n">
        <v>39783</v>
      </c>
      <c r="F17" t="n">
        <v>47028</v>
      </c>
      <c r="G17" t="n">
        <v>52446</v>
      </c>
      <c r="H17" t="n">
        <v>60580</v>
      </c>
      <c r="I17" t="n">
        <v>61896</v>
      </c>
      <c r="J17" t="n">
        <v>61328</v>
      </c>
      <c r="K17" t="n">
        <v>64468</v>
      </c>
    </row>
    <row r="18" customFormat="1" s="188">
      <c r="A18" s="193" t="inlineStr">
        <is>
          <t>Raw Material Cost</t>
        </is>
      </c>
      <c r="B18" t="n">
        <v>13606</v>
      </c>
      <c r="C18" t="n">
        <v>14233</v>
      </c>
      <c r="D18" t="n">
        <v>15845</v>
      </c>
      <c r="E18" t="n">
        <v>15697</v>
      </c>
      <c r="F18" t="n">
        <v>20141</v>
      </c>
      <c r="G18" t="n">
        <v>22871</v>
      </c>
      <c r="H18" t="n">
        <v>28427</v>
      </c>
      <c r="I18" t="n">
        <v>26822</v>
      </c>
      <c r="J18" t="n">
        <v>26602</v>
      </c>
      <c r="K18" t="n">
        <v>29158</v>
      </c>
    </row>
    <row r="19" customFormat="1" s="188">
      <c r="A19" s="193" t="inlineStr">
        <is>
          <t>Change in Inventory</t>
        </is>
      </c>
      <c r="B19" t="n">
        <v>144</v>
      </c>
      <c r="C19" t="n">
        <v>-72</v>
      </c>
      <c r="D19" t="n">
        <v>12</v>
      </c>
      <c r="E19" t="n">
        <v>-108</v>
      </c>
      <c r="F19" t="n">
        <v>-405</v>
      </c>
      <c r="G19" t="n">
        <v>-22</v>
      </c>
      <c r="H19" t="n">
        <v>-75</v>
      </c>
      <c r="I19" t="n">
        <v>-11</v>
      </c>
      <c r="J19" t="n">
        <v>-125</v>
      </c>
      <c r="K19" t="n">
        <v>-429</v>
      </c>
    </row>
    <row r="20" customFormat="1" s="188">
      <c r="A20" s="193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 customFormat="1" s="188">
      <c r="A21" s="193" t="inlineStr">
        <is>
          <t>Other Mfr. Exp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 customFormat="1" s="188">
      <c r="A22" s="193" t="inlineStr">
        <is>
          <t>Employee Cost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3094.8</v>
      </c>
      <c r="J22" t="n">
        <v>3066.4</v>
      </c>
      <c r="K22" t="n">
        <v>3223.4</v>
      </c>
    </row>
    <row r="23" customFormat="1" s="188">
      <c r="A23" s="193" t="inlineStr">
        <is>
          <t>Selling and admin</t>
        </is>
      </c>
      <c r="B23" t="n">
        <v>3271</v>
      </c>
      <c r="C23" t="n">
        <v>3471.25</v>
      </c>
      <c r="D23" t="n">
        <v>3643.25</v>
      </c>
      <c r="E23" t="n">
        <v>3583.25</v>
      </c>
      <c r="F23" t="n">
        <v>3916.5</v>
      </c>
      <c r="G23" t="n">
        <v>4185</v>
      </c>
      <c r="H23" t="n">
        <v>4520.25</v>
      </c>
      <c r="I23" t="n">
        <v>4332.8</v>
      </c>
      <c r="J23" t="n">
        <v>4271.65</v>
      </c>
      <c r="K23" t="n">
        <v>4369.15</v>
      </c>
    </row>
    <row r="24" customFormat="1" s="188">
      <c r="A24" s="193" t="inlineStr">
        <is>
          <t>Other Expenses</t>
        </is>
      </c>
      <c r="B24" t="n">
        <v>9813</v>
      </c>
      <c r="C24" t="n">
        <v>10413.75</v>
      </c>
      <c r="D24" t="n">
        <v>10929.75</v>
      </c>
      <c r="E24" t="n">
        <v>10749.75</v>
      </c>
      <c r="F24" t="n">
        <v>11749.5</v>
      </c>
      <c r="G24" t="n">
        <v>12555</v>
      </c>
      <c r="H24" t="n">
        <v>13560.75</v>
      </c>
      <c r="I24" t="n">
        <v>12998.4</v>
      </c>
      <c r="J24" t="n">
        <v>12814.95</v>
      </c>
      <c r="K24" t="n">
        <v>13107.45</v>
      </c>
    </row>
    <row r="25" customFormat="1" s="188">
      <c r="A25" s="188" t="inlineStr">
        <is>
          <t>Other Income</t>
        </is>
      </c>
      <c r="B25" t="n">
        <v>606</v>
      </c>
      <c r="C25" t="n">
        <v>353</v>
      </c>
      <c r="D25" t="n">
        <v>322</v>
      </c>
      <c r="E25" t="n">
        <v>424</v>
      </c>
      <c r="F25" t="n">
        <v>170</v>
      </c>
      <c r="G25" t="n">
        <v>219</v>
      </c>
      <c r="H25" t="n">
        <v>448</v>
      </c>
      <c r="I25" t="n">
        <v>817</v>
      </c>
      <c r="J25" t="n">
        <v>1355</v>
      </c>
      <c r="K25" t="n">
        <v>4923</v>
      </c>
    </row>
    <row r="26" customFormat="1" s="188">
      <c r="A26" s="188" t="inlineStr">
        <is>
          <t>Depreciation</t>
        </is>
      </c>
      <c r="B26" t="n">
        <v>432</v>
      </c>
      <c r="C26" t="n">
        <v>520</v>
      </c>
      <c r="D26" t="n">
        <v>565</v>
      </c>
      <c r="E26" t="n">
        <v>1002</v>
      </c>
      <c r="F26" t="n">
        <v>1074</v>
      </c>
      <c r="G26" t="n">
        <v>1091</v>
      </c>
      <c r="H26" t="n">
        <v>1137</v>
      </c>
      <c r="I26" t="n">
        <v>1216</v>
      </c>
      <c r="J26" t="n">
        <v>1253</v>
      </c>
      <c r="K26" t="n">
        <v>1333</v>
      </c>
    </row>
    <row r="27" customFormat="1" s="188">
      <c r="A27" s="188" t="inlineStr">
        <is>
          <t>Interest</t>
        </is>
      </c>
      <c r="B27" t="n">
        <v>35</v>
      </c>
      <c r="C27" t="n">
        <v>26</v>
      </c>
      <c r="D27" t="n">
        <v>33</v>
      </c>
      <c r="E27" t="n">
        <v>118</v>
      </c>
      <c r="F27" t="n">
        <v>117</v>
      </c>
      <c r="G27" t="n">
        <v>106</v>
      </c>
      <c r="H27" t="n">
        <v>114</v>
      </c>
      <c r="I27" t="n">
        <v>334</v>
      </c>
      <c r="J27" t="n">
        <v>381</v>
      </c>
      <c r="K27" t="n">
        <v>410</v>
      </c>
    </row>
    <row r="28" customFormat="1" s="188">
      <c r="A28" s="188" t="inlineStr">
        <is>
          <t>Profit before tax</t>
        </is>
      </c>
      <c r="B28" t="n">
        <v>6467</v>
      </c>
      <c r="C28" t="n">
        <v>7306</v>
      </c>
      <c r="D28" t="n">
        <v>8604</v>
      </c>
      <c r="E28" t="n">
        <v>9165</v>
      </c>
      <c r="F28" t="n">
        <v>10605</v>
      </c>
      <c r="G28" t="n">
        <v>11879</v>
      </c>
      <c r="H28" t="n">
        <v>13344</v>
      </c>
      <c r="I28" t="n">
        <v>13926</v>
      </c>
      <c r="J28" t="n">
        <v>14419</v>
      </c>
      <c r="K28" t="n">
        <v>18219</v>
      </c>
    </row>
    <row r="29" customFormat="1" s="188">
      <c r="A29" s="188" t="inlineStr">
        <is>
          <t>Tax</t>
        </is>
      </c>
      <c r="B29" t="n">
        <v>1977</v>
      </c>
      <c r="C29" t="n">
        <v>2079</v>
      </c>
      <c r="D29" t="n">
        <v>2544</v>
      </c>
      <c r="E29" t="n">
        <v>2409</v>
      </c>
      <c r="F29" t="n">
        <v>2606</v>
      </c>
      <c r="G29" t="n">
        <v>2987</v>
      </c>
      <c r="H29" t="n">
        <v>3201</v>
      </c>
      <c r="I29" t="n">
        <v>3644</v>
      </c>
      <c r="J29" t="n">
        <v>3748</v>
      </c>
      <c r="K29" t="n">
        <v>3160</v>
      </c>
    </row>
    <row r="30" customFormat="1" s="188">
      <c r="A30" s="188" t="inlineStr">
        <is>
          <t>Net profit</t>
        </is>
      </c>
      <c r="B30" t="n">
        <v>4490</v>
      </c>
      <c r="C30" t="n">
        <v>5227</v>
      </c>
      <c r="D30" t="n">
        <v>6060</v>
      </c>
      <c r="E30" t="n">
        <v>6756</v>
      </c>
      <c r="F30" t="n">
        <v>7999</v>
      </c>
      <c r="G30" t="n">
        <v>8892</v>
      </c>
      <c r="H30" t="n">
        <v>10143</v>
      </c>
      <c r="I30" t="n">
        <v>10282</v>
      </c>
      <c r="J30" t="n">
        <v>10671</v>
      </c>
      <c r="K30" t="n">
        <v>15059</v>
      </c>
    </row>
    <row r="31" customFormat="1" s="188">
      <c r="A31" s="188" t="inlineStr">
        <is>
          <t>Dividend Amount</t>
        </is>
      </c>
      <c r="B31" t="n">
        <v>3681.8</v>
      </c>
      <c r="C31" t="n">
        <v>4338.41</v>
      </c>
      <c r="D31" t="n">
        <v>4726.8</v>
      </c>
      <c r="E31" t="n">
        <v>5404.8</v>
      </c>
      <c r="F31" t="n">
        <v>9518.809999999999</v>
      </c>
      <c r="G31" t="n">
        <v>8002.8</v>
      </c>
      <c r="H31" t="n">
        <v>9230.129999999999</v>
      </c>
      <c r="I31" t="n">
        <v>9870.719999999999</v>
      </c>
      <c r="J31" t="n">
        <v>12485.07</v>
      </c>
      <c r="K31" t="n">
        <v>9637.76</v>
      </c>
    </row>
    <row r="32" customFormat="1" s="188">
      <c r="A32" s="188" t="inlineStr">
        <is>
          <t>EBITDA</t>
        </is>
      </c>
      <c r="B32" s="188">
        <f>SUM(B26:B28)</f>
        <v/>
      </c>
      <c r="C32" s="188">
        <f>SUM(C26:C28)</f>
        <v/>
      </c>
      <c r="D32" s="188">
        <f>SUM(D26:D28)</f>
        <v/>
      </c>
      <c r="E32" s="188">
        <f>SUM(E26:E28)</f>
        <v/>
      </c>
      <c r="F32" s="188">
        <f>SUM(F26:F28)</f>
        <v/>
      </c>
      <c r="G32" s="188">
        <f>SUM(G26:G28)</f>
        <v/>
      </c>
      <c r="H32" s="188">
        <f>SUM(H26:H28)</f>
        <v/>
      </c>
      <c r="I32" s="188">
        <f>SUM(I26:I28)</f>
        <v/>
      </c>
      <c r="J32" s="188">
        <f>SUM(J26:J28)</f>
        <v/>
      </c>
      <c r="K32" s="188">
        <f>SUM(K26:K28)</f>
        <v/>
      </c>
    </row>
    <row r="33">
      <c r="A33" s="188" t="n"/>
      <c r="B33" s="193" t="n">
        <v>0</v>
      </c>
      <c r="C33" s="193" t="n">
        <v>0</v>
      </c>
      <c r="D33" s="193" t="n">
        <v>0</v>
      </c>
      <c r="E33" s="193" t="n">
        <v>0</v>
      </c>
      <c r="F33" s="193" t="n">
        <v>0</v>
      </c>
      <c r="G33" s="193" t="n">
        <v>0</v>
      </c>
      <c r="H33" s="193" t="n">
        <v>0</v>
      </c>
      <c r="I33" s="193" t="n">
        <v>0</v>
      </c>
      <c r="J33" s="193" t="n">
        <v>0</v>
      </c>
      <c r="K33" s="193" t="n">
        <v>0</v>
      </c>
    </row>
    <row r="34">
      <c r="A34" s="188" t="n"/>
    </row>
    <row r="35">
      <c r="A35" s="188" t="n"/>
    </row>
    <row r="36">
      <c r="A36" s="188" t="n"/>
    </row>
    <row r="37">
      <c r="A37" s="188" t="n"/>
    </row>
    <row r="38">
      <c r="A38" s="188" t="n"/>
    </row>
    <row r="39">
      <c r="A39" s="188" t="n"/>
    </row>
    <row r="40">
      <c r="A40" s="187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88">
      <c r="A42" s="188" t="inlineStr">
        <is>
          <t>Sales</t>
        </is>
      </c>
      <c r="B42" t="n">
        <v>15210</v>
      </c>
      <c r="C42" t="n">
        <v>15707</v>
      </c>
      <c r="D42" t="n">
        <v>15926</v>
      </c>
      <c r="E42" t="n">
        <v>15556</v>
      </c>
      <c r="F42" t="n">
        <v>15190</v>
      </c>
      <c r="G42" t="n">
        <v>15757</v>
      </c>
      <c r="H42" t="n">
        <v>15919</v>
      </c>
      <c r="I42" t="n">
        <v>16441</v>
      </c>
      <c r="J42" t="n">
        <v>16351</v>
      </c>
      <c r="K42" t="n">
        <v>17341</v>
      </c>
    </row>
    <row r="43" customFormat="1" s="188">
      <c r="A43" s="188" t="inlineStr">
        <is>
          <t>Expenses</t>
        </is>
      </c>
      <c r="B43" t="n">
        <v>11675</v>
      </c>
      <c r="C43" t="n">
        <v>11965</v>
      </c>
      <c r="D43" t="n">
        <v>12139</v>
      </c>
      <c r="E43" t="n">
        <v>11867</v>
      </c>
      <c r="F43" t="n">
        <v>11572</v>
      </c>
      <c r="G43" t="n">
        <v>12118</v>
      </c>
      <c r="H43" t="n">
        <v>12137</v>
      </c>
      <c r="I43" t="n">
        <v>12660</v>
      </c>
      <c r="J43" t="n">
        <v>12514</v>
      </c>
      <c r="K43" t="n">
        <v>13394</v>
      </c>
    </row>
    <row r="44" customFormat="1" s="188">
      <c r="A44" s="188" t="inlineStr">
        <is>
          <t>Other Income</t>
        </is>
      </c>
      <c r="B44" t="n">
        <v>309</v>
      </c>
      <c r="C44" t="n">
        <v>209</v>
      </c>
      <c r="D44" t="n">
        <v>203</v>
      </c>
      <c r="E44" t="n">
        <v>733</v>
      </c>
      <c r="F44" t="n">
        <v>149</v>
      </c>
      <c r="G44" t="n">
        <v>103</v>
      </c>
      <c r="H44" t="n">
        <v>269</v>
      </c>
      <c r="I44" t="n">
        <v>4048</v>
      </c>
      <c r="J44" t="n">
        <v>503</v>
      </c>
      <c r="K44" t="n">
        <v>113</v>
      </c>
    </row>
    <row r="45" customFormat="1" s="188">
      <c r="A45" s="188" t="inlineStr">
        <is>
          <t>Depreciation</t>
        </is>
      </c>
      <c r="B45" t="n">
        <v>320</v>
      </c>
      <c r="C45" t="n">
        <v>329</v>
      </c>
      <c r="D45" t="n">
        <v>338</v>
      </c>
      <c r="E45" t="n">
        <v>318</v>
      </c>
      <c r="F45" t="n">
        <v>318</v>
      </c>
      <c r="G45" t="n">
        <v>326</v>
      </c>
      <c r="H45" t="n">
        <v>322</v>
      </c>
      <c r="I45" t="n">
        <v>337</v>
      </c>
      <c r="J45" t="n">
        <v>348</v>
      </c>
      <c r="K45" t="n">
        <v>353</v>
      </c>
    </row>
    <row r="46" customFormat="1" s="188">
      <c r="A46" s="188" t="inlineStr">
        <is>
          <t>Interest</t>
        </is>
      </c>
      <c r="B46" t="n">
        <v>105</v>
      </c>
      <c r="C46" t="n">
        <v>93</v>
      </c>
      <c r="D46" t="n">
        <v>110</v>
      </c>
      <c r="E46" t="n">
        <v>109</v>
      </c>
      <c r="F46" t="n">
        <v>77</v>
      </c>
      <c r="G46" t="n">
        <v>122</v>
      </c>
      <c r="H46" t="n">
        <v>124</v>
      </c>
      <c r="I46" t="n">
        <v>88</v>
      </c>
      <c r="J46" t="n">
        <v>76</v>
      </c>
      <c r="K46" t="n">
        <v>75</v>
      </c>
    </row>
    <row r="47" customFormat="1" s="188">
      <c r="A47" s="188" t="inlineStr">
        <is>
          <t>Profit before tax</t>
        </is>
      </c>
      <c r="B47" t="n">
        <v>3419</v>
      </c>
      <c r="C47" t="n">
        <v>3529</v>
      </c>
      <c r="D47" t="n">
        <v>3542</v>
      </c>
      <c r="E47" t="n">
        <v>3995</v>
      </c>
      <c r="F47" t="n">
        <v>3372</v>
      </c>
      <c r="G47" t="n">
        <v>3294</v>
      </c>
      <c r="H47" t="n">
        <v>3605</v>
      </c>
      <c r="I47" t="n">
        <v>7404</v>
      </c>
      <c r="J47" t="n">
        <v>3916</v>
      </c>
      <c r="K47" t="n">
        <v>3632</v>
      </c>
    </row>
    <row r="48" customFormat="1" s="188">
      <c r="A48" s="188" t="inlineStr">
        <is>
          <t>Tax</t>
        </is>
      </c>
      <c r="B48" t="n">
        <v>858</v>
      </c>
      <c r="C48" t="n">
        <v>917</v>
      </c>
      <c r="D48" t="n">
        <v>947</v>
      </c>
      <c r="E48" t="n">
        <v>1006</v>
      </c>
      <c r="F48" t="n">
        <v>897</v>
      </c>
      <c r="G48" t="n">
        <v>526</v>
      </c>
      <c r="H48" t="n">
        <v>911</v>
      </c>
      <c r="I48" t="n">
        <v>801</v>
      </c>
      <c r="J48" t="n">
        <v>922</v>
      </c>
      <c r="K48" t="n">
        <v>952</v>
      </c>
    </row>
    <row r="49" customFormat="1" s="188">
      <c r="A49" s="188" t="inlineStr">
        <is>
          <t>Net profit</t>
        </is>
      </c>
      <c r="B49" t="n">
        <v>2561</v>
      </c>
      <c r="C49" t="n">
        <v>2612</v>
      </c>
      <c r="D49" t="n">
        <v>2595</v>
      </c>
      <c r="E49" t="n">
        <v>2989</v>
      </c>
      <c r="F49" t="n">
        <v>2475</v>
      </c>
      <c r="G49" t="n">
        <v>2768</v>
      </c>
      <c r="H49" t="n">
        <v>2694</v>
      </c>
      <c r="I49" t="n">
        <v>6603</v>
      </c>
      <c r="J49" t="n">
        <v>2994</v>
      </c>
      <c r="K49" t="n">
        <v>2680</v>
      </c>
    </row>
    <row r="50">
      <c r="A50" s="188" t="inlineStr">
        <is>
          <t>Operating Profit</t>
        </is>
      </c>
      <c r="B50" t="n">
        <v>3535</v>
      </c>
      <c r="C50" t="n">
        <v>3742</v>
      </c>
      <c r="D50" t="n">
        <v>3787</v>
      </c>
      <c r="E50" t="n">
        <v>3689</v>
      </c>
      <c r="F50" t="n">
        <v>3618</v>
      </c>
      <c r="G50" t="n">
        <v>3639</v>
      </c>
      <c r="H50" t="n">
        <v>3782</v>
      </c>
      <c r="I50" t="n">
        <v>3781</v>
      </c>
      <c r="J50" t="n">
        <v>3837</v>
      </c>
      <c r="K50" t="n">
        <v>3947</v>
      </c>
    </row>
    <row r="51">
      <c r="A51" s="188" t="n"/>
    </row>
    <row r="52">
      <c r="A52" s="188" t="n"/>
    </row>
    <row r="53">
      <c r="A53" s="188" t="n"/>
    </row>
    <row r="54">
      <c r="A54" s="188" t="n"/>
    </row>
    <row r="55">
      <c r="A55" s="187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88" t="inlineStr">
        <is>
          <t>Equity Share Capital</t>
        </is>
      </c>
      <c r="B57" t="n">
        <v>216</v>
      </c>
      <c r="C57" t="n">
        <v>216</v>
      </c>
      <c r="D57" t="n">
        <v>216</v>
      </c>
      <c r="E57" t="n">
        <v>216</v>
      </c>
      <c r="F57" t="n">
        <v>235</v>
      </c>
      <c r="G57" t="n">
        <v>235</v>
      </c>
      <c r="H57" t="n">
        <v>235</v>
      </c>
      <c r="I57" t="n">
        <v>235</v>
      </c>
      <c r="J57" t="n">
        <v>235</v>
      </c>
      <c r="K57" t="n">
        <v>235</v>
      </c>
    </row>
    <row r="58">
      <c r="A58" s="188" t="inlineStr">
        <is>
          <t>Reserves</t>
        </is>
      </c>
      <c r="B58" t="n">
        <v>6528</v>
      </c>
      <c r="C58" t="n">
        <v>7065</v>
      </c>
      <c r="D58" t="n">
        <v>7651</v>
      </c>
      <c r="E58" t="n">
        <v>8013</v>
      </c>
      <c r="F58" t="n">
        <v>47439</v>
      </c>
      <c r="G58" t="n">
        <v>48826</v>
      </c>
      <c r="H58" t="n">
        <v>50069</v>
      </c>
      <c r="I58" t="n">
        <v>50983</v>
      </c>
      <c r="J58" t="n">
        <v>49167</v>
      </c>
      <c r="K58" t="n">
        <v>48504</v>
      </c>
    </row>
    <row r="59">
      <c r="A59" s="188" t="inlineStr">
        <is>
          <t>Borrowings</t>
        </is>
      </c>
      <c r="B59" t="n">
        <v>277</v>
      </c>
      <c r="C59" t="n">
        <v>0</v>
      </c>
      <c r="D59" t="n">
        <v>99</v>
      </c>
      <c r="E59" t="n">
        <v>0</v>
      </c>
      <c r="F59" t="n">
        <v>0</v>
      </c>
      <c r="G59" t="n">
        <v>1043</v>
      </c>
      <c r="H59" t="n">
        <v>1219</v>
      </c>
      <c r="I59" t="n">
        <v>1484</v>
      </c>
      <c r="J59" t="n">
        <v>1648</v>
      </c>
      <c r="K59" t="n">
        <v>1478</v>
      </c>
    </row>
    <row r="60">
      <c r="A60" s="188" t="inlineStr">
        <is>
          <t>Other Liabilities</t>
        </is>
      </c>
      <c r="B60" t="n">
        <v>8685</v>
      </c>
      <c r="C60" t="n">
        <v>10581</v>
      </c>
      <c r="D60" t="n">
        <v>10663</v>
      </c>
      <c r="E60" t="n">
        <v>11924</v>
      </c>
      <c r="F60" t="n">
        <v>21066</v>
      </c>
      <c r="G60" t="n">
        <v>20402</v>
      </c>
      <c r="H60" t="n">
        <v>21554</v>
      </c>
      <c r="I60" t="n">
        <v>25787</v>
      </c>
      <c r="J60" t="n">
        <v>28813</v>
      </c>
      <c r="K60" t="n">
        <v>29521</v>
      </c>
    </row>
    <row r="61" customFormat="1" s="187">
      <c r="A61" s="187" t="inlineStr">
        <is>
          <t>Total</t>
        </is>
      </c>
      <c r="B61" t="n">
        <v>15706</v>
      </c>
      <c r="C61" t="n">
        <v>17862</v>
      </c>
      <c r="D61" t="n">
        <v>18629</v>
      </c>
      <c r="E61" t="n">
        <v>20153</v>
      </c>
      <c r="F61" t="n">
        <v>68740</v>
      </c>
      <c r="G61" t="n">
        <v>70506</v>
      </c>
      <c r="H61" t="n">
        <v>73077</v>
      </c>
      <c r="I61" t="n">
        <v>78489</v>
      </c>
      <c r="J61" t="n">
        <v>79863</v>
      </c>
      <c r="K61" t="n">
        <v>79738</v>
      </c>
    </row>
    <row r="62">
      <c r="A62" s="188" t="inlineStr">
        <is>
          <t>Net Block</t>
        </is>
      </c>
      <c r="B62" t="n">
        <v>4419</v>
      </c>
      <c r="C62" t="n">
        <v>4528</v>
      </c>
      <c r="D62" t="n">
        <v>4715</v>
      </c>
      <c r="E62" t="n">
        <v>5479</v>
      </c>
      <c r="F62" t="n">
        <v>51443</v>
      </c>
      <c r="G62" t="n">
        <v>51473</v>
      </c>
      <c r="H62" t="n">
        <v>52678</v>
      </c>
      <c r="I62" t="n">
        <v>53744</v>
      </c>
      <c r="J62" t="n">
        <v>54335</v>
      </c>
      <c r="K62" t="n">
        <v>57428</v>
      </c>
    </row>
    <row r="63">
      <c r="A63" s="188" t="inlineStr">
        <is>
          <t>Capital Work in Progress</t>
        </is>
      </c>
      <c r="B63" t="n">
        <v>229</v>
      </c>
      <c r="C63" t="n">
        <v>461</v>
      </c>
      <c r="D63" t="n">
        <v>406</v>
      </c>
      <c r="E63" t="n">
        <v>597</v>
      </c>
      <c r="F63" t="n">
        <v>745</v>
      </c>
      <c r="G63" t="n">
        <v>1313</v>
      </c>
      <c r="H63" t="n">
        <v>1132</v>
      </c>
      <c r="I63" t="n">
        <v>1025</v>
      </c>
      <c r="J63" t="n">
        <v>1009</v>
      </c>
      <c r="K63" t="n">
        <v>880</v>
      </c>
    </row>
    <row r="64">
      <c r="A64" s="188" t="inlineStr">
        <is>
          <t>Investments</t>
        </is>
      </c>
      <c r="B64" t="n">
        <v>3794</v>
      </c>
      <c r="C64" t="n">
        <v>2873</v>
      </c>
      <c r="D64" t="n">
        <v>2716</v>
      </c>
      <c r="E64" t="n">
        <v>1255</v>
      </c>
      <c r="F64" t="n">
        <v>2709</v>
      </c>
      <c r="G64" t="n">
        <v>3521</v>
      </c>
      <c r="H64" t="n">
        <v>2882</v>
      </c>
      <c r="I64" t="n">
        <v>4625</v>
      </c>
      <c r="J64" t="n">
        <v>3810</v>
      </c>
      <c r="K64" t="n">
        <v>4359</v>
      </c>
    </row>
    <row r="65">
      <c r="A65" s="188" t="inlineStr">
        <is>
          <t>Other Assets</t>
        </is>
      </c>
      <c r="B65" t="n">
        <v>7264</v>
      </c>
      <c r="C65" t="n">
        <v>10000</v>
      </c>
      <c r="D65" t="n">
        <v>10792</v>
      </c>
      <c r="E65" t="n">
        <v>12822</v>
      </c>
      <c r="F65" t="n">
        <v>13843</v>
      </c>
      <c r="G65" t="n">
        <v>14199</v>
      </c>
      <c r="H65" t="n">
        <v>16385</v>
      </c>
      <c r="I65" t="n">
        <v>19095</v>
      </c>
      <c r="J65" t="n">
        <v>20709</v>
      </c>
      <c r="K65" t="n">
        <v>17071</v>
      </c>
    </row>
    <row r="66" customFormat="1" s="187">
      <c r="A66" s="187" t="inlineStr">
        <is>
          <t>Total</t>
        </is>
      </c>
      <c r="B66" t="n">
        <v>15706</v>
      </c>
      <c r="C66" t="n">
        <v>17862</v>
      </c>
      <c r="D66" t="n">
        <v>18629</v>
      </c>
      <c r="E66" t="n">
        <v>20153</v>
      </c>
      <c r="F66" t="n">
        <v>68740</v>
      </c>
      <c r="G66" t="n">
        <v>70506</v>
      </c>
      <c r="H66" t="n">
        <v>73077</v>
      </c>
      <c r="I66" t="n">
        <v>78489</v>
      </c>
      <c r="J66" t="n">
        <v>79863</v>
      </c>
      <c r="K66" t="n">
        <v>79738</v>
      </c>
    </row>
    <row r="67" customFormat="1" s="188">
      <c r="A67" s="188" t="inlineStr">
        <is>
          <t>Receivables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88" t="inlineStr">
        <is>
          <t>Inventory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93" t="inlineStr">
        <is>
          <t>Cash &amp; Bank</t>
        </is>
      </c>
      <c r="B69" t="n">
        <v>1089.6</v>
      </c>
      <c r="C69" t="n">
        <v>1500</v>
      </c>
      <c r="D69" t="n">
        <v>1618.8</v>
      </c>
      <c r="E69" t="n">
        <v>1923.3</v>
      </c>
      <c r="F69" t="n">
        <v>2076.45</v>
      </c>
      <c r="G69" t="n">
        <v>2129.85</v>
      </c>
      <c r="H69" t="n">
        <v>2457.75</v>
      </c>
      <c r="I69" t="n">
        <v>2864.25</v>
      </c>
      <c r="J69" t="n">
        <v>3106.35</v>
      </c>
      <c r="K69" t="n">
        <v>2560.65</v>
      </c>
    </row>
    <row r="70">
      <c r="A70" s="193" t="inlineStr">
        <is>
          <t>No. of Equity Shares</t>
        </is>
      </c>
      <c r="B70" t="n">
        <v>2160000000</v>
      </c>
      <c r="C70" t="n">
        <v>2160000000</v>
      </c>
      <c r="D70" t="n">
        <v>2160000000</v>
      </c>
      <c r="E70" t="n">
        <v>2160000000</v>
      </c>
      <c r="F70" t="n">
        <v>2350000000</v>
      </c>
      <c r="G70" t="n">
        <v>2350000000</v>
      </c>
      <c r="H70" t="n">
        <v>2350000000</v>
      </c>
      <c r="I70" t="n">
        <v>2350000000</v>
      </c>
      <c r="J70" t="n">
        <v>2350000000</v>
      </c>
      <c r="K70" t="n">
        <v>2350000000</v>
      </c>
    </row>
    <row r="71">
      <c r="A71" s="193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93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88" t="inlineStr">
        <is>
          <t>Other Assets</t>
        </is>
      </c>
      <c r="B74" s="193">
        <f>B65-SUM(B67:B69)</f>
        <v/>
      </c>
      <c r="C74" s="193">
        <f>C65-SUM(C67:C69)</f>
        <v/>
      </c>
      <c r="D74" s="193">
        <f>D65-SUM(D67:D69)</f>
        <v/>
      </c>
      <c r="E74" s="193">
        <f>E65-SUM(E67:E69)</f>
        <v/>
      </c>
      <c r="F74" s="193">
        <f>F65-SUM(F67:F69)</f>
        <v/>
      </c>
      <c r="G74" s="193">
        <f>G65-SUM(G67:G69)</f>
        <v/>
      </c>
      <c r="H74" s="193">
        <f>H65-SUM(H67:H69)</f>
        <v/>
      </c>
      <c r="I74" s="193">
        <f>I65-SUM(I67:I69)</f>
        <v/>
      </c>
      <c r="J74" s="193">
        <f>J65-SUM(J67:J69)</f>
        <v/>
      </c>
      <c r="K74" s="193">
        <f>K65-SUM(K67:K69)</f>
        <v/>
      </c>
    </row>
    <row r="75">
      <c r="A75" s="188" t="n"/>
      <c r="B75" s="193" t="n">
        <v>0</v>
      </c>
      <c r="C75" s="193" t="n">
        <v>0</v>
      </c>
      <c r="D75" s="193" t="n">
        <v>0</v>
      </c>
      <c r="E75" s="193" t="n">
        <v>0</v>
      </c>
      <c r="F75" s="193" t="n">
        <v>0</v>
      </c>
      <c r="G75" s="193" t="n">
        <v>0</v>
      </c>
      <c r="H75" s="193" t="n">
        <v>0</v>
      </c>
      <c r="I75" s="193" t="n">
        <v>0</v>
      </c>
      <c r="J75" s="193" t="n">
        <v>0</v>
      </c>
      <c r="K75" s="193" t="n">
        <v>0</v>
      </c>
    </row>
    <row r="76">
      <c r="A76" s="188" t="n"/>
    </row>
    <row r="77">
      <c r="A77" s="188" t="n"/>
    </row>
    <row r="78">
      <c r="A78" s="188" t="n"/>
    </row>
    <row r="79">
      <c r="A79" s="188" t="n"/>
    </row>
    <row r="80">
      <c r="A80" s="187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87">
      <c r="A82" s="188" t="inlineStr">
        <is>
          <t>Cash from Operating Activity</t>
        </is>
      </c>
      <c r="B82" t="n">
        <v>5185</v>
      </c>
      <c r="C82" t="n">
        <v>6059</v>
      </c>
      <c r="D82" t="n">
        <v>5800</v>
      </c>
      <c r="E82" t="n">
        <v>7623</v>
      </c>
      <c r="F82" t="n">
        <v>9163</v>
      </c>
      <c r="G82" t="n">
        <v>9048</v>
      </c>
      <c r="H82" t="n">
        <v>9991</v>
      </c>
      <c r="I82" t="n">
        <v>15469</v>
      </c>
      <c r="J82" t="n">
        <v>11886</v>
      </c>
      <c r="K82" t="n">
        <v>10999</v>
      </c>
    </row>
    <row r="83" customFormat="1" s="188">
      <c r="A83" s="188" t="inlineStr">
        <is>
          <t>Cash from Investing Activity</t>
        </is>
      </c>
      <c r="B83" t="n">
        <v>-1173</v>
      </c>
      <c r="C83" t="n">
        <v>-1063</v>
      </c>
      <c r="D83" t="n">
        <v>-438</v>
      </c>
      <c r="E83" t="n">
        <v>1791</v>
      </c>
      <c r="F83" t="n">
        <v>-1228</v>
      </c>
      <c r="G83" t="n">
        <v>-1728</v>
      </c>
      <c r="H83" t="n">
        <v>-1484</v>
      </c>
      <c r="I83" t="n">
        <v>-5324</v>
      </c>
      <c r="J83" t="n">
        <v>6473</v>
      </c>
      <c r="K83" t="n">
        <v>-3676</v>
      </c>
    </row>
    <row r="84" customFormat="1" s="188">
      <c r="A84" s="188" t="inlineStr">
        <is>
          <t>Cash from Financing Activity</t>
        </is>
      </c>
      <c r="B84" t="n">
        <v>-4214</v>
      </c>
      <c r="C84" t="n">
        <v>-4975</v>
      </c>
      <c r="D84" t="n">
        <v>-5390</v>
      </c>
      <c r="E84" t="n">
        <v>-6819</v>
      </c>
      <c r="F84" t="n">
        <v>-9309</v>
      </c>
      <c r="G84" t="n">
        <v>-8015</v>
      </c>
      <c r="H84" t="n">
        <v>-8953</v>
      </c>
      <c r="I84" t="n">
        <v>-10034</v>
      </c>
      <c r="J84" t="n">
        <v>-13101</v>
      </c>
      <c r="K84" t="n">
        <v>-10810</v>
      </c>
    </row>
    <row r="85" customFormat="1" s="187">
      <c r="A85" s="188" t="inlineStr">
        <is>
          <t>Net Cash Flow</t>
        </is>
      </c>
      <c r="B85" t="n">
        <v>-202</v>
      </c>
      <c r="C85" t="n">
        <v>21</v>
      </c>
      <c r="D85" t="n">
        <v>-28</v>
      </c>
      <c r="E85" t="n">
        <v>2595</v>
      </c>
      <c r="F85" t="n">
        <v>-1374</v>
      </c>
      <c r="G85" t="n">
        <v>-695</v>
      </c>
      <c r="H85" t="n">
        <v>-446</v>
      </c>
      <c r="I85" t="n">
        <v>111</v>
      </c>
      <c r="J85" t="n">
        <v>5258</v>
      </c>
      <c r="K85" t="n">
        <v>-3487</v>
      </c>
    </row>
    <row r="86">
      <c r="A86" s="188" t="n"/>
    </row>
    <row r="87">
      <c r="A87" s="188" t="n"/>
    </row>
    <row r="88">
      <c r="A88" s="188" t="n"/>
    </row>
    <row r="89">
      <c r="A89" s="188" t="n"/>
    </row>
    <row r="90" customFormat="1" s="187">
      <c r="A90" s="187" t="inlineStr">
        <is>
          <t>PRICE:</t>
        </is>
      </c>
      <c r="B90" t="n">
        <v>839.49</v>
      </c>
      <c r="C90" t="n">
        <v>1267.4</v>
      </c>
      <c r="D90" t="n">
        <v>1660.18</v>
      </c>
      <c r="E90" t="n">
        <v>2081.39</v>
      </c>
      <c r="F90" t="n">
        <v>2040.52</v>
      </c>
      <c r="G90" t="n">
        <v>1932.8</v>
      </c>
      <c r="H90" t="n">
        <v>2364.92</v>
      </c>
      <c r="I90" t="n">
        <v>2312.47</v>
      </c>
      <c r="J90" t="n">
        <v>2096.22</v>
      </c>
      <c r="K90" t="n">
        <v>2338.1</v>
      </c>
    </row>
    <row r="92" customFormat="1" s="187">
      <c r="A92" s="187" t="inlineStr">
        <is>
          <t>DERIVED:</t>
        </is>
      </c>
    </row>
    <row r="93">
      <c r="A93" s="193" t="inlineStr">
        <is>
          <t>Adjusted Equity Shares in Cr</t>
        </is>
      </c>
      <c r="B93" s="198" t="n">
        <v>216.96</v>
      </c>
      <c r="C93" s="198" t="n">
        <v>216.96</v>
      </c>
      <c r="D93" s="198" t="n">
        <v>216.96</v>
      </c>
      <c r="E93" s="198" t="n">
        <v>216.96</v>
      </c>
      <c r="F93" s="198" t="n">
        <v>216.96</v>
      </c>
      <c r="G93" s="198" t="n">
        <v>216.96</v>
      </c>
      <c r="H93" s="198" t="n">
        <v>216.96</v>
      </c>
      <c r="I93" s="198" t="n">
        <v>216.96</v>
      </c>
      <c r="J93" s="198" t="n">
        <v>216.96</v>
      </c>
      <c r="K93" s="198" t="n">
        <v>235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76" min="1" max="1"/>
    <col width="26.44140625" customWidth="1" style="176" min="2" max="2"/>
    <col width="18.77734375" customWidth="1" style="176" min="16" max="16"/>
  </cols>
  <sheetData>
    <row r="2">
      <c r="B2" s="177" t="inlineStr">
        <is>
          <t>Cash Flow Statement - HINDUSTAN UNILEVER LTD</t>
        </is>
      </c>
    </row>
    <row r="4">
      <c r="B4" s="49" t="inlineStr">
        <is>
          <t>Particulars</t>
        </is>
      </c>
      <c r="C4" s="50" t="inlineStr">
        <is>
          <t>Mar 2015</t>
        </is>
      </c>
      <c r="D4" s="50" t="inlineStr">
        <is>
          <t>Mar 2016</t>
        </is>
      </c>
      <c r="E4" s="50" t="inlineStr">
        <is>
          <t>Mar 2017</t>
        </is>
      </c>
      <c r="F4" s="50" t="inlineStr">
        <is>
          <t>Mar 2018</t>
        </is>
      </c>
      <c r="G4" s="50" t="inlineStr">
        <is>
          <t>Mar 2019</t>
        </is>
      </c>
      <c r="H4" s="50" t="inlineStr">
        <is>
          <t>Mar 2020</t>
        </is>
      </c>
      <c r="I4" s="50" t="inlineStr">
        <is>
          <t>Mar 2021</t>
        </is>
      </c>
      <c r="J4" s="50" t="inlineStr">
        <is>
          <t>Mar 2022</t>
        </is>
      </c>
      <c r="K4" s="50" t="inlineStr">
        <is>
          <t>Mar 2023</t>
        </is>
      </c>
      <c r="L4" s="50" t="inlineStr">
        <is>
          <t>Mar 2024</t>
        </is>
      </c>
      <c r="M4" s="50" t="inlineStr">
        <is>
          <t>Mar 2025</t>
        </is>
      </c>
      <c r="N4" s="50" t="inlineStr">
        <is>
          <t>Mar 2026</t>
        </is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76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3292</v>
      </c>
      <c r="D6" s="73" t="n">
        <v>4171</v>
      </c>
      <c r="E6" s="73" t="n">
        <v>5185</v>
      </c>
      <c r="F6" s="73" t="n">
        <v>6059</v>
      </c>
      <c r="G6" s="73" t="n">
        <v>5800</v>
      </c>
      <c r="H6" s="73" t="n">
        <v>7623</v>
      </c>
      <c r="I6" s="73" t="n">
        <v>9163</v>
      </c>
      <c r="J6" s="73" t="n">
        <v>9048</v>
      </c>
      <c r="K6" s="73" t="n">
        <v>9991</v>
      </c>
      <c r="L6" s="73" t="n">
        <v>15469</v>
      </c>
      <c r="M6" s="73" t="n">
        <v>11886</v>
      </c>
      <c r="N6" s="73" t="n">
        <v>10999</v>
      </c>
    </row>
    <row r="7">
      <c r="B7" t="inlineStr">
        <is>
          <t>Profit from operations</t>
        </is>
      </c>
      <c r="C7" s="73" t="n">
        <v>5510</v>
      </c>
      <c r="D7" s="73" t="n">
        <v>6025</v>
      </c>
      <c r="E7" s="73" t="n">
        <v>6512</v>
      </c>
      <c r="F7" s="73" t="n">
        <v>7485</v>
      </c>
      <c r="G7" s="73" t="n">
        <v>8909</v>
      </c>
      <c r="H7" s="73" t="n">
        <v>9723</v>
      </c>
      <c r="I7" s="73" t="n">
        <v>11672</v>
      </c>
      <c r="J7" s="73" t="n">
        <v>12829</v>
      </c>
      <c r="K7" s="73" t="n">
        <v>14089</v>
      </c>
      <c r="L7" s="73" t="n">
        <v>14537</v>
      </c>
      <c r="M7" s="73" t="n">
        <v>14942</v>
      </c>
      <c r="N7" s="73" t="n">
        <v>15153</v>
      </c>
    </row>
    <row r="8">
      <c r="B8" t="inlineStr">
        <is>
          <t>Receivables</t>
        </is>
      </c>
      <c r="C8" t="n">
        <v>3</v>
      </c>
      <c r="D8" t="n">
        <v>-257</v>
      </c>
      <c r="E8" t="n">
        <v>173</v>
      </c>
      <c r="F8" t="n">
        <v>0</v>
      </c>
      <c r="G8" t="n">
        <v>0</v>
      </c>
      <c r="H8" s="73" t="n">
        <v>0</v>
      </c>
      <c r="I8" t="n">
        <v>0</v>
      </c>
      <c r="J8" t="n">
        <v>0</v>
      </c>
      <c r="K8" t="n">
        <v>0</v>
      </c>
      <c r="L8" t="n">
        <v>0</v>
      </c>
      <c r="M8" s="73" t="n">
        <v>0</v>
      </c>
      <c r="N8" t="n">
        <v>0</v>
      </c>
    </row>
    <row r="9">
      <c r="B9" t="inlineStr">
        <is>
          <t>Inventory</t>
        </is>
      </c>
      <c r="C9" t="n">
        <v>91</v>
      </c>
      <c r="D9" t="n">
        <v>89</v>
      </c>
      <c r="E9" t="n">
        <v>37</v>
      </c>
      <c r="F9" t="n">
        <v>-146</v>
      </c>
      <c r="G9" t="n">
        <v>-195</v>
      </c>
      <c r="H9" t="n">
        <v>-331</v>
      </c>
      <c r="I9" s="73" t="n">
        <v>-543</v>
      </c>
      <c r="J9" t="n">
        <v>-758</v>
      </c>
      <c r="K9" s="73" t="n">
        <v>-339</v>
      </c>
      <c r="L9" s="73" t="n">
        <v>74</v>
      </c>
      <c r="M9" s="73" t="n">
        <v>-584</v>
      </c>
      <c r="N9" s="73" t="n">
        <v>-692</v>
      </c>
    </row>
    <row r="10">
      <c r="B10" t="inlineStr">
        <is>
          <t>Payables</t>
        </is>
      </c>
      <c r="C10" t="n">
        <v>-327</v>
      </c>
      <c r="D10" t="n">
        <v>164</v>
      </c>
      <c r="E10" t="n">
        <v>501</v>
      </c>
      <c r="F10" s="73" t="n">
        <v>0</v>
      </c>
      <c r="G10" t="n">
        <v>0</v>
      </c>
      <c r="H10" t="n">
        <v>0</v>
      </c>
      <c r="I10" s="73" t="n">
        <v>0</v>
      </c>
      <c r="J10" s="73" t="n">
        <v>0</v>
      </c>
      <c r="K10" s="73" t="n">
        <v>0</v>
      </c>
      <c r="L10" t="n">
        <v>0</v>
      </c>
      <c r="M10" s="73" t="n">
        <v>0</v>
      </c>
      <c r="N10" t="n">
        <v>0</v>
      </c>
    </row>
    <row r="11">
      <c r="B11" t="inlineStr">
        <is>
          <t>Working capital changes</t>
        </is>
      </c>
      <c r="C11" t="n">
        <v>-342</v>
      </c>
      <c r="D11" t="n">
        <v>-81</v>
      </c>
      <c r="E11" t="n">
        <v>566</v>
      </c>
      <c r="F11" s="73" t="n">
        <v>836</v>
      </c>
      <c r="G11" t="n">
        <v>-342</v>
      </c>
      <c r="H11" t="n">
        <v>411</v>
      </c>
      <c r="I11" t="n">
        <v>-101</v>
      </c>
      <c r="J11" t="n">
        <v>-1000</v>
      </c>
      <c r="K11" t="n">
        <v>-960</v>
      </c>
      <c r="L11" s="73" t="n">
        <v>1313</v>
      </c>
      <c r="M11" s="73" t="n">
        <v>-788</v>
      </c>
      <c r="N11" s="73" t="n">
        <v>686</v>
      </c>
    </row>
    <row r="12">
      <c r="B12" t="inlineStr">
        <is>
          <t>Direct taxes</t>
        </is>
      </c>
      <c r="C12" s="73" t="n">
        <v>-1862</v>
      </c>
      <c r="D12" s="73" t="n">
        <v>-1765</v>
      </c>
      <c r="E12" s="73" t="n">
        <v>-1859</v>
      </c>
      <c r="F12" s="73" t="n">
        <v>-2264</v>
      </c>
      <c r="G12" s="73" t="n">
        <v>-2767</v>
      </c>
      <c r="H12" s="73" t="n">
        <v>-2505</v>
      </c>
      <c r="I12" s="73" t="n">
        <v>-2407</v>
      </c>
      <c r="J12" s="73" t="n">
        <v>-2784</v>
      </c>
      <c r="K12" s="73" t="n">
        <v>-3138</v>
      </c>
      <c r="L12" s="73" t="n">
        <v>-381</v>
      </c>
      <c r="M12" s="73" t="n">
        <v>-2268</v>
      </c>
      <c r="N12" s="73" t="n">
        <v>-4840</v>
      </c>
    </row>
    <row r="13">
      <c r="B13" t="inlineStr">
        <is>
          <t>Cash from Investing Activity -</t>
        </is>
      </c>
      <c r="C13" s="73" t="n">
        <v>138</v>
      </c>
      <c r="D13" s="73" t="n">
        <v>-282</v>
      </c>
      <c r="E13" s="73" t="n">
        <v>-1173</v>
      </c>
      <c r="F13" s="73" t="n">
        <v>-1063</v>
      </c>
      <c r="G13" s="73" t="n">
        <v>-438</v>
      </c>
      <c r="H13" s="73" t="n">
        <v>1791</v>
      </c>
      <c r="I13" s="73" t="n">
        <v>-1228</v>
      </c>
      <c r="J13" s="73" t="n">
        <v>-1728</v>
      </c>
      <c r="K13" s="73" t="n">
        <v>-1484</v>
      </c>
      <c r="L13" s="73" t="n">
        <v>-5324</v>
      </c>
      <c r="M13" t="n">
        <v>6473</v>
      </c>
      <c r="N13" s="73" t="n">
        <v>-3676</v>
      </c>
    </row>
    <row r="14">
      <c r="B14" t="inlineStr">
        <is>
          <t>Fixed assets purchased</t>
        </is>
      </c>
      <c r="C14" s="73" t="n">
        <v>-606</v>
      </c>
      <c r="D14" s="73" t="n">
        <v>-810</v>
      </c>
      <c r="E14" s="73" t="n">
        <v>-1113</v>
      </c>
      <c r="F14" s="73" t="n">
        <v>-895</v>
      </c>
      <c r="G14" s="73" t="n">
        <v>-767</v>
      </c>
      <c r="H14" s="73" t="n">
        <v>-862</v>
      </c>
      <c r="I14" s="73" t="n">
        <v>-4163</v>
      </c>
      <c r="J14" s="73" t="n">
        <v>-1228</v>
      </c>
      <c r="K14" s="73" t="n">
        <v>-1192</v>
      </c>
      <c r="L14" s="73" t="n">
        <v>-1477</v>
      </c>
      <c r="M14" s="73" t="n">
        <v>-1275</v>
      </c>
      <c r="N14" s="73" t="n">
        <v>-1361</v>
      </c>
    </row>
    <row r="15">
      <c r="B15" t="inlineStr">
        <is>
          <t>Fixed assets sold</t>
        </is>
      </c>
      <c r="C15" t="n">
        <v>560</v>
      </c>
      <c r="D15" t="n">
        <v>99</v>
      </c>
      <c r="E15" t="n">
        <v>176</v>
      </c>
      <c r="F15" t="n">
        <v>32</v>
      </c>
      <c r="G15" t="n">
        <v>13</v>
      </c>
      <c r="H15" t="n">
        <v>52</v>
      </c>
      <c r="I15" t="n">
        <v>97</v>
      </c>
      <c r="J15" t="n">
        <v>175</v>
      </c>
      <c r="K15" t="n">
        <v>181</v>
      </c>
      <c r="L15" t="n">
        <v>20</v>
      </c>
      <c r="M15" t="n">
        <v>13</v>
      </c>
      <c r="N15" t="n">
        <v>29</v>
      </c>
    </row>
    <row r="16">
      <c r="B16" t="inlineStr">
        <is>
          <t>Investments purchased</t>
        </is>
      </c>
      <c r="C16" s="73" t="n">
        <v>-19353</v>
      </c>
      <c r="D16" s="73" t="n">
        <v>-20666</v>
      </c>
      <c r="E16" s="73" t="n">
        <v>-31214</v>
      </c>
      <c r="F16" s="73" t="n">
        <v>-51855</v>
      </c>
      <c r="G16" s="73" t="n">
        <v>-74365</v>
      </c>
      <c r="H16" s="73" t="n">
        <v>-36090</v>
      </c>
      <c r="I16" s="73" t="n">
        <v>-39920</v>
      </c>
      <c r="J16" s="73" t="n">
        <v>-48522</v>
      </c>
      <c r="K16" s="73" t="n">
        <v>-22649</v>
      </c>
      <c r="L16" s="73" t="n">
        <v>-21337</v>
      </c>
      <c r="M16" s="73" t="n">
        <v>-22957</v>
      </c>
      <c r="N16" s="73" t="n">
        <v>-25529</v>
      </c>
    </row>
    <row r="17">
      <c r="B17" t="inlineStr">
        <is>
          <t>Investments sold</t>
        </is>
      </c>
      <c r="C17" s="73" t="n">
        <v>19461</v>
      </c>
      <c r="D17" s="73" t="n">
        <v>20937</v>
      </c>
      <c r="E17" s="73" t="n">
        <v>30083</v>
      </c>
      <c r="F17" s="73" t="n">
        <v>52897</v>
      </c>
      <c r="G17" s="73" t="n">
        <v>74691</v>
      </c>
      <c r="H17" s="73" t="n">
        <v>37690</v>
      </c>
      <c r="I17" s="73" t="n">
        <v>38486</v>
      </c>
      <c r="J17" s="73" t="n">
        <v>47786</v>
      </c>
      <c r="K17" s="73" t="n">
        <v>23462</v>
      </c>
      <c r="L17" s="73" t="n">
        <v>19846</v>
      </c>
      <c r="M17" s="73" t="n">
        <v>23987</v>
      </c>
      <c r="N17" s="73" t="n">
        <v>25117</v>
      </c>
    </row>
    <row r="18">
      <c r="B18" t="inlineStr">
        <is>
          <t>Interest received</t>
        </is>
      </c>
      <c r="C18" t="n">
        <v>218</v>
      </c>
      <c r="D18" t="n">
        <v>315</v>
      </c>
      <c r="E18" t="n">
        <v>264</v>
      </c>
      <c r="F18" t="n">
        <v>297</v>
      </c>
      <c r="G18" s="73" t="n">
        <v>289</v>
      </c>
      <c r="H18" s="73" t="n">
        <v>351</v>
      </c>
      <c r="I18" s="73" t="n">
        <v>277</v>
      </c>
      <c r="J18" s="73" t="n">
        <v>161</v>
      </c>
      <c r="K18" s="73" t="n">
        <v>259</v>
      </c>
      <c r="L18" s="73" t="n">
        <v>425</v>
      </c>
      <c r="M18" s="73" t="n">
        <v>835</v>
      </c>
      <c r="N18" t="n">
        <v>428</v>
      </c>
    </row>
    <row r="19">
      <c r="B19" t="inlineStr">
        <is>
          <t>Dividends received</t>
        </is>
      </c>
      <c r="C19" t="n">
        <v>24</v>
      </c>
      <c r="D19" t="n">
        <v>33</v>
      </c>
      <c r="E19" t="n">
        <v>14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2</v>
      </c>
      <c r="L19" t="n">
        <v>3</v>
      </c>
      <c r="M19" t="n">
        <v>0</v>
      </c>
      <c r="N19" t="n">
        <v>5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200</v>
      </c>
      <c r="D22" t="n">
        <v>161</v>
      </c>
      <c r="E22" t="n">
        <v>20</v>
      </c>
      <c r="F22" t="n">
        <v>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298</v>
      </c>
    </row>
    <row r="23">
      <c r="B23" t="inlineStr">
        <is>
          <t>Other investing items</t>
        </is>
      </c>
      <c r="C23" s="73" t="n">
        <v>-367</v>
      </c>
      <c r="D23" s="73" t="n">
        <v>-351</v>
      </c>
      <c r="E23" s="73" t="n">
        <v>597</v>
      </c>
      <c r="F23" s="73" t="n">
        <v>-1612</v>
      </c>
      <c r="G23" s="73" t="n">
        <v>-300</v>
      </c>
      <c r="H23" s="73" t="n">
        <v>649</v>
      </c>
      <c r="I23" s="73" t="n">
        <v>3994</v>
      </c>
      <c r="J23" s="73" t="n">
        <v>-101</v>
      </c>
      <c r="K23" t="n">
        <v>-1213</v>
      </c>
      <c r="L23" s="73" t="n">
        <v>-2804</v>
      </c>
      <c r="M23" t="n">
        <v>5870</v>
      </c>
      <c r="N23" s="73" t="n">
        <v>-2663</v>
      </c>
    </row>
    <row r="24">
      <c r="B24" t="inlineStr">
        <is>
          <t>Cash from Financing Activity -</t>
        </is>
      </c>
      <c r="C24" s="73" t="n">
        <v>-3462</v>
      </c>
      <c r="D24" s="73" t="n">
        <v>-3864</v>
      </c>
      <c r="E24" s="73" t="n">
        <v>-4214</v>
      </c>
      <c r="F24" s="73" t="n">
        <v>-4975</v>
      </c>
      <c r="G24" s="73" t="n">
        <v>-5390</v>
      </c>
      <c r="H24" s="73" t="n">
        <v>-6819</v>
      </c>
      <c r="I24" s="73" t="n">
        <v>-9309</v>
      </c>
      <c r="J24" s="73" t="n">
        <v>-8015</v>
      </c>
      <c r="K24" s="73" t="n">
        <v>-8953</v>
      </c>
      <c r="L24" s="73" t="n">
        <v>-10034</v>
      </c>
      <c r="M24" s="73" t="n">
        <v>-13101</v>
      </c>
      <c r="N24" s="73" t="n">
        <v>-10810</v>
      </c>
    </row>
    <row r="25">
      <c r="B25" t="inlineStr">
        <is>
          <t>Proceeds from shares</t>
        </is>
      </c>
      <c r="C25" t="n">
        <v>2</v>
      </c>
      <c r="D25" t="n">
        <v>0</v>
      </c>
      <c r="E25" s="73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s="73" t="n">
        <v>0</v>
      </c>
      <c r="L25" s="73" t="n">
        <v>0</v>
      </c>
      <c r="M25" t="n">
        <v>0</v>
      </c>
      <c r="N25" t="n">
        <v>0</v>
      </c>
    </row>
    <row r="26">
      <c r="B26" t="inlineStr">
        <is>
          <t>Proceeds from borrowings</t>
        </is>
      </c>
      <c r="C26" t="n">
        <v>0</v>
      </c>
      <c r="D26" t="n">
        <v>177</v>
      </c>
      <c r="E26" t="n">
        <v>460</v>
      </c>
      <c r="F26" t="n">
        <v>0</v>
      </c>
      <c r="G26" t="n">
        <v>99</v>
      </c>
      <c r="H26" t="n">
        <v>0</v>
      </c>
      <c r="I26" t="n">
        <v>188</v>
      </c>
      <c r="J26" t="n">
        <v>55</v>
      </c>
      <c r="K26" t="n">
        <v>286</v>
      </c>
      <c r="L26" t="n">
        <v>0</v>
      </c>
      <c r="M26" t="n">
        <v>0</v>
      </c>
      <c r="N26" s="73" t="n">
        <v>0</v>
      </c>
    </row>
    <row r="27">
      <c r="B27" t="inlineStr">
        <is>
          <t>Repayment of borrowings</t>
        </is>
      </c>
      <c r="C27" t="n">
        <v>-3</v>
      </c>
      <c r="D27" t="n">
        <v>0</v>
      </c>
      <c r="E27" t="n">
        <v>-360</v>
      </c>
      <c r="F27" t="n">
        <v>-277</v>
      </c>
      <c r="G27" t="n">
        <v>0</v>
      </c>
      <c r="H27" t="n">
        <v>-99</v>
      </c>
      <c r="I27" t="n">
        <v>-188</v>
      </c>
      <c r="J27" t="n">
        <v>-55</v>
      </c>
      <c r="K27" t="n">
        <v>-208</v>
      </c>
      <c r="L27" t="n">
        <v>-85</v>
      </c>
      <c r="M27" t="n">
        <v>0</v>
      </c>
      <c r="N27" t="n">
        <v>-46</v>
      </c>
    </row>
    <row r="28">
      <c r="B28" t="inlineStr">
        <is>
          <t>Interest paid fin</t>
        </is>
      </c>
      <c r="C28" t="n">
        <v>-18</v>
      </c>
      <c r="D28" t="n">
        <v>-2</v>
      </c>
      <c r="E28" t="n">
        <v>-14</v>
      </c>
      <c r="F28" t="n">
        <v>-6</v>
      </c>
      <c r="G28" t="n">
        <v>-7</v>
      </c>
      <c r="H28" t="n">
        <v>-90</v>
      </c>
      <c r="I28" t="n">
        <v>-92</v>
      </c>
      <c r="J28" t="n">
        <v>-82</v>
      </c>
      <c r="K28" t="n">
        <v>-88</v>
      </c>
      <c r="L28" t="n">
        <v>-110</v>
      </c>
      <c r="M28" t="n">
        <v>-130</v>
      </c>
      <c r="N28" t="n">
        <v>-133</v>
      </c>
    </row>
    <row r="29">
      <c r="B29" t="inlineStr">
        <is>
          <t>Dividends paid</t>
        </is>
      </c>
      <c r="C29" s="73" t="n">
        <v>-2912</v>
      </c>
      <c r="D29" s="73" t="n">
        <v>-3354</v>
      </c>
      <c r="E29" s="73" t="n">
        <v>-3572</v>
      </c>
      <c r="F29" s="73" t="n">
        <v>-3911</v>
      </c>
      <c r="G29" s="73" t="n">
        <v>-4554</v>
      </c>
      <c r="H29" s="73" t="n">
        <v>-5196</v>
      </c>
      <c r="I29" s="73" t="n">
        <v>-8811</v>
      </c>
      <c r="J29" s="73" t="n">
        <v>-7526</v>
      </c>
      <c r="K29" s="73" t="n">
        <v>-8474</v>
      </c>
      <c r="L29" s="73" t="n">
        <v>-9416</v>
      </c>
      <c r="M29" s="73" t="n">
        <v>-12473</v>
      </c>
      <c r="N29" s="73" t="n">
        <v>-10124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-373</v>
      </c>
      <c r="I30" t="n">
        <v>-406</v>
      </c>
      <c r="J30" t="n">
        <v>-407</v>
      </c>
      <c r="K30" t="n">
        <v>-467</v>
      </c>
      <c r="L30" t="n">
        <v>-423</v>
      </c>
      <c r="M30" t="n">
        <v>-498</v>
      </c>
      <c r="N30" t="n">
        <v>-507</v>
      </c>
    </row>
    <row r="31">
      <c r="B31" t="inlineStr">
        <is>
          <t>Other financing items</t>
        </is>
      </c>
      <c r="C31" t="n">
        <v>-533</v>
      </c>
      <c r="D31" t="n">
        <v>-685</v>
      </c>
      <c r="E31" s="73" t="n">
        <v>-728</v>
      </c>
      <c r="F31" s="73" t="n">
        <v>-781</v>
      </c>
      <c r="G31" s="73" t="n">
        <v>-928</v>
      </c>
      <c r="H31" s="73" t="n">
        <v>-1061</v>
      </c>
      <c r="I31" t="n">
        <v>0</v>
      </c>
      <c r="J31" t="n">
        <v>0</v>
      </c>
      <c r="K31" t="n">
        <v>-2</v>
      </c>
      <c r="L31" t="n">
        <v>0</v>
      </c>
      <c r="M31" t="n">
        <v>0</v>
      </c>
      <c r="N31" t="n">
        <v>0</v>
      </c>
    </row>
    <row r="32">
      <c r="B32" t="inlineStr">
        <is>
          <t>Net Cash Flow</t>
        </is>
      </c>
      <c r="C32" t="n">
        <v>-33</v>
      </c>
      <c r="D32" t="n">
        <v>25</v>
      </c>
      <c r="E32" t="n">
        <v>-202</v>
      </c>
      <c r="F32" t="n">
        <v>21</v>
      </c>
      <c r="G32" t="n">
        <v>-28</v>
      </c>
      <c r="H32" t="n">
        <v>2595</v>
      </c>
      <c r="I32" t="n">
        <v>-1374</v>
      </c>
      <c r="J32" t="n">
        <v>-695</v>
      </c>
      <c r="K32" t="n">
        <v>-446</v>
      </c>
      <c r="L32" t="n">
        <v>111</v>
      </c>
      <c r="M32" t="n">
        <v>5258</v>
      </c>
      <c r="N32" t="n">
        <v>-3487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76" min="1" max="1"/>
    <col width="30.33203125" customWidth="1" style="176" min="2" max="2"/>
    <col width="12.109375" bestFit="1" customWidth="1" style="176" min="3" max="3"/>
    <col width="10.44140625" bestFit="1" customWidth="1" style="176" min="4" max="12"/>
  </cols>
  <sheetData>
    <row r="2">
      <c r="B2" s="177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Sheet'!B23+'Data Sheet'!B24</f>
        <v/>
      </c>
      <c r="D16" s="107">
        <f>'Data Sheet'!C23+'Data Sheet'!C24</f>
        <v/>
      </c>
      <c r="E16" s="107">
        <f>'Data Sheet'!D23+'Data Sheet'!D24</f>
        <v/>
      </c>
      <c r="F16" s="107">
        <f>'Data Sheet'!E23+'Data Sheet'!E24</f>
        <v/>
      </c>
      <c r="G16" s="107">
        <f>'Data Sheet'!F23+'Data Sheet'!F24</f>
        <v/>
      </c>
      <c r="H16" s="107">
        <f>'Data Sheet'!G23+'Data Sheet'!G24</f>
        <v/>
      </c>
      <c r="I16" s="107">
        <f>'Data Sheet'!H23+'Data Sheet'!H24</f>
        <v/>
      </c>
      <c r="J16" s="107">
        <f>'Data Sheet'!I23+'Data Sheet'!I24</f>
        <v/>
      </c>
      <c r="K16" s="107">
        <f>'Data Sheet'!J23+'Data Sheet'!J24</f>
        <v/>
      </c>
      <c r="L16" s="107">
        <f>'Data Sheet'!K23+'Data Sheet'!K24</f>
        <v/>
      </c>
      <c r="M16">
        <f>'Data Sheet'!L23+'Data Sheet'!L24</f>
        <v/>
      </c>
      <c r="N16">
        <f>'Data Sheet'!M23+'Data Sheet'!M24</f>
        <v/>
      </c>
      <c r="O16">
        <f>'Data Sheet'!N23+'Data Sheet'!N24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95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95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95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95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95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95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95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95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95">
        <f>'Data Sheet'!A65</f>
        <v/>
      </c>
      <c r="C60" s="107">
        <f>'Data Sheet'!B75</f>
        <v/>
      </c>
      <c r="D60" s="107">
        <f>'Data Sheet'!C75</f>
        <v/>
      </c>
      <c r="E60" s="107">
        <f>'Data Sheet'!D75</f>
        <v/>
      </c>
      <c r="F60" s="107">
        <f>'Data Sheet'!E75</f>
        <v/>
      </c>
      <c r="G60" s="107">
        <f>'Data Sheet'!F75</f>
        <v/>
      </c>
      <c r="H60" s="107">
        <f>'Data Sheet'!G75</f>
        <v/>
      </c>
      <c r="I60" s="107">
        <f>'Data Sheet'!H75</f>
        <v/>
      </c>
      <c r="J60" s="107">
        <f>'Data Sheet'!I75</f>
        <v/>
      </c>
      <c r="K60" s="107">
        <f>'Data Sheet'!J75</f>
        <v/>
      </c>
      <c r="L60" s="107">
        <f>'Data Sheet'!K75</f>
        <v/>
      </c>
      <c r="M60" s="195">
        <f>'Data Sheet'!L75</f>
        <v/>
      </c>
      <c r="N60" s="195">
        <f>'Data Sheet'!M75</f>
        <v/>
      </c>
      <c r="O60" s="195">
        <f>'Data Sheet'!N75</f>
        <v/>
      </c>
    </row>
    <row r="61">
      <c r="B61" s="195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95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95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95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95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95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95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76" min="1" max="1"/>
    <col width="28.6640625" customWidth="1" style="176" min="2" max="2"/>
    <col width="10" bestFit="1" customWidth="1" style="176" min="3" max="5"/>
    <col width="10" bestFit="1" customWidth="1" style="176" min="14" max="14"/>
  </cols>
  <sheetData>
    <row r="2">
      <c r="B2" s="177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FS'!C25/'Historical FS'!C7,0)</f>
        <v/>
      </c>
      <c r="D13" s="36">
        <f>IFERROR('Historical FS'!D25/'Historical FS'!D7,0)</f>
        <v/>
      </c>
      <c r="E13" s="36">
        <f>IFERROR('Historical FS'!E25/'Historical FS'!E7,0)</f>
        <v/>
      </c>
      <c r="F13" s="36">
        <f>IFERROR('Historical FS'!F25/'Historical FS'!F7,0)</f>
        <v/>
      </c>
      <c r="G13" s="36">
        <f>IFERROR('Historical FS'!G25/'Historical FS'!G7,0)</f>
        <v/>
      </c>
      <c r="H13" s="36">
        <f>IFERROR('Historical FS'!H25/'Historical FS'!H7,0)</f>
        <v/>
      </c>
      <c r="I13" s="36">
        <f>IFERROR('Historical FS'!I25/'Historical FS'!I7,0)</f>
        <v/>
      </c>
      <c r="J13" s="36">
        <f>IFERROR('Historical FS'!J25/'Historical FS'!J7,0)</f>
        <v/>
      </c>
      <c r="K13" s="36">
        <f>IFERROR('Historical FS'!K25/'Historical FS'!K7,0)</f>
        <v/>
      </c>
      <c r="L13" s="36">
        <f>IFERROR('Historical FS'!L25/'Historical FS'!L7,0)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76" min="1" max="1"/>
    <col width="11.109375" bestFit="1" customWidth="1" style="176" min="2" max="2"/>
    <col width="9.6640625" bestFit="1" customWidth="1" style="176" min="3" max="3"/>
    <col width="12" customWidth="1" style="176" min="4" max="4"/>
    <col width="13.21875" customWidth="1" style="176" min="5" max="5"/>
    <col width="2" customWidth="1" style="176" min="6" max="6"/>
    <col width="11.21875" customWidth="1" style="176" min="7" max="7"/>
    <col width="12.109375" customWidth="1" style="176" min="9" max="9"/>
    <col width="12.44140625" customWidth="1" style="176" min="10" max="10"/>
    <col width="2" customWidth="1" style="176" min="11" max="11"/>
    <col width="12.33203125" customWidth="1" style="176" min="12" max="12"/>
    <col width="9.6640625" bestFit="1" customWidth="1" style="176" min="13" max="13"/>
    <col width="10.33203125" customWidth="1" style="176" min="14" max="14"/>
    <col width="15" customWidth="1" style="176" min="15" max="15"/>
  </cols>
  <sheetData>
    <row r="2">
      <c r="B2" s="180">
        <f>'Data Sheet'!$B$1&amp;" -"&amp;'Data Sheet'!A17&amp;" Forecasting"</f>
        <v/>
      </c>
      <c r="G2" s="180">
        <f>'Data Sheet'!$B$1&amp;" -"&amp;'Historical FS'!B19&amp;" Forecasting"</f>
        <v/>
      </c>
      <c r="L2" s="180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80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43525</v>
      </c>
      <c r="D6" s="107" t="n">
        <v>86068</v>
      </c>
      <c r="E6" s="36">
        <f>D6/D5-1</f>
        <v/>
      </c>
      <c r="G6">
        <f>G5+1</f>
        <v/>
      </c>
      <c r="H6" s="54" t="n">
        <v>43525</v>
      </c>
      <c r="I6" s="107" t="n">
        <v>21517</v>
      </c>
      <c r="J6" s="36">
        <f>I6/I5-1</f>
        <v/>
      </c>
      <c r="L6">
        <f>L5+1</f>
        <v/>
      </c>
      <c r="M6" s="54" t="n">
        <v>43525</v>
      </c>
      <c r="N6" s="107" t="n">
        <v>7796</v>
      </c>
      <c r="O6" s="36">
        <f>N6/N5-1</f>
        <v/>
      </c>
    </row>
    <row r="7">
      <c r="B7">
        <f>B6+1</f>
        <v/>
      </c>
      <c r="C7" s="54" t="n">
        <v>43891</v>
      </c>
      <c r="D7" s="107" t="n">
        <v>75660</v>
      </c>
      <c r="E7" s="36">
        <f>D7/D6-1</f>
        <v/>
      </c>
      <c r="G7">
        <f>G6+1</f>
        <v/>
      </c>
      <c r="H7" s="54" t="n">
        <v>43891</v>
      </c>
      <c r="I7" s="107" t="n">
        <v>18158.4</v>
      </c>
      <c r="J7" s="36">
        <f>I7/I6-1</f>
        <v/>
      </c>
      <c r="L7">
        <f>L6+1</f>
        <v/>
      </c>
      <c r="M7" s="54" t="n">
        <v>43891</v>
      </c>
      <c r="N7" s="107" t="n">
        <v>7393.400000000001</v>
      </c>
      <c r="O7" s="36">
        <f>N7/N6-1</f>
        <v/>
      </c>
    </row>
    <row r="8">
      <c r="B8">
        <f>B7+1</f>
        <v/>
      </c>
      <c r="C8" s="54" t="n">
        <v>44256</v>
      </c>
      <c r="D8" s="107" t="n">
        <v>70372</v>
      </c>
      <c r="E8" s="36">
        <f>D8/D7-1</f>
        <v/>
      </c>
      <c r="G8">
        <f>G7+1</f>
        <v/>
      </c>
      <c r="H8" s="54" t="n">
        <v>44256</v>
      </c>
      <c r="I8" s="107" t="n">
        <v>14778.12</v>
      </c>
      <c r="J8" s="36">
        <f>I8/I7-1</f>
        <v/>
      </c>
      <c r="L8">
        <f>L7+1</f>
        <v/>
      </c>
      <c r="M8" s="54" t="n">
        <v>44256</v>
      </c>
      <c r="N8" s="107" t="n">
        <v>6321.120000000003</v>
      </c>
      <c r="O8" s="36">
        <f>N8/N7-1</f>
        <v/>
      </c>
    </row>
    <row r="9">
      <c r="B9">
        <f>B8+1</f>
        <v/>
      </c>
      <c r="C9" s="54" t="n">
        <v>44621</v>
      </c>
      <c r="D9" s="107" t="n">
        <v>88330</v>
      </c>
      <c r="E9" s="36">
        <f>D9/D8-1</f>
        <v/>
      </c>
      <c r="G9">
        <f>G8+1</f>
        <v/>
      </c>
      <c r="H9" s="54" t="n">
        <v>44621</v>
      </c>
      <c r="I9" s="107" t="n">
        <v>15899.39999999999</v>
      </c>
      <c r="J9" s="36">
        <f>I9/I8-1</f>
        <v/>
      </c>
      <c r="L9">
        <f>L8+1</f>
        <v/>
      </c>
      <c r="M9" s="54" t="n">
        <v>44621</v>
      </c>
      <c r="N9" s="107" t="n">
        <v>8286.399999999994</v>
      </c>
      <c r="O9" s="36">
        <f>N9/N8-1</f>
        <v/>
      </c>
    </row>
    <row r="10">
      <c r="B10">
        <f>B9+1</f>
        <v/>
      </c>
      <c r="C10" s="54" t="n">
        <v>44986</v>
      </c>
      <c r="D10" s="107" t="n">
        <v>118410</v>
      </c>
      <c r="E10" s="36">
        <f>D10/D9-1</f>
        <v/>
      </c>
      <c r="G10">
        <f>G9+1</f>
        <v/>
      </c>
      <c r="H10" s="54" t="n">
        <v>44986</v>
      </c>
      <c r="I10" s="107" t="n">
        <v>26050.20000000001</v>
      </c>
      <c r="J10" s="36">
        <f>I10/I9-1</f>
        <v/>
      </c>
      <c r="L10">
        <f>L9+1</f>
        <v/>
      </c>
      <c r="M10" s="54" t="n">
        <v>44986</v>
      </c>
      <c r="N10" s="107" t="n">
        <v>10514.20000000001</v>
      </c>
      <c r="O10" s="36">
        <f>N10/N9-1</f>
        <v/>
      </c>
    </row>
    <row r="11">
      <c r="B11">
        <f>B10+1</f>
        <v/>
      </c>
      <c r="C11" s="54" t="n">
        <v>45352</v>
      </c>
      <c r="D11" s="107" t="n">
        <v>141858</v>
      </c>
      <c r="E11" s="36">
        <f>D11/D10-1</f>
        <v/>
      </c>
      <c r="G11">
        <f>G10+1</f>
        <v/>
      </c>
      <c r="H11" s="54" t="n">
        <v>45352</v>
      </c>
      <c r="I11" s="107" t="n">
        <v>34045.91999999998</v>
      </c>
      <c r="J11" s="36">
        <f>I11/I10-1</f>
        <v/>
      </c>
      <c r="L11">
        <f>L10+1</f>
        <v/>
      </c>
      <c r="M11" s="54" t="n">
        <v>45352</v>
      </c>
      <c r="N11" s="107" t="n">
        <v>11171.91999999998</v>
      </c>
      <c r="O11" s="36">
        <f>N11/N10-1</f>
        <v/>
      </c>
    </row>
    <row r="12">
      <c r="B12">
        <f>B11+1</f>
        <v/>
      </c>
      <c r="C12" s="54" t="n">
        <v>45717</v>
      </c>
      <c r="D12" s="107" t="n">
        <v>152913</v>
      </c>
      <c r="E12" s="36">
        <f>D12/D11-1</f>
        <v/>
      </c>
      <c r="G12">
        <f>G11+1</f>
        <v/>
      </c>
      <c r="H12" s="54" t="n">
        <v>45717</v>
      </c>
      <c r="I12" s="107" t="n">
        <v>35169.99000000001</v>
      </c>
      <c r="J12" s="36">
        <f>I12/I11-1</f>
        <v/>
      </c>
      <c r="L12">
        <f>L11+1</f>
        <v/>
      </c>
      <c r="M12" s="54" t="n">
        <v>45717</v>
      </c>
      <c r="N12" s="107" t="n">
        <v>9747.990000000005</v>
      </c>
      <c r="O12" s="36">
        <f>N12/N11-1</f>
        <v/>
      </c>
    </row>
    <row r="13">
      <c r="B13">
        <f>B12+1</f>
        <v/>
      </c>
      <c r="C13" s="54" t="n">
        <v>46082</v>
      </c>
      <c r="D13" s="107" t="n">
        <v>183316</v>
      </c>
      <c r="E13" s="36">
        <f>D13/D12-1</f>
        <v/>
      </c>
      <c r="G13">
        <f>G12+1</f>
        <v/>
      </c>
      <c r="H13" s="54" t="n">
        <v>46082</v>
      </c>
      <c r="I13" s="107" t="n">
        <v>38496.36000000002</v>
      </c>
      <c r="J13" s="36">
        <f>I13/I12-1</f>
        <v/>
      </c>
      <c r="L13">
        <f>L12+1</f>
        <v/>
      </c>
      <c r="M13" s="54" t="n">
        <v>46082</v>
      </c>
      <c r="N13" s="107" t="n">
        <v>12397.36000000002</v>
      </c>
      <c r="O13" s="36">
        <f>N13/N12-1</f>
        <v/>
      </c>
    </row>
    <row r="14">
      <c r="B14">
        <f>B13+1</f>
        <v/>
      </c>
      <c r="C14" s="54">
        <f>C13+365</f>
        <v/>
      </c>
      <c r="D14" s="107" t="n">
        <v>197181</v>
      </c>
      <c r="E14" s="36">
        <f>D14/D13-1</f>
        <v/>
      </c>
      <c r="G14">
        <f>G13+1</f>
        <v/>
      </c>
      <c r="H14" s="54">
        <f>H13+365</f>
        <v/>
      </c>
      <c r="I14" s="107" t="n">
        <v>197181</v>
      </c>
      <c r="J14" s="36">
        <f>I14/I13-1</f>
        <v/>
      </c>
      <c r="L14">
        <f>L13+1</f>
        <v/>
      </c>
      <c r="M14" s="54">
        <f>M13+365</f>
        <v/>
      </c>
      <c r="N14" s="107" t="n">
        <v>171344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76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76" min="1" max="1"/>
    <col width="11.5546875" customWidth="1" style="176" min="2" max="2"/>
    <col width="11.6640625" bestFit="1" customWidth="1" style="176" min="3" max="3"/>
    <col width="14.21875" customWidth="1" style="176" min="4" max="4"/>
    <col width="11.33203125" customWidth="1" style="176" min="6" max="6"/>
    <col width="12.33203125" customWidth="1" style="176" min="7" max="7"/>
    <col width="13.44140625" customWidth="1" style="176" min="8" max="8"/>
    <col width="13.6640625" customWidth="1" style="176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77" t="inlineStr">
        <is>
          <t>Nifty 50 Daily Returns</t>
        </is>
      </c>
      <c r="J7" s="177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80" t="inlineStr">
        <is>
          <t>-</t>
        </is>
      </c>
      <c r="F10" s="34">
        <f>'Raw Data'!G6</f>
        <v/>
      </c>
      <c r="G10">
        <f>'Raw Data'!J6</f>
        <v/>
      </c>
      <c r="H10" s="180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 s="161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 s="161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 s="161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 s="161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76" min="1" max="1"/>
    <col width="19.33203125" customWidth="1" style="176" min="2" max="2"/>
    <col width="12.44140625" customWidth="1" style="176" min="3" max="3"/>
    <col width="10.77734375" customWidth="1" style="176" min="4" max="4"/>
    <col width="10.109375" bestFit="1" customWidth="1" style="176" min="5" max="5"/>
    <col width="11.88671875" bestFit="1" customWidth="1" style="176" min="6" max="6"/>
    <col width="10" customWidth="1" style="176" min="10" max="10"/>
    <col width="10.88671875" customWidth="1" style="176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76"/>
    <row r="10">
      <c r="B10" t="inlineStr">
        <is>
          <t>Peer Comps</t>
        </is>
      </c>
    </row>
    <row r="11">
      <c r="B11" s="57" t="n"/>
      <c r="C11" s="57" t="n"/>
      <c r="D11" s="57" t="n"/>
      <c r="E11" s="199" t="inlineStr">
        <is>
          <t>Total Debt</t>
        </is>
      </c>
      <c r="F11" s="199" t="inlineStr">
        <is>
          <t>Total Equity</t>
        </is>
      </c>
      <c r="G11" s="57" t="n"/>
      <c r="H11" s="199" t="inlineStr">
        <is>
          <t>Debt /Equity</t>
        </is>
      </c>
      <c r="I11" s="199" t="inlineStr">
        <is>
          <t>Debt /Capital</t>
        </is>
      </c>
      <c r="J11" s="199" t="inlineStr">
        <is>
          <t>Levered Beta</t>
        </is>
      </c>
      <c r="K11" s="199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82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0.58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>
        <f>'Beta-Regression'!O11</f>
        <v/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0.72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0.65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0.068</v>
      </c>
    </row>
    <row r="27">
      <c r="B27" t="inlineStr">
        <is>
          <t>Tax Rate</t>
        </is>
      </c>
      <c r="E27" s="46">
        <f>'Raw Data'!T24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E16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F16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76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76" min="1" max="1"/>
    <col width="14" customWidth="1" style="176" min="2" max="2"/>
    <col width="10.44140625" bestFit="1" customWidth="1" style="176" min="8" max="8"/>
    <col width="11.44140625" customWidth="1" style="176" min="9" max="9"/>
    <col width="10.44140625" bestFit="1" customWidth="1" style="176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76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76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76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76" thickBot="1"/>
    <row r="21" ht="15" customHeight="1" s="176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76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76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FS'!Z6-'Raw FS'!Z10</f>
        <v/>
      </c>
      <c r="I38" s="146">
        <f>'Raw FS'!AA6-'Raw FS'!AA10</f>
        <v/>
      </c>
      <c r="J38" s="146">
        <f>'Raw FS'!AB6-'Raw FS'!AB10</f>
        <v/>
      </c>
      <c r="K38" s="146">
        <f>'Raw FS'!AC6-'Raw FS'!AC10</f>
        <v/>
      </c>
      <c r="L38" s="146">
        <f>'Raw FS'!AD6-'Raw FS'!AD10</f>
        <v/>
      </c>
    </row>
    <row r="39" ht="7.8" customHeight="1" s="176" thickBot="1"/>
    <row r="40" ht="15" customHeight="1" s="176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FS'!Z27:Z28)-'Raw FS'!Z10</f>
        <v/>
      </c>
      <c r="I44" s="130">
        <f>-SUM('Raw FS'!AA27:AA28)-'Raw FS'!AA10</f>
        <v/>
      </c>
      <c r="J44" s="130">
        <f>-SUM('Raw FS'!AB27:AB28)-'Raw FS'!AB10</f>
        <v/>
      </c>
      <c r="K44" s="130">
        <f>-SUM('Raw FS'!AC27:AC28)-'Raw FS'!AC10</f>
        <v/>
      </c>
      <c r="L44" s="130">
        <f>-SUM('Raw FS'!AD27:AD28)-'Raw FS'!AD10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80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76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76"/>
    <row r="62" ht="15" customHeight="1" s="176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76" min="1" max="1"/>
    <col width="21.109375" customWidth="1" style="176" min="2" max="2"/>
    <col width="13.21875" customWidth="1" style="176" min="4" max="4"/>
    <col width="10.44140625" bestFit="1" customWidth="1" style="176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EDATE(H6, 12)</f>
        <v/>
      </c>
      <c r="J6" s="78">
        <f>EDATE(I6, 12)</f>
        <v/>
      </c>
      <c r="K6" s="78">
        <f>EDATE(J6, 12)</f>
        <v/>
      </c>
      <c r="L6" s="78">
        <f>EDATE(K6, 12)</f>
        <v/>
      </c>
      <c r="M6" s="78">
        <f>EDATE(L6, 12)</f>
        <v/>
      </c>
    </row>
    <row r="7" ht="6.6" customHeight="1" s="176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MIN(0.85, 'Intrinsic Valuation'!$L$55)</f>
        <v/>
      </c>
      <c r="J11" s="81">
        <f>MIN(0.85, $I$11+($M$11-$I$11)/4*1)</f>
        <v/>
      </c>
      <c r="K11" s="81">
        <f>MIN(0.85, $I$11+($M$11-$I$11)/4*2)</f>
        <v/>
      </c>
      <c r="L11" s="81">
        <f>MIN(0.85, $I$11+($M$11-$I$11)/4*3)</f>
        <v/>
      </c>
      <c r="M11" s="81">
        <f>MIN(0.85, D21)</f>
        <v/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76"/>
    <row r="16" ht="15" customHeight="1" s="176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>
        <f>'Intrinsic Valuation'!L65</f>
        <v/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D19/D22</f>
        <v/>
      </c>
    </row>
    <row r="22">
      <c r="B22" t="inlineStr">
        <is>
          <t>Terminal ROIC (Stable)</t>
        </is>
      </c>
      <c r="D22" s="46">
        <f>MAX(0.18, MIN(0.25, 'Intrinsic Valuation'!L40))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76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6"/>
    <row r="37">
      <c r="B37" t="inlineStr">
        <is>
          <t>Add: Cash &amp; Liquid Investments</t>
        </is>
      </c>
      <c r="D37" s="107">
        <f>'Data Sheet'!K69+'Data Sheet'!K64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37" t="inlineStr">
        <is>
          <t>Equity Value</t>
        </is>
      </c>
      <c r="C39" s="37" t="n"/>
      <c r="D39" s="129">
        <f>D35+D37-D38</f>
        <v/>
      </c>
    </row>
    <row r="40">
      <c r="B40" t="inlineStr">
        <is>
          <t>No. of Shares</t>
        </is>
      </c>
      <c r="D40">
        <f>'Data Sheet'!K70/10000000</f>
        <v/>
      </c>
    </row>
    <row r="41"/>
    <row r="42" ht="15" customHeight="1" s="176" thickBot="1">
      <c r="B42" s="127" t="inlineStr">
        <is>
          <t>Equity Value per Share</t>
        </is>
      </c>
      <c r="C42" s="127" t="n"/>
      <c r="D42" s="128">
        <f>D39/D40</f>
        <v/>
      </c>
    </row>
    <row r="43"/>
    <row r="44">
      <c r="B44" t="inlineStr">
        <is>
          <t>Share Price</t>
        </is>
      </c>
      <c r="D44" s="107">
        <f>'Data Sheet'!B8</f>
        <v/>
      </c>
    </row>
    <row r="45">
      <c r="B45" t="inlineStr">
        <is>
          <t>Upside / (Downside)</t>
        </is>
      </c>
      <c r="D45" s="165">
        <f>D42/D44-1</f>
        <v/>
      </c>
    </row>
    <row r="46"/>
    <row r="47"/>
    <row r="48"/>
    <row r="49"/>
    <row r="50"/>
    <row r="51"/>
    <row r="52"/>
    <row r="53"/>
    <row r="54"/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76" min="1" max="1"/>
    <col width="9.88671875" bestFit="1" customWidth="1" style="176" min="7" max="7"/>
    <col width="12.33203125" bestFit="1" customWidth="1" style="176" min="14" max="14"/>
    <col width="14.6640625" bestFit="1" customWidth="1" style="176" min="15" max="15"/>
    <col width="13.21875" bestFit="1" customWidth="1" style="176" min="18" max="18"/>
    <col width="13.6640625" bestFit="1" customWidth="1" style="176" min="20" max="20"/>
    <col width="10.77734375" bestFit="1" customWidth="1" style="176" min="23" max="23"/>
    <col width="12.6640625" bestFit="1" customWidth="1" style="176" min="24" max="24"/>
  </cols>
  <sheetData>
    <row r="6">
      <c r="B6" t="n">
        <v>2025</v>
      </c>
      <c r="C6" s="46" t="n">
        <v>0.1051</v>
      </c>
      <c r="G6" s="34" t="inlineStr">
        <is>
          <t>2026-10-01</t>
        </is>
      </c>
      <c r="H6" t="n">
        <v>1836</v>
      </c>
      <c r="J6" t="n">
        <v>22421.95</v>
      </c>
    </row>
    <row r="7">
      <c r="B7" t="n">
        <v>2024</v>
      </c>
      <c r="C7" s="46" t="n">
        <v>0.08749999999999999</v>
      </c>
      <c r="G7" s="34" t="inlineStr">
        <is>
          <t>2026-09-30</t>
        </is>
      </c>
      <c r="H7" t="n">
        <v>1879.1</v>
      </c>
      <c r="J7" t="n">
        <v>22620.45</v>
      </c>
    </row>
    <row r="8">
      <c r="B8" t="n">
        <v>2023</v>
      </c>
      <c r="C8" s="46" t="n">
        <v>0.1942</v>
      </c>
      <c r="G8" s="34" t="inlineStr">
        <is>
          <t>2026-09-29</t>
        </is>
      </c>
      <c r="H8" t="n">
        <v>1863.8</v>
      </c>
      <c r="J8" t="n">
        <v>22716.2</v>
      </c>
    </row>
    <row r="9">
      <c r="B9" t="n">
        <v>2022</v>
      </c>
      <c r="C9" s="46" t="n">
        <v>0.0432</v>
      </c>
      <c r="G9" s="34" t="inlineStr">
        <is>
          <t>2026-09-28</t>
        </is>
      </c>
      <c r="H9" t="n">
        <v>1896</v>
      </c>
      <c r="J9" t="n">
        <v>22780.25</v>
      </c>
    </row>
    <row r="10">
      <c r="B10" t="n">
        <v>2021</v>
      </c>
      <c r="C10" s="46" t="n">
        <v>0.2412</v>
      </c>
      <c r="G10" s="34" t="inlineStr">
        <is>
          <t>2026-09-25</t>
        </is>
      </c>
      <c r="H10" t="n">
        <v>1942.9</v>
      </c>
      <c r="J10" t="n">
        <v>23140.5</v>
      </c>
    </row>
    <row r="11">
      <c r="B11" t="n">
        <v>2020</v>
      </c>
      <c r="C11" s="46" t="n">
        <v>0.149</v>
      </c>
      <c r="G11" s="34" t="inlineStr">
        <is>
          <t>2026-09-24</t>
        </is>
      </c>
      <c r="H11" t="n">
        <v>1933.5</v>
      </c>
      <c r="J11" t="n">
        <v>23063.1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2026-09-23</t>
        </is>
      </c>
      <c r="H12" t="n">
        <v>1950</v>
      </c>
      <c r="J12" t="n">
        <v>23446.8</v>
      </c>
      <c r="N12" t="n">
        <v>1</v>
      </c>
      <c r="O12" t="inlineStr">
        <is>
          <t>ITC</t>
        </is>
      </c>
      <c r="P12" t="n">
        <v>257</v>
      </c>
      <c r="Q12">
        <f>IF(P12&gt;0, R12/P12, 0)</f>
        <v/>
      </c>
      <c r="R12" t="n">
        <v>320813.3</v>
      </c>
      <c r="S12" t="n">
        <v>2399</v>
      </c>
      <c r="T12" t="n">
        <v>38128</v>
      </c>
      <c r="U12">
        <f>R12+S12-T12</f>
        <v/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inlineStr">
        <is>
          <t>2026-09-22</t>
        </is>
      </c>
      <c r="H13" t="n">
        <v>1933.8</v>
      </c>
      <c r="J13" t="n">
        <v>23329</v>
      </c>
      <c r="N13" t="n">
        <v>2</v>
      </c>
      <c r="O13" t="inlineStr">
        <is>
          <t>Nestle India</t>
        </is>
      </c>
      <c r="P13" t="n">
        <v>1303.8</v>
      </c>
      <c r="Q13">
        <f>IF(P13&gt;0, R13/P13, 0)</f>
        <v/>
      </c>
      <c r="R13" t="n">
        <v>251030.4</v>
      </c>
      <c r="S13" t="n">
        <v>444</v>
      </c>
      <c r="T13" t="n">
        <v>2100</v>
      </c>
      <c r="U13">
        <f>R13+S13-T13</f>
        <v/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inlineStr">
        <is>
          <t>2026-09-21</t>
        </is>
      </c>
      <c r="H14" t="n">
        <v>1947</v>
      </c>
      <c r="J14" t="n">
        <v>23414.3</v>
      </c>
      <c r="N14" t="n">
        <v>3</v>
      </c>
      <c r="O14" t="inlineStr">
        <is>
          <t>HINDUSTAN UNILEVER LTD</t>
        </is>
      </c>
      <c r="P14" t="n">
        <v>1841</v>
      </c>
      <c r="Q14">
        <f>IF(P14&gt;0, R14/P14, 0)</f>
        <v/>
      </c>
      <c r="R14" t="n">
        <v>431951</v>
      </c>
      <c r="S14" t="n">
        <v>1478</v>
      </c>
      <c r="T14" t="n">
        <v>0</v>
      </c>
      <c r="U14">
        <f>R14+S14-T14</f>
        <v/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inlineStr">
        <is>
          <t>2026-09-18</t>
        </is>
      </c>
      <c r="H15" t="n">
        <v>1932</v>
      </c>
      <c r="J15" t="n">
        <v>23346.4</v>
      </c>
      <c r="N15" t="n">
        <v>4</v>
      </c>
      <c r="O15" t="inlineStr">
        <is>
          <t>Varun Beverages</t>
        </is>
      </c>
      <c r="P15" t="n">
        <v>424.3</v>
      </c>
      <c r="Q15">
        <f>IF(P15&gt;0, R15/P15, 0)</f>
        <v/>
      </c>
      <c r="R15" t="n">
        <v>143519.3</v>
      </c>
      <c r="S15" t="n">
        <v>2508</v>
      </c>
      <c r="T15" t="n">
        <v>1200</v>
      </c>
      <c r="U15">
        <f>R15+S15-T15</f>
        <v/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inlineStr">
        <is>
          <t>2026-09-17</t>
        </is>
      </c>
      <c r="H16" t="n">
        <v>1942.2</v>
      </c>
      <c r="J16" t="n">
        <v>23270.6</v>
      </c>
      <c r="N16" t="n">
        <v>5</v>
      </c>
      <c r="O16" t="inlineStr">
        <is>
          <t>Britannia Inds.</t>
        </is>
      </c>
      <c r="P16" t="n">
        <v>4794.85</v>
      </c>
      <c r="Q16">
        <f>IF(P16&gt;0, R16/P16, 0)</f>
        <v/>
      </c>
      <c r="R16" t="n">
        <v>115951.3</v>
      </c>
      <c r="S16" t="n">
        <v>1380</v>
      </c>
      <c r="T16" t="n">
        <v>3610</v>
      </c>
      <c r="U16">
        <f>R16+S16-T16</f>
        <v/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inlineStr">
        <is>
          <t>2026-09-16</t>
        </is>
      </c>
      <c r="H17" t="n">
        <v>1962</v>
      </c>
      <c r="J17" t="n">
        <v>23217.6</v>
      </c>
      <c r="N17" t="n">
        <v>6</v>
      </c>
      <c r="O17" t="inlineStr">
        <is>
          <t>Godrej Consumer</t>
        </is>
      </c>
      <c r="P17" t="n">
        <v>843</v>
      </c>
      <c r="Q17" t="n">
        <v>101.8572</v>
      </c>
      <c r="R17" t="n">
        <v>85865.60000000001</v>
      </c>
      <c r="S17" t="n">
        <v>4421</v>
      </c>
      <c r="T17" t="n">
        <v>2767</v>
      </c>
      <c r="U17" t="n">
        <v>87519.60000000001</v>
      </c>
    </row>
    <row r="18">
      <c r="B18" t="n">
        <v>2013</v>
      </c>
      <c r="C18" s="46" t="n">
        <v>0.06759999999999999</v>
      </c>
      <c r="G18" s="34" t="inlineStr">
        <is>
          <t>2026-09-15</t>
        </is>
      </c>
      <c r="H18" t="n">
        <v>1938.1</v>
      </c>
      <c r="J18" t="n">
        <v>23118.6</v>
      </c>
      <c r="N18" t="n">
        <v>7</v>
      </c>
      <c r="O18" t="inlineStr">
        <is>
          <t>Dabur India</t>
        </is>
      </c>
      <c r="P18" t="n">
        <v>377</v>
      </c>
      <c r="Q18" t="n">
        <v>176.9767</v>
      </c>
      <c r="R18" t="n">
        <v>66720.2</v>
      </c>
      <c r="S18" t="n">
        <v>1120</v>
      </c>
      <c r="T18" t="n">
        <v>1450</v>
      </c>
      <c r="U18" t="n">
        <v>66390.2</v>
      </c>
    </row>
    <row r="19">
      <c r="B19" t="n">
        <v>2012</v>
      </c>
      <c r="C19" s="46" t="n">
        <v>0.277</v>
      </c>
      <c r="G19" s="34" t="inlineStr">
        <is>
          <t>2026-09-11</t>
        </is>
      </c>
      <c r="H19" t="n">
        <v>1927</v>
      </c>
      <c r="J19" t="n">
        <v>23398.1</v>
      </c>
      <c r="N19" t="n">
        <v>8</v>
      </c>
      <c r="O19" t="inlineStr">
        <is>
          <t>Milky Mist Dairy</t>
        </is>
      </c>
      <c r="P19" t="n">
        <v>308.2</v>
      </c>
      <c r="Q19" t="n">
        <v>76.9841</v>
      </c>
      <c r="R19" t="n">
        <v>23726.5</v>
      </c>
      <c r="S19" t="n">
        <v>1677</v>
      </c>
      <c r="T19" t="n">
        <v>0</v>
      </c>
      <c r="U19" t="n">
        <v>25403.5</v>
      </c>
    </row>
    <row r="20">
      <c r="B20" t="n">
        <v>2011</v>
      </c>
      <c r="C20" s="46" t="n">
        <v>-0.2462</v>
      </c>
      <c r="G20" s="34" t="inlineStr">
        <is>
          <t>2026-09-10</t>
        </is>
      </c>
      <c r="H20" t="n">
        <v>1942.3</v>
      </c>
      <c r="J20" t="n">
        <v>23477.8</v>
      </c>
      <c r="N20" t="n">
        <v>9</v>
      </c>
      <c r="O20" t="inlineStr">
        <is>
          <t>Tata Motors PVeh</t>
        </is>
      </c>
      <c r="P20" t="n">
        <v>303.8</v>
      </c>
      <c r="Q20">
        <f>IF(P20&gt;0, R20/P20, 0)</f>
        <v/>
      </c>
      <c r="R20" t="n">
        <v>111886.25</v>
      </c>
      <c r="S20" t="n">
        <v>27971.56</v>
      </c>
      <c r="T20" t="n">
        <v>5594.31</v>
      </c>
      <c r="U20" t="n">
        <v>134263.5</v>
      </c>
    </row>
    <row r="21">
      <c r="B21" t="n">
        <v>2010</v>
      </c>
      <c r="C21" s="46" t="n">
        <v>0.1795</v>
      </c>
      <c r="G21" s="34" t="inlineStr">
        <is>
          <t>2026-09-09</t>
        </is>
      </c>
      <c r="H21" t="n">
        <v>1945</v>
      </c>
      <c r="J21" t="n">
        <v>23431.5</v>
      </c>
      <c r="N21" t="n">
        <v>10</v>
      </c>
      <c r="O21" t="inlineStr">
        <is>
          <t>Hero Motocorp</t>
        </is>
      </c>
      <c r="P21" t="n">
        <v>5285.5</v>
      </c>
      <c r="Q21">
        <f>IF(P21&gt;0, R21/P21, 0)</f>
        <v/>
      </c>
      <c r="R21" t="n">
        <v>105784.63</v>
      </c>
      <c r="S21" t="n">
        <v>26446.16</v>
      </c>
      <c r="T21" t="n">
        <v>5289.23</v>
      </c>
      <c r="U21" t="n">
        <v>126941.56</v>
      </c>
    </row>
    <row r="22">
      <c r="B22" t="n">
        <v>2009</v>
      </c>
      <c r="C22" s="46" t="n">
        <v>0.7576000000000001</v>
      </c>
      <c r="G22" s="34" t="inlineStr">
        <is>
          <t>2026-09-08</t>
        </is>
      </c>
      <c r="H22" t="n">
        <v>1980</v>
      </c>
      <c r="J22" t="n">
        <v>23635.1</v>
      </c>
    </row>
    <row r="23">
      <c r="B23" t="n">
        <v>2008</v>
      </c>
      <c r="C23" s="46" t="n">
        <v>-0.5179</v>
      </c>
      <c r="G23" s="34" t="inlineStr">
        <is>
          <t>2026-09-07</t>
        </is>
      </c>
      <c r="H23" t="n">
        <v>1960</v>
      </c>
      <c r="J23" t="n">
        <v>23779.15</v>
      </c>
    </row>
    <row r="24">
      <c r="B24" t="n">
        <v>2007</v>
      </c>
      <c r="C24" s="46" t="n">
        <v>0.5477</v>
      </c>
      <c r="G24" s="34" t="inlineStr">
        <is>
          <t>2026-09-04</t>
        </is>
      </c>
      <c r="H24" t="n">
        <v>1973.4</v>
      </c>
      <c r="J24" t="n">
        <v>23897.7</v>
      </c>
      <c r="O24" t="inlineStr">
        <is>
          <t>ITC</t>
        </is>
      </c>
      <c r="Q24" t="inlineStr">
        <is>
          <t>India</t>
        </is>
      </c>
      <c r="R24" t="n">
        <v>2399</v>
      </c>
      <c r="S24" t="n">
        <v>320813.3</v>
      </c>
      <c r="T24" s="46" t="n">
        <v>0.2517</v>
      </c>
    </row>
    <row r="25">
      <c r="B25" t="n">
        <v>2006</v>
      </c>
      <c r="C25" s="46" t="n">
        <v>0.3983</v>
      </c>
      <c r="G25" s="34" t="inlineStr">
        <is>
          <t>2026-09-03</t>
        </is>
      </c>
      <c r="H25" t="n">
        <v>1962</v>
      </c>
      <c r="J25" t="n">
        <v>23873.45</v>
      </c>
      <c r="O25" t="inlineStr">
        <is>
          <t>Nestle India</t>
        </is>
      </c>
      <c r="Q25">
        <f>Q24</f>
        <v/>
      </c>
      <c r="R25" t="n">
        <v>444</v>
      </c>
      <c r="S25" t="n">
        <v>251030.4</v>
      </c>
      <c r="T25" s="46">
        <f>T24</f>
        <v/>
      </c>
    </row>
    <row r="26">
      <c r="B26" t="n">
        <v>2005</v>
      </c>
      <c r="C26" s="46" t="n">
        <v>0.3634</v>
      </c>
      <c r="G26" s="34" t="inlineStr">
        <is>
          <t>2026-09-02</t>
        </is>
      </c>
      <c r="H26" t="n">
        <v>1975</v>
      </c>
      <c r="J26" t="n">
        <v>23914.45</v>
      </c>
      <c r="O26" t="inlineStr">
        <is>
          <t>HINDUSTAN UNILEVER LTD</t>
        </is>
      </c>
      <c r="Q26">
        <f>Q25</f>
        <v/>
      </c>
      <c r="R26" t="n">
        <v>1478</v>
      </c>
      <c r="S26" t="n">
        <v>431951</v>
      </c>
      <c r="T26" s="46">
        <f>T25</f>
        <v/>
      </c>
    </row>
    <row r="27">
      <c r="B27" t="n">
        <v>2004</v>
      </c>
      <c r="C27" s="46" t="n">
        <v>0.1068</v>
      </c>
      <c r="G27" s="34" t="inlineStr">
        <is>
          <t>2026-09-01</t>
        </is>
      </c>
      <c r="H27" t="n">
        <v>1994.8</v>
      </c>
      <c r="J27" t="n">
        <v>24055.8</v>
      </c>
      <c r="O27" t="inlineStr">
        <is>
          <t>Varun Beverages</t>
        </is>
      </c>
      <c r="Q27">
        <f>Q26</f>
        <v/>
      </c>
      <c r="R27" t="n">
        <v>2508</v>
      </c>
      <c r="S27" t="n">
        <v>143519.3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2026-08-31</t>
        </is>
      </c>
      <c r="H28" t="n">
        <v>1967.4</v>
      </c>
      <c r="J28" t="n">
        <v>24080.4</v>
      </c>
      <c r="O28" t="inlineStr">
        <is>
          <t>Britannia Inds.</t>
        </is>
      </c>
      <c r="Q28">
        <f>Q27</f>
        <v/>
      </c>
      <c r="R28" t="n">
        <v>1380</v>
      </c>
      <c r="S28" t="n">
        <v>115951.3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2026-08-28</t>
        </is>
      </c>
      <c r="H29" t="n">
        <v>2010.4</v>
      </c>
      <c r="J29" t="n">
        <v>24175.65</v>
      </c>
    </row>
    <row r="30">
      <c r="G30" s="34" t="inlineStr">
        <is>
          <t>2026-08-27</t>
        </is>
      </c>
      <c r="H30" t="n">
        <v>2009</v>
      </c>
      <c r="J30" t="n">
        <v>24090.85</v>
      </c>
    </row>
    <row r="31">
      <c r="G31" s="34" t="inlineStr">
        <is>
          <t>2026-08-26</t>
        </is>
      </c>
      <c r="H31" t="n">
        <v>2021</v>
      </c>
      <c r="J31" t="n">
        <v>24207.75</v>
      </c>
    </row>
    <row r="32">
      <c r="G32" s="34" t="inlineStr">
        <is>
          <t>2026-08-25</t>
        </is>
      </c>
      <c r="H32" t="n">
        <v>2024.2</v>
      </c>
      <c r="J32" t="n">
        <v>24334.55</v>
      </c>
    </row>
    <row r="33">
      <c r="G33" s="34" t="inlineStr">
        <is>
          <t>2026-08-24</t>
        </is>
      </c>
      <c r="H33" t="n">
        <v>2030</v>
      </c>
      <c r="J33" t="n">
        <v>24219.05</v>
      </c>
    </row>
    <row r="34">
      <c r="G34" s="34" t="inlineStr">
        <is>
          <t>2026-08-21</t>
        </is>
      </c>
      <c r="H34" t="n">
        <v>2015</v>
      </c>
      <c r="J34" t="n">
        <v>24252</v>
      </c>
    </row>
    <row r="35">
      <c r="G35" s="34" t="inlineStr">
        <is>
          <t>2026-08-20</t>
        </is>
      </c>
      <c r="H35" t="n">
        <v>2028</v>
      </c>
      <c r="J35" t="n">
        <v>24231.85</v>
      </c>
    </row>
    <row r="36">
      <c r="G36" s="34" t="inlineStr">
        <is>
          <t>2026-08-19</t>
        </is>
      </c>
      <c r="H36" t="n">
        <v>2020.7</v>
      </c>
      <c r="J36" t="n">
        <v>24078.3</v>
      </c>
    </row>
    <row r="37">
      <c r="G37" s="34" t="inlineStr">
        <is>
          <t>2026-08-18</t>
        </is>
      </c>
      <c r="H37" t="n">
        <v>2035</v>
      </c>
      <c r="J37" t="n">
        <v>24154.9</v>
      </c>
    </row>
    <row r="38">
      <c r="G38" s="34" t="inlineStr">
        <is>
          <t>2026-08-17</t>
        </is>
      </c>
      <c r="H38" t="n">
        <v>2055</v>
      </c>
      <c r="J38" t="n">
        <v>24287.65</v>
      </c>
    </row>
    <row r="39">
      <c r="G39" s="34" t="inlineStr">
        <is>
          <t>2026-08-14</t>
        </is>
      </c>
      <c r="H39" t="n">
        <v>2077</v>
      </c>
      <c r="J39" t="n">
        <v>24366</v>
      </c>
    </row>
    <row r="40">
      <c r="G40" s="34" t="inlineStr">
        <is>
          <t>2026-08-13</t>
        </is>
      </c>
      <c r="H40" t="n">
        <v>2092</v>
      </c>
      <c r="J40" t="n">
        <v>24395.85</v>
      </c>
    </row>
    <row r="41">
      <c r="G41" s="34" t="inlineStr">
        <is>
          <t>2026-08-12</t>
        </is>
      </c>
      <c r="H41" t="n">
        <v>2063</v>
      </c>
      <c r="J41" t="n">
        <v>24435.95</v>
      </c>
    </row>
    <row r="42">
      <c r="G42" s="34" t="inlineStr">
        <is>
          <t>2026-08-11</t>
        </is>
      </c>
      <c r="H42" t="n">
        <v>2064.9</v>
      </c>
      <c r="J42" t="n">
        <v>24471.7</v>
      </c>
    </row>
    <row r="43">
      <c r="G43" s="34" t="inlineStr">
        <is>
          <t>2026-08-10</t>
        </is>
      </c>
      <c r="H43" t="n">
        <v>2087.2</v>
      </c>
      <c r="J43" t="n">
        <v>24583.8</v>
      </c>
    </row>
    <row r="44">
      <c r="G44" s="34" t="inlineStr">
        <is>
          <t>2026-08-07</t>
        </is>
      </c>
      <c r="H44" t="n">
        <v>2096</v>
      </c>
      <c r="J44" t="n">
        <v>24570.65</v>
      </c>
    </row>
    <row r="45">
      <c r="G45" s="34" t="inlineStr">
        <is>
          <t>2026-08-06</t>
        </is>
      </c>
      <c r="H45" t="n">
        <v>2079.5</v>
      </c>
      <c r="J45" t="n">
        <v>24636</v>
      </c>
    </row>
    <row r="46">
      <c r="G46" s="34" t="inlineStr">
        <is>
          <t>2026-08-05</t>
        </is>
      </c>
      <c r="H46" t="n">
        <v>2085.3</v>
      </c>
      <c r="J46" t="n">
        <v>24624.65</v>
      </c>
    </row>
    <row r="47">
      <c r="G47" s="34" t="inlineStr">
        <is>
          <t>2026-08-04</t>
        </is>
      </c>
      <c r="H47" t="n">
        <v>2096.5</v>
      </c>
      <c r="J47" t="n">
        <v>24614.9</v>
      </c>
    </row>
    <row r="48">
      <c r="G48" s="34" t="inlineStr">
        <is>
          <t>2026-08-03</t>
        </is>
      </c>
      <c r="H48" t="n">
        <v>2138</v>
      </c>
      <c r="J48" t="n">
        <v>24774.3</v>
      </c>
    </row>
    <row r="49">
      <c r="G49" s="34" t="inlineStr">
        <is>
          <t>2026-07-31</t>
        </is>
      </c>
      <c r="H49" t="n">
        <v>2101.3</v>
      </c>
      <c r="J49" t="n">
        <v>24383.6</v>
      </c>
    </row>
    <row r="50">
      <c r="G50" s="34" t="inlineStr">
        <is>
          <t>2026-07-30</t>
        </is>
      </c>
      <c r="H50" t="n">
        <v>2107.9</v>
      </c>
      <c r="J50" t="n">
        <v>24317.15</v>
      </c>
    </row>
    <row r="51">
      <c r="G51" s="34" t="inlineStr">
        <is>
          <t>2026-07-29</t>
        </is>
      </c>
      <c r="H51" t="n">
        <v>2117.8</v>
      </c>
      <c r="J51" t="n">
        <v>24250.2</v>
      </c>
    </row>
    <row r="52">
      <c r="G52" s="34" t="inlineStr">
        <is>
          <t>2026-07-28</t>
        </is>
      </c>
      <c r="H52" t="n">
        <v>2022.7</v>
      </c>
      <c r="J52" t="n">
        <v>23985.35</v>
      </c>
    </row>
    <row r="53">
      <c r="G53" s="34" t="inlineStr">
        <is>
          <t>2026-07-27</t>
        </is>
      </c>
      <c r="H53" t="n">
        <v>2174.6</v>
      </c>
      <c r="J53" t="n">
        <v>23995.95</v>
      </c>
    </row>
    <row r="54">
      <c r="G54" s="34" t="inlineStr">
        <is>
          <t>2026-07-24</t>
        </is>
      </c>
      <c r="H54" t="n">
        <v>2145</v>
      </c>
      <c r="J54" t="n">
        <v>23767.45</v>
      </c>
    </row>
    <row r="55">
      <c r="G55" s="34" t="inlineStr">
        <is>
          <t>2026-07-23</t>
        </is>
      </c>
      <c r="H55" t="n">
        <v>2161.8</v>
      </c>
      <c r="J55" t="n">
        <v>23869.6</v>
      </c>
    </row>
    <row r="56">
      <c r="G56" s="34" t="inlineStr">
        <is>
          <t>2026-07-22</t>
        </is>
      </c>
      <c r="H56" t="n">
        <v>2154.6</v>
      </c>
      <c r="J56" t="n">
        <v>23996.25</v>
      </c>
    </row>
    <row r="57">
      <c r="G57" s="34" t="inlineStr">
        <is>
          <t>2026-07-21</t>
        </is>
      </c>
      <c r="H57" t="n">
        <v>2142.5</v>
      </c>
      <c r="J57" t="n">
        <v>24187.7</v>
      </c>
    </row>
    <row r="58">
      <c r="G58" s="34" t="inlineStr">
        <is>
          <t>2026-07-20</t>
        </is>
      </c>
      <c r="H58" t="n">
        <v>2139.7</v>
      </c>
      <c r="J58" t="n">
        <v>24238.5</v>
      </c>
    </row>
    <row r="59">
      <c r="G59" s="34" t="inlineStr">
        <is>
          <t>2026-07-17</t>
        </is>
      </c>
      <c r="H59" t="n">
        <v>2143.8</v>
      </c>
      <c r="J59" t="n">
        <v>24334.3</v>
      </c>
    </row>
    <row r="60">
      <c r="G60" s="34" t="inlineStr">
        <is>
          <t>2026-07-16</t>
        </is>
      </c>
      <c r="H60" t="n">
        <v>2098.4</v>
      </c>
      <c r="J60" t="n">
        <v>24072.75</v>
      </c>
    </row>
    <row r="61">
      <c r="G61" s="34" t="inlineStr">
        <is>
          <t>2026-07-15</t>
        </is>
      </c>
      <c r="H61" t="n">
        <v>2102.6</v>
      </c>
      <c r="J61" t="n">
        <v>24078.5</v>
      </c>
    </row>
    <row r="62">
      <c r="G62" s="34" t="inlineStr">
        <is>
          <t>2026-07-14</t>
        </is>
      </c>
      <c r="H62" t="n">
        <v>2120.2</v>
      </c>
      <c r="J62" t="n">
        <v>24052.05</v>
      </c>
    </row>
    <row r="63">
      <c r="G63" s="34" t="inlineStr">
        <is>
          <t>2026-07-13</t>
        </is>
      </c>
      <c r="H63" t="n">
        <v>2130.6</v>
      </c>
      <c r="J63" t="n">
        <v>24211</v>
      </c>
    </row>
    <row r="64">
      <c r="G64" s="34" t="inlineStr">
        <is>
          <t>2026-07-10</t>
        </is>
      </c>
      <c r="H64" t="n">
        <v>2150.6</v>
      </c>
      <c r="J64" t="n">
        <v>24206.9</v>
      </c>
    </row>
    <row r="65">
      <c r="G65" s="34" t="inlineStr">
        <is>
          <t>2026-07-09</t>
        </is>
      </c>
      <c r="H65" t="n">
        <v>2144.5</v>
      </c>
      <c r="J65" t="n">
        <v>23962.8</v>
      </c>
    </row>
    <row r="66">
      <c r="G66" s="34" t="inlineStr">
        <is>
          <t>2026-07-08</t>
        </is>
      </c>
      <c r="H66" t="n">
        <v>2135.8</v>
      </c>
      <c r="J66" t="n">
        <v>23882.05</v>
      </c>
    </row>
    <row r="67">
      <c r="G67" s="34" t="inlineStr">
        <is>
          <t>2026-07-07</t>
        </is>
      </c>
      <c r="H67" t="n">
        <v>2208.8</v>
      </c>
      <c r="J67" t="n">
        <v>24398.7</v>
      </c>
    </row>
    <row r="68">
      <c r="G68" s="34" t="inlineStr">
        <is>
          <t>2026-07-06</t>
        </is>
      </c>
      <c r="H68" t="n">
        <v>2202</v>
      </c>
      <c r="J68" t="n">
        <v>24430.35</v>
      </c>
    </row>
    <row r="69">
      <c r="G69" s="34" t="inlineStr">
        <is>
          <t>2026-07-03</t>
        </is>
      </c>
      <c r="H69" t="n">
        <v>2201.2</v>
      </c>
      <c r="J69" t="n">
        <v>24270.85</v>
      </c>
    </row>
    <row r="70">
      <c r="G70" s="34" t="inlineStr">
        <is>
          <t>2026-07-02</t>
        </is>
      </c>
      <c r="H70" t="n">
        <v>2210.6</v>
      </c>
      <c r="J70" t="n">
        <v>24175.7</v>
      </c>
    </row>
    <row r="71">
      <c r="G71" s="34" t="inlineStr">
        <is>
          <t>2026-07-01</t>
        </is>
      </c>
      <c r="H71" t="n">
        <v>2182</v>
      </c>
      <c r="J71" t="n">
        <v>24005.85</v>
      </c>
    </row>
    <row r="72">
      <c r="G72" s="34" t="inlineStr">
        <is>
          <t>2026-06-30</t>
        </is>
      </c>
      <c r="H72" t="n">
        <v>2118.2</v>
      </c>
      <c r="J72" t="n">
        <v>23865.75</v>
      </c>
    </row>
    <row r="73">
      <c r="G73" s="34" t="inlineStr">
        <is>
          <t>2026-06-29</t>
        </is>
      </c>
      <c r="H73" t="n">
        <v>2151.3</v>
      </c>
      <c r="J73" t="n">
        <v>23946.25</v>
      </c>
    </row>
    <row r="74">
      <c r="G74" s="34" t="inlineStr">
        <is>
          <t>2026-06-25</t>
        </is>
      </c>
      <c r="H74" t="n">
        <v>2174.2</v>
      </c>
      <c r="J74" t="n">
        <v>24056</v>
      </c>
    </row>
    <row r="75">
      <c r="G75" s="34" t="inlineStr">
        <is>
          <t>2026-06-24</t>
        </is>
      </c>
      <c r="H75" t="n">
        <v>2157.8</v>
      </c>
      <c r="J75" t="n">
        <v>24021.65</v>
      </c>
    </row>
    <row r="76">
      <c r="G76" s="34" t="inlineStr">
        <is>
          <t>2026-06-23</t>
        </is>
      </c>
      <c r="H76" t="n">
        <v>2160.1</v>
      </c>
      <c r="J76" t="n">
        <v>23824.1</v>
      </c>
    </row>
    <row r="77">
      <c r="G77" s="34" t="inlineStr">
        <is>
          <t>2026-06-22</t>
        </is>
      </c>
      <c r="H77" t="n">
        <v>2184.9</v>
      </c>
      <c r="J77" t="n">
        <v>24102.9</v>
      </c>
    </row>
    <row r="78">
      <c r="G78" s="34" t="inlineStr">
        <is>
          <t>2026-06-19</t>
        </is>
      </c>
      <c r="H78" t="n">
        <v>2194.6</v>
      </c>
      <c r="J78" t="n">
        <v>24013.1</v>
      </c>
    </row>
    <row r="79">
      <c r="G79" s="34" t="inlineStr">
        <is>
          <t>2026-06-18</t>
        </is>
      </c>
      <c r="H79" t="n">
        <v>2218.5</v>
      </c>
      <c r="J79" t="n">
        <v>24168</v>
      </c>
    </row>
    <row r="80">
      <c r="G80" s="34" t="inlineStr">
        <is>
          <t>2026-06-17</t>
        </is>
      </c>
      <c r="H80" t="n">
        <v>2197.6</v>
      </c>
      <c r="J80" t="n">
        <v>24085.7</v>
      </c>
    </row>
    <row r="81">
      <c r="G81" s="34" t="inlineStr">
        <is>
          <t>2026-06-16</t>
        </is>
      </c>
      <c r="H81" t="n">
        <v>2199.9</v>
      </c>
      <c r="J81" t="n">
        <v>23989.15</v>
      </c>
    </row>
    <row r="82">
      <c r="G82" s="34" t="inlineStr">
        <is>
          <t>2026-06-15</t>
        </is>
      </c>
      <c r="H82" t="n">
        <v>2156.1</v>
      </c>
      <c r="J82" t="n">
        <v>23853.9</v>
      </c>
    </row>
    <row r="83">
      <c r="G83" s="34" t="inlineStr">
        <is>
          <t>2026-06-12</t>
        </is>
      </c>
      <c r="H83" t="n">
        <v>2168.8</v>
      </c>
      <c r="J83" t="n">
        <v>23622.9</v>
      </c>
    </row>
    <row r="84">
      <c r="G84" s="34" t="inlineStr">
        <is>
          <t>2026-06-11</t>
        </is>
      </c>
      <c r="H84" t="n">
        <v>2139.8</v>
      </c>
      <c r="J84" t="n">
        <v>23161.6</v>
      </c>
    </row>
    <row r="85">
      <c r="G85" s="34" t="inlineStr">
        <is>
          <t>2026-06-10</t>
        </is>
      </c>
      <c r="H85" t="n">
        <v>2169.5</v>
      </c>
      <c r="J85" t="n">
        <v>23214.95</v>
      </c>
    </row>
    <row r="86">
      <c r="G86" s="34" t="inlineStr">
        <is>
          <t>2026-06-09</t>
        </is>
      </c>
      <c r="H86" t="n">
        <v>2132.8</v>
      </c>
      <c r="J86" t="n">
        <v>23242.1</v>
      </c>
    </row>
    <row r="87">
      <c r="G87" s="34" t="inlineStr">
        <is>
          <t>2026-06-08</t>
        </is>
      </c>
      <c r="H87" t="n">
        <v>2110.1</v>
      </c>
      <c r="J87" t="n">
        <v>23123</v>
      </c>
    </row>
    <row r="88">
      <c r="G88" s="34" t="inlineStr">
        <is>
          <t>2026-06-05</t>
        </is>
      </c>
      <c r="H88" t="n">
        <v>2121.5</v>
      </c>
      <c r="J88" t="n">
        <v>23366.7</v>
      </c>
    </row>
    <row r="89">
      <c r="G89" s="34" t="inlineStr">
        <is>
          <t>2026-06-04</t>
        </is>
      </c>
      <c r="H89" t="n">
        <v>2079.4</v>
      </c>
      <c r="J89" t="n">
        <v>23416.55</v>
      </c>
    </row>
    <row r="90">
      <c r="G90" s="34" t="inlineStr">
        <is>
          <t>2026-06-03</t>
        </is>
      </c>
      <c r="H90" t="n">
        <v>2090.6</v>
      </c>
      <c r="J90" t="n">
        <v>23405.6</v>
      </c>
    </row>
    <row r="91">
      <c r="G91" s="34" t="inlineStr">
        <is>
          <t>2026-06-02</t>
        </is>
      </c>
      <c r="H91" t="n">
        <v>2093.7</v>
      </c>
      <c r="J91" t="n">
        <v>23483.55</v>
      </c>
    </row>
    <row r="92">
      <c r="G92" s="34" t="inlineStr">
        <is>
          <t>2026-06-01</t>
        </is>
      </c>
      <c r="H92" t="n">
        <v>2084.3</v>
      </c>
      <c r="J92" t="n">
        <v>23382.6</v>
      </c>
    </row>
    <row r="93">
      <c r="G93" s="34" t="inlineStr">
        <is>
          <t>2026-05-29</t>
        </is>
      </c>
      <c r="H93" t="n">
        <v>2153.5</v>
      </c>
      <c r="J93" t="n">
        <v>23547.75</v>
      </c>
    </row>
    <row r="94">
      <c r="G94" s="34" t="inlineStr">
        <is>
          <t>2026-05-27</t>
        </is>
      </c>
      <c r="H94" t="n">
        <v>2198.4</v>
      </c>
      <c r="J94" t="n">
        <v>23907.15</v>
      </c>
    </row>
    <row r="95">
      <c r="G95" s="34" t="inlineStr">
        <is>
          <t>2026-05-26</t>
        </is>
      </c>
      <c r="H95" t="n">
        <v>2209.4</v>
      </c>
      <c r="J95" t="n">
        <v>23913.7</v>
      </c>
    </row>
    <row r="96">
      <c r="G96" s="34" t="inlineStr">
        <is>
          <t>2026-05-25</t>
        </is>
      </c>
      <c r="H96" t="n">
        <v>2196.5</v>
      </c>
      <c r="J96" t="n">
        <v>24031.7</v>
      </c>
    </row>
    <row r="97">
      <c r="G97" s="34" t="inlineStr">
        <is>
          <t>2026-05-22</t>
        </is>
      </c>
      <c r="H97" t="n">
        <v>2203.6</v>
      </c>
      <c r="J97" t="n">
        <v>23719.3</v>
      </c>
    </row>
    <row r="98">
      <c r="G98" s="34" t="inlineStr">
        <is>
          <t>2026-05-21</t>
        </is>
      </c>
      <c r="H98" t="n">
        <v>2179</v>
      </c>
      <c r="J98" t="n">
        <v>23654.7</v>
      </c>
    </row>
    <row r="99">
      <c r="G99" s="34" t="inlineStr">
        <is>
          <t>2026-05-20</t>
        </is>
      </c>
      <c r="H99" t="n">
        <v>2209.3</v>
      </c>
      <c r="J99" t="n">
        <v>23659</v>
      </c>
    </row>
    <row r="100">
      <c r="G100" s="34" t="inlineStr">
        <is>
          <t>2026-05-19</t>
        </is>
      </c>
      <c r="H100" t="n">
        <v>2232.9</v>
      </c>
      <c r="J100" t="n">
        <v>23618</v>
      </c>
    </row>
    <row r="101">
      <c r="G101" s="34" t="inlineStr">
        <is>
          <t>2026-05-18</t>
        </is>
      </c>
      <c r="H101" t="n">
        <v>2254.2</v>
      </c>
      <c r="J101" t="n">
        <v>23649.95</v>
      </c>
    </row>
    <row r="102">
      <c r="G102" s="34" t="inlineStr">
        <is>
          <t>2026-05-15</t>
        </is>
      </c>
      <c r="H102" t="n">
        <v>2272.2</v>
      </c>
      <c r="J102" t="n">
        <v>23643.5</v>
      </c>
    </row>
    <row r="103">
      <c r="G103" s="34" t="inlineStr">
        <is>
          <t>2026-05-14</t>
        </is>
      </c>
      <c r="H103" t="n">
        <v>2248.7</v>
      </c>
      <c r="J103" t="n">
        <v>23689.6</v>
      </c>
    </row>
    <row r="104">
      <c r="G104" s="34" t="inlineStr">
        <is>
          <t>2026-05-13</t>
        </is>
      </c>
      <c r="H104" t="n">
        <v>2267.3</v>
      </c>
      <c r="J104" t="n">
        <v>23412.6</v>
      </c>
    </row>
    <row r="105">
      <c r="G105" s="34" t="inlineStr">
        <is>
          <t>2026-05-12</t>
        </is>
      </c>
      <c r="H105" t="n">
        <v>2262</v>
      </c>
      <c r="J105" t="n">
        <v>23379.55</v>
      </c>
    </row>
    <row r="106">
      <c r="G106" s="34" t="inlineStr">
        <is>
          <t>2026-05-11</t>
        </is>
      </c>
      <c r="H106" t="n">
        <v>2307.2</v>
      </c>
      <c r="J106" t="n">
        <v>23815.85</v>
      </c>
    </row>
    <row r="107">
      <c r="G107" s="34" t="inlineStr">
        <is>
          <t>2026-05-08</t>
        </is>
      </c>
      <c r="H107" t="n">
        <v>2287.7</v>
      </c>
      <c r="J107" t="n">
        <v>24176.15</v>
      </c>
    </row>
    <row r="108">
      <c r="G108" s="34" t="inlineStr">
        <is>
          <t>2026-05-07</t>
        </is>
      </c>
      <c r="H108" t="n">
        <v>2272.2</v>
      </c>
      <c r="J108" t="n">
        <v>24326.65</v>
      </c>
    </row>
    <row r="109">
      <c r="G109" s="34" t="inlineStr">
        <is>
          <t>2026-05-06</t>
        </is>
      </c>
      <c r="H109" t="n">
        <v>2317.1</v>
      </c>
      <c r="J109" t="n">
        <v>24330.95</v>
      </c>
    </row>
    <row r="110">
      <c r="G110" s="34" t="inlineStr">
        <is>
          <t>2026-05-05</t>
        </is>
      </c>
      <c r="H110" t="n">
        <v>2327.4</v>
      </c>
      <c r="J110" t="n">
        <v>24032.8</v>
      </c>
    </row>
    <row r="111">
      <c r="G111" s="34" t="inlineStr">
        <is>
          <t>2026-05-04</t>
        </is>
      </c>
      <c r="H111" t="n">
        <v>2309.3</v>
      </c>
      <c r="J111" t="n">
        <v>24119.3</v>
      </c>
    </row>
    <row r="112">
      <c r="G112" s="34" t="inlineStr">
        <is>
          <t>2026-04-30</t>
        </is>
      </c>
      <c r="H112" t="n">
        <v>2250.9</v>
      </c>
      <c r="J112" t="n">
        <v>23997.55</v>
      </c>
    </row>
    <row r="113">
      <c r="G113" s="34" t="inlineStr">
        <is>
          <t>2026-04-29</t>
        </is>
      </c>
      <c r="H113" t="n">
        <v>2314.4</v>
      </c>
      <c r="J113" t="n">
        <v>24177.65</v>
      </c>
    </row>
    <row r="114">
      <c r="G114" s="34" t="inlineStr">
        <is>
          <t>2026-04-28</t>
        </is>
      </c>
      <c r="H114" t="n">
        <v>2289.5</v>
      </c>
      <c r="J114" t="n">
        <v>23995.7</v>
      </c>
    </row>
    <row r="115">
      <c r="G115" s="34" t="inlineStr">
        <is>
          <t>2026-04-27</t>
        </is>
      </c>
      <c r="H115" t="n">
        <v>2328.3</v>
      </c>
      <c r="J115" t="n">
        <v>24092.7</v>
      </c>
    </row>
    <row r="116">
      <c r="G116" s="34" t="inlineStr">
        <is>
          <t>2026-04-24</t>
        </is>
      </c>
      <c r="H116" t="n">
        <v>2327.3</v>
      </c>
      <c r="J116" t="n">
        <v>23897.95</v>
      </c>
    </row>
    <row r="117">
      <c r="G117" s="34" t="inlineStr">
        <is>
          <t>2026-04-23</t>
        </is>
      </c>
      <c r="H117" t="n">
        <v>2366.4</v>
      </c>
      <c r="J117" t="n">
        <v>24173.05</v>
      </c>
    </row>
    <row r="118">
      <c r="G118" s="34" t="inlineStr">
        <is>
          <t>2026-04-22</t>
        </is>
      </c>
      <c r="H118" t="n">
        <v>2368.8</v>
      </c>
      <c r="J118" t="n">
        <v>24378.1</v>
      </c>
    </row>
    <row r="119">
      <c r="G119" s="34" t="inlineStr">
        <is>
          <t>2026-04-21</t>
        </is>
      </c>
      <c r="H119" t="n">
        <v>2310.7</v>
      </c>
      <c r="J119" t="n">
        <v>24576.6</v>
      </c>
    </row>
    <row r="120">
      <c r="G120" s="34" t="inlineStr">
        <is>
          <t>2026-04-20</t>
        </is>
      </c>
      <c r="H120" t="n">
        <v>2231.5</v>
      </c>
      <c r="J120" t="n">
        <v>24364.85</v>
      </c>
    </row>
    <row r="121">
      <c r="G121" s="34" t="inlineStr">
        <is>
          <t>2026-04-17</t>
        </is>
      </c>
      <c r="H121" t="n">
        <v>2240.8</v>
      </c>
      <c r="J121" t="n">
        <v>24353.55</v>
      </c>
    </row>
    <row r="122">
      <c r="G122" s="34" t="inlineStr">
        <is>
          <t>2026-04-16</t>
        </is>
      </c>
      <c r="H122" t="n">
        <v>2139.1</v>
      </c>
      <c r="J122" t="n">
        <v>24196.75</v>
      </c>
    </row>
    <row r="123">
      <c r="G123" s="34" t="inlineStr">
        <is>
          <t>2026-04-15</t>
        </is>
      </c>
      <c r="H123" t="n">
        <v>2157.6</v>
      </c>
      <c r="J123" t="n">
        <v>24231.3</v>
      </c>
    </row>
    <row r="124">
      <c r="G124" s="34" t="inlineStr">
        <is>
          <t>2026-04-13</t>
        </is>
      </c>
      <c r="H124" t="n">
        <v>2127.2</v>
      </c>
      <c r="J124" t="n">
        <v>23842.65</v>
      </c>
    </row>
    <row r="125">
      <c r="G125" s="34" t="inlineStr">
        <is>
          <t>2026-04-10</t>
        </is>
      </c>
      <c r="H125" t="n">
        <v>2155.3</v>
      </c>
      <c r="J125" t="n">
        <v>24050.6</v>
      </c>
    </row>
    <row r="126">
      <c r="G126" s="34" t="inlineStr">
        <is>
          <t>2026-04-09</t>
        </is>
      </c>
      <c r="H126" t="n">
        <v>2133.2</v>
      </c>
      <c r="J126" t="n">
        <v>23775.1</v>
      </c>
    </row>
    <row r="127">
      <c r="G127" s="34" t="inlineStr">
        <is>
          <t>2026-04-08</t>
        </is>
      </c>
      <c r="H127" t="n">
        <v>2145.6</v>
      </c>
      <c r="J127" t="n">
        <v>23997.35</v>
      </c>
    </row>
    <row r="128">
      <c r="G128" s="34" t="inlineStr">
        <is>
          <t>2026-04-07</t>
        </is>
      </c>
      <c r="H128" t="n">
        <v>2110.6</v>
      </c>
      <c r="J128" t="n">
        <v>23123.65</v>
      </c>
    </row>
    <row r="129">
      <c r="G129" s="34" t="inlineStr">
        <is>
          <t>2026-04-06</t>
        </is>
      </c>
      <c r="H129" t="n">
        <v>2084.8</v>
      </c>
      <c r="J129" t="n">
        <v>22968.25</v>
      </c>
    </row>
    <row r="130">
      <c r="G130" s="34" t="inlineStr">
        <is>
          <t>2026-04-02</t>
        </is>
      </c>
      <c r="H130" t="n">
        <v>2065.3</v>
      </c>
      <c r="J130" t="n">
        <v>22713.1</v>
      </c>
    </row>
    <row r="131">
      <c r="G131" s="34" t="inlineStr">
        <is>
          <t>2026-04-01</t>
        </is>
      </c>
      <c r="H131" t="n">
        <v>2064.7</v>
      </c>
      <c r="J131" t="n">
        <v>22679.4</v>
      </c>
    </row>
    <row r="132">
      <c r="G132" s="34" t="inlineStr">
        <is>
          <t>2026-03-30</t>
        </is>
      </c>
      <c r="H132" t="n">
        <v>2055.2</v>
      </c>
      <c r="J132" t="n">
        <v>22331.4</v>
      </c>
    </row>
    <row r="133">
      <c r="G133" s="34" t="inlineStr">
        <is>
          <t>2026-03-27</t>
        </is>
      </c>
      <c r="H133" t="n">
        <v>2074.4</v>
      </c>
      <c r="J133" t="n">
        <v>22819.6</v>
      </c>
    </row>
    <row r="134">
      <c r="G134" s="34" t="inlineStr">
        <is>
          <t>2026-03-25</t>
        </is>
      </c>
      <c r="H134" t="n">
        <v>2134.8</v>
      </c>
      <c r="J134" t="n">
        <v>23306.45</v>
      </c>
    </row>
    <row r="135">
      <c r="G135" s="34" t="inlineStr">
        <is>
          <t>2026-03-24</t>
        </is>
      </c>
      <c r="H135" t="n">
        <v>2085</v>
      </c>
      <c r="J135" t="n">
        <v>22912.4</v>
      </c>
    </row>
    <row r="136">
      <c r="G136" s="34" t="inlineStr">
        <is>
          <t>2026-03-23</t>
        </is>
      </c>
      <c r="H136" t="n">
        <v>2052.2</v>
      </c>
      <c r="J136" t="n">
        <v>22512.65</v>
      </c>
    </row>
    <row r="137">
      <c r="G137" s="34" t="inlineStr">
        <is>
          <t>2026-03-20</t>
        </is>
      </c>
      <c r="H137" t="n">
        <v>2082.7</v>
      </c>
      <c r="J137" t="n">
        <v>23114.5</v>
      </c>
    </row>
    <row r="138">
      <c r="G138" s="34" t="inlineStr">
        <is>
          <t>2026-03-19</t>
        </is>
      </c>
      <c r="H138" t="n">
        <v>2077.3</v>
      </c>
      <c r="J138" t="n">
        <v>23002.15</v>
      </c>
    </row>
    <row r="139">
      <c r="G139" s="34" t="inlineStr">
        <is>
          <t>2026-03-18</t>
        </is>
      </c>
      <c r="H139" t="n">
        <v>2135.3</v>
      </c>
      <c r="J139" t="n">
        <v>23777.8</v>
      </c>
    </row>
    <row r="140">
      <c r="G140" s="34" t="inlineStr">
        <is>
          <t>2026-03-17</t>
        </is>
      </c>
      <c r="H140" t="n">
        <v>2158.2</v>
      </c>
      <c r="J140" t="n">
        <v>23581.15</v>
      </c>
    </row>
    <row r="141">
      <c r="G141" s="34" t="inlineStr">
        <is>
          <t>2026-03-16</t>
        </is>
      </c>
      <c r="H141" t="n">
        <v>2175.7</v>
      </c>
      <c r="J141" t="n">
        <v>23408.8</v>
      </c>
    </row>
    <row r="142">
      <c r="G142" s="34" t="inlineStr">
        <is>
          <t>2026-03-13</t>
        </is>
      </c>
      <c r="H142" t="n">
        <v>2160</v>
      </c>
      <c r="J142" t="n">
        <v>23151.1</v>
      </c>
    </row>
    <row r="143">
      <c r="G143" s="34" t="inlineStr">
        <is>
          <t>2026-03-12</t>
        </is>
      </c>
      <c r="H143" t="n">
        <v>2136.9</v>
      </c>
      <c r="J143" t="n">
        <v>23639.15</v>
      </c>
    </row>
    <row r="144">
      <c r="G144" s="34" t="inlineStr">
        <is>
          <t>2026-03-11</t>
        </is>
      </c>
      <c r="H144" t="n">
        <v>2161.4</v>
      </c>
      <c r="J144" t="n">
        <v>23866.85</v>
      </c>
    </row>
    <row r="145">
      <c r="G145" s="34" t="inlineStr">
        <is>
          <t>2026-03-10</t>
        </is>
      </c>
      <c r="H145" t="n">
        <v>2190.2</v>
      </c>
      <c r="J145" t="n">
        <v>24261.6</v>
      </c>
    </row>
    <row r="146">
      <c r="G146" s="34" t="inlineStr">
        <is>
          <t>2026-03-09</t>
        </is>
      </c>
      <c r="H146" t="n">
        <v>2194.6</v>
      </c>
      <c r="J146" t="n">
        <v>24028.05</v>
      </c>
    </row>
    <row r="147">
      <c r="G147" s="34" t="inlineStr">
        <is>
          <t>2026-03-06</t>
        </is>
      </c>
      <c r="H147" t="n">
        <v>2225.7</v>
      </c>
      <c r="J147" t="n">
        <v>24450.45</v>
      </c>
    </row>
    <row r="148">
      <c r="G148" s="34" t="inlineStr">
        <is>
          <t>2026-03-05</t>
        </is>
      </c>
      <c r="H148" t="n">
        <v>2255</v>
      </c>
      <c r="J148" t="n">
        <v>24765.9</v>
      </c>
    </row>
    <row r="149">
      <c r="G149" s="34" t="inlineStr">
        <is>
          <t>2026-03-04</t>
        </is>
      </c>
      <c r="H149" t="n">
        <v>2261.3</v>
      </c>
      <c r="J149" t="n">
        <v>24480.5</v>
      </c>
    </row>
    <row r="150">
      <c r="G150" s="34" t="inlineStr">
        <is>
          <t>2026-03-02</t>
        </is>
      </c>
      <c r="H150" t="n">
        <v>2320.6</v>
      </c>
      <c r="J150" t="n">
        <v>24865.7</v>
      </c>
    </row>
    <row r="151">
      <c r="G151" s="34" t="inlineStr">
        <is>
          <t>2026-02-27</t>
        </is>
      </c>
      <c r="H151" t="n">
        <v>2338.1</v>
      </c>
      <c r="J151" t="n">
        <v>25178.65</v>
      </c>
    </row>
    <row r="152">
      <c r="G152" s="34" t="inlineStr">
        <is>
          <t>2026-02-26</t>
        </is>
      </c>
      <c r="H152" t="n">
        <v>2383.3</v>
      </c>
      <c r="J152" t="n">
        <v>25496.55</v>
      </c>
    </row>
    <row r="153">
      <c r="G153" s="34" t="inlineStr">
        <is>
          <t>2026-02-25</t>
        </is>
      </c>
      <c r="H153" t="n">
        <v>2374.9</v>
      </c>
      <c r="J153" t="n">
        <v>25482.5</v>
      </c>
    </row>
    <row r="154">
      <c r="G154" s="34" t="inlineStr">
        <is>
          <t>2026-02-24</t>
        </is>
      </c>
      <c r="H154" t="n">
        <v>2358.6</v>
      </c>
      <c r="J154" t="n">
        <v>25424.65</v>
      </c>
    </row>
    <row r="155">
      <c r="G155" s="34" t="inlineStr">
        <is>
          <t>2026-02-23</t>
        </is>
      </c>
      <c r="H155" t="n">
        <v>2345.4</v>
      </c>
      <c r="J155" t="n">
        <v>25713</v>
      </c>
    </row>
    <row r="156">
      <c r="G156" s="34" t="inlineStr">
        <is>
          <t>2026-02-20</t>
        </is>
      </c>
      <c r="H156" t="n">
        <v>2314.5</v>
      </c>
      <c r="J156" t="n">
        <v>25571.25</v>
      </c>
    </row>
    <row r="157">
      <c r="G157" s="34" t="inlineStr">
        <is>
          <t>2026-02-19</t>
        </is>
      </c>
      <c r="H157" t="n">
        <v>2279.3</v>
      </c>
      <c r="J157" t="n">
        <v>25454.35</v>
      </c>
    </row>
    <row r="158">
      <c r="G158" s="34" t="inlineStr">
        <is>
          <t>2026-02-18</t>
        </is>
      </c>
      <c r="H158" t="n">
        <v>2323.5</v>
      </c>
      <c r="J158" t="n">
        <v>25819.35</v>
      </c>
    </row>
    <row r="159">
      <c r="G159" s="34" t="inlineStr">
        <is>
          <t>2026-02-17</t>
        </is>
      </c>
      <c r="H159" t="n">
        <v>2312.3</v>
      </c>
      <c r="J159" t="n">
        <v>25725.4</v>
      </c>
    </row>
    <row r="160">
      <c r="G160" s="34" t="inlineStr">
        <is>
          <t>2026-02-16</t>
        </is>
      </c>
      <c r="H160" t="n">
        <v>2319</v>
      </c>
      <c r="J160" t="n">
        <v>25682.75</v>
      </c>
    </row>
    <row r="161">
      <c r="G161" s="34" t="inlineStr">
        <is>
          <t>2026-02-13</t>
        </is>
      </c>
      <c r="H161" t="n">
        <v>2305.2</v>
      </c>
      <c r="J161" t="n">
        <v>25471.1</v>
      </c>
    </row>
    <row r="162">
      <c r="G162" s="34" t="inlineStr">
        <is>
          <t>2026-02-12</t>
        </is>
      </c>
      <c r="H162" t="n">
        <v>2409.7</v>
      </c>
      <c r="J162" t="n">
        <v>25807.2</v>
      </c>
    </row>
    <row r="163">
      <c r="G163" s="34" t="inlineStr">
        <is>
          <t>2026-02-11</t>
        </is>
      </c>
      <c r="H163" t="n">
        <v>2462.9</v>
      </c>
      <c r="J163" t="n">
        <v>25953.85</v>
      </c>
    </row>
    <row r="164">
      <c r="G164" s="34" t="inlineStr">
        <is>
          <t>2026-02-10</t>
        </is>
      </c>
      <c r="H164" t="n">
        <v>2453.6</v>
      </c>
      <c r="J164" t="n">
        <v>25935.15</v>
      </c>
    </row>
    <row r="165">
      <c r="G165" s="34" t="inlineStr">
        <is>
          <t>2026-02-09</t>
        </is>
      </c>
      <c r="H165" t="n">
        <v>2435</v>
      </c>
      <c r="J165" t="n">
        <v>25867.3</v>
      </c>
    </row>
    <row r="166">
      <c r="G166" s="34" t="inlineStr">
        <is>
          <t>2026-02-06</t>
        </is>
      </c>
      <c r="H166" t="n">
        <v>2424.2</v>
      </c>
      <c r="J166" t="n">
        <v>25693.7</v>
      </c>
    </row>
    <row r="167">
      <c r="G167" s="34" t="inlineStr">
        <is>
          <t>2026-02-05</t>
        </is>
      </c>
      <c r="H167" t="n">
        <v>2354.4</v>
      </c>
      <c r="J167" t="n">
        <v>25642.8</v>
      </c>
    </row>
    <row r="168">
      <c r="G168" s="34" t="inlineStr">
        <is>
          <t>2026-02-04</t>
        </is>
      </c>
      <c r="H168" t="n">
        <v>2371</v>
      </c>
      <c r="J168" t="n">
        <v>25776</v>
      </c>
    </row>
    <row r="169">
      <c r="G169" s="34" t="inlineStr">
        <is>
          <t>2026-02-03</t>
        </is>
      </c>
      <c r="H169" t="n">
        <v>2368.6</v>
      </c>
      <c r="J169" t="n">
        <v>25727.55</v>
      </c>
    </row>
    <row r="170">
      <c r="G170" s="34" t="inlineStr">
        <is>
          <t>2026-02-02</t>
        </is>
      </c>
      <c r="H170" t="n">
        <v>2357.3</v>
      </c>
      <c r="J170" t="n">
        <v>25088.4</v>
      </c>
    </row>
    <row r="171">
      <c r="G171" s="34" t="inlineStr">
        <is>
          <t>2026-02-01</t>
        </is>
      </c>
      <c r="H171" t="n">
        <v>2350.7</v>
      </c>
      <c r="J171" t="n">
        <v>25320.65</v>
      </c>
    </row>
    <row r="172">
      <c r="G172" s="34" t="inlineStr">
        <is>
          <t>2026-01-30</t>
        </is>
      </c>
      <c r="H172" t="n">
        <v>2373</v>
      </c>
      <c r="J172" t="n">
        <v>25320.65</v>
      </c>
    </row>
    <row r="173">
      <c r="G173" s="34" t="inlineStr">
        <is>
          <t>2026-01-29</t>
        </is>
      </c>
      <c r="H173" t="n">
        <v>2352.6</v>
      </c>
      <c r="J173" t="n">
        <v>25418.9</v>
      </c>
    </row>
    <row r="174">
      <c r="G174" s="34" t="inlineStr">
        <is>
          <t>2026-01-28</t>
        </is>
      </c>
      <c r="H174" t="n">
        <v>2378.4</v>
      </c>
      <c r="J174" t="n">
        <v>25342.75</v>
      </c>
    </row>
    <row r="175">
      <c r="G175" s="34" t="inlineStr">
        <is>
          <t>2026-01-27</t>
        </is>
      </c>
      <c r="H175" t="n">
        <v>2400.9</v>
      </c>
      <c r="J175" t="n">
        <v>25175.4</v>
      </c>
    </row>
    <row r="176">
      <c r="G176" s="34" t="inlineStr">
        <is>
          <t>2026-01-23</t>
        </is>
      </c>
      <c r="H176" t="n">
        <v>2409.5</v>
      </c>
      <c r="J176" t="n">
        <v>25048.65</v>
      </c>
    </row>
    <row r="177">
      <c r="G177" s="34" t="inlineStr">
        <is>
          <t>2026-01-22</t>
        </is>
      </c>
      <c r="H177" t="n">
        <v>2390.6</v>
      </c>
      <c r="J177" t="n">
        <v>25289.9</v>
      </c>
    </row>
    <row r="178">
      <c r="G178" s="34" t="inlineStr">
        <is>
          <t>2026-01-21</t>
        </is>
      </c>
      <c r="H178" t="n">
        <v>2368</v>
      </c>
      <c r="J178" t="n">
        <v>25157.5</v>
      </c>
    </row>
    <row r="179">
      <c r="G179" s="34" t="inlineStr">
        <is>
          <t>2026-01-20</t>
        </is>
      </c>
      <c r="H179" t="n">
        <v>2379.1</v>
      </c>
      <c r="J179" t="n">
        <v>25232.5</v>
      </c>
    </row>
    <row r="180">
      <c r="G180" s="34" t="inlineStr">
        <is>
          <t>2026-01-19</t>
        </is>
      </c>
      <c r="H180" t="n">
        <v>2413.9</v>
      </c>
      <c r="J180" t="n">
        <v>25585.5</v>
      </c>
    </row>
    <row r="181">
      <c r="G181" s="34" t="inlineStr">
        <is>
          <t>2026-01-16</t>
        </is>
      </c>
      <c r="H181" t="n">
        <v>2360.4</v>
      </c>
      <c r="J181" t="n">
        <v>25694.35</v>
      </c>
    </row>
    <row r="182">
      <c r="G182" s="34" t="inlineStr">
        <is>
          <t>2026-01-14</t>
        </is>
      </c>
      <c r="H182" t="n">
        <v>2353.5</v>
      </c>
      <c r="J182" t="n">
        <v>25665.6</v>
      </c>
    </row>
    <row r="183">
      <c r="G183" s="34" t="inlineStr">
        <is>
          <t>2026-01-13</t>
        </is>
      </c>
      <c r="H183" t="n">
        <v>2389.5</v>
      </c>
      <c r="J183" t="n">
        <v>25732.3</v>
      </c>
    </row>
    <row r="184">
      <c r="G184" s="34" t="inlineStr">
        <is>
          <t>2026-01-12</t>
        </is>
      </c>
      <c r="H184" t="n">
        <v>2406.2</v>
      </c>
      <c r="J184" t="n">
        <v>25790.25</v>
      </c>
    </row>
    <row r="185">
      <c r="G185" s="34" t="inlineStr">
        <is>
          <t>2026-01-09</t>
        </is>
      </c>
      <c r="H185" t="n">
        <v>2372.6</v>
      </c>
      <c r="J185" t="n">
        <v>25683.3</v>
      </c>
    </row>
    <row r="186">
      <c r="G186" s="34" t="inlineStr">
        <is>
          <t>2026-01-08</t>
        </is>
      </c>
      <c r="H186" t="n">
        <v>2386.7</v>
      </c>
      <c r="J186" t="n">
        <v>25876.85</v>
      </c>
    </row>
    <row r="187">
      <c r="G187" s="34" t="inlineStr">
        <is>
          <t>2026-01-07</t>
        </is>
      </c>
      <c r="H187" t="n">
        <v>2399.4</v>
      </c>
      <c r="J187" t="n">
        <v>26140.75</v>
      </c>
    </row>
    <row r="188">
      <c r="G188" s="34" t="inlineStr">
        <is>
          <t>2026-01-06</t>
        </is>
      </c>
      <c r="H188" t="n">
        <v>2424.7</v>
      </c>
      <c r="J188" t="n">
        <v>26178.7</v>
      </c>
    </row>
    <row r="189">
      <c r="G189" s="34" t="inlineStr">
        <is>
          <t>2026-01-05</t>
        </is>
      </c>
      <c r="H189" t="n">
        <v>2384.1</v>
      </c>
      <c r="J189" t="n">
        <v>26250.3</v>
      </c>
    </row>
    <row r="190">
      <c r="G190" s="34" t="inlineStr">
        <is>
          <t>2026-01-02</t>
        </is>
      </c>
      <c r="H190" t="n">
        <v>2348</v>
      </c>
      <c r="J190" t="n">
        <v>26328.55</v>
      </c>
    </row>
    <row r="191">
      <c r="G191" s="34" t="inlineStr">
        <is>
          <t>2026-01-01</t>
        </is>
      </c>
      <c r="H191" t="n">
        <v>2323</v>
      </c>
      <c r="J191" t="n">
        <v>26146.55</v>
      </c>
    </row>
    <row r="192">
      <c r="G192" s="34" t="inlineStr">
        <is>
          <t>2025-12-31</t>
        </is>
      </c>
      <c r="H192" t="n">
        <v>2315.9</v>
      </c>
      <c r="J192" t="n">
        <v>26129.6</v>
      </c>
    </row>
    <row r="193">
      <c r="G193" s="34" t="inlineStr">
        <is>
          <t>2025-12-30</t>
        </is>
      </c>
      <c r="H193" t="n">
        <v>2290.2</v>
      </c>
      <c r="J193" t="n">
        <v>25938.85</v>
      </c>
    </row>
    <row r="194">
      <c r="G194" s="34" t="inlineStr">
        <is>
          <t>2025-12-29</t>
        </is>
      </c>
      <c r="H194" t="n">
        <v>2293.3</v>
      </c>
      <c r="J194" t="n">
        <v>25942.1</v>
      </c>
    </row>
    <row r="195">
      <c r="G195" s="34" t="inlineStr">
        <is>
          <t>2025-12-26</t>
        </is>
      </c>
      <c r="H195" t="n">
        <v>2285.4</v>
      </c>
      <c r="J195" t="n">
        <v>26042.3</v>
      </c>
    </row>
    <row r="196">
      <c r="G196" s="34" t="inlineStr">
        <is>
          <t>2025-12-24</t>
        </is>
      </c>
      <c r="H196" t="n">
        <v>2282.2</v>
      </c>
      <c r="J196" t="n">
        <v>26142.1</v>
      </c>
    </row>
    <row r="197">
      <c r="G197" s="34" t="inlineStr">
        <is>
          <t>2025-12-23</t>
        </is>
      </c>
      <c r="H197" t="n">
        <v>2302.6</v>
      </c>
      <c r="J197" t="n">
        <v>26177.15</v>
      </c>
    </row>
    <row r="198">
      <c r="G198" s="34" t="inlineStr">
        <is>
          <t>2025-12-22</t>
        </is>
      </c>
      <c r="H198" t="n">
        <v>2289.5</v>
      </c>
      <c r="J198" t="n">
        <v>26172.4</v>
      </c>
    </row>
    <row r="199">
      <c r="G199" s="34" t="inlineStr">
        <is>
          <t>2025-12-19</t>
        </is>
      </c>
      <c r="H199" t="n">
        <v>2280</v>
      </c>
      <c r="J199" t="n">
        <v>25966.4</v>
      </c>
    </row>
    <row r="200">
      <c r="G200" s="34" t="inlineStr">
        <is>
          <t>2025-12-18</t>
        </is>
      </c>
      <c r="H200" t="n">
        <v>2265.5</v>
      </c>
      <c r="J200" t="n">
        <v>25815.55</v>
      </c>
    </row>
    <row r="201">
      <c r="G201" s="34" t="inlineStr">
        <is>
          <t>2025-12-17</t>
        </is>
      </c>
      <c r="H201" t="n">
        <v>2275.6</v>
      </c>
      <c r="J201" t="n">
        <v>25818.55</v>
      </c>
    </row>
    <row r="202">
      <c r="G202" s="34" t="inlineStr">
        <is>
          <t>2025-12-16</t>
        </is>
      </c>
      <c r="H202" t="n">
        <v>2281.1</v>
      </c>
      <c r="J202" t="n">
        <v>25860.1</v>
      </c>
    </row>
    <row r="203">
      <c r="G203" s="34" t="inlineStr">
        <is>
          <t>2025-12-15</t>
        </is>
      </c>
      <c r="H203" t="n">
        <v>2293.5</v>
      </c>
      <c r="J203" t="n">
        <v>26027.3</v>
      </c>
    </row>
    <row r="204">
      <c r="G204" s="34" t="inlineStr">
        <is>
          <t>2025-12-12</t>
        </is>
      </c>
      <c r="H204" t="n">
        <v>2260.6</v>
      </c>
      <c r="J204" t="n">
        <v>26046.95</v>
      </c>
    </row>
    <row r="205">
      <c r="G205" s="34" t="inlineStr">
        <is>
          <t>2025-12-11</t>
        </is>
      </c>
      <c r="H205" t="n">
        <v>2305.6</v>
      </c>
      <c r="J205" t="n">
        <v>25898.55</v>
      </c>
    </row>
    <row r="206">
      <c r="G206" s="34" t="inlineStr">
        <is>
          <t>2025-12-10</t>
        </is>
      </c>
      <c r="H206" t="n">
        <v>2301.7</v>
      </c>
      <c r="J206" t="n">
        <v>25758</v>
      </c>
    </row>
    <row r="207">
      <c r="G207" s="34" t="inlineStr">
        <is>
          <t>2025-12-09</t>
        </is>
      </c>
      <c r="H207" t="n">
        <v>2306.5</v>
      </c>
      <c r="J207" t="n">
        <v>25839.65</v>
      </c>
    </row>
    <row r="208">
      <c r="G208" s="34" t="inlineStr">
        <is>
          <t>2025-12-08</t>
        </is>
      </c>
      <c r="H208" t="n">
        <v>2314</v>
      </c>
      <c r="J208" t="n">
        <v>25960.55</v>
      </c>
    </row>
    <row r="209">
      <c r="G209" s="34" t="inlineStr">
        <is>
          <t>2025-12-05</t>
        </is>
      </c>
      <c r="H209" t="n">
        <v>2338.6</v>
      </c>
      <c r="J209" t="n">
        <v>26186.45</v>
      </c>
    </row>
    <row r="210">
      <c r="G210" s="34" t="inlineStr">
        <is>
          <t>2025-12-04</t>
        </is>
      </c>
      <c r="H210" t="n">
        <v>2356.5</v>
      </c>
      <c r="J210" t="n">
        <v>26033.75</v>
      </c>
    </row>
    <row r="211">
      <c r="G211" s="34" t="inlineStr">
        <is>
          <t>2025-12-03</t>
        </is>
      </c>
      <c r="H211" t="n">
        <v>2342.91</v>
      </c>
      <c r="J211" t="n">
        <v>25986</v>
      </c>
    </row>
    <row r="212">
      <c r="G212" s="34" t="inlineStr">
        <is>
          <t>2025-12-02</t>
        </is>
      </c>
      <c r="H212" t="n">
        <v>2371.43</v>
      </c>
      <c r="J212" t="n">
        <v>26032.2</v>
      </c>
    </row>
    <row r="213">
      <c r="G213" s="34" t="inlineStr">
        <is>
          <t>2025-12-01</t>
        </is>
      </c>
      <c r="H213" t="n">
        <v>2358.7</v>
      </c>
      <c r="J213" t="n">
        <v>26175.75</v>
      </c>
    </row>
    <row r="214">
      <c r="G214" s="34" t="inlineStr">
        <is>
          <t>2025-11-28</t>
        </is>
      </c>
      <c r="H214" t="n">
        <v>2360.71</v>
      </c>
      <c r="J214" t="n">
        <v>26202.95</v>
      </c>
    </row>
    <row r="215">
      <c r="G215" s="34" t="inlineStr">
        <is>
          <t>2025-11-27</t>
        </is>
      </c>
      <c r="H215" t="n">
        <v>2346.45</v>
      </c>
      <c r="J215" t="n">
        <v>26215.55</v>
      </c>
    </row>
    <row r="216">
      <c r="G216" s="34" t="inlineStr">
        <is>
          <t>2025-11-26</t>
        </is>
      </c>
      <c r="H216" t="n">
        <v>2321.09</v>
      </c>
      <c r="J216" t="n">
        <v>26205.3</v>
      </c>
    </row>
    <row r="217">
      <c r="G217" s="34" t="inlineStr">
        <is>
          <t>2025-11-25</t>
        </is>
      </c>
      <c r="H217" t="n">
        <v>2310.46</v>
      </c>
      <c r="J217" t="n">
        <v>25884.8</v>
      </c>
    </row>
    <row r="218">
      <c r="G218" s="34" t="inlineStr">
        <is>
          <t>2025-11-24</t>
        </is>
      </c>
      <c r="H218" t="n">
        <v>2320.13</v>
      </c>
      <c r="J218" t="n">
        <v>25959.5</v>
      </c>
    </row>
    <row r="219">
      <c r="G219" s="34" t="inlineStr">
        <is>
          <t>2025-11-21</t>
        </is>
      </c>
      <c r="H219" t="n">
        <v>2329.22</v>
      </c>
      <c r="J219" t="n">
        <v>26068.15</v>
      </c>
    </row>
    <row r="220">
      <c r="G220" s="34" t="inlineStr">
        <is>
          <t>2025-11-20</t>
        </is>
      </c>
      <c r="H220" t="n">
        <v>2324.15</v>
      </c>
      <c r="J220" t="n">
        <v>26192.15</v>
      </c>
    </row>
    <row r="221">
      <c r="G221" s="34" t="inlineStr">
        <is>
          <t>2025-11-19</t>
        </is>
      </c>
      <c r="H221" t="n">
        <v>2336.78</v>
      </c>
      <c r="J221" t="n">
        <v>26052.65</v>
      </c>
    </row>
    <row r="222">
      <c r="G222" s="34" t="inlineStr">
        <is>
          <t>2025-11-18</t>
        </is>
      </c>
      <c r="H222" t="n">
        <v>2300.8</v>
      </c>
      <c r="J222" t="n">
        <v>25910.05</v>
      </c>
    </row>
    <row r="223">
      <c r="G223" s="34" t="inlineStr">
        <is>
          <t>2025-11-17</t>
        </is>
      </c>
      <c r="H223" t="n">
        <v>2320.9</v>
      </c>
      <c r="J223" t="n">
        <v>26013.45</v>
      </c>
    </row>
    <row r="224">
      <c r="G224" s="34" t="inlineStr">
        <is>
          <t>2025-11-14</t>
        </is>
      </c>
      <c r="H224" t="n">
        <v>2323.48</v>
      </c>
      <c r="J224" t="n">
        <v>25910.05</v>
      </c>
    </row>
    <row r="225">
      <c r="G225" s="34" t="inlineStr">
        <is>
          <t>2025-11-13</t>
        </is>
      </c>
      <c r="H225" t="n">
        <v>2304.24</v>
      </c>
      <c r="J225" t="n">
        <v>25879.15</v>
      </c>
    </row>
    <row r="226">
      <c r="G226" s="34" t="inlineStr">
        <is>
          <t>2025-11-12</t>
        </is>
      </c>
      <c r="H226" t="n">
        <v>2320.42</v>
      </c>
      <c r="J226" t="n">
        <v>25875.8</v>
      </c>
    </row>
    <row r="227">
      <c r="G227" s="34" t="inlineStr">
        <is>
          <t>2025-11-11</t>
        </is>
      </c>
      <c r="H227" t="n">
        <v>2323.29</v>
      </c>
      <c r="J227" t="n">
        <v>25694.95</v>
      </c>
    </row>
    <row r="228">
      <c r="G228" s="34" t="inlineStr">
        <is>
          <t>2025-11-10</t>
        </is>
      </c>
      <c r="H228" t="n">
        <v>2305.39</v>
      </c>
      <c r="J228" t="n">
        <v>25574.35</v>
      </c>
    </row>
    <row r="229">
      <c r="G229" s="34" t="inlineStr">
        <is>
          <t>2025-11-07</t>
        </is>
      </c>
      <c r="H229" t="n">
        <v>2310.37</v>
      </c>
      <c r="J229" t="n">
        <v>25492.3</v>
      </c>
    </row>
    <row r="230">
      <c r="G230" s="34" t="inlineStr">
        <is>
          <t>2025-11-06</t>
        </is>
      </c>
      <c r="H230" t="n">
        <v>2331.42</v>
      </c>
      <c r="J230" t="n">
        <v>25509.7</v>
      </c>
    </row>
    <row r="231">
      <c r="G231" s="34" t="inlineStr">
        <is>
          <t>2025-11-04</t>
        </is>
      </c>
      <c r="H231" t="n">
        <v>2340.71</v>
      </c>
      <c r="J231" t="n">
        <v>25597.65</v>
      </c>
    </row>
    <row r="232">
      <c r="G232" s="34" t="inlineStr">
        <is>
          <t>2025-11-03</t>
        </is>
      </c>
      <c r="H232" t="n">
        <v>2354.39</v>
      </c>
      <c r="J232" t="n">
        <v>25763.35</v>
      </c>
    </row>
    <row r="233">
      <c r="G233" s="34" t="inlineStr">
        <is>
          <t>2025-10-31</t>
        </is>
      </c>
      <c r="H233" t="n">
        <v>2359.66</v>
      </c>
      <c r="J233" t="n">
        <v>25722.1</v>
      </c>
    </row>
    <row r="234">
      <c r="G234" s="34" t="inlineStr">
        <is>
          <t>2025-10-30</t>
        </is>
      </c>
      <c r="H234" t="n">
        <v>2363.58</v>
      </c>
      <c r="J234" t="n">
        <v>25877.85</v>
      </c>
    </row>
    <row r="235">
      <c r="G235" s="34" t="inlineStr">
        <is>
          <t>2025-10-29</t>
        </is>
      </c>
      <c r="H235" t="n">
        <v>2381.29</v>
      </c>
      <c r="J235" t="n">
        <v>26053.9</v>
      </c>
    </row>
    <row r="236">
      <c r="G236" s="34" t="inlineStr">
        <is>
          <t>2025-10-28</t>
        </is>
      </c>
      <c r="H236" t="n">
        <v>2389.9</v>
      </c>
      <c r="J236" t="n">
        <v>25936.2</v>
      </c>
    </row>
    <row r="237">
      <c r="G237" s="34" t="inlineStr">
        <is>
          <t>2025-10-27</t>
        </is>
      </c>
      <c r="H237" t="n">
        <v>2403.97</v>
      </c>
      <c r="J237" t="n">
        <v>25966.05</v>
      </c>
    </row>
    <row r="238">
      <c r="G238" s="34" t="inlineStr">
        <is>
          <t>2025-10-24</t>
        </is>
      </c>
      <c r="H238" t="n">
        <v>2408.37</v>
      </c>
      <c r="J238" t="n">
        <v>25795.15</v>
      </c>
    </row>
    <row r="239">
      <c r="G239" s="34" t="inlineStr">
        <is>
          <t>2025-10-23</t>
        </is>
      </c>
      <c r="H239" t="n">
        <v>2489.92</v>
      </c>
      <c r="J239" t="n">
        <v>25891.4</v>
      </c>
    </row>
    <row r="240">
      <c r="G240" s="34" t="inlineStr">
        <is>
          <t>2025-10-21</t>
        </is>
      </c>
      <c r="H240" t="n">
        <v>2480.44</v>
      </c>
      <c r="J240" t="n">
        <v>25868.6</v>
      </c>
    </row>
    <row r="241">
      <c r="G241" s="34" t="inlineStr">
        <is>
          <t>2025-10-20</t>
        </is>
      </c>
      <c r="H241" t="n">
        <v>2483.02</v>
      </c>
      <c r="J241" t="n">
        <v>25843.15</v>
      </c>
    </row>
    <row r="242">
      <c r="G242" s="34" t="inlineStr">
        <is>
          <t>2025-10-17</t>
        </is>
      </c>
      <c r="H242" t="n">
        <v>2491.93</v>
      </c>
      <c r="J242" t="n">
        <v>25709.85</v>
      </c>
    </row>
    <row r="243">
      <c r="G243" s="34" t="inlineStr">
        <is>
          <t>2025-10-16</t>
        </is>
      </c>
      <c r="H243" t="n">
        <v>2451.54</v>
      </c>
      <c r="J243" t="n">
        <v>25585.3</v>
      </c>
    </row>
    <row r="244">
      <c r="G244" s="34" t="inlineStr">
        <is>
          <t>2025-10-15</t>
        </is>
      </c>
      <c r="H244" t="n">
        <v>2410.86</v>
      </c>
      <c r="J244" t="n">
        <v>25323.55</v>
      </c>
    </row>
    <row r="245">
      <c r="G245" s="34" t="inlineStr">
        <is>
          <t>2025-10-14</t>
        </is>
      </c>
      <c r="H245" t="n">
        <v>2394.88</v>
      </c>
      <c r="J245" t="n">
        <v>25145.5</v>
      </c>
    </row>
    <row r="246">
      <c r="G246" s="34" t="inlineStr">
        <is>
          <t>2025-10-13</t>
        </is>
      </c>
      <c r="H246" t="n">
        <v>2385.79</v>
      </c>
      <c r="J246" t="n">
        <v>25227.35</v>
      </c>
    </row>
    <row r="247">
      <c r="G247" s="34" t="inlineStr">
        <is>
          <t>2025-10-10</t>
        </is>
      </c>
      <c r="H247" t="n">
        <v>2420.34</v>
      </c>
      <c r="J247" t="n">
        <v>25285.35</v>
      </c>
    </row>
    <row r="248">
      <c r="G248" s="34" t="inlineStr">
        <is>
          <t>2025-10-09</t>
        </is>
      </c>
      <c r="H248" t="n">
        <v>2409.52</v>
      </c>
      <c r="J248" t="n">
        <v>25181.8</v>
      </c>
    </row>
    <row r="249">
      <c r="G249" s="161" t="inlineStr">
        <is>
          <t>2025-10-08</t>
        </is>
      </c>
      <c r="H249" t="n">
        <v>2392.77</v>
      </c>
      <c r="J249" t="n">
        <v>25046.15</v>
      </c>
    </row>
    <row r="250">
      <c r="G250" s="161" t="inlineStr">
        <is>
          <t>2025-10-07</t>
        </is>
      </c>
      <c r="H250" t="n">
        <v>2409.14</v>
      </c>
      <c r="J250" t="n">
        <v>25108.3</v>
      </c>
    </row>
    <row r="251">
      <c r="G251" s="161" t="inlineStr">
        <is>
          <t>2025-10-06</t>
        </is>
      </c>
      <c r="H251" t="n">
        <v>2432.68</v>
      </c>
      <c r="J251" t="n">
        <v>25077.65</v>
      </c>
    </row>
    <row r="252">
      <c r="G252" s="161" t="inlineStr">
        <is>
          <t>2025-10-03</t>
        </is>
      </c>
      <c r="H252" t="n">
        <v>2435.65</v>
      </c>
      <c r="J252" t="n">
        <v>24894.25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76" min="1" max="1"/>
    <col width="18" customWidth="1" style="176" min="2" max="2"/>
    <col width="18" customWidth="1" style="176" min="3" max="3"/>
    <col width="18" bestFit="1" customWidth="1" style="176" min="4" max="4"/>
    <col width="18" customWidth="1" style="176" min="5" max="5"/>
    <col width="18" bestFit="1" customWidth="1" style="176" min="6" max="6"/>
    <col width="18" bestFit="1" customWidth="1" style="176" min="7" max="7"/>
    <col width="18" customWidth="1" style="176" min="8" max="8"/>
    <col width="18" customWidth="1" style="176" min="9" max="9"/>
    <col width="18" customWidth="1" style="176" min="10" max="10"/>
    <col width="18" bestFit="1" customWidth="1" style="176" min="11" max="13"/>
    <col width="18" customWidth="1" style="176" min="12" max="12"/>
    <col width="18" customWidth="1" style="176" min="13" max="13"/>
    <col width="18" customWidth="1" style="176" min="15" max="16"/>
    <col width="18" customWidth="1" style="176" min="16" max="16"/>
    <col width="18" bestFit="1" customWidth="1" style="176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76"/>
    <row r="9">
      <c r="B9" s="84" t="n"/>
      <c r="C9" s="84" t="n"/>
      <c r="D9" s="183" t="inlineStr">
        <is>
          <t>Market Data</t>
        </is>
      </c>
      <c r="E9" s="200" t="n"/>
      <c r="F9" s="200" t="n"/>
      <c r="G9" s="200" t="n"/>
      <c r="H9" s="200" t="n"/>
      <c r="I9" s="200" t="n"/>
      <c r="J9" s="84" t="n"/>
      <c r="K9" s="183" t="inlineStr">
        <is>
          <t>Financials</t>
        </is>
      </c>
      <c r="L9" s="200" t="n"/>
      <c r="M9" s="200" t="n"/>
      <c r="N9" s="84" t="n"/>
      <c r="O9" s="183" t="inlineStr">
        <is>
          <t>Valuation</t>
        </is>
      </c>
      <c r="P9" s="200" t="n"/>
      <c r="Q9" s="200" t="n"/>
    </row>
    <row r="10" ht="30" customHeight="1" s="176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5" t="inlineStr">
        <is>
          <t>EV/Revenue</t>
        </is>
      </c>
      <c r="J10" s="85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5" t="inlineStr">
        <is>
          <t>P/E</t>
        </is>
      </c>
    </row>
    <row r="11" ht="4.8" customHeight="1" s="176"/>
    <row r="12">
      <c r="B12" s="201">
        <f>'Raw FS'!L57</f>
        <v/>
      </c>
      <c r="C12" s="201" t="inlineStr">
        <is>
          <t>ITC</t>
        </is>
      </c>
      <c r="D12" s="202">
        <f>'Raw FS'!M57</f>
        <v/>
      </c>
      <c r="E12" s="202">
        <f>'Raw FS'!N57</f>
        <v/>
      </c>
      <c r="F12" s="202">
        <f>D12*E12</f>
        <v/>
      </c>
      <c r="G12" s="202">
        <f>'Raw FS'!AS57</f>
        <v/>
      </c>
      <c r="H12" s="202">
        <f>'Raw FS'!AT57</f>
        <v/>
      </c>
      <c r="I12" s="201">
        <f>IF(OR(ISBLANK(K12), K12&lt;=0), "N/A", IFERROR($H12/K12, "N/A"))</f>
        <v/>
      </c>
      <c r="J12" s="201">
        <f>IF(OR(ISBLANK(L12), L12&lt;=0), "N/A", IFERROR($H12/L12, "N/A"))</f>
        <v/>
      </c>
      <c r="K12" s="202">
        <f>'Raw FS'!AU57</f>
        <v/>
      </c>
      <c r="L12" s="202">
        <f>'Raw FS'!AV57</f>
        <v/>
      </c>
      <c r="M12" s="202">
        <f>'Raw FS'!AW57</f>
        <v/>
      </c>
      <c r="N12" s="150" t="n"/>
      <c r="O12" s="203">
        <f>IF(OR(ISBLANK(K12), K12&lt;=0), "N/A", IFERROR($H12/K12, "N/A"))</f>
        <v/>
      </c>
      <c r="P12" s="203">
        <f>IF(OR(ISBLANK(L12), L12&lt;=0), "N/A", IFERROR($H12/L12, "N/A"))</f>
        <v/>
      </c>
      <c r="Q12" s="203">
        <f>IF(OR(ISBLANK(M12), M12&lt;=0), "N/A", IFERROR(F12/M12, "N/A"))</f>
        <v/>
      </c>
    </row>
    <row r="13">
      <c r="B13" s="201">
        <f>'Raw FS'!L58</f>
        <v/>
      </c>
      <c r="C13" s="201" t="inlineStr">
        <is>
          <t>NESTLEIND</t>
        </is>
      </c>
      <c r="D13" s="202">
        <f>'Raw FS'!M58</f>
        <v/>
      </c>
      <c r="E13" s="202">
        <f>'Raw FS'!N58</f>
        <v/>
      </c>
      <c r="F13" s="202">
        <f>D13*E13</f>
        <v/>
      </c>
      <c r="G13" s="202">
        <f>'Raw FS'!AS58</f>
        <v/>
      </c>
      <c r="H13" s="202">
        <f>'Raw FS'!AT58</f>
        <v/>
      </c>
      <c r="I13" s="201">
        <f>IF(OR(ISBLANK(K13), K13&lt;=0), "N/A", IFERROR($H13/K13, "N/A"))</f>
        <v/>
      </c>
      <c r="J13" s="201">
        <f>IF(OR(ISBLANK(L13), L13&lt;=0), "N/A", IFERROR($H13/L13, "N/A"))</f>
        <v/>
      </c>
      <c r="K13" s="202">
        <f>'Raw FS'!AU58</f>
        <v/>
      </c>
      <c r="L13" s="202">
        <f>'Raw FS'!AV58</f>
        <v/>
      </c>
      <c r="M13" s="202">
        <f>'Raw FS'!AW58</f>
        <v/>
      </c>
      <c r="N13" s="150" t="n"/>
      <c r="O13" s="203">
        <f>IF(OR(ISBLANK(K13), K13&lt;=0), "N/A", IFERROR($H13/K13, "N/A"))</f>
        <v/>
      </c>
      <c r="P13" s="203">
        <f>IF(OR(ISBLANK(L13), L13&lt;=0), "N/A", IFERROR($H13/L13, "N/A"))</f>
        <v/>
      </c>
      <c r="Q13" s="203">
        <f>IF(OR(ISBLANK(M13), M13&lt;=0), "N/A", IFERROR(F13/M13, "N/A"))</f>
        <v/>
      </c>
    </row>
    <row r="14">
      <c r="B14" s="201">
        <f>'Raw FS'!L59</f>
        <v/>
      </c>
      <c r="C14" s="201" t="inlineStr">
        <is>
          <t>VBL</t>
        </is>
      </c>
      <c r="D14" s="202">
        <f>'Raw FS'!M59</f>
        <v/>
      </c>
      <c r="E14" s="202">
        <f>'Raw FS'!N59</f>
        <v/>
      </c>
      <c r="F14" s="202">
        <f>D14*E14</f>
        <v/>
      </c>
      <c r="G14" s="202">
        <f>'Raw FS'!AS59</f>
        <v/>
      </c>
      <c r="H14" s="202">
        <f>'Raw FS'!AT59</f>
        <v/>
      </c>
      <c r="I14" s="201">
        <f>IF(OR(ISBLANK(K14), K14&lt;=0), "N/A", IFERROR($H14/K14, "N/A"))</f>
        <v/>
      </c>
      <c r="J14" s="201">
        <f>IF(OR(ISBLANK(L14), L14&lt;=0), "N/A", IFERROR($H14/L14, "N/A"))</f>
        <v/>
      </c>
      <c r="K14" s="202">
        <f>'Raw FS'!AU59</f>
        <v/>
      </c>
      <c r="L14" s="202">
        <f>'Raw FS'!AV59</f>
        <v/>
      </c>
      <c r="M14" s="202">
        <f>'Raw FS'!AW59</f>
        <v/>
      </c>
      <c r="N14" s="150" t="n"/>
      <c r="O14" s="203">
        <f>IF(OR(ISBLANK(K14), K14&lt;=0), "N/A", IFERROR($H14/K14, "N/A"))</f>
        <v/>
      </c>
      <c r="P14" s="203">
        <f>IF(OR(ISBLANK(L14), L14&lt;=0), "N/A", IFERROR($H14/L14, "N/A"))</f>
        <v/>
      </c>
      <c r="Q14" s="203">
        <f>IF(OR(ISBLANK(M14), M14&lt;=0), "N/A", IFERROR(F14/M14, "N/A"))</f>
        <v/>
      </c>
    </row>
    <row r="15">
      <c r="B15" s="201">
        <f>'Raw FS'!L60</f>
        <v/>
      </c>
      <c r="C15" s="201" t="inlineStr">
        <is>
          <t>BRITANNIA</t>
        </is>
      </c>
      <c r="D15" s="202">
        <f>'Raw FS'!M60</f>
        <v/>
      </c>
      <c r="E15" s="202">
        <f>'Raw FS'!N60</f>
        <v/>
      </c>
      <c r="F15" s="202">
        <f>D15*E15</f>
        <v/>
      </c>
      <c r="G15" s="202">
        <f>'Raw FS'!AS60</f>
        <v/>
      </c>
      <c r="H15" s="202">
        <f>'Raw FS'!AT60</f>
        <v/>
      </c>
      <c r="I15" s="201">
        <f>IF(OR(ISBLANK(K15), K15&lt;=0), "N/A", IFERROR($H15/K15, "N/A"))</f>
        <v/>
      </c>
      <c r="J15" s="201">
        <f>IF(OR(ISBLANK(L15), L15&lt;=0), "N/A", IFERROR($H15/L15, "N/A"))</f>
        <v/>
      </c>
      <c r="K15" s="202">
        <f>'Raw FS'!AU60</f>
        <v/>
      </c>
      <c r="L15" s="202">
        <f>'Raw FS'!AV60</f>
        <v/>
      </c>
      <c r="M15" s="202">
        <f>'Raw FS'!AW60</f>
        <v/>
      </c>
      <c r="N15" s="150" t="n"/>
      <c r="O15" s="203">
        <f>IF(OR(ISBLANK(K15), K15&lt;=0), "N/A", IFERROR($H15/K15, "N/A"))</f>
        <v/>
      </c>
      <c r="P15" s="203">
        <f>IF(OR(ISBLANK(L15), L15&lt;=0), "N/A", IFERROR($H15/L15, "N/A"))</f>
        <v/>
      </c>
      <c r="Q15" s="203">
        <f>IF(OR(ISBLANK(M15), M15&lt;=0), "N/A", IFERROR(F15/M15, "N/A"))</f>
        <v/>
      </c>
    </row>
    <row r="16">
      <c r="B16" s="201">
        <f>'Raw FS'!L61</f>
        <v/>
      </c>
      <c r="C16" s="201" t="inlineStr">
        <is>
          <t>MARICO</t>
        </is>
      </c>
      <c r="D16" s="202">
        <f>'Raw FS'!M61</f>
        <v/>
      </c>
      <c r="E16" s="202">
        <f>'Raw FS'!N61</f>
        <v/>
      </c>
      <c r="F16" s="202">
        <f>D16*E16</f>
        <v/>
      </c>
      <c r="G16" s="202">
        <f>'Raw FS'!AS61</f>
        <v/>
      </c>
      <c r="H16" s="202">
        <f>'Raw FS'!AT61</f>
        <v/>
      </c>
      <c r="I16" s="201">
        <f>IF(OR(ISBLANK(K16), K16&lt;=0), "N/A", IFERROR($H16/K16, "N/A"))</f>
        <v/>
      </c>
      <c r="J16" s="201">
        <f>IF(OR(ISBLANK(L16), L16&lt;=0), "N/A", IFERROR($H16/L16, "N/A"))</f>
        <v/>
      </c>
      <c r="K16" s="202">
        <f>'Raw FS'!AU61</f>
        <v/>
      </c>
      <c r="L16" s="202">
        <f>'Raw FS'!AV61</f>
        <v/>
      </c>
      <c r="M16" s="202">
        <f>'Raw FS'!AW61</f>
        <v/>
      </c>
      <c r="N16" s="150" t="n"/>
      <c r="O16" s="203">
        <f>IF(OR(ISBLANK(K16), K16&lt;=0), "N/A", IFERROR($H16/K16, "N/A"))</f>
        <v/>
      </c>
      <c r="P16" s="203">
        <f>IF(OR(ISBLANK(L16), L16&lt;=0), "N/A", IFERROR($H16/L16, "N/A"))</f>
        <v/>
      </c>
      <c r="Q16" s="203">
        <f>IF(OR(ISBLANK(M16), M16&lt;=0), "N/A", IFERROR(F16/M16, "N/A"))</f>
        <v/>
      </c>
    </row>
    <row r="17">
      <c r="B17" s="201">
        <f>'Raw FS'!L62</f>
        <v/>
      </c>
      <c r="C17" s="201" t="inlineStr">
        <is>
          <t>GODREJCP</t>
        </is>
      </c>
      <c r="D17" s="202">
        <f>'Raw FS'!M62</f>
        <v/>
      </c>
      <c r="E17" s="202">
        <f>'Raw FS'!N62</f>
        <v/>
      </c>
      <c r="F17" s="202">
        <f>D17*E17</f>
        <v/>
      </c>
      <c r="G17" s="202">
        <f>'Raw FS'!AS62</f>
        <v/>
      </c>
      <c r="H17" s="202">
        <f>'Raw FS'!AT62</f>
        <v/>
      </c>
      <c r="I17" s="201">
        <f>IF(OR(ISBLANK(K17), K17&lt;=0), "N/A", IFERROR($H17/K17, "N/A"))</f>
        <v/>
      </c>
      <c r="J17" s="201">
        <f>IF(OR(ISBLANK(L17), L17&lt;=0), "N/A", IFERROR($H17/L17, "N/A"))</f>
        <v/>
      </c>
      <c r="K17" s="202">
        <f>'Raw FS'!AU62</f>
        <v/>
      </c>
      <c r="L17" s="202">
        <f>'Raw FS'!AV62</f>
        <v/>
      </c>
      <c r="M17" s="202">
        <f>'Raw FS'!AW62</f>
        <v/>
      </c>
      <c r="N17" s="150" t="n"/>
      <c r="O17" s="203">
        <f>IF(OR(ISBLANK(K17), K17&lt;=0), "N/A", IFERROR($H17/K17, "N/A"))</f>
        <v/>
      </c>
      <c r="P17" s="203">
        <f>IF(OR(ISBLANK(L17), L17&lt;=0), "N/A", IFERROR($H17/L17, "N/A"))</f>
        <v/>
      </c>
      <c r="Q17" s="203">
        <f>IF(OR(ISBLANK(M17), M17&lt;=0), "N/A", IFERROR(F17/M17, "N/A"))</f>
        <v/>
      </c>
    </row>
    <row r="18">
      <c r="B18" s="201">
        <f>'Raw FS'!L63</f>
        <v/>
      </c>
      <c r="C18" s="201" t="inlineStr">
        <is>
          <t>DABUR</t>
        </is>
      </c>
      <c r="D18" s="202">
        <f>'Raw FS'!M63</f>
        <v/>
      </c>
      <c r="E18" s="202">
        <f>'Raw FS'!N63</f>
        <v/>
      </c>
      <c r="F18" s="202">
        <f>D18*E18</f>
        <v/>
      </c>
      <c r="G18" s="202">
        <f>'Raw FS'!AS63</f>
        <v/>
      </c>
      <c r="H18" s="202">
        <f>'Raw FS'!AT63</f>
        <v/>
      </c>
      <c r="I18" s="201">
        <f>IF(OR(ISBLANK(K18), K18&lt;=0), "N/A", IFERROR($H18/K18, "N/A"))</f>
        <v/>
      </c>
      <c r="J18" s="201">
        <f>IF(OR(ISBLANK(L18), L18&lt;=0), "N/A", IFERROR($H18/L18, "N/A"))</f>
        <v/>
      </c>
      <c r="K18" s="202">
        <f>'Raw FS'!AU63</f>
        <v/>
      </c>
      <c r="L18" s="202">
        <f>'Raw FS'!AV63</f>
        <v/>
      </c>
      <c r="M18" s="202">
        <f>'Raw FS'!AW63</f>
        <v/>
      </c>
      <c r="N18" s="150" t="n"/>
      <c r="O18" s="203">
        <f>IF(OR(ISBLANK(K18), K18&lt;=0), "N/A", IFERROR($H18/K18, "N/A"))</f>
        <v/>
      </c>
      <c r="P18" s="203">
        <f>IF(OR(ISBLANK(L18), L18&lt;=0), "N/A", IFERROR($H18/L18, "N/A"))</f>
        <v/>
      </c>
      <c r="Q18" s="203">
        <f>IF(OR(ISBLANK(M18), M18&lt;=0), "N/A", IFERROR(F18/M18, "N/A"))</f>
        <v/>
      </c>
    </row>
    <row r="19">
      <c r="B19" s="201">
        <f>'Raw FS'!L64</f>
        <v/>
      </c>
      <c r="C19" s="201" t="inlineStr">
        <is>
          <t>MILKYMIST</t>
        </is>
      </c>
      <c r="D19" s="202">
        <f>'Raw FS'!M64</f>
        <v/>
      </c>
      <c r="E19" s="202">
        <f>'Raw FS'!N64</f>
        <v/>
      </c>
      <c r="F19" s="202">
        <f>D19*E19</f>
        <v/>
      </c>
      <c r="G19" s="202">
        <f>'Raw FS'!AS64</f>
        <v/>
      </c>
      <c r="H19" s="202">
        <f>'Raw FS'!AT64</f>
        <v/>
      </c>
      <c r="I19" s="201">
        <f>IF(OR(ISBLANK(K19), K19&lt;=0), "N/A", IFERROR($H19/K19, "N/A"))</f>
        <v/>
      </c>
      <c r="J19" s="201">
        <f>IF(OR(ISBLANK(L19), L19&lt;=0), "N/A", IFERROR($H19/L19, "N/A"))</f>
        <v/>
      </c>
      <c r="K19" s="202">
        <f>'Raw FS'!AU64</f>
        <v/>
      </c>
      <c r="L19" s="202">
        <f>'Raw FS'!AV64</f>
        <v/>
      </c>
      <c r="M19" s="202">
        <f>'Raw FS'!AW64</f>
        <v/>
      </c>
      <c r="N19" s="150" t="n"/>
      <c r="O19" s="203">
        <f>IF(OR(ISBLANK(K19), K19&lt;=0), "N/A", IFERROR($H19/K19, "N/A"))</f>
        <v/>
      </c>
      <c r="P19" s="203">
        <f>IF(OR(ISBLANK(L19), L19&lt;=0), "N/A", IFERROR($H19/L19, "N/A"))</f>
        <v/>
      </c>
      <c r="Q19" s="203">
        <f>IF(OR(ISBLANK(M19), M19&lt;=0), "N/A", IFERROR(F19/M19, "N/A"))</f>
        <v/>
      </c>
    </row>
    <row r="20">
      <c r="B20" s="201" t="n"/>
      <c r="C20" s="201" t="n"/>
      <c r="D20" s="202" t="n"/>
      <c r="E20" s="202" t="n"/>
      <c r="F20" s="202" t="n"/>
      <c r="G20" s="202" t="n"/>
      <c r="H20" s="202" t="n"/>
      <c r="I20" s="201" t="n"/>
      <c r="J20" s="201" t="n"/>
      <c r="K20" s="202" t="n"/>
      <c r="L20" s="202" t="n"/>
      <c r="M20" s="202" t="n"/>
      <c r="N20" s="150" t="n"/>
      <c r="O20" s="203" t="n"/>
      <c r="P20" s="203" t="n"/>
      <c r="Q20" s="203" t="n"/>
    </row>
    <row r="21">
      <c r="B21" s="201" t="n"/>
      <c r="C21" s="201" t="n"/>
      <c r="D21" s="202" t="n"/>
      <c r="E21" s="202" t="n"/>
      <c r="F21" s="202" t="n"/>
      <c r="G21" s="202" t="n"/>
      <c r="H21" s="202" t="n"/>
      <c r="I21" s="201" t="n"/>
      <c r="J21" s="201" t="n"/>
      <c r="K21" s="202" t="n"/>
      <c r="L21" s="202" t="n"/>
      <c r="M21" s="202" t="n"/>
      <c r="N21" s="150" t="n"/>
      <c r="O21" s="203" t="n"/>
      <c r="P21" s="203" t="n"/>
      <c r="Q21" s="203" t="n"/>
    </row>
    <row r="22" ht="6.6" customHeight="1" s="176"/>
    <row r="23">
      <c r="B23" s="204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204">
        <f>MAX(I12:I19)</f>
        <v/>
      </c>
      <c r="J23" s="204">
        <f>MAX(J12:J19)</f>
        <v/>
      </c>
      <c r="K23" s="79" t="n"/>
      <c r="L23" s="79" t="n"/>
      <c r="M23" s="79" t="n"/>
      <c r="N23" s="79" t="n"/>
      <c r="O23" s="205">
        <f>MAX(O12:O19)</f>
        <v/>
      </c>
      <c r="P23" s="205">
        <f>MAX(P12:P19)</f>
        <v/>
      </c>
      <c r="Q23" s="205">
        <f>MAX(Q12:Q19)</f>
        <v/>
      </c>
    </row>
    <row r="24">
      <c r="B24" s="204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204">
        <f>_xlfn.QUARTILE.INC(I12:I19,1)</f>
        <v/>
      </c>
      <c r="J24" s="204">
        <f>_xlfn.QUARTILE.INC(J12:J19,1)</f>
        <v/>
      </c>
      <c r="K24" s="79" t="n"/>
      <c r="L24" s="79" t="n"/>
      <c r="M24" s="79" t="n"/>
      <c r="N24" s="79" t="n"/>
      <c r="O24" s="206">
        <f>_xlfn.QUARTILE.INC(O12:O19,1)</f>
        <v/>
      </c>
      <c r="P24" s="206">
        <f>_xlfn.QUARTILE.INC(P12:P19,1)</f>
        <v/>
      </c>
      <c r="Q24" s="206">
        <f>_xlfn.QUARTILE.INC(Q12:Q19,1)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>
        <f>MEDIAN(I12:I19)</f>
        <v/>
      </c>
      <c r="J25" s="152">
        <f>MEDIAN(J12:J19)</f>
        <v/>
      </c>
      <c r="K25" s="152" t="n"/>
      <c r="L25" s="152" t="n"/>
      <c r="M25" s="152" t="n"/>
      <c r="N25" s="152" t="n"/>
      <c r="O25" s="153">
        <f>MEDIAN(O12:O19)</f>
        <v/>
      </c>
      <c r="P25" s="153">
        <f>MEDIAN(P12:P19)</f>
        <v/>
      </c>
      <c r="Q25" s="153">
        <f>MEDIAN(Q12:Q19)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>
        <f>AVERAGE(I12:I19)</f>
        <v/>
      </c>
      <c r="J26" s="152">
        <f>AVERAGE(J12:J19)</f>
        <v/>
      </c>
      <c r="K26" s="152" t="n"/>
      <c r="L26" s="152" t="n"/>
      <c r="M26" s="152" t="n"/>
      <c r="N26" s="152" t="n"/>
      <c r="O26" s="153">
        <f>AVERAGE(O12:O19)</f>
        <v/>
      </c>
      <c r="P26" s="153">
        <f>AVERAGE(P12:P19)</f>
        <v/>
      </c>
      <c r="Q26" s="153">
        <f>AVERAGE(Q12:Q19)</f>
        <v/>
      </c>
    </row>
    <row r="27">
      <c r="B27" s="204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204">
        <f>_xlfn.QUARTILE.INC(I12:I19,3)</f>
        <v/>
      </c>
      <c r="J27" s="204">
        <f>_xlfn.QUARTILE.INC(J12:J19,3)</f>
        <v/>
      </c>
      <c r="K27" s="79" t="n"/>
      <c r="L27" s="79" t="n"/>
      <c r="M27" s="79" t="n"/>
      <c r="N27" s="79" t="n"/>
      <c r="O27" s="206">
        <f>_xlfn.QUARTILE.INC(O12:O19,3)</f>
        <v/>
      </c>
      <c r="P27" s="206">
        <f>_xlfn.QUARTILE.INC(P12:P19,3)</f>
        <v/>
      </c>
      <c r="Q27" s="206">
        <f>_xlfn.QUARTILE.INC(Q12:Q19,3)</f>
        <v/>
      </c>
    </row>
    <row r="28">
      <c r="B28" s="204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204">
        <f>MIN(I12:I19)</f>
        <v/>
      </c>
      <c r="J28" s="204">
        <f>MIN(J12:J19)</f>
        <v/>
      </c>
      <c r="K28" s="79" t="n"/>
      <c r="L28" s="79" t="n"/>
      <c r="M28" s="79" t="n"/>
      <c r="N28" s="79" t="n"/>
      <c r="O28" s="205">
        <f>MIN(O12:O19)</f>
        <v/>
      </c>
      <c r="P28" s="205">
        <f>MIN(P12:P19)</f>
        <v/>
      </c>
      <c r="Q28" s="205">
        <f>MIN(Q12:Q19)</f>
        <v/>
      </c>
    </row>
    <row r="30">
      <c r="B30" s="84" t="inlineStr">
        <is>
          <t>HINDUSTAN UNILEVER LTD Comparable Valuation</t>
        </is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201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201">
        <f>'Raw FS'!AU56*I25</f>
        <v/>
      </c>
      <c r="J32" s="201">
        <f>'Raw FS'!AV56*J25</f>
        <v/>
      </c>
      <c r="K32" s="150" t="n"/>
      <c r="L32" s="150" t="n"/>
      <c r="M32" s="150" t="n"/>
      <c r="N32" s="150" t="n"/>
      <c r="O32" s="202">
        <f>'Raw FS'!AU56*O25</f>
        <v/>
      </c>
      <c r="P32" s="202">
        <f>'Raw FS'!AV56*P25</f>
        <v/>
      </c>
      <c r="Q32" s="202">
        <f>'Raw FS'!AW56*Q25</f>
        <v/>
      </c>
    </row>
    <row r="33">
      <c r="B33" s="201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201">
        <f>'Raw FS'!AS56</f>
        <v/>
      </c>
      <c r="J33" s="201">
        <f>'Raw FS'!AS56</f>
        <v/>
      </c>
      <c r="K33" s="150" t="n"/>
      <c r="L33" s="150" t="n"/>
      <c r="M33" s="150" t="n"/>
      <c r="N33" s="150" t="n"/>
      <c r="O33" s="202">
        <f>'Raw FS'!AS56</f>
        <v/>
      </c>
      <c r="P33" s="202">
        <f>'Raw FS'!AS56</f>
        <v/>
      </c>
      <c r="Q33" s="202" t="n">
        <v>0</v>
      </c>
    </row>
    <row r="34">
      <c r="B34" s="201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201">
        <f>I32-I33</f>
        <v/>
      </c>
      <c r="J34" s="201">
        <f>J32-J33</f>
        <v/>
      </c>
      <c r="K34" s="150" t="n"/>
      <c r="L34" s="150" t="n"/>
      <c r="M34" s="150" t="n"/>
      <c r="N34" s="150" t="n"/>
      <c r="O34" s="202">
        <f>O32-O33</f>
        <v/>
      </c>
      <c r="P34" s="202">
        <f>P32-P33</f>
        <v/>
      </c>
      <c r="Q34" s="202">
        <f>Q32</f>
        <v/>
      </c>
    </row>
    <row r="35">
      <c r="B35" s="201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207">
        <f>'Raw FS'!N56</f>
        <v/>
      </c>
      <c r="J35" s="207">
        <f>'Raw FS'!N56</f>
        <v/>
      </c>
      <c r="K35" s="150" t="n"/>
      <c r="L35" s="150" t="n"/>
      <c r="M35" s="150" t="n"/>
      <c r="N35" s="150" t="n"/>
      <c r="O35" s="202">
        <f>'Raw FS'!N56</f>
        <v/>
      </c>
      <c r="P35" s="202">
        <f>'Raw FS'!N56</f>
        <v/>
      </c>
      <c r="Q35" s="202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>
        <f>I34/I35</f>
        <v/>
      </c>
      <c r="J37" s="152">
        <f>J34/J35</f>
        <v/>
      </c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B39" t="inlineStr">
        <is>
          <t>Verdict</t>
        </is>
      </c>
      <c r="I39">
        <f>IF(I37="N/A","N/A",IF(I37&gt;'Raw FS'!M56,"Undervalued","Overvalued"))</f>
        <v/>
      </c>
      <c r="J39">
        <f>IF(J37="N/A","N/A",IF(J37&gt;'Raw FS'!M56,"Undervalued","Overvalued"))</f>
        <v/>
      </c>
      <c r="O39">
        <f>IF(O37="N/A","N/A",IF(O37&gt;'Raw FS'!M56,"Undervalued","Overvalued"))</f>
        <v/>
      </c>
      <c r="P39">
        <f>IF(P37="N/A","N/A",IF(P37&gt;'Raw FS'!M56,"Undervalued","Overvalued"))</f>
        <v/>
      </c>
      <c r="Q39">
        <f>IF(Q37="N/A","N/A",IF(Q37&gt;'Raw FS'!M56,"Undervalued","Overvalued"))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76" min="1" max="1"/>
    <col width="26.77734375" customWidth="1" style="176" min="2" max="2"/>
    <col width="11" bestFit="1" customWidth="1" style="176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- 2,553.00 &amp; low INR - 1,827.00)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76">
      <c r="B7" s="37" t="n"/>
    </row>
    <row r="8">
      <c r="B8" s="185" t="inlineStr">
        <is>
          <t>Hindustan Unilever Limited (HUL) is an Indian's fast-moving consumer goods company, headquartered in Mumbai. It is a subsidiary of the Anglo-Dutch company Unilever. Its products include foods, beverages, cleaning agents, personal care products and other consumer staples.</t>
        </is>
      </c>
    </row>
    <row r="9"/>
    <row r="10"/>
    <row r="11"/>
    <row r="13" ht="5.4" customHeight="1" s="176"/>
    <row r="15" ht="21" customHeight="1" s="176">
      <c r="B15" s="99" t="inlineStr">
        <is>
          <t>Financial Summary</t>
        </is>
      </c>
    </row>
    <row r="35" ht="18" customHeight="1" s="176">
      <c r="B35" s="101" t="inlineStr">
        <is>
          <t>Recent Updates</t>
        </is>
      </c>
    </row>
    <row r="37">
      <c r="A37" t="inlineStr">
        <is>
          <t>•</t>
        </is>
      </c>
      <c r="B37" s="184" t="inlineStr">
        <is>
          <t>Hindustan Unilever shares in focus as Capital Markets Day outlines growth levers; what are Goldman Sachs a</t>
        </is>
      </c>
    </row>
    <row r="38"/>
    <row r="39">
      <c r="A39" t="inlineStr">
        <is>
          <t>•</t>
        </is>
      </c>
      <c r="B39" s="184" t="inlineStr">
        <is>
          <t>Hindustan Unilever to focus on regaining market share: Global CEO Fernando Fernandez</t>
        </is>
      </c>
    </row>
    <row r="40"/>
    <row r="41">
      <c r="A41" t="inlineStr">
        <is>
          <t>•</t>
        </is>
      </c>
      <c r="B41" s="184" t="inlineStr">
        <is>
          <t>Hindustan Unilever bets on price hikes, cost cuts to counter Mideast-driven pressures</t>
        </is>
      </c>
    </row>
    <row r="42"/>
    <row r="43">
      <c r="A43" t="inlineStr">
        <is>
          <t>•</t>
        </is>
      </c>
      <c r="B43" s="184" t="inlineStr">
        <is>
          <t>Hindustan Unilever launches fragrance R&amp;D centre under €100 million investment programme</t>
        </is>
      </c>
    </row>
    <row r="44"/>
    <row r="45">
      <c r="A45" t="inlineStr">
        <is>
          <t>•</t>
        </is>
      </c>
      <c r="B45" s="184" t="inlineStr">
        <is>
          <t>Unilever to sharpen India play with premium &amp; q-comm push</t>
        </is>
      </c>
    </row>
    <row r="46"/>
    <row r="47">
      <c r="A47" t="inlineStr">
        <is>
          <t>•</t>
        </is>
      </c>
      <c r="B47" s="184" t="inlineStr">
        <is>
          <t>HINDUSTAN UNILEVER LTD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76"/>
    <row r="54" ht="30.6" customHeight="1" s="176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77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77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77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77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76" min="1" max="1"/>
    <col width="26.77734375" customWidth="1" style="176" min="2" max="2"/>
    <col width="12.6640625" bestFit="1" customWidth="1" style="176" min="5" max="5"/>
    <col width="12.77734375" bestFit="1" customWidth="1" style="176" min="6" max="7"/>
    <col width="13.44140625" bestFit="1" customWidth="1" style="176" min="8" max="8"/>
    <col width="12.77734375" bestFit="1" customWidth="1" style="176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- 2,553.00 &amp; low INR - 1,827.00)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76"/>
    <row r="8">
      <c r="B8" s="185" t="inlineStr">
        <is>
          <t>Hindustan Unilever Limited (HUL) is an Indian's fast-moving consumer goods company, headquartered in Mumbai. It is a subsidiary of the Anglo-Dutch company Unilever. Its products include foods, beverages, cleaning agents, personal care products and other consumer staples.</t>
        </is>
      </c>
    </row>
    <row r="9"/>
    <row r="10"/>
    <row r="11"/>
    <row r="12" ht="5.4" customHeight="1" s="176"/>
    <row r="14" ht="21" customHeight="1" s="176">
      <c r="B14" s="99" t="inlineStr">
        <is>
          <t>Financial Summary</t>
        </is>
      </c>
    </row>
    <row r="34" ht="18" customHeight="1" s="176">
      <c r="B34" s="101" t="inlineStr">
        <is>
          <t>Recent Updates</t>
        </is>
      </c>
    </row>
    <row r="36">
      <c r="A36" t="inlineStr">
        <is>
          <t>•</t>
        </is>
      </c>
      <c r="B36" s="184" t="inlineStr">
        <is>
          <t>Hindustan Unilever shares in focus as Capital Markets Day outlines growth levers; what are Goldman Sachs a</t>
        </is>
      </c>
    </row>
    <row r="37"/>
    <row r="38" ht="14.4" customHeight="1" s="176">
      <c r="A38" t="inlineStr">
        <is>
          <t>•</t>
        </is>
      </c>
      <c r="B38" s="184" t="inlineStr">
        <is>
          <t>Hindustan Unilever to focus on regaining market share: Global CEO Fernando Fernandez</t>
        </is>
      </c>
    </row>
    <row r="39"/>
    <row r="40" ht="20.4" customHeight="1" s="176">
      <c r="A40" t="inlineStr">
        <is>
          <t>•</t>
        </is>
      </c>
      <c r="B40" s="184" t="inlineStr">
        <is>
          <t>Hindustan Unilever bets on price hikes, cost cuts to counter Mideast-driven pressures</t>
        </is>
      </c>
    </row>
    <row r="41"/>
    <row r="42">
      <c r="A42" t="inlineStr">
        <is>
          <t>•</t>
        </is>
      </c>
      <c r="B42" s="184" t="inlineStr">
        <is>
          <t>Hindustan Unilever launches fragrance R&amp;D centre under €100 million investment programme</t>
        </is>
      </c>
    </row>
    <row r="43"/>
    <row r="44">
      <c r="A44" t="inlineStr">
        <is>
          <t>•</t>
        </is>
      </c>
      <c r="B44" s="184" t="inlineStr">
        <is>
          <t>Unilever to sharpen India play with premium &amp; q-comm push</t>
        </is>
      </c>
    </row>
    <row r="45"/>
    <row r="46">
      <c r="A46" t="inlineStr">
        <is>
          <t>•</t>
        </is>
      </c>
      <c r="B46" s="184" t="inlineStr">
        <is>
          <t>HINDUSTAN UNILEVER LTD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76"/>
    <row r="53" ht="30.6" customHeight="1" s="176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77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77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77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77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77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77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86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76" min="1" max="1"/>
    <col width="22.77734375" bestFit="1" customWidth="1" style="176" min="2" max="2"/>
    <col width="9.44140625" customWidth="1" style="176" min="12" max="12"/>
    <col width="22.77734375" bestFit="1" customWidth="1" style="176" min="17" max="17"/>
    <col width="25.77734375" bestFit="1" customWidth="1" style="176" min="18" max="18"/>
    <col width="14.77734375" customWidth="1" style="176" min="46" max="46"/>
    <col width="11.6640625" customWidth="1" style="176" min="47" max="47"/>
    <col width="12.6640625" customWidth="1" style="176" min="48" max="48"/>
    <col width="13.21875" customWidth="1" style="176" min="50" max="50"/>
  </cols>
  <sheetData>
    <row r="3">
      <c r="B3" s="84" t="inlineStr">
        <is>
          <t>Particulars</t>
        </is>
      </c>
      <c r="C3" s="40" t="inlineStr">
        <is>
          <t>Mar 2015</t>
        </is>
      </c>
      <c r="D3" s="40" t="inlineStr">
        <is>
          <t>Mar 2016</t>
        </is>
      </c>
      <c r="E3" s="40" t="inlineStr">
        <is>
          <t>Mar 2017</t>
        </is>
      </c>
      <c r="F3" s="40" t="inlineStr">
        <is>
          <t>Mar 2018</t>
        </is>
      </c>
      <c r="G3" s="40" t="inlineStr">
        <is>
          <t>Mar 2019</t>
        </is>
      </c>
      <c r="H3" s="40" t="inlineStr">
        <is>
          <t>Mar 2020</t>
        </is>
      </c>
      <c r="I3" s="40" t="inlineStr">
        <is>
          <t>Mar 2021</t>
        </is>
      </c>
      <c r="J3" s="40" t="inlineStr">
        <is>
          <t>Mar 2022</t>
        </is>
      </c>
      <c r="K3" s="40" t="inlineStr">
        <is>
          <t>Mar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inlineStr">
        <is>
          <t>Mar 2015</t>
        </is>
      </c>
      <c r="T3" s="35" t="inlineStr">
        <is>
          <t>Mar 2016</t>
        </is>
      </c>
      <c r="U3" s="35" t="inlineStr">
        <is>
          <t>Mar 2017</t>
        </is>
      </c>
      <c r="V3" s="35" t="inlineStr">
        <is>
          <t>Mar 2018</t>
        </is>
      </c>
      <c r="W3" s="35" t="inlineStr">
        <is>
          <t>Mar 2019</t>
        </is>
      </c>
      <c r="X3" s="35" t="inlineStr">
        <is>
          <t>Mar 2020</t>
        </is>
      </c>
      <c r="Y3" s="35" t="inlineStr">
        <is>
          <t>Mar 2021</t>
        </is>
      </c>
      <c r="Z3" s="35" t="inlineStr">
        <is>
          <t>Mar 2022</t>
        </is>
      </c>
      <c r="AA3" s="35" t="inlineStr">
        <is>
          <t>Mar 2023</t>
        </is>
      </c>
      <c r="AB3" s="35" t="inlineStr">
        <is>
          <t>Mar 2024</t>
        </is>
      </c>
      <c r="AC3" s="35" t="inlineStr">
        <is>
          <t>Mar 2025</t>
        </is>
      </c>
      <c r="AD3" s="35" t="inlineStr">
        <is>
          <t>Mar 2026</t>
        </is>
      </c>
      <c r="AE3" t="inlineStr">
        <is>
          <t>TTM</t>
        </is>
      </c>
    </row>
    <row r="4">
      <c r="C4" s="35" t="n">
        <v>0</v>
      </c>
      <c r="D4" s="35" t="n">
        <v>0</v>
      </c>
      <c r="E4" s="35" t="n">
        <v>0</v>
      </c>
      <c r="F4" s="35" t="n">
        <v>0</v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/>
      <c r="R4" t="inlineStr">
        <is>
          <t>Sales +</t>
        </is>
      </c>
      <c r="S4" s="73" t="n">
        <v>31972</v>
      </c>
      <c r="T4" s="73" t="n">
        <v>32186</v>
      </c>
      <c r="U4" s="73" t="n">
        <v>33162</v>
      </c>
      <c r="V4" s="73" t="n">
        <v>35545</v>
      </c>
      <c r="W4" s="73" t="n">
        <v>39310</v>
      </c>
      <c r="X4" s="73" t="n">
        <v>39783</v>
      </c>
      <c r="Y4" s="73" t="n">
        <v>47028</v>
      </c>
      <c r="Z4" s="73" t="n">
        <v>52446</v>
      </c>
      <c r="AA4" s="73" t="n">
        <v>60580</v>
      </c>
      <c r="AB4" s="73" t="n">
        <v>61896</v>
      </c>
      <c r="AC4" s="73" t="n">
        <v>61328</v>
      </c>
      <c r="AD4" s="73" t="n">
        <v>64468</v>
      </c>
      <c r="AE4" s="73" t="n">
        <v>66052</v>
      </c>
    </row>
    <row r="5">
      <c r="B5" s="35" t="inlineStr">
        <is>
          <t>Equity Capital</t>
        </is>
      </c>
      <c r="C5" t="n">
        <v>216</v>
      </c>
      <c r="D5" s="47" t="n">
        <v>216</v>
      </c>
      <c r="E5" s="47" t="n">
        <v>216</v>
      </c>
      <c r="F5" s="47" t="n">
        <v>216</v>
      </c>
      <c r="G5" s="47" t="n">
        <v>216</v>
      </c>
      <c r="H5" s="47" t="n">
        <v>216</v>
      </c>
      <c r="I5" s="47" t="n">
        <v>235</v>
      </c>
      <c r="J5" s="47" t="n">
        <v>235</v>
      </c>
      <c r="K5" s="47" t="n">
        <v>235</v>
      </c>
      <c r="L5" s="47" t="n">
        <v>235</v>
      </c>
      <c r="M5" s="47" t="n">
        <v>235</v>
      </c>
      <c r="N5" s="47" t="n">
        <v>235</v>
      </c>
      <c r="R5" t="inlineStr">
        <is>
          <t>Expenses +</t>
        </is>
      </c>
      <c r="S5" s="73" t="n">
        <v>26560</v>
      </c>
      <c r="T5" s="73" t="n">
        <v>26276</v>
      </c>
      <c r="U5" s="73" t="n">
        <v>26834</v>
      </c>
      <c r="V5" s="73" t="n">
        <v>28046</v>
      </c>
      <c r="W5" s="73" t="n">
        <v>30430</v>
      </c>
      <c r="X5" s="73" t="n">
        <v>29922</v>
      </c>
      <c r="Y5" s="73" t="n">
        <v>35402</v>
      </c>
      <c r="Z5" s="73" t="n">
        <v>39589</v>
      </c>
      <c r="AA5" s="73" t="n">
        <v>46433</v>
      </c>
      <c r="AB5" s="73" t="n">
        <v>47237</v>
      </c>
      <c r="AC5" s="73" t="n">
        <v>46630</v>
      </c>
      <c r="AD5" s="73" t="n">
        <v>49429</v>
      </c>
      <c r="AE5" s="73" t="n">
        <v>50705</v>
      </c>
    </row>
    <row r="6">
      <c r="B6" t="inlineStr">
        <is>
          <t>Reserves</t>
        </is>
      </c>
      <c r="C6" s="73" t="n">
        <v>3811</v>
      </c>
      <c r="D6" s="73" t="n">
        <v>6357</v>
      </c>
      <c r="E6" s="73" t="n">
        <v>6528</v>
      </c>
      <c r="F6" s="73" t="n">
        <v>7065</v>
      </c>
      <c r="G6" s="73" t="n">
        <v>7651</v>
      </c>
      <c r="H6" s="73" t="n">
        <v>8013</v>
      </c>
      <c r="I6" s="73" t="n">
        <v>47439</v>
      </c>
      <c r="J6" s="73" t="n">
        <v>48826</v>
      </c>
      <c r="K6" s="73" t="n">
        <v>50069</v>
      </c>
      <c r="L6" s="73" t="n">
        <v>50983</v>
      </c>
      <c r="M6" s="73" t="n">
        <v>49167</v>
      </c>
      <c r="N6" s="73" t="n">
        <v>48504</v>
      </c>
      <c r="O6" s="73" t="n"/>
      <c r="R6" t="inlineStr">
        <is>
          <t>Operating Profit</t>
        </is>
      </c>
      <c r="S6" s="73" t="n">
        <v>5412</v>
      </c>
      <c r="T6" s="73" t="n">
        <v>5910</v>
      </c>
      <c r="U6" s="73" t="n">
        <v>6328</v>
      </c>
      <c r="V6" s="73" t="n">
        <v>7499</v>
      </c>
      <c r="W6" s="73" t="n">
        <v>8880</v>
      </c>
      <c r="X6" s="73" t="n">
        <v>9861</v>
      </c>
      <c r="Y6" s="73" t="n">
        <v>11626</v>
      </c>
      <c r="Z6" s="73" t="n">
        <v>12857</v>
      </c>
      <c r="AA6" s="73" t="n">
        <v>14147</v>
      </c>
      <c r="AB6" s="73" t="n">
        <v>14659</v>
      </c>
      <c r="AC6" s="73" t="n">
        <v>14698</v>
      </c>
      <c r="AD6" s="73" t="n">
        <v>15039</v>
      </c>
      <c r="AE6" s="73" t="n">
        <v>15347</v>
      </c>
    </row>
    <row r="7">
      <c r="B7" s="73" t="inlineStr">
        <is>
          <t>Borrowings -</t>
        </is>
      </c>
      <c r="C7" s="73" t="n">
        <v>43</v>
      </c>
      <c r="D7" s="73" t="n">
        <v>177</v>
      </c>
      <c r="E7" s="73" t="n">
        <v>277</v>
      </c>
      <c r="F7" s="73" t="n">
        <v>0</v>
      </c>
      <c r="G7" s="73" t="n">
        <v>99</v>
      </c>
      <c r="H7" s="73" t="n">
        <v>0</v>
      </c>
      <c r="I7" s="73" t="n">
        <v>0</v>
      </c>
      <c r="J7" s="73" t="n">
        <v>1043</v>
      </c>
      <c r="K7" s="73" t="n">
        <v>1219</v>
      </c>
      <c r="L7" s="73" t="n">
        <v>1484</v>
      </c>
      <c r="M7" s="73" t="n">
        <v>1648</v>
      </c>
      <c r="N7" s="73" t="n">
        <v>1478</v>
      </c>
      <c r="O7" s="73" t="n"/>
      <c r="R7" t="inlineStr">
        <is>
          <t>OPM %</t>
        </is>
      </c>
      <c r="S7" s="75" t="n">
        <v>17</v>
      </c>
      <c r="T7" s="75" t="n">
        <v>18</v>
      </c>
      <c r="U7" s="75" t="n">
        <v>19</v>
      </c>
      <c r="V7" s="75" t="n">
        <v>21</v>
      </c>
      <c r="W7" s="75" t="n">
        <v>23</v>
      </c>
      <c r="X7" s="75" t="n">
        <v>25</v>
      </c>
      <c r="Y7" s="75" t="n">
        <v>25</v>
      </c>
      <c r="Z7" s="75" t="n">
        <v>25</v>
      </c>
      <c r="AA7" s="75" t="n">
        <v>23</v>
      </c>
      <c r="AB7" s="75" t="n">
        <v>24</v>
      </c>
      <c r="AC7" s="75" t="n">
        <v>24</v>
      </c>
      <c r="AD7" s="75" t="n">
        <v>23</v>
      </c>
      <c r="AE7" s="75" t="n">
        <v>23</v>
      </c>
    </row>
    <row r="8">
      <c r="B8" s="73" t="inlineStr">
        <is>
          <t>Long term Borrowings</t>
        </is>
      </c>
      <c r="C8" s="73" t="n">
        <v>0</v>
      </c>
      <c r="D8" s="73" t="n">
        <v>0</v>
      </c>
      <c r="E8" s="73" t="n">
        <v>0</v>
      </c>
      <c r="F8" s="73" t="n">
        <v>0</v>
      </c>
      <c r="G8" s="73" t="n">
        <v>0</v>
      </c>
      <c r="H8" s="73" t="n">
        <v>0</v>
      </c>
      <c r="I8" s="73" t="n">
        <v>0</v>
      </c>
      <c r="J8" s="73" t="n">
        <v>0</v>
      </c>
      <c r="K8" s="73" t="n">
        <v>0</v>
      </c>
      <c r="L8" s="73" t="n">
        <v>0</v>
      </c>
      <c r="M8" s="73" t="n">
        <v>0</v>
      </c>
      <c r="N8" s="73" t="n">
        <v>0</v>
      </c>
      <c r="R8" t="inlineStr">
        <is>
          <t>Other Income +</t>
        </is>
      </c>
      <c r="S8" s="73" t="n">
        <v>1247</v>
      </c>
      <c r="T8" s="73" t="n">
        <v>486</v>
      </c>
      <c r="U8" s="73" t="n">
        <v>606</v>
      </c>
      <c r="V8" s="73" t="n">
        <v>353</v>
      </c>
      <c r="W8" s="73" t="n">
        <v>322</v>
      </c>
      <c r="X8" s="73" t="n">
        <v>424</v>
      </c>
      <c r="Y8" s="73" t="n">
        <v>170</v>
      </c>
      <c r="Z8" s="73" t="n">
        <v>219</v>
      </c>
      <c r="AA8" s="73" t="n">
        <v>448</v>
      </c>
      <c r="AB8" s="73" t="n">
        <v>817</v>
      </c>
      <c r="AC8" s="73" t="n">
        <v>1355</v>
      </c>
      <c r="AD8" s="73" t="n">
        <v>4923</v>
      </c>
      <c r="AE8" s="73" t="n">
        <v>4933</v>
      </c>
    </row>
    <row r="9">
      <c r="B9" t="inlineStr">
        <is>
          <t>Short term Borrowings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s="73" t="n">
        <v>0</v>
      </c>
      <c r="R9" t="inlineStr">
        <is>
          <t>Interest</t>
        </is>
      </c>
      <c r="S9" t="n">
        <v>18</v>
      </c>
      <c r="T9" t="n">
        <v>17</v>
      </c>
      <c r="U9" t="n">
        <v>35</v>
      </c>
      <c r="V9" t="n">
        <v>26</v>
      </c>
      <c r="W9" t="n">
        <v>33</v>
      </c>
      <c r="X9" t="n">
        <v>118</v>
      </c>
      <c r="Y9" t="n">
        <v>117</v>
      </c>
      <c r="Z9" t="n">
        <v>106</v>
      </c>
      <c r="AA9" t="n">
        <v>114</v>
      </c>
      <c r="AB9" t="n">
        <v>334</v>
      </c>
      <c r="AC9" t="n">
        <v>381</v>
      </c>
      <c r="AD9" t="n">
        <v>410</v>
      </c>
      <c r="AE9" t="n">
        <v>363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943</v>
      </c>
      <c r="J10" t="n">
        <v>971</v>
      </c>
      <c r="K10" t="n">
        <v>1039</v>
      </c>
      <c r="L10" t="n">
        <v>1374</v>
      </c>
      <c r="M10" t="n">
        <v>1537</v>
      </c>
      <c r="N10" t="n">
        <v>1325</v>
      </c>
      <c r="O10" s="73" t="n"/>
      <c r="R10" t="inlineStr">
        <is>
          <t>Depreciation</t>
        </is>
      </c>
      <c r="S10" s="73" t="n">
        <v>322</v>
      </c>
      <c r="T10" s="73" t="n">
        <v>353</v>
      </c>
      <c r="U10" s="73" t="n">
        <v>432</v>
      </c>
      <c r="V10" s="73" t="n">
        <v>520</v>
      </c>
      <c r="W10" s="73" t="n">
        <v>565</v>
      </c>
      <c r="X10" s="73" t="n">
        <v>1002</v>
      </c>
      <c r="Y10" s="73" t="n">
        <v>1074</v>
      </c>
      <c r="Z10" s="73" t="n">
        <v>1091</v>
      </c>
      <c r="AA10" s="73" t="n">
        <v>1137</v>
      </c>
      <c r="AB10" s="73" t="n">
        <v>1216</v>
      </c>
      <c r="AC10" s="73" t="n">
        <v>1253</v>
      </c>
      <c r="AD10" s="73" t="n">
        <v>1333</v>
      </c>
      <c r="AE10" s="73" t="n">
        <v>1360</v>
      </c>
    </row>
    <row r="11">
      <c r="B11" s="73" t="inlineStr">
        <is>
          <t>Other Borrowings</t>
        </is>
      </c>
      <c r="C11" s="73" t="n">
        <v>0</v>
      </c>
      <c r="D11" s="73" t="n">
        <v>0</v>
      </c>
      <c r="E11" s="73" t="n">
        <v>0</v>
      </c>
      <c r="F11" s="73" t="n">
        <v>0</v>
      </c>
      <c r="G11" s="73" t="n">
        <v>0</v>
      </c>
      <c r="H11" s="73" t="n">
        <v>0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6320</v>
      </c>
      <c r="T11" s="73" t="n">
        <v>6026</v>
      </c>
      <c r="U11" s="73" t="n">
        <v>6467</v>
      </c>
      <c r="V11" s="73" t="n">
        <v>7306</v>
      </c>
      <c r="W11" s="73" t="n">
        <v>8604</v>
      </c>
      <c r="X11" s="73" t="n">
        <v>9165</v>
      </c>
      <c r="Y11" s="73" t="n">
        <v>10605</v>
      </c>
      <c r="Z11" s="73" t="n">
        <v>11879</v>
      </c>
      <c r="AA11" s="73" t="n">
        <v>13344</v>
      </c>
      <c r="AB11" s="73" t="n">
        <v>13926</v>
      </c>
      <c r="AC11" s="73" t="n">
        <v>14419</v>
      </c>
      <c r="AD11" s="73" t="n">
        <v>18219</v>
      </c>
      <c r="AE11" s="73" t="n">
        <v>18557</v>
      </c>
    </row>
    <row r="12">
      <c r="B12" s="73" t="inlineStr">
        <is>
          <t>Other Liabilities -</t>
        </is>
      </c>
      <c r="C12" s="73" t="n">
        <v>10359</v>
      </c>
      <c r="D12" s="73" t="n">
        <v>8043</v>
      </c>
      <c r="E12" s="73" t="n">
        <v>8685</v>
      </c>
      <c r="F12" s="73" t="n">
        <v>10581</v>
      </c>
      <c r="G12" s="73" t="n">
        <v>10663</v>
      </c>
      <c r="H12" s="73" t="n">
        <v>11924</v>
      </c>
      <c r="I12" s="73" t="n">
        <v>21066</v>
      </c>
      <c r="J12" s="73" t="n">
        <v>20402</v>
      </c>
      <c r="K12" s="73" t="n">
        <v>21554</v>
      </c>
      <c r="L12" s="73" t="n">
        <v>25787</v>
      </c>
      <c r="M12" s="73" t="n">
        <v>28813</v>
      </c>
      <c r="N12" s="73" t="n">
        <v>29521</v>
      </c>
      <c r="R12" t="inlineStr">
        <is>
          <t>Tax %</t>
        </is>
      </c>
      <c r="S12" s="75" t="n">
        <v>31</v>
      </c>
      <c r="T12" s="75" t="n">
        <v>31</v>
      </c>
      <c r="U12" s="75" t="n">
        <v>31</v>
      </c>
      <c r="V12" s="75" t="n">
        <v>28</v>
      </c>
      <c r="W12" s="75" t="n">
        <v>30</v>
      </c>
      <c r="X12" s="75" t="n">
        <v>26</v>
      </c>
      <c r="Y12" s="75" t="n">
        <v>25</v>
      </c>
      <c r="Z12" s="75" t="n">
        <v>25</v>
      </c>
      <c r="AA12" s="75" t="n">
        <v>24</v>
      </c>
      <c r="AB12" s="75" t="n">
        <v>26</v>
      </c>
      <c r="AC12" s="75" t="n">
        <v>26</v>
      </c>
      <c r="AD12" s="75" t="n">
        <v>17</v>
      </c>
      <c r="AE12" t="n">
        <v>0</v>
      </c>
    </row>
    <row r="13">
      <c r="B13" t="inlineStr">
        <is>
          <t>Non controlling int</t>
        </is>
      </c>
      <c r="C13" t="n">
        <v>25</v>
      </c>
      <c r="D13" t="n">
        <v>20</v>
      </c>
      <c r="E13" t="n">
        <v>22</v>
      </c>
      <c r="F13" t="n">
        <v>20</v>
      </c>
      <c r="G13" t="n">
        <v>18</v>
      </c>
      <c r="H13" t="n">
        <v>17</v>
      </c>
      <c r="I13" t="n">
        <v>20</v>
      </c>
      <c r="J13" t="n">
        <v>26</v>
      </c>
      <c r="K13" t="n">
        <v>218</v>
      </c>
      <c r="L13" t="n">
        <v>205</v>
      </c>
      <c r="M13" t="n">
        <v>207</v>
      </c>
      <c r="N13" t="n">
        <v>269</v>
      </c>
      <c r="O13" s="73" t="n"/>
      <c r="R13" t="inlineStr">
        <is>
          <t>Net Profit +</t>
        </is>
      </c>
      <c r="S13" s="73" t="n">
        <v>4376</v>
      </c>
      <c r="T13" s="73" t="n">
        <v>4151</v>
      </c>
      <c r="U13" s="73" t="n">
        <v>4490</v>
      </c>
      <c r="V13" s="73" t="n">
        <v>5227</v>
      </c>
      <c r="W13" s="73" t="n">
        <v>6060</v>
      </c>
      <c r="X13" s="73" t="n">
        <v>6756</v>
      </c>
      <c r="Y13" s="73" t="n">
        <v>7999</v>
      </c>
      <c r="Z13" s="73" t="n">
        <v>8892</v>
      </c>
      <c r="AA13" s="73" t="n">
        <v>10143</v>
      </c>
      <c r="AB13" s="73" t="n">
        <v>10282</v>
      </c>
      <c r="AC13" s="73" t="n">
        <v>10671</v>
      </c>
      <c r="AD13" s="73" t="n">
        <v>15059</v>
      </c>
      <c r="AE13" s="73" t="n">
        <v>14971</v>
      </c>
    </row>
    <row r="14">
      <c r="B14" s="73" t="inlineStr">
        <is>
          <t>Trade Payables</t>
        </is>
      </c>
      <c r="C14" s="73" t="n">
        <v>5506</v>
      </c>
      <c r="D14" s="73" t="n">
        <v>5685</v>
      </c>
      <c r="E14" s="73" t="n">
        <v>6186</v>
      </c>
      <c r="F14" s="73" t="n">
        <v>7170</v>
      </c>
      <c r="G14" s="73" t="n">
        <v>7206</v>
      </c>
      <c r="H14" s="73" t="n">
        <v>7535</v>
      </c>
      <c r="I14" s="73" t="n">
        <v>8802</v>
      </c>
      <c r="J14" s="73" t="n">
        <v>9068</v>
      </c>
      <c r="K14" s="73" t="n">
        <v>9574</v>
      </c>
      <c r="L14" s="73" t="n">
        <v>10486</v>
      </c>
      <c r="M14" s="73" t="n">
        <v>11315</v>
      </c>
      <c r="N14" s="73" t="n">
        <v>13325</v>
      </c>
      <c r="S14" t="n">
        <v>20.17</v>
      </c>
      <c r="T14" t="n">
        <v>19.18</v>
      </c>
      <c r="U14" t="n">
        <v>20.68</v>
      </c>
      <c r="V14" t="n">
        <v>24.09</v>
      </c>
      <c r="W14" t="n">
        <v>27.97</v>
      </c>
      <c r="X14" t="n">
        <v>31.17</v>
      </c>
      <c r="Y14" t="n">
        <v>34.03</v>
      </c>
      <c r="Z14" t="n">
        <v>37.79</v>
      </c>
      <c r="AA14" t="n">
        <v>43.07</v>
      </c>
      <c r="AB14" t="n">
        <v>43.74</v>
      </c>
      <c r="AC14" t="n">
        <v>45.32</v>
      </c>
      <c r="AD14" t="n">
        <v>64.01000000000001</v>
      </c>
      <c r="AE14" t="n">
        <v>63.66</v>
      </c>
    </row>
    <row r="15">
      <c r="B15" t="inlineStr">
        <is>
          <t>Advance from Customers</t>
        </is>
      </c>
      <c r="C15" t="n">
        <v>45</v>
      </c>
      <c r="D15" t="n">
        <v>45</v>
      </c>
      <c r="E15" t="n">
        <v>78</v>
      </c>
      <c r="F15" t="n">
        <v>62</v>
      </c>
      <c r="G15" t="n">
        <v>43</v>
      </c>
      <c r="H15" t="n">
        <v>158</v>
      </c>
      <c r="I15" t="n">
        <v>96</v>
      </c>
      <c r="J15" s="73" t="n">
        <v>119</v>
      </c>
      <c r="K15" s="73" t="n">
        <v>98</v>
      </c>
      <c r="L15" t="n">
        <v>91</v>
      </c>
      <c r="M15" s="73" t="n">
        <v>0</v>
      </c>
      <c r="N15" s="73" t="n">
        <v>0</v>
      </c>
      <c r="O15" s="73" t="n"/>
      <c r="S15" t="n">
        <v>74</v>
      </c>
      <c r="T15" t="n">
        <v>83</v>
      </c>
      <c r="U15" t="n">
        <v>82</v>
      </c>
      <c r="V15" t="n">
        <v>83</v>
      </c>
      <c r="W15" t="n">
        <v>78</v>
      </c>
      <c r="X15" t="n">
        <v>80</v>
      </c>
      <c r="Y15" t="n">
        <v>119</v>
      </c>
      <c r="Z15" t="n">
        <v>90</v>
      </c>
      <c r="AA15" t="n">
        <v>91</v>
      </c>
      <c r="AB15" t="n">
        <v>96</v>
      </c>
      <c r="AC15" t="n">
        <v>117</v>
      </c>
      <c r="AD15" t="n">
        <v>64</v>
      </c>
      <c r="AE15" t="n">
        <v>0</v>
      </c>
    </row>
    <row r="16">
      <c r="B16" s="73" t="inlineStr">
        <is>
          <t>Other liability items</t>
        </is>
      </c>
      <c r="C16" s="73" t="n">
        <v>4783</v>
      </c>
      <c r="D16" s="73" t="n">
        <v>2293</v>
      </c>
      <c r="E16" s="73" t="n">
        <v>2399</v>
      </c>
      <c r="F16" s="73" t="n">
        <v>3329</v>
      </c>
      <c r="G16" s="73" t="n">
        <v>3396</v>
      </c>
      <c r="H16" s="73" t="n">
        <v>4214</v>
      </c>
      <c r="I16" s="73" t="n">
        <v>12148</v>
      </c>
      <c r="J16" s="73" t="n">
        <v>11189</v>
      </c>
      <c r="K16" s="73" t="n">
        <v>11664</v>
      </c>
      <c r="L16" s="73" t="n">
        <v>15005</v>
      </c>
      <c r="M16" s="73" t="n">
        <v>17291</v>
      </c>
      <c r="N16" s="73" t="n">
        <v>15927</v>
      </c>
      <c r="O16" s="73" t="n"/>
    </row>
    <row r="17"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0</v>
      </c>
      <c r="O17" s="73" t="n"/>
    </row>
    <row r="18">
      <c r="B18" s="57" t="inlineStr">
        <is>
          <t>Total Liabilities</t>
        </is>
      </c>
      <c r="C18" s="71" t="n">
        <v>14430</v>
      </c>
      <c r="D18" s="71" t="n">
        <v>14793</v>
      </c>
      <c r="E18" s="71" t="n">
        <v>15706</v>
      </c>
      <c r="F18" s="71" t="n">
        <v>17862</v>
      </c>
      <c r="G18" s="71" t="n">
        <v>18629</v>
      </c>
      <c r="H18" s="71" t="n">
        <v>20153</v>
      </c>
      <c r="I18" s="71" t="n">
        <v>68740</v>
      </c>
      <c r="J18" s="71" t="n">
        <v>70506</v>
      </c>
      <c r="K18" s="71" t="n">
        <v>73077</v>
      </c>
      <c r="L18" s="71" t="n">
        <v>78489</v>
      </c>
      <c r="M18" s="71" t="n">
        <v>79863</v>
      </c>
      <c r="N18" s="71" t="n">
        <v>79738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>
        <v>0</v>
      </c>
      <c r="D19" s="73" t="n">
        <v>0</v>
      </c>
      <c r="E19" s="73" t="n">
        <v>0</v>
      </c>
      <c r="F19" s="73" t="n">
        <v>0</v>
      </c>
      <c r="G19" s="73" t="n">
        <v>0</v>
      </c>
      <c r="H19" s="73" t="n">
        <v>0</v>
      </c>
      <c r="I19" s="73" t="n">
        <v>0</v>
      </c>
      <c r="J19" s="73" t="n">
        <v>0</v>
      </c>
      <c r="K19" s="73" t="n">
        <v>0</v>
      </c>
      <c r="L19" s="73" t="n">
        <v>0</v>
      </c>
      <c r="M19" s="73" t="n">
        <v>0</v>
      </c>
      <c r="N19" s="73" t="n">
        <v>0</v>
      </c>
      <c r="O19" s="73" t="n"/>
      <c r="R19" t="inlineStr">
        <is>
          <t>Cash from Operating Activity -</t>
        </is>
      </c>
      <c r="S19" s="73" t="n">
        <v>3292</v>
      </c>
      <c r="T19" s="73" t="n">
        <v>4171</v>
      </c>
      <c r="U19" s="73" t="n">
        <v>5185</v>
      </c>
      <c r="V19" s="73" t="n">
        <v>6059</v>
      </c>
      <c r="W19" s="73" t="n">
        <v>5800</v>
      </c>
      <c r="X19" s="73" t="n">
        <v>7623</v>
      </c>
      <c r="Y19" s="73" t="n">
        <v>9163</v>
      </c>
      <c r="Z19" s="73" t="n">
        <v>9048</v>
      </c>
      <c r="AA19" s="73" t="n">
        <v>9991</v>
      </c>
      <c r="AB19" s="73" t="n">
        <v>15469</v>
      </c>
      <c r="AC19" s="73" t="n">
        <v>11886</v>
      </c>
      <c r="AD19" s="73" t="n">
        <v>10999</v>
      </c>
      <c r="AE19" t="n">
        <v>0</v>
      </c>
    </row>
    <row r="20">
      <c r="C20" s="73" t="n">
        <v>0</v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 t="n">
        <v>0</v>
      </c>
      <c r="O20" s="73" t="n"/>
      <c r="R20" t="inlineStr">
        <is>
          <t>Profit from operations</t>
        </is>
      </c>
      <c r="S20" s="73" t="n">
        <v>5510</v>
      </c>
      <c r="T20" s="73" t="n">
        <v>6025</v>
      </c>
      <c r="U20" s="73" t="n">
        <v>6512</v>
      </c>
      <c r="V20" s="73" t="n">
        <v>7485</v>
      </c>
      <c r="W20" s="73" t="n">
        <v>8909</v>
      </c>
      <c r="X20" s="73" t="n">
        <v>9723</v>
      </c>
      <c r="Y20" s="73" t="n">
        <v>11672</v>
      </c>
      <c r="Z20" s="73" t="n">
        <v>12829</v>
      </c>
      <c r="AA20" s="73" t="n">
        <v>14089</v>
      </c>
      <c r="AB20" s="73" t="n">
        <v>14537</v>
      </c>
      <c r="AC20" s="73" t="n">
        <v>14942</v>
      </c>
      <c r="AD20" s="73" t="n">
        <v>15153</v>
      </c>
      <c r="AE20" t="n">
        <v>0</v>
      </c>
    </row>
    <row r="21">
      <c r="B21" s="73" t="inlineStr">
        <is>
          <t>Fixed Assets -</t>
        </is>
      </c>
      <c r="C21" s="73" t="n">
        <v>2821</v>
      </c>
      <c r="D21" s="73" t="n">
        <v>3258</v>
      </c>
      <c r="E21" s="73" t="n">
        <v>4419</v>
      </c>
      <c r="F21" s="73" t="n">
        <v>4528</v>
      </c>
      <c r="G21" s="73" t="n">
        <v>4715</v>
      </c>
      <c r="H21" s="73" t="n">
        <v>5479</v>
      </c>
      <c r="I21" s="73" t="n">
        <v>51443</v>
      </c>
      <c r="J21" s="73" t="n">
        <v>51473</v>
      </c>
      <c r="K21" s="73" t="n">
        <v>52678</v>
      </c>
      <c r="L21" s="73" t="n">
        <v>53744</v>
      </c>
      <c r="M21" s="73" t="n">
        <v>54335</v>
      </c>
      <c r="N21" s="73" t="n">
        <v>57428</v>
      </c>
      <c r="R21" t="inlineStr">
        <is>
          <t>Receivables</t>
        </is>
      </c>
      <c r="S21" t="n">
        <v>3</v>
      </c>
      <c r="T21" t="n">
        <v>-257</v>
      </c>
      <c r="U21" t="n">
        <v>173</v>
      </c>
      <c r="V21" t="n">
        <v>0</v>
      </c>
      <c r="W21" t="n">
        <v>0</v>
      </c>
      <c r="X21" s="73" t="n">
        <v>0</v>
      </c>
      <c r="Y21" t="n">
        <v>0</v>
      </c>
      <c r="Z21" t="n">
        <v>0</v>
      </c>
      <c r="AA21" t="n">
        <v>0</v>
      </c>
      <c r="AB21" t="n">
        <v>0</v>
      </c>
      <c r="AC21" s="73" t="n">
        <v>0</v>
      </c>
      <c r="AD21" t="n">
        <v>0</v>
      </c>
      <c r="AE21" t="n">
        <v>0</v>
      </c>
    </row>
    <row r="22">
      <c r="B22" s="73" t="inlineStr">
        <is>
          <t>Land</t>
        </is>
      </c>
      <c r="C22" s="73" t="n">
        <v>102</v>
      </c>
      <c r="D22" s="73" t="n">
        <v>88</v>
      </c>
      <c r="E22" s="73" t="n">
        <v>89</v>
      </c>
      <c r="F22" s="73" t="n">
        <v>87</v>
      </c>
      <c r="G22" s="73" t="n">
        <v>86</v>
      </c>
      <c r="H22" s="73" t="n">
        <v>59</v>
      </c>
      <c r="I22" s="73" t="n">
        <v>477</v>
      </c>
      <c r="J22" s="73" t="n">
        <v>477</v>
      </c>
      <c r="K22" s="73" t="n">
        <v>609</v>
      </c>
      <c r="L22" s="73" t="n">
        <v>633</v>
      </c>
      <c r="M22" s="73" t="n">
        <v>628</v>
      </c>
      <c r="N22" s="73" t="n">
        <v>636</v>
      </c>
      <c r="O22" s="73" t="n"/>
      <c r="R22" t="inlineStr">
        <is>
          <t>Inventory</t>
        </is>
      </c>
      <c r="S22" t="n">
        <v>91</v>
      </c>
      <c r="T22" t="n">
        <v>89</v>
      </c>
      <c r="U22" t="n">
        <v>37</v>
      </c>
      <c r="V22" t="n">
        <v>-146</v>
      </c>
      <c r="W22" t="n">
        <v>-195</v>
      </c>
      <c r="X22" t="n">
        <v>-331</v>
      </c>
      <c r="Y22" s="73" t="n">
        <v>-543</v>
      </c>
      <c r="Z22" t="n">
        <v>-758</v>
      </c>
      <c r="AA22" s="73" t="n">
        <v>-339</v>
      </c>
      <c r="AB22" s="73" t="n">
        <v>74</v>
      </c>
      <c r="AC22" s="73" t="n">
        <v>-584</v>
      </c>
      <c r="AD22" s="73" t="n">
        <v>-692</v>
      </c>
      <c r="AE22" t="n">
        <v>0</v>
      </c>
    </row>
    <row r="23">
      <c r="B23" s="73" t="inlineStr">
        <is>
          <t>Building</t>
        </is>
      </c>
      <c r="C23" s="73" t="n">
        <v>1173</v>
      </c>
      <c r="D23" s="73" t="n">
        <v>931</v>
      </c>
      <c r="E23" s="73" t="n">
        <v>1210</v>
      </c>
      <c r="F23" s="73" t="n">
        <v>1343</v>
      </c>
      <c r="G23" s="73" t="n">
        <v>1527</v>
      </c>
      <c r="H23" s="73" t="n">
        <v>2044</v>
      </c>
      <c r="I23" s="73" t="n">
        <v>2602</v>
      </c>
      <c r="J23" s="73" t="n">
        <v>2788</v>
      </c>
      <c r="K23" s="73" t="n">
        <v>3101</v>
      </c>
      <c r="L23" s="73" t="n">
        <v>3590</v>
      </c>
      <c r="M23" s="73" t="n">
        <v>3833</v>
      </c>
      <c r="N23" s="73" t="n">
        <v>4067</v>
      </c>
      <c r="O23" s="73" t="n"/>
      <c r="R23" t="inlineStr">
        <is>
          <t>Payables</t>
        </is>
      </c>
      <c r="S23" t="n">
        <v>-327</v>
      </c>
      <c r="T23" t="n">
        <v>164</v>
      </c>
      <c r="U23" t="n">
        <v>501</v>
      </c>
      <c r="V23" s="73" t="n">
        <v>0</v>
      </c>
      <c r="W23" t="n">
        <v>0</v>
      </c>
      <c r="X23" t="n">
        <v>0</v>
      </c>
      <c r="Y23" s="73" t="n">
        <v>0</v>
      </c>
      <c r="Z23" s="73" t="n">
        <v>0</v>
      </c>
      <c r="AA23" s="73" t="n">
        <v>0</v>
      </c>
      <c r="AB23" t="n">
        <v>0</v>
      </c>
      <c r="AC23" s="73" t="n">
        <v>0</v>
      </c>
      <c r="AD23" t="n">
        <v>0</v>
      </c>
      <c r="AE23" t="n">
        <v>0</v>
      </c>
    </row>
    <row r="24">
      <c r="B24" s="73" t="inlineStr">
        <is>
          <t>Plant Machinery</t>
        </is>
      </c>
      <c r="C24" s="73" t="n">
        <v>3481</v>
      </c>
      <c r="D24" s="73" t="n">
        <v>2370</v>
      </c>
      <c r="E24" s="73" t="n">
        <v>3270</v>
      </c>
      <c r="F24" s="73" t="n">
        <v>3691</v>
      </c>
      <c r="G24" s="73" t="n">
        <v>4092</v>
      </c>
      <c r="H24" s="73" t="n">
        <v>5001</v>
      </c>
      <c r="I24" s="73" t="n">
        <v>6097</v>
      </c>
      <c r="J24" s="73" t="n">
        <v>6566</v>
      </c>
      <c r="K24" s="73" t="n">
        <v>7612</v>
      </c>
      <c r="L24" s="73" t="n">
        <v>8946</v>
      </c>
      <c r="M24" s="73" t="n">
        <v>9900</v>
      </c>
      <c r="N24" s="73" t="n">
        <v>9296</v>
      </c>
      <c r="R24" t="inlineStr">
        <is>
          <t>Working capital changes</t>
        </is>
      </c>
      <c r="S24" t="n">
        <v>-342</v>
      </c>
      <c r="T24" t="n">
        <v>-81</v>
      </c>
      <c r="U24" t="n">
        <v>566</v>
      </c>
      <c r="V24" s="73" t="n">
        <v>836</v>
      </c>
      <c r="W24" t="n">
        <v>-342</v>
      </c>
      <c r="X24" t="n">
        <v>411</v>
      </c>
      <c r="Y24" t="n">
        <v>-101</v>
      </c>
      <c r="Z24" t="n">
        <v>-1000</v>
      </c>
      <c r="AA24" t="n">
        <v>-960</v>
      </c>
      <c r="AB24" s="73" t="n">
        <v>1313</v>
      </c>
      <c r="AC24" s="73" t="n">
        <v>-788</v>
      </c>
      <c r="AD24" s="73" t="n">
        <v>686</v>
      </c>
      <c r="AE24" t="n">
        <v>0</v>
      </c>
    </row>
    <row r="25">
      <c r="B25" t="inlineStr">
        <is>
          <t>Equipments</t>
        </is>
      </c>
      <c r="C25" t="n">
        <v>106</v>
      </c>
      <c r="D25" t="n">
        <v>41</v>
      </c>
      <c r="E25" t="n">
        <v>62</v>
      </c>
      <c r="F25" t="n">
        <v>74</v>
      </c>
      <c r="G25" t="n">
        <v>95</v>
      </c>
      <c r="H25" t="n">
        <v>139</v>
      </c>
      <c r="I25" t="n">
        <v>175</v>
      </c>
      <c r="J25" t="n">
        <v>181</v>
      </c>
      <c r="K25" t="n">
        <v>185</v>
      </c>
      <c r="L25" t="n">
        <v>206</v>
      </c>
      <c r="M25" t="n">
        <v>245</v>
      </c>
      <c r="N25" t="n">
        <v>286</v>
      </c>
      <c r="R25" t="inlineStr">
        <is>
          <t>Direct taxes</t>
        </is>
      </c>
      <c r="S25" s="73" t="n">
        <v>-1862</v>
      </c>
      <c r="T25" s="73" t="n">
        <v>-1765</v>
      </c>
      <c r="U25" s="73" t="n">
        <v>-1859</v>
      </c>
      <c r="V25" s="73" t="n">
        <v>-2264</v>
      </c>
      <c r="W25" s="73" t="n">
        <v>-2767</v>
      </c>
      <c r="X25" s="73" t="n">
        <v>-2505</v>
      </c>
      <c r="Y25" s="73" t="n">
        <v>-2407</v>
      </c>
      <c r="Z25" s="73" t="n">
        <v>-2784</v>
      </c>
      <c r="AA25" s="73" t="n">
        <v>-3138</v>
      </c>
      <c r="AB25" s="73" t="n">
        <v>-381</v>
      </c>
      <c r="AC25" s="73" t="n">
        <v>-2268</v>
      </c>
      <c r="AD25" s="73" t="n">
        <v>-4840</v>
      </c>
      <c r="AE25" t="n">
        <v>0</v>
      </c>
    </row>
    <row r="26">
      <c r="B26" s="73" t="inlineStr">
        <is>
          <t>Furniture n fittings</t>
        </is>
      </c>
      <c r="C26" s="73" t="n">
        <v>108</v>
      </c>
      <c r="D26" s="73" t="n">
        <v>61</v>
      </c>
      <c r="E26" s="73" t="n">
        <v>66</v>
      </c>
      <c r="F26" s="73" t="n">
        <v>76</v>
      </c>
      <c r="G26" s="73" t="n">
        <v>88</v>
      </c>
      <c r="H26" s="73" t="n">
        <v>154</v>
      </c>
      <c r="I26" s="73" t="n">
        <v>156</v>
      </c>
      <c r="J26" s="73" t="n">
        <v>152</v>
      </c>
      <c r="K26" s="73" t="n">
        <v>161</v>
      </c>
      <c r="L26" s="73" t="n">
        <v>165</v>
      </c>
      <c r="M26" s="73" t="n">
        <v>174</v>
      </c>
      <c r="N26" s="73" t="n">
        <v>220</v>
      </c>
      <c r="R26" t="inlineStr">
        <is>
          <t>Cash from Investing Activity -</t>
        </is>
      </c>
      <c r="S26" s="73" t="n">
        <v>138</v>
      </c>
      <c r="T26" s="73" t="n">
        <v>-282</v>
      </c>
      <c r="U26" s="73" t="n">
        <v>-1173</v>
      </c>
      <c r="V26" s="73" t="n">
        <v>-1063</v>
      </c>
      <c r="W26" s="73" t="n">
        <v>-438</v>
      </c>
      <c r="X26" s="73" t="n">
        <v>1791</v>
      </c>
      <c r="Y26" s="73" t="n">
        <v>-1228</v>
      </c>
      <c r="Z26" s="73" t="n">
        <v>-1728</v>
      </c>
      <c r="AA26" s="73" t="n">
        <v>-1484</v>
      </c>
      <c r="AB26" s="73" t="n">
        <v>-5324</v>
      </c>
      <c r="AC26" t="n">
        <v>6473</v>
      </c>
      <c r="AD26" s="73" t="n">
        <v>-3676</v>
      </c>
      <c r="AE26" t="n">
        <v>0</v>
      </c>
    </row>
    <row r="27">
      <c r="B27" s="73" t="inlineStr">
        <is>
          <t>Railway sidings</t>
        </is>
      </c>
      <c r="C27" s="73" t="n">
        <v>0</v>
      </c>
      <c r="D27" s="73" t="n">
        <v>0</v>
      </c>
      <c r="E27" s="73" t="n">
        <v>0</v>
      </c>
      <c r="F27" s="73" t="n">
        <v>0</v>
      </c>
      <c r="G27" s="73" t="n">
        <v>0</v>
      </c>
      <c r="H27" s="73" t="n">
        <v>0</v>
      </c>
      <c r="I27" s="73" t="n">
        <v>0</v>
      </c>
      <c r="J27" s="73" t="n">
        <v>0</v>
      </c>
      <c r="K27" s="73" t="n">
        <v>0</v>
      </c>
      <c r="L27" s="73" t="n">
        <v>0</v>
      </c>
      <c r="M27" s="73" t="n">
        <v>0</v>
      </c>
      <c r="N27" s="73" t="n">
        <v>0</v>
      </c>
      <c r="R27" t="inlineStr">
        <is>
          <t>Fixed assets purchased</t>
        </is>
      </c>
      <c r="S27" s="73" t="n">
        <v>-606</v>
      </c>
      <c r="T27" s="73" t="n">
        <v>-810</v>
      </c>
      <c r="U27" s="73" t="n">
        <v>-1113</v>
      </c>
      <c r="V27" s="73" t="n">
        <v>-895</v>
      </c>
      <c r="W27" s="73" t="n">
        <v>-767</v>
      </c>
      <c r="X27" s="73" t="n">
        <v>-862</v>
      </c>
      <c r="Y27" s="73" t="n">
        <v>-4163</v>
      </c>
      <c r="Z27" s="73" t="n">
        <v>-1228</v>
      </c>
      <c r="AA27" s="73" t="n">
        <v>-1192</v>
      </c>
      <c r="AB27" s="73" t="n">
        <v>-1477</v>
      </c>
      <c r="AC27" s="73" t="n">
        <v>-1275</v>
      </c>
      <c r="AD27" s="73" t="n">
        <v>-1361</v>
      </c>
      <c r="AE27" t="n">
        <v>0</v>
      </c>
    </row>
    <row r="28">
      <c r="B28" t="inlineStr">
        <is>
          <t>Vehicles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</v>
      </c>
      <c r="L28" t="n">
        <v>39</v>
      </c>
      <c r="M28" t="n">
        <v>102</v>
      </c>
      <c r="N28" t="n">
        <v>103</v>
      </c>
      <c r="O28" s="73" t="n"/>
      <c r="R28" t="inlineStr">
        <is>
          <t>Fixed assets sold</t>
        </is>
      </c>
      <c r="S28" s="73" t="n">
        <v>560</v>
      </c>
      <c r="T28" s="73" t="n">
        <v>99</v>
      </c>
      <c r="U28" s="73" t="n">
        <v>176</v>
      </c>
      <c r="V28" s="73" t="n">
        <v>32</v>
      </c>
      <c r="W28" s="73" t="n">
        <v>13</v>
      </c>
      <c r="X28" s="73" t="n">
        <v>52</v>
      </c>
      <c r="Y28" s="73" t="n">
        <v>97</v>
      </c>
      <c r="Z28" s="73" t="n">
        <v>175</v>
      </c>
      <c r="AA28" s="73" t="n">
        <v>181</v>
      </c>
      <c r="AB28" t="n">
        <v>20</v>
      </c>
      <c r="AC28" s="73" t="n">
        <v>13</v>
      </c>
      <c r="AD28" s="73" t="n">
        <v>29</v>
      </c>
      <c r="AE28" t="n">
        <v>0</v>
      </c>
    </row>
    <row r="29">
      <c r="B29" t="inlineStr">
        <is>
          <t>Intangible Assets</t>
        </is>
      </c>
      <c r="C29" t="n">
        <v>247</v>
      </c>
      <c r="D29" t="n">
        <v>85</v>
      </c>
      <c r="E29" t="n">
        <v>455</v>
      </c>
      <c r="F29" t="n">
        <v>455</v>
      </c>
      <c r="G29" t="n">
        <v>511</v>
      </c>
      <c r="H29" t="n">
        <v>511</v>
      </c>
      <c r="I29" s="73" t="n">
        <v>45262</v>
      </c>
      <c r="J29" s="73" t="n">
        <v>45262</v>
      </c>
      <c r="K29" s="73" t="n">
        <v>45692</v>
      </c>
      <c r="L29" s="73" t="n">
        <v>45692</v>
      </c>
      <c r="M29" s="73" t="n">
        <v>45692</v>
      </c>
      <c r="N29" s="73" t="n">
        <v>49195</v>
      </c>
      <c r="R29" t="inlineStr">
        <is>
          <t>Investments purchased</t>
        </is>
      </c>
      <c r="S29" s="73" t="n">
        <v>-19353</v>
      </c>
      <c r="T29" s="73" t="n">
        <v>-20666</v>
      </c>
      <c r="U29" s="73" t="n">
        <v>-31214</v>
      </c>
      <c r="V29" s="73" t="n">
        <v>-51855</v>
      </c>
      <c r="W29" s="73" t="n">
        <v>-74365</v>
      </c>
      <c r="X29" s="73" t="n">
        <v>-36090</v>
      </c>
      <c r="Y29" s="73" t="n">
        <v>-39920</v>
      </c>
      <c r="Z29" s="73" t="n">
        <v>-48522</v>
      </c>
      <c r="AA29" s="73" t="n">
        <v>-22649</v>
      </c>
      <c r="AB29" s="73" t="n">
        <v>-21337</v>
      </c>
      <c r="AC29" s="73" t="n">
        <v>-22957</v>
      </c>
      <c r="AD29" s="73" t="n">
        <v>-25529</v>
      </c>
      <c r="AE29" t="n">
        <v>0</v>
      </c>
    </row>
    <row r="30">
      <c r="B30" t="inlineStr">
        <is>
          <t>Other fixed assets</t>
        </is>
      </c>
      <c r="C30" t="n">
        <v>193</v>
      </c>
      <c r="D30" t="n">
        <v>19</v>
      </c>
      <c r="E30" t="n">
        <v>19</v>
      </c>
      <c r="F30" t="n">
        <v>26</v>
      </c>
      <c r="G30" t="n">
        <v>60</v>
      </c>
      <c r="H30" t="n">
        <v>71</v>
      </c>
      <c r="I30" t="n">
        <v>155</v>
      </c>
      <c r="J30" t="n">
        <v>152</v>
      </c>
      <c r="K30" t="n">
        <v>171</v>
      </c>
      <c r="L30" t="n">
        <v>180</v>
      </c>
      <c r="M30" t="n">
        <v>190</v>
      </c>
      <c r="N30" s="73" t="n">
        <v>210</v>
      </c>
      <c r="O30" s="73" t="n"/>
      <c r="R30" t="inlineStr">
        <is>
          <t>Investments sold</t>
        </is>
      </c>
      <c r="S30" s="73" t="n">
        <v>19461</v>
      </c>
      <c r="T30" s="73" t="n">
        <v>20937</v>
      </c>
      <c r="U30" s="73" t="n">
        <v>30083</v>
      </c>
      <c r="V30" s="73" t="n">
        <v>52897</v>
      </c>
      <c r="W30" s="73" t="n">
        <v>74691</v>
      </c>
      <c r="X30" s="73" t="n">
        <v>37690</v>
      </c>
      <c r="Y30" s="73" t="n">
        <v>38486</v>
      </c>
      <c r="Z30" s="73" t="n">
        <v>47786</v>
      </c>
      <c r="AA30" s="73" t="n">
        <v>23462</v>
      </c>
      <c r="AB30" s="73" t="n">
        <v>19846</v>
      </c>
      <c r="AC30" s="73" t="n">
        <v>23987</v>
      </c>
      <c r="AD30" s="73" t="n">
        <v>25117</v>
      </c>
      <c r="AE30" t="n">
        <v>0</v>
      </c>
    </row>
    <row r="31">
      <c r="B31" t="inlineStr">
        <is>
          <t>Gross Block</t>
        </is>
      </c>
      <c r="C31" s="73" t="n">
        <v>5412</v>
      </c>
      <c r="D31" s="73" t="n">
        <v>3595</v>
      </c>
      <c r="E31" s="73" t="n">
        <v>5171</v>
      </c>
      <c r="F31" s="73" t="n">
        <v>5752</v>
      </c>
      <c r="G31" s="73" t="n">
        <v>6459</v>
      </c>
      <c r="H31" s="73" t="n">
        <v>7979</v>
      </c>
      <c r="I31" s="73" t="n">
        <v>54924</v>
      </c>
      <c r="J31" s="73" t="n">
        <v>55578</v>
      </c>
      <c r="K31" s="73" t="n">
        <v>57564</v>
      </c>
      <c r="L31" s="73" t="n">
        <v>59451</v>
      </c>
      <c r="M31" s="73" t="n">
        <v>60764</v>
      </c>
      <c r="N31" s="73" t="n">
        <v>64013</v>
      </c>
      <c r="O31" s="73" t="n"/>
      <c r="R31" t="inlineStr">
        <is>
          <t>Interest received</t>
        </is>
      </c>
      <c r="S31" t="n">
        <v>218</v>
      </c>
      <c r="T31" t="n">
        <v>315</v>
      </c>
      <c r="U31" s="73" t="n">
        <v>264</v>
      </c>
      <c r="V31" s="73" t="n">
        <v>297</v>
      </c>
      <c r="W31" s="73" t="n">
        <v>289</v>
      </c>
      <c r="X31" s="73" t="n">
        <v>351</v>
      </c>
      <c r="Y31" s="73" t="n">
        <v>277</v>
      </c>
      <c r="Z31" s="73" t="n">
        <v>161</v>
      </c>
      <c r="AA31" s="73" t="n">
        <v>259</v>
      </c>
      <c r="AB31" s="73" t="n">
        <v>425</v>
      </c>
      <c r="AC31" s="73" t="n">
        <v>835</v>
      </c>
      <c r="AD31" s="73" t="n">
        <v>428</v>
      </c>
      <c r="AE31" t="n">
        <v>0</v>
      </c>
    </row>
    <row r="32">
      <c r="B32" s="73" t="inlineStr">
        <is>
          <t>Accumulated Depreciation</t>
        </is>
      </c>
      <c r="C32" s="73" t="n">
        <v>2591</v>
      </c>
      <c r="D32" s="73" t="n">
        <v>337</v>
      </c>
      <c r="E32" s="73" t="n">
        <v>752</v>
      </c>
      <c r="F32" s="73" t="n">
        <v>1224</v>
      </c>
      <c r="G32" s="73" t="n">
        <v>1744</v>
      </c>
      <c r="H32" s="73" t="n">
        <v>2500</v>
      </c>
      <c r="I32" s="73" t="n">
        <v>3481</v>
      </c>
      <c r="J32" s="73" t="n">
        <v>4105</v>
      </c>
      <c r="K32" s="73" t="n">
        <v>4886</v>
      </c>
      <c r="L32" s="73" t="n">
        <v>5707</v>
      </c>
      <c r="M32" s="73" t="n">
        <v>6429</v>
      </c>
      <c r="N32" s="73" t="n">
        <v>6585</v>
      </c>
      <c r="O32" s="73" t="n"/>
      <c r="R32" t="inlineStr">
        <is>
          <t>Dividends received</t>
        </is>
      </c>
      <c r="S32" t="n">
        <v>24</v>
      </c>
      <c r="T32" t="n">
        <v>33</v>
      </c>
      <c r="U32" s="73" t="n">
        <v>14</v>
      </c>
      <c r="V32" t="n">
        <v>0</v>
      </c>
      <c r="W32" t="n">
        <v>1</v>
      </c>
      <c r="X32" t="n">
        <v>1</v>
      </c>
      <c r="Y32" s="73" t="n">
        <v>1</v>
      </c>
      <c r="Z32" s="73" t="n">
        <v>1</v>
      </c>
      <c r="AA32" s="73" t="n">
        <v>2</v>
      </c>
      <c r="AB32" s="73" t="n">
        <v>3</v>
      </c>
      <c r="AC32" s="73" t="n">
        <v>0</v>
      </c>
      <c r="AD32" s="73" t="n">
        <v>5</v>
      </c>
      <c r="AE32" t="n">
        <v>0</v>
      </c>
    </row>
    <row r="33">
      <c r="B33" t="inlineStr">
        <is>
          <t>Net Block</t>
        </is>
      </c>
      <c r="C33" s="73" t="n">
        <v>2821</v>
      </c>
      <c r="D33" s="73" t="n">
        <v>3258</v>
      </c>
      <c r="E33" s="73" t="n">
        <v>4419</v>
      </c>
      <c r="F33" s="73" t="n">
        <v>4528</v>
      </c>
      <c r="G33" s="73" t="n">
        <v>4715</v>
      </c>
      <c r="H33" s="73" t="n">
        <v>5479</v>
      </c>
      <c r="I33" s="73" t="n">
        <v>51443</v>
      </c>
      <c r="J33" s="73" t="n">
        <v>51473</v>
      </c>
      <c r="K33" s="73" t="n">
        <v>52678</v>
      </c>
      <c r="L33" s="73" t="n">
        <v>53744</v>
      </c>
      <c r="M33" s="73" t="n">
        <v>54335</v>
      </c>
      <c r="N33" s="73" t="n">
        <v>57428</v>
      </c>
      <c r="O33" s="73" t="n"/>
      <c r="R33" t="inlineStr">
        <is>
          <t>Invest in subsidiaries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C34" s="73" t="n">
        <v>0</v>
      </c>
      <c r="D34" t="n">
        <v>0</v>
      </c>
      <c r="E34" t="n">
        <v>0</v>
      </c>
      <c r="F34" s="73" t="n">
        <v>0</v>
      </c>
      <c r="G34" s="73" t="n">
        <v>0</v>
      </c>
      <c r="H34" s="73" t="n">
        <v>0</v>
      </c>
      <c r="I34" s="73" t="n">
        <v>0</v>
      </c>
      <c r="J34" s="73" t="n">
        <v>0</v>
      </c>
      <c r="K34" s="73" t="n">
        <v>0</v>
      </c>
      <c r="L34" s="73" t="n">
        <v>0</v>
      </c>
      <c r="M34" s="73" t="n">
        <v>0</v>
      </c>
      <c r="N34" s="73" t="n">
        <v>0</v>
      </c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0</v>
      </c>
      <c r="Z34" s="73" t="n">
        <v>0</v>
      </c>
      <c r="AA34" s="73" t="n">
        <v>0</v>
      </c>
      <c r="AB34" s="73" t="n">
        <v>0</v>
      </c>
      <c r="AC34" s="73" t="n">
        <v>0</v>
      </c>
      <c r="AD34" s="73" t="n">
        <v>0</v>
      </c>
      <c r="AE34" t="n">
        <v>0</v>
      </c>
    </row>
    <row r="35">
      <c r="B35" t="inlineStr">
        <is>
          <t>CWIP</t>
        </is>
      </c>
      <c r="C35" s="73" t="n">
        <v>516</v>
      </c>
      <c r="D35" s="73" t="n">
        <v>408</v>
      </c>
      <c r="E35" s="73" t="n">
        <v>229</v>
      </c>
      <c r="F35" s="73" t="n">
        <v>461</v>
      </c>
      <c r="G35" s="73" t="n">
        <v>406</v>
      </c>
      <c r="H35" s="73" t="n">
        <v>597</v>
      </c>
      <c r="I35" s="73" t="n">
        <v>745</v>
      </c>
      <c r="J35" s="73" t="n">
        <v>1313</v>
      </c>
      <c r="K35" s="73" t="n">
        <v>1132</v>
      </c>
      <c r="L35" s="73" t="n">
        <v>1025</v>
      </c>
      <c r="M35" s="73" t="n">
        <v>1009</v>
      </c>
      <c r="N35" s="73" t="n">
        <v>880</v>
      </c>
      <c r="O35" s="73" t="n"/>
      <c r="R35" t="inlineStr">
        <is>
          <t>Redemp n Canc of Shares</t>
        </is>
      </c>
      <c r="S35" s="73" t="n">
        <v>200</v>
      </c>
      <c r="T35" s="73" t="n">
        <v>161</v>
      </c>
      <c r="U35" s="73" t="n">
        <v>20</v>
      </c>
      <c r="V35" s="73" t="n">
        <v>73</v>
      </c>
      <c r="W35" s="73" t="n">
        <v>0</v>
      </c>
      <c r="X35" s="73" t="n">
        <v>0</v>
      </c>
      <c r="Y35" s="73" t="n">
        <v>0</v>
      </c>
      <c r="Z35" s="73" t="n">
        <v>0</v>
      </c>
      <c r="AA35" s="73" t="n">
        <v>0</v>
      </c>
      <c r="AB35" s="73" t="n">
        <v>0</v>
      </c>
      <c r="AC35" s="73" t="n">
        <v>0</v>
      </c>
      <c r="AD35" s="73" t="n">
        <v>298</v>
      </c>
      <c r="AE35" t="n">
        <v>0</v>
      </c>
    </row>
    <row r="36">
      <c r="B36" t="inlineStr">
        <is>
          <t>Investments</t>
        </is>
      </c>
      <c r="C36" s="73" t="n">
        <v>3025</v>
      </c>
      <c r="D36" s="73" t="n">
        <v>2592</v>
      </c>
      <c r="E36" s="73" t="n">
        <v>3794</v>
      </c>
      <c r="F36" s="73" t="n">
        <v>2873</v>
      </c>
      <c r="G36" s="73" t="n">
        <v>2716</v>
      </c>
      <c r="H36" s="73" t="n">
        <v>1255</v>
      </c>
      <c r="I36" s="73" t="n">
        <v>2709</v>
      </c>
      <c r="J36" s="73" t="n">
        <v>3521</v>
      </c>
      <c r="K36" s="73" t="n">
        <v>2882</v>
      </c>
      <c r="L36" s="73" t="n">
        <v>4625</v>
      </c>
      <c r="M36" s="73" t="n">
        <v>3810</v>
      </c>
      <c r="N36" s="73" t="n">
        <v>4359</v>
      </c>
      <c r="O36" s="73" t="n"/>
      <c r="R36" t="inlineStr">
        <is>
          <t>Other investing items</t>
        </is>
      </c>
      <c r="S36" s="73" t="n">
        <v>-367</v>
      </c>
      <c r="T36" s="73" t="n">
        <v>-351</v>
      </c>
      <c r="U36" s="73" t="n">
        <v>597</v>
      </c>
      <c r="V36" s="73" t="n">
        <v>-1612</v>
      </c>
      <c r="W36" s="73" t="n">
        <v>-300</v>
      </c>
      <c r="X36" s="73" t="n">
        <v>649</v>
      </c>
      <c r="Y36" s="73" t="n">
        <v>3994</v>
      </c>
      <c r="Z36" s="73" t="n">
        <v>-101</v>
      </c>
      <c r="AA36" t="n">
        <v>-1213</v>
      </c>
      <c r="AB36" s="73" t="n">
        <v>-2804</v>
      </c>
      <c r="AC36" t="n">
        <v>5870</v>
      </c>
      <c r="AD36" s="73" t="n">
        <v>-2663</v>
      </c>
      <c r="AE36" t="n">
        <v>0</v>
      </c>
    </row>
    <row r="37">
      <c r="C37" s="73" t="n">
        <v>0</v>
      </c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73" t="n">
        <v>0</v>
      </c>
      <c r="M37" s="73" t="n">
        <v>0</v>
      </c>
      <c r="N37" s="73" t="n">
        <v>0</v>
      </c>
      <c r="O37" s="73" t="n"/>
      <c r="R37" t="inlineStr">
        <is>
          <t>Cash from Financing Activity -</t>
        </is>
      </c>
      <c r="S37" s="73" t="n">
        <v>-3462</v>
      </c>
      <c r="T37" s="73" t="n">
        <v>-3864</v>
      </c>
      <c r="U37" s="73" t="n">
        <v>-4214</v>
      </c>
      <c r="V37" s="73" t="n">
        <v>-4975</v>
      </c>
      <c r="W37" s="73" t="n">
        <v>-5390</v>
      </c>
      <c r="X37" s="73" t="n">
        <v>-6819</v>
      </c>
      <c r="Y37" s="73" t="n">
        <v>-9309</v>
      </c>
      <c r="Z37" s="73" t="n">
        <v>-8015</v>
      </c>
      <c r="AA37" s="73" t="n">
        <v>-8953</v>
      </c>
      <c r="AB37" s="73" t="n">
        <v>-10034</v>
      </c>
      <c r="AC37" s="73" t="n">
        <v>-13101</v>
      </c>
      <c r="AD37" s="73" t="n">
        <v>-10810</v>
      </c>
      <c r="AE37" t="n">
        <v>0</v>
      </c>
    </row>
    <row r="38">
      <c r="B38" t="inlineStr">
        <is>
          <t>Other Assets -</t>
        </is>
      </c>
      <c r="C38" s="73" t="n">
        <v>8067</v>
      </c>
      <c r="D38" s="73" t="n">
        <v>8535</v>
      </c>
      <c r="E38" s="73" t="n">
        <v>7264</v>
      </c>
      <c r="F38" s="73" t="n">
        <v>10000</v>
      </c>
      <c r="G38" s="73" t="n">
        <v>10792</v>
      </c>
      <c r="H38" s="73" t="n">
        <v>12822</v>
      </c>
      <c r="I38" s="73" t="n">
        <v>13843</v>
      </c>
      <c r="J38" s="73" t="n">
        <v>14199</v>
      </c>
      <c r="K38" s="73" t="n">
        <v>16385</v>
      </c>
      <c r="L38" s="73" t="n">
        <v>19095</v>
      </c>
      <c r="M38" s="73" t="n">
        <v>20709</v>
      </c>
      <c r="N38" s="73" t="n">
        <v>17071</v>
      </c>
      <c r="O38" s="73" t="n"/>
      <c r="R38" t="inlineStr">
        <is>
          <t>Proceeds from shares</t>
        </is>
      </c>
      <c r="S38" t="n">
        <v>2</v>
      </c>
      <c r="T38" t="n">
        <v>0</v>
      </c>
      <c r="U38" s="73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s="73" t="n">
        <v>0</v>
      </c>
      <c r="AB38" s="73" t="n">
        <v>0</v>
      </c>
      <c r="AC38" t="n">
        <v>0</v>
      </c>
      <c r="AD38" t="n">
        <v>0</v>
      </c>
      <c r="AE38" t="n">
        <v>0</v>
      </c>
    </row>
    <row r="39">
      <c r="B39" t="inlineStr">
        <is>
          <t>Inventories</t>
        </is>
      </c>
      <c r="C39" s="73" t="n">
        <v>2420.1</v>
      </c>
      <c r="D39" s="73" t="n">
        <v>2560.5</v>
      </c>
      <c r="E39" s="73" t="n">
        <v>2179.2</v>
      </c>
      <c r="F39" s="73" t="n">
        <v>3000</v>
      </c>
      <c r="G39" s="73" t="n">
        <v>3237.6</v>
      </c>
      <c r="H39" s="73" t="n">
        <v>3846.6</v>
      </c>
      <c r="I39" s="73" t="n">
        <v>4152.9</v>
      </c>
      <c r="J39" s="73" t="n">
        <v>4259.7</v>
      </c>
      <c r="K39" s="73" t="n">
        <v>4915.5</v>
      </c>
      <c r="L39" s="73" t="n">
        <v>5728.5</v>
      </c>
      <c r="M39" s="73" t="n">
        <v>6212.7</v>
      </c>
      <c r="N39" s="73" t="n">
        <v>5121.3</v>
      </c>
      <c r="O39" s="73" t="n"/>
      <c r="R39" t="inlineStr">
        <is>
          <t>Proceeds from borrowings</t>
        </is>
      </c>
      <c r="S39" t="n">
        <v>0</v>
      </c>
      <c r="T39" t="n">
        <v>177</v>
      </c>
      <c r="U39" t="n">
        <v>460</v>
      </c>
      <c r="V39" t="n">
        <v>0</v>
      </c>
      <c r="W39" t="n">
        <v>99</v>
      </c>
      <c r="X39" t="n">
        <v>0</v>
      </c>
      <c r="Y39" t="n">
        <v>188</v>
      </c>
      <c r="Z39" t="n">
        <v>55</v>
      </c>
      <c r="AA39" t="n">
        <v>286</v>
      </c>
      <c r="AB39" t="n">
        <v>0</v>
      </c>
      <c r="AC39" t="n">
        <v>0</v>
      </c>
      <c r="AD39" s="73" t="n">
        <v>0</v>
      </c>
      <c r="AE39" t="n">
        <v>0</v>
      </c>
    </row>
    <row r="40">
      <c r="B40" t="inlineStr">
        <is>
          <t>Trade receivables +</t>
        </is>
      </c>
      <c r="C40" s="73" t="n">
        <v>2823.45</v>
      </c>
      <c r="D40" s="73" t="n">
        <v>2987.25</v>
      </c>
      <c r="E40" s="73" t="n">
        <v>2542.4</v>
      </c>
      <c r="F40" s="73" t="n">
        <v>3500</v>
      </c>
      <c r="G40" s="73" t="n">
        <v>3777.2</v>
      </c>
      <c r="H40" s="73" t="n">
        <v>4487.7</v>
      </c>
      <c r="I40" s="73" t="n">
        <v>4845.05</v>
      </c>
      <c r="J40" s="73" t="n">
        <v>4969.65</v>
      </c>
      <c r="K40" s="73" t="n">
        <v>5734.75</v>
      </c>
      <c r="L40" s="73" t="n">
        <v>6683.25</v>
      </c>
      <c r="M40" s="73" t="n">
        <v>7248.15</v>
      </c>
      <c r="N40" s="73" t="n">
        <v>5974.85</v>
      </c>
      <c r="O40" s="73" t="n"/>
      <c r="R40" t="inlineStr">
        <is>
          <t>Repayment of borrowings</t>
        </is>
      </c>
      <c r="S40" t="n">
        <v>-3</v>
      </c>
      <c r="T40" t="n">
        <v>0</v>
      </c>
      <c r="U40" t="n">
        <v>-360</v>
      </c>
      <c r="V40" s="73" t="n">
        <v>-277</v>
      </c>
      <c r="W40" t="n">
        <v>0</v>
      </c>
      <c r="X40" t="n">
        <v>-99</v>
      </c>
      <c r="Y40" s="73" t="n">
        <v>-188</v>
      </c>
      <c r="Z40" t="n">
        <v>-55</v>
      </c>
      <c r="AA40" s="73" t="n">
        <v>-208</v>
      </c>
      <c r="AB40" s="73" t="n">
        <v>-85</v>
      </c>
      <c r="AC40" s="73" t="n">
        <v>0</v>
      </c>
      <c r="AD40" s="73" t="n">
        <v>-46</v>
      </c>
      <c r="AE40" t="n">
        <v>0</v>
      </c>
    </row>
    <row r="41">
      <c r="B41" t="inlineStr">
        <is>
          <t>Cash Equivalents</t>
        </is>
      </c>
      <c r="C41" s="73" t="n">
        <v>1210.05</v>
      </c>
      <c r="D41" s="73" t="n">
        <v>1280.25</v>
      </c>
      <c r="E41" s="73" t="n">
        <v>1089.6</v>
      </c>
      <c r="F41" s="73" t="n">
        <v>1500</v>
      </c>
      <c r="G41" s="73" t="n">
        <v>1618.8</v>
      </c>
      <c r="H41" s="73" t="n">
        <v>1923.3</v>
      </c>
      <c r="I41" s="73" t="n">
        <v>2076.45</v>
      </c>
      <c r="J41" s="73" t="n">
        <v>2129.85</v>
      </c>
      <c r="K41" s="73" t="n">
        <v>2457.75</v>
      </c>
      <c r="L41" s="73" t="n">
        <v>2864.25</v>
      </c>
      <c r="M41" s="73" t="n">
        <v>3106.35</v>
      </c>
      <c r="N41" s="73" t="n">
        <v>2560.65</v>
      </c>
      <c r="O41" s="73" t="n"/>
      <c r="R41" t="inlineStr">
        <is>
          <t>Interest paid fin</t>
        </is>
      </c>
      <c r="S41" s="73" t="n">
        <v>-18</v>
      </c>
      <c r="T41" s="73" t="n">
        <v>-2</v>
      </c>
      <c r="U41" s="73" t="n">
        <v>-14</v>
      </c>
      <c r="V41" s="73" t="n">
        <v>-6</v>
      </c>
      <c r="W41" s="73" t="n">
        <v>-7</v>
      </c>
      <c r="X41" s="73" t="n">
        <v>-90</v>
      </c>
      <c r="Y41" s="73" t="n">
        <v>-92</v>
      </c>
      <c r="Z41" s="73" t="n">
        <v>-82</v>
      </c>
      <c r="AA41" s="73" t="n">
        <v>-88</v>
      </c>
      <c r="AB41" s="73" t="n">
        <v>-110</v>
      </c>
      <c r="AC41" s="73" t="n">
        <v>-130</v>
      </c>
      <c r="AD41" s="73" t="n">
        <v>-133</v>
      </c>
      <c r="AE41" t="n">
        <v>0</v>
      </c>
    </row>
    <row r="42">
      <c r="B42" t="inlineStr">
        <is>
          <t>Loans n Advances</t>
        </is>
      </c>
      <c r="C42" s="73" t="n">
        <v>806.7</v>
      </c>
      <c r="D42" s="73" t="n">
        <v>853.5</v>
      </c>
      <c r="E42" s="73" t="n">
        <v>726.4</v>
      </c>
      <c r="F42" s="73" t="n">
        <v>1000</v>
      </c>
      <c r="G42" s="73" t="n">
        <v>1079.2</v>
      </c>
      <c r="H42" s="73" t="n">
        <v>1282.2</v>
      </c>
      <c r="I42" s="73" t="n">
        <v>1384.3</v>
      </c>
      <c r="J42" s="73" t="n">
        <v>1419.9</v>
      </c>
      <c r="K42" s="73" t="n">
        <v>1638.5</v>
      </c>
      <c r="L42" s="73" t="n">
        <v>1909.5</v>
      </c>
      <c r="M42" s="73" t="n">
        <v>2070.9</v>
      </c>
      <c r="N42" s="73" t="n">
        <v>1707.1</v>
      </c>
      <c r="O42" s="73" t="n"/>
      <c r="R42" t="inlineStr">
        <is>
          <t>Dividends paid</t>
        </is>
      </c>
      <c r="S42" s="73" t="n">
        <v>-2912</v>
      </c>
      <c r="T42" s="73" t="n">
        <v>-3354</v>
      </c>
      <c r="U42" s="73" t="n">
        <v>-3572</v>
      </c>
      <c r="V42" s="73" t="n">
        <v>-3911</v>
      </c>
      <c r="W42" s="73" t="n">
        <v>-4554</v>
      </c>
      <c r="X42" s="73" t="n">
        <v>-5196</v>
      </c>
      <c r="Y42" s="73" t="n">
        <v>-8811</v>
      </c>
      <c r="Z42" s="73" t="n">
        <v>-7526</v>
      </c>
      <c r="AA42" s="73" t="n">
        <v>-8474</v>
      </c>
      <c r="AB42" s="73" t="n">
        <v>-9416</v>
      </c>
      <c r="AC42" s="73" t="n">
        <v>-12473</v>
      </c>
      <c r="AD42" s="73" t="n">
        <v>-10124</v>
      </c>
      <c r="AE42" t="n">
        <v>0</v>
      </c>
    </row>
    <row r="43">
      <c r="B43" t="inlineStr">
        <is>
          <t>Other asset items</t>
        </is>
      </c>
      <c r="C43" s="73" t="n">
        <v>806.7</v>
      </c>
      <c r="D43" s="73" t="n">
        <v>853.5</v>
      </c>
      <c r="E43" s="73" t="n">
        <v>726.4</v>
      </c>
      <c r="F43" s="73" t="n">
        <v>1000</v>
      </c>
      <c r="G43" s="73" t="n">
        <v>1079.2</v>
      </c>
      <c r="H43" s="73" t="n">
        <v>1282.2</v>
      </c>
      <c r="I43" s="73" t="n">
        <v>1384.3</v>
      </c>
      <c r="J43" s="73" t="n">
        <v>1419.9</v>
      </c>
      <c r="K43" s="73" t="n">
        <v>1638.5</v>
      </c>
      <c r="L43" s="73" t="n">
        <v>1909.5</v>
      </c>
      <c r="M43" s="73" t="n">
        <v>2070.9</v>
      </c>
      <c r="N43" s="73" t="n">
        <v>1707.1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-373</v>
      </c>
      <c r="Y43" t="n">
        <v>-406</v>
      </c>
      <c r="Z43" t="n">
        <v>-407</v>
      </c>
      <c r="AA43" t="n">
        <v>-467</v>
      </c>
      <c r="AB43" t="n">
        <v>-423</v>
      </c>
      <c r="AC43" t="n">
        <v>-498</v>
      </c>
      <c r="AD43" t="n">
        <v>-507</v>
      </c>
      <c r="AE43" t="n">
        <v>0</v>
      </c>
    </row>
    <row r="44">
      <c r="B44" s="57" t="inlineStr">
        <is>
          <t>Total Assets</t>
        </is>
      </c>
      <c r="C44" s="73" t="n">
        <v>14430</v>
      </c>
      <c r="D44" s="73" t="n">
        <v>14793</v>
      </c>
      <c r="E44" s="73" t="n">
        <v>15706</v>
      </c>
      <c r="F44" s="73" t="n">
        <v>17862</v>
      </c>
      <c r="G44" s="73" t="n">
        <v>18629</v>
      </c>
      <c r="H44" s="73" t="n">
        <v>20153</v>
      </c>
      <c r="I44" s="73" t="n">
        <v>68740</v>
      </c>
      <c r="J44" s="73" t="n">
        <v>70506</v>
      </c>
      <c r="K44" s="73" t="n">
        <v>73077</v>
      </c>
      <c r="L44" s="73" t="n">
        <v>78489</v>
      </c>
      <c r="M44" s="73" t="n">
        <v>79863</v>
      </c>
      <c r="N44" s="73" t="n">
        <v>79738</v>
      </c>
      <c r="R44" t="inlineStr">
        <is>
          <t>Other financing items</t>
        </is>
      </c>
      <c r="S44" t="n">
        <v>-533</v>
      </c>
      <c r="T44" t="n">
        <v>-685</v>
      </c>
      <c r="U44" s="73" t="n">
        <v>-728</v>
      </c>
      <c r="V44" s="73" t="n">
        <v>-781</v>
      </c>
      <c r="W44" s="73" t="n">
        <v>-928</v>
      </c>
      <c r="X44" s="73" t="n">
        <v>-1061</v>
      </c>
      <c r="Y44" t="n">
        <v>0</v>
      </c>
      <c r="Z44" t="n">
        <v>0</v>
      </c>
      <c r="AA44" t="n">
        <v>-2</v>
      </c>
      <c r="AB44" t="n">
        <v>0</v>
      </c>
      <c r="AC44" t="n">
        <v>0</v>
      </c>
      <c r="AD44" t="n">
        <v>0</v>
      </c>
      <c r="AE44" t="n">
        <v>0</v>
      </c>
    </row>
    <row r="45">
      <c r="R45" t="inlineStr">
        <is>
          <t>Net Cash Flow</t>
        </is>
      </c>
      <c r="S45" t="n">
        <v>-33</v>
      </c>
      <c r="T45" t="n">
        <v>25</v>
      </c>
      <c r="U45" t="n">
        <v>-202</v>
      </c>
      <c r="V45" t="n">
        <v>21</v>
      </c>
      <c r="W45" t="n">
        <v>-28</v>
      </c>
      <c r="X45" t="n">
        <v>2595</v>
      </c>
      <c r="Y45" t="n">
        <v>-1374</v>
      </c>
      <c r="Z45" t="n">
        <v>-695</v>
      </c>
      <c r="AA45" t="n">
        <v>-446</v>
      </c>
      <c r="AB45" t="n">
        <v>111</v>
      </c>
      <c r="AC45" t="n">
        <v>5258</v>
      </c>
      <c r="AD45" t="n">
        <v>-3487</v>
      </c>
      <c r="AE45" t="n">
        <v>0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>
        <f>'Data Sheet'!B1</f>
        <v/>
      </c>
      <c r="M56">
        <f>'Data Sheet'!B8</f>
        <v/>
      </c>
      <c r="N56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>
        <f>'Data Sheet'!K32</f>
        <v/>
      </c>
      <c r="AW56">
        <f>'Data Sheet'!K30</f>
        <v/>
      </c>
      <c r="AX56" t="n">
        <v>18.87</v>
      </c>
      <c r="AZ56">
        <f>'Data Sheet'!K59</f>
        <v/>
      </c>
      <c r="BA56">
        <f>'Data Sheet'!K69+'Data Sheet'!K64</f>
        <v/>
      </c>
    </row>
    <row r="57">
      <c r="K57" t="n">
        <v>1</v>
      </c>
      <c r="L57" t="inlineStr">
        <is>
          <t>ITC</t>
        </is>
      </c>
      <c r="M57" t="n">
        <v>257</v>
      </c>
      <c r="N57" t="n">
        <v>1248.3008</v>
      </c>
      <c r="AR57" t="n">
        <v>320813.3</v>
      </c>
      <c r="AS57">
        <f>AZ57-BA57</f>
        <v/>
      </c>
      <c r="AT57">
        <f>AR57+AS57</f>
        <v/>
      </c>
      <c r="AU57" t="n">
        <v>76457.5</v>
      </c>
      <c r="AV57" t="n">
        <v>27052.7</v>
      </c>
      <c r="AW57" t="n">
        <v>19742.36</v>
      </c>
      <c r="AX57" t="n">
        <v>15</v>
      </c>
      <c r="AZ57" t="n">
        <v>2399</v>
      </c>
      <c r="BA57" t="n">
        <v>38128</v>
      </c>
    </row>
    <row r="58">
      <c r="K58" t="n">
        <v>2</v>
      </c>
      <c r="L58" t="inlineStr">
        <is>
          <t>Nestle India</t>
        </is>
      </c>
      <c r="M58" t="n">
        <v>1303.8</v>
      </c>
      <c r="N58" t="n">
        <v>192.5375</v>
      </c>
      <c r="AR58" t="n">
        <v>251030.4</v>
      </c>
      <c r="AS58">
        <f>AZ58-BA58</f>
        <v/>
      </c>
      <c r="AT58">
        <f>AR58+AS58</f>
        <v/>
      </c>
      <c r="AU58" t="n">
        <v>25512.7</v>
      </c>
      <c r="AV58" t="n">
        <v>5850.7</v>
      </c>
      <c r="AW58" t="n">
        <v>3755.13</v>
      </c>
      <c r="AX58" t="n">
        <v>15</v>
      </c>
      <c r="AZ58" t="n">
        <v>444</v>
      </c>
      <c r="BA58" t="n">
        <v>2100</v>
      </c>
    </row>
    <row r="59">
      <c r="K59" t="n">
        <v>3</v>
      </c>
      <c r="L59" t="inlineStr">
        <is>
          <t>Varun Beverages</t>
        </is>
      </c>
      <c r="M59" t="n">
        <v>424.3</v>
      </c>
      <c r="N59" t="n">
        <v>338.2496</v>
      </c>
      <c r="AR59" t="n">
        <v>143519.3</v>
      </c>
      <c r="AS59">
        <f>AZ59-BA59</f>
        <v/>
      </c>
      <c r="AT59">
        <f>AR59+AS59</f>
        <v/>
      </c>
      <c r="AU59" t="n">
        <v>33804.9</v>
      </c>
      <c r="AV59" t="n">
        <v>9152.200000000001</v>
      </c>
      <c r="AW59" t="n">
        <v>3388.89</v>
      </c>
      <c r="AX59" t="n">
        <v>15</v>
      </c>
      <c r="AZ59" t="n">
        <v>2508</v>
      </c>
      <c r="BA59" t="n">
        <v>1200</v>
      </c>
    </row>
    <row r="60">
      <c r="K60" t="n">
        <v>4</v>
      </c>
      <c r="L60" t="inlineStr">
        <is>
          <t>Britannia Inds.</t>
        </is>
      </c>
      <c r="M60" t="n">
        <v>4794.85</v>
      </c>
      <c r="N60" t="n">
        <v>24.1825</v>
      </c>
      <c r="AR60" t="n">
        <v>115951.3</v>
      </c>
      <c r="AS60">
        <f>AZ60-BA60</f>
        <v/>
      </c>
      <c r="AT60">
        <f>AR60+AS60</f>
        <v/>
      </c>
      <c r="AU60" t="n">
        <v>19999.9</v>
      </c>
      <c r="AV60" t="n">
        <v>3560.3</v>
      </c>
      <c r="AW60" t="n">
        <v>2603.89</v>
      </c>
      <c r="AX60" t="n">
        <v>15</v>
      </c>
      <c r="AZ60" t="n">
        <v>1380</v>
      </c>
      <c r="BA60" t="n">
        <v>3610</v>
      </c>
    </row>
    <row r="61">
      <c r="K61" t="n">
        <v>5</v>
      </c>
      <c r="L61" t="inlineStr">
        <is>
          <t>Marico</t>
        </is>
      </c>
      <c r="M61" t="n">
        <v>780.1</v>
      </c>
      <c r="N61" t="n">
        <v>129.8551</v>
      </c>
      <c r="AR61" t="n">
        <v>101300</v>
      </c>
      <c r="AS61">
        <f>AZ61-BA61</f>
        <v/>
      </c>
      <c r="AT61">
        <f>AR61+AS61</f>
        <v/>
      </c>
      <c r="AU61" t="n">
        <v>15828</v>
      </c>
      <c r="AV61" t="n">
        <v>3912</v>
      </c>
      <c r="AW61" t="n">
        <v>1888.16</v>
      </c>
      <c r="AX61" t="n">
        <v>15</v>
      </c>
      <c r="AZ61" t="n">
        <v>557</v>
      </c>
      <c r="BA61" t="n">
        <v>2083</v>
      </c>
    </row>
    <row r="62">
      <c r="K62" t="n">
        <v>6</v>
      </c>
      <c r="L62" t="inlineStr">
        <is>
          <t>Godrej Consumer</t>
        </is>
      </c>
      <c r="M62" t="n">
        <v>843</v>
      </c>
      <c r="N62" t="n">
        <v>101.8572</v>
      </c>
      <c r="AR62" t="n">
        <v>85865.60000000001</v>
      </c>
      <c r="AS62">
        <f>AZ62-BA62</f>
        <v/>
      </c>
      <c r="AT62">
        <f>AR62+AS62</f>
        <v/>
      </c>
      <c r="AU62" t="n">
        <v>16901.9</v>
      </c>
      <c r="AV62" t="n">
        <v>3027.1</v>
      </c>
      <c r="AW62" t="n">
        <v>2076.05</v>
      </c>
      <c r="AX62" t="n">
        <v>15</v>
      </c>
      <c r="AZ62" t="n">
        <v>4421</v>
      </c>
      <c r="BA62" t="n">
        <v>2767</v>
      </c>
    </row>
    <row r="63">
      <c r="K63" t="n">
        <v>7</v>
      </c>
      <c r="L63" t="inlineStr">
        <is>
          <t>Dabur India</t>
        </is>
      </c>
      <c r="M63" t="n">
        <v>377</v>
      </c>
      <c r="N63" t="n">
        <v>176.9767</v>
      </c>
      <c r="AR63" t="n">
        <v>66720.2</v>
      </c>
      <c r="AS63">
        <f>AZ63-BA63</f>
        <v/>
      </c>
      <c r="AT63">
        <f>AR63+AS63</f>
        <v/>
      </c>
      <c r="AU63" t="n">
        <v>15057.6</v>
      </c>
      <c r="AV63" t="n">
        <v>3517</v>
      </c>
      <c r="AW63" t="n">
        <v>1983.36</v>
      </c>
      <c r="AX63" t="n">
        <v>15</v>
      </c>
      <c r="AZ63" t="n">
        <v>1120</v>
      </c>
      <c r="BA63" t="n">
        <v>1450</v>
      </c>
    </row>
    <row r="64">
      <c r="K64" t="n">
        <v>8</v>
      </c>
      <c r="L64" t="inlineStr">
        <is>
          <t>Milky Mist Dairy</t>
        </is>
      </c>
      <c r="M64" t="n">
        <v>308.2</v>
      </c>
      <c r="N64" t="n">
        <v>76.9841</v>
      </c>
      <c r="AR64" t="n">
        <v>23726.5</v>
      </c>
      <c r="AS64">
        <f>AZ64-BA64</f>
        <v/>
      </c>
      <c r="AT64">
        <f>AR64+AS64</f>
        <v/>
      </c>
      <c r="AU64" t="n">
        <v>3893.6</v>
      </c>
      <c r="AV64" t="n">
        <v>386.7</v>
      </c>
      <c r="AW64" t="n">
        <v>183.74</v>
      </c>
      <c r="AX64" t="n">
        <v>15</v>
      </c>
      <c r="AZ64" t="n">
        <v>1677</v>
      </c>
      <c r="BA64" t="n">
        <v>0</v>
      </c>
    </row>
    <row r="65">
      <c r="K65" t="n">
        <v>9</v>
      </c>
      <c r="L65" t="inlineStr">
        <is>
          <t>Tata Motors PVeh</t>
        </is>
      </c>
      <c r="M65" t="n">
        <v>303.8</v>
      </c>
      <c r="N65" t="n">
        <v>368.29</v>
      </c>
      <c r="AR65" t="n">
        <v>105784.63</v>
      </c>
      <c r="AS65">
        <f>AZ65-BA65</f>
        <v/>
      </c>
      <c r="AT65">
        <f>AR65+AS65</f>
        <v/>
      </c>
      <c r="AU65" t="n">
        <v>52505.4</v>
      </c>
      <c r="AV65">
        <f>AT65/AX65</f>
        <v/>
      </c>
      <c r="AW65" t="n">
        <v>5671.72</v>
      </c>
      <c r="AX65" t="n">
        <v>35.22</v>
      </c>
      <c r="AZ65" t="n">
        <v>26446.16</v>
      </c>
      <c r="BA65" t="n">
        <v>5289.23</v>
      </c>
    </row>
    <row r="66">
      <c r="K66" t="n">
        <v>10</v>
      </c>
      <c r="L66" t="inlineStr">
        <is>
          <t>Hero Motocorp</t>
        </is>
      </c>
      <c r="M66" t="n">
        <v>5285.5</v>
      </c>
      <c r="N66" t="n">
        <v>20.01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76" min="2" max="2"/>
    <col width="23.44140625" customWidth="1" style="176" min="3" max="3"/>
    <col width="26.88671875" customWidth="1" style="176" min="4" max="4"/>
    <col width="24" customWidth="1" style="176" min="5" max="5"/>
  </cols>
  <sheetData>
    <row r="1" ht="15" customHeight="1" s="176" thickBot="1"/>
    <row r="2" ht="15" customHeight="1" s="176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76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76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76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76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76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76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76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76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76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76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76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76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76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76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76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76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76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76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76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76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76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76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76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76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76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76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76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76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76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76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76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76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76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76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76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76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76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76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76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76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76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76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76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76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76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76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76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76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76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76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76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76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76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76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76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76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76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76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76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76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76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76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76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76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76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76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76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76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76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76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76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76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76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76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76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76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76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76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76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76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76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76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76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76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76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76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76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76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76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76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76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76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76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76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76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76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76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76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76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76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76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76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76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76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76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76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76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76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76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76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76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76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76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76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76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76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76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76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76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76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76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76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76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76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76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76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76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76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76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76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76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76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76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76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76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76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76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76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76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76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76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76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76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76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76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76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76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76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76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76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76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76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76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76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76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76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76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76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76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76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76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76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76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76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76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76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76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76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76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76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76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76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76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76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76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76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76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76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76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76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76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76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76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76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76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76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76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76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76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76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76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76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76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76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76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76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76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76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76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76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76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76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76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76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76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76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76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76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76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76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76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76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76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76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76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76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76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76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76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76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76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76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76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76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76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76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76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76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76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76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76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76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76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76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76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76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76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76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76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76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76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76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76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76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76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76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76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76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76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76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76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76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76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76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76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76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76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76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76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76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76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76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76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76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76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76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76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76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76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76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76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76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76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76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76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76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76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76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76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76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76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76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76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76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76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76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76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76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76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76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76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76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76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76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76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76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76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76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76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76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76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76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76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76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76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76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76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76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76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76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76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76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76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76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76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76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76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76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76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76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76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76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76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76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76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76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76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76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76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76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76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76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76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76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76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76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76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76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76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76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76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76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76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76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76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76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76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76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76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76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76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76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76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76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76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76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76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76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76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76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76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76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76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76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76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76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76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76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76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76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76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76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76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76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76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76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76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76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76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76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76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76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76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76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76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76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76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76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76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76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76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76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76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76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76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76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76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76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76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76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76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76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76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76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76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76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76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76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76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76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76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76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76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76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76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76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76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76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76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76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76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76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76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76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76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76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76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76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76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76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76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76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76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76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76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76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76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76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76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76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76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76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76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76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76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76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76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76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76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76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76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76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76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76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76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76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76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76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76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76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76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76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76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76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76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76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76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76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76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76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76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76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76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76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76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76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76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76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76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76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76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76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76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76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76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76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76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76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76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76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76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76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76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76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76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76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76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76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76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76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76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76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76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76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76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76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76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76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76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76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76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76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76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76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76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76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76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76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76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76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76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76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76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76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76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76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76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76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76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76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76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76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76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76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76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76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76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76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76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76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76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76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76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76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76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76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76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76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76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76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76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76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76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76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76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76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76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76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76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76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76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76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76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76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76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76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76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76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76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76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76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76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76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76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76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76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76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76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76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76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76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76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76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76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76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76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76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76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76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76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76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76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76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76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76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76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76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76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76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76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76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76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76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76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76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76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76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76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76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76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76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76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76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76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76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76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76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76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76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76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76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76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76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76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76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76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76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76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76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76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76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76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76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76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76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76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76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76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76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76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76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76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76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76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76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76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76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76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76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76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76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76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76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76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76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76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76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76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76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76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76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76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76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76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76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76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76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76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76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76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76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76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76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76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76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76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76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76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76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76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76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76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76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76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76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76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76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76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76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76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76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76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76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76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76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76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76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76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76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76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76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76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76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76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76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76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76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76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76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76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76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76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76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76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76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76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76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76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76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76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76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76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76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76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76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76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76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76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76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76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76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76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76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76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76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76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76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76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76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76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76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76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76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76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76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76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76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76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76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76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76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76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76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76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76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76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76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76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76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76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76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76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76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76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76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76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76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76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76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76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76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76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76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76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76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76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76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76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76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76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76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76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76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76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76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76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76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76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76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76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76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76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76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76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76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76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76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76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76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76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76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76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76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76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76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76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76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76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76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76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76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76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76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76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76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76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76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76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76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76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76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76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76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76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76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76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76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76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76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76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76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76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76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76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76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76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76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76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76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76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76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76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76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76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76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76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76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76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76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76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76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76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76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76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76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76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76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76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76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76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76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76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76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76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76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76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76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76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76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76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76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76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76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76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76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76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76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76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76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76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76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76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76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76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76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76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76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76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76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76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76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76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76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76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76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76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76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76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76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76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76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76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76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76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76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76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76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76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76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76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76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76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76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76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76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76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76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76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76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76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76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76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76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76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76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76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76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76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76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76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76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76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76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76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76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76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76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76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76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76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76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76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76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76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76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76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76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76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76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76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76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76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76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76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76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76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76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76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76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76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76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76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76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76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76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76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76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76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76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76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76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76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76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76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76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76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76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76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76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76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76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76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76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76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76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76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76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76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76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76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76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76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76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76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76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76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76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76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76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76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76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76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76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76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76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76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76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76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76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76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76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76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76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76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76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76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76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76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76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76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76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76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76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76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76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76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76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76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76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76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76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76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76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76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76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76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76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76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76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76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76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76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76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76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76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76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76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76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76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76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76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76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76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76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76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76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76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76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76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76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76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76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76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76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76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76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76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76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76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76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76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76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76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76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76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76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76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76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76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76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76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76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76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76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76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76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76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76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76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76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76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76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76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76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76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76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76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76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76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76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76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76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76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76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76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76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76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76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76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76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76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76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76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76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76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76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76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76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76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76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76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76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76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76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76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76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76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76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76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76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76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76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76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76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76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76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76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76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76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76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76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76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76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76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76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76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76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76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76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76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76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76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76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76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76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76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76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76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76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76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76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76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76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76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76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76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76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76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76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76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76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76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76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76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76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76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76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76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76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76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76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76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76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76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76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76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76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76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76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76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76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76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76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76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76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76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76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76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76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76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76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76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76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76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76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76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76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76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76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76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76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76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76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76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76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76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76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76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76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76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76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76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76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76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76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76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76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76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76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76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76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76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76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76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76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76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76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76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76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76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76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76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76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76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76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76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76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76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76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76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76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76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76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76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76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76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76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76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76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76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76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76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76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76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76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76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76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76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76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76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76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76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76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76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76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76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76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76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76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76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76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76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76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76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76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76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76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76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76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76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76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76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76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76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76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76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76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76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76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76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76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76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76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76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76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76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76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76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76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76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76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76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76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76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76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76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76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76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76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76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76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76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76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76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76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76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76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76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76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76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76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76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76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76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76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76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76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76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76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76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76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76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76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76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76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76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76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76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76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76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76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76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76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76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76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76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76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76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76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76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76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76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76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76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76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76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76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76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76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76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76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76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76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76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76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76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76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76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76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76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76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76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76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76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76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76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76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76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76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76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76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76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76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76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76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76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76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76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76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76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76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76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76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76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76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76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76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76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76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76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76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76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76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76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76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76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76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76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76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76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76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76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76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76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76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76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76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76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76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76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76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76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76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76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76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76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76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76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76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76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76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76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76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76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76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76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76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76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76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76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76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76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76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76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76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76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76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76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76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76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76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76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76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76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76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76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76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76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76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76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76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76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76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76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76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76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76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76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76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76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76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76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76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76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76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76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76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76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76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76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76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76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76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76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76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76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76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76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76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76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76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76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76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76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76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76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76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76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76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76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76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76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76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76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76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76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76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76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76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76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76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76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76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76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76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76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76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76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76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76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76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76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76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76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76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76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76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76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76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76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76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76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76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76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76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76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76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76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76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76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76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76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76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76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76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76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76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76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76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76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76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76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76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76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76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76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76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76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76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76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76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76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76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76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76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76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76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76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76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76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76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76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76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76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76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76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76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76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76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76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76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76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76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76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76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76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76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76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76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76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76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76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76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76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76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76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76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76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76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76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76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76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76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76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76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76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76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76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76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76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76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76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76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76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76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76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76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76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76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76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76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76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76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76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76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76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76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76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76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76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76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76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76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76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76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76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76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76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76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76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76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76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76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76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76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76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76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76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76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76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76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76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76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76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76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76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76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76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76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76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76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76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76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76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76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76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76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76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76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76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76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76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76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76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76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76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76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76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76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76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76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76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76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76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76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76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76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76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76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76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76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76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76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76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76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76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76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76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76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76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76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76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76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76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76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76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76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76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76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76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76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76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76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76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76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76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76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76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76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76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76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76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76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76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76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76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76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76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76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76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76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76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76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76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76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76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76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76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76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76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76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76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76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76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76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76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76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76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76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76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76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76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76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76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76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76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76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76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76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76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76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76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76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76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76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76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76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76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76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76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76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76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76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76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76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76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76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76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76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76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76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76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76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76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76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76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76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76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76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76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76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76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76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76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76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76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76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76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76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76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76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76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76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76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76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76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76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76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76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76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76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76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76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76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76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76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76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76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76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76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76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76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76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76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76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76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76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76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76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76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76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76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76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76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76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76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76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76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76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76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76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76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76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76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76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76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76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76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76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76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76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76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76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76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76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76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76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76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76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76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76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76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76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76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76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76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76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76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76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76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76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76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76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76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76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76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76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76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76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76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76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76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76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76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76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76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76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76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76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76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76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76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76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76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76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76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76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76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76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76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76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76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76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76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76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76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76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76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76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76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76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76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76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76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76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76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76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76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76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76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76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76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76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76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76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76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76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76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76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76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76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76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76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76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76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76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76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76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76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76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76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76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76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76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76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76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76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76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76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76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76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76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76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76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76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76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76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76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76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76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76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76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76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76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76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76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76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76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76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76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76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76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76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76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76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76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76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76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76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76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76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76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76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76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76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76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76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76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76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76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76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76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76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76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76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76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76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76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76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76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76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76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76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76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76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76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76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76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76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76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76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76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76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76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76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76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76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76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76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76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76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76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76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76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76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76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76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76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76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76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76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76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76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76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76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76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76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76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76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76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76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76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76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76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76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76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76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76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76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76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76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76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76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76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76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76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76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76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76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76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76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76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76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76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76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76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76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76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76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76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76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76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76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76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76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76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76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76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76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76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76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76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76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76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76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76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76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76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76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76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76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76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76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76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76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76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76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76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76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76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76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76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76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76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76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76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76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76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76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76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76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76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76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76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76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76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76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76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76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76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76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76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76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76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76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76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76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76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76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76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76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76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76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76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76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76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76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76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76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76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76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76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76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76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76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76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76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76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76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76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76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76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76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76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76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76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76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76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76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76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76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76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76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76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76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76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76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76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76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76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76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76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76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76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76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76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76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76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76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76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76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76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76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76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76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76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76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76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76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76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76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76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76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76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76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76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76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76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76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76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76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76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76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76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76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76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76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76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76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76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76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76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76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76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76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76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76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76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76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76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76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76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76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76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76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76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76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76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76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76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76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76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76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76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76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76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76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76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76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76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76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76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76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76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76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76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76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76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76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76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76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76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76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76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76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76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76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76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76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76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76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76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76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76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76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76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76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76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76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76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76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76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76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76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76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76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76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76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76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76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76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76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76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76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76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76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76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76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76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76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76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76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76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76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76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76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76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76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76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76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76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76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76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76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76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76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76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76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76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76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76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76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76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76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76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76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76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76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76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76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76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76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76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76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76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76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76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76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76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76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76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76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76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76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76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76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76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76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76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76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76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76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76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76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76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76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76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76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76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76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76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76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76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76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76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76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76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76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76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76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76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76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76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76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76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76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76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76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76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76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76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76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76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76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76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76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76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76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76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76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76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76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76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76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76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76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76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76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76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76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76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76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76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76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76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76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76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76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76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76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76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76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76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76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76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76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76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76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76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76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76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76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76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76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76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76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76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76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76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76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76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76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76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76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76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76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76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76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76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76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76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76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76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76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76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76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76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76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76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76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76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76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76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76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76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76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76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76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76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76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76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76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76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76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76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76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76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76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76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76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76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76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76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76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76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76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76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76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76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76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76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76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76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76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76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76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76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76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76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76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76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76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76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76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76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76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76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76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76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76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76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76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76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76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76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76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76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76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76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76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76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76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76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76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76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76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76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76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76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76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76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76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76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76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76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76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76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76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76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76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76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76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76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76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76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76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76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76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76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76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76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76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76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76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76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76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76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76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76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76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76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76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76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76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76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76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76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76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76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76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76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76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76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76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76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76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76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76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76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76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76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76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76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76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76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76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76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76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76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76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76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76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76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76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76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76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76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76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76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76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76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76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76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76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76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76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76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76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76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76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76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76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76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76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76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76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76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76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76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76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76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76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76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76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76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76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76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76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76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76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76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76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76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76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76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76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76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76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76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76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76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76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76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76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76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76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76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76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76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76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76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76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76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76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76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76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76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76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76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76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76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76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76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76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76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76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76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76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76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76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76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76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76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76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76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76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76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76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76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76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76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76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76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76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76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76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76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76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76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76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76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76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76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76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76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76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76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76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76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76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76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76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76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76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76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76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76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76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76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76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76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76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76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76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76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76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76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76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76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76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76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76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76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76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76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76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76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76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76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76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76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76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76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76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76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76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76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76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76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76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76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76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76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76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76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76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76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76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76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76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76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76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76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76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76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76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76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76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76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76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76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76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76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76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76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76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76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76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76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76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76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76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76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76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76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76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76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76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76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76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76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76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76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76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76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76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76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76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76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76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76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76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76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76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76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76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76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76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76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76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76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76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76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76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76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76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76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76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76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76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76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76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76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76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76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76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76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76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76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76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76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76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76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76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76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76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76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76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76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76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76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76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76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76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76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76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76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76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76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76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76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76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76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76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76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76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76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76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76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76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76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76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76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76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76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76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76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76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76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76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76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76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76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76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76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76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76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76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76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76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76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76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76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76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76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76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76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76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76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76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76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76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76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76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76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76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76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76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76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76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76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76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76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76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76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76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76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76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76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76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76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76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76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76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76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76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76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76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76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76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76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76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76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76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76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76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76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76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76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76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76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76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76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76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76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76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76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76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76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76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76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76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76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76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76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76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76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76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76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76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76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76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76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76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76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76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76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76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76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76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76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76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76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76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76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76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76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76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76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76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76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76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76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76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76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76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76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76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76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76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76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76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76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76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76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76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76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76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76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76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76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76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76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76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76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76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76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76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76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76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76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76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76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76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76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76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76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76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76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76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76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76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76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76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76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76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76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76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76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76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76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76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76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76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76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76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76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76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76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76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76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76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76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76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76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76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76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76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76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76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76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76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76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76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76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76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76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76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76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76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76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76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76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76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76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76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76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76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76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76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76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76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76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76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76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76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76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76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76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76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76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76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76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76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76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76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76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76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76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76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76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76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76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76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76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76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76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76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76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76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76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76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76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76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76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76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76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76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76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76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76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76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76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76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76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76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76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76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76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76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76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76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76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76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76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76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76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76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76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76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76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76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76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76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76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76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76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76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76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76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76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76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76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76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76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76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76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76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76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76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76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76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76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76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76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76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76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76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76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76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76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76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76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76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76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76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76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76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76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76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76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76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76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76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76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76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76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76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76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76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76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76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76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76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76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76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76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76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76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76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76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76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76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76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76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76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76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76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76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76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76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76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76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76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76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76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76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76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76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76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76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76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76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76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76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76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76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76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76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76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76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76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76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76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76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76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76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76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76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76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76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76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76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76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76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76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76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76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76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76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76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76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76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76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76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76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76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76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76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76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76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76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76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76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76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76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76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76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76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76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76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76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76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76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76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76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76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76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76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76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76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76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76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76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76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76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76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76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76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76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76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76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76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76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76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76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76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76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76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76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76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76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76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76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76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76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76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76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76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76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76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76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76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76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76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76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76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76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76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76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76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76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76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76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76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76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76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76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76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76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76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76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76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76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76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76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76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76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76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76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76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76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76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76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76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76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76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76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76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76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76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76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76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76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76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76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76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76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76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76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76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76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76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76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76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76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76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76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76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76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76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76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76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76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76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76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76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76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76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76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76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76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76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76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76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76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76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76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76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76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76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76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76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76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76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76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76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76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76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76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76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76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76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76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76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76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76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76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76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76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76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76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76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76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76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76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76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76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76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76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76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76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76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76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76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76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76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76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76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76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76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76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76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76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76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76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76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76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76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76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76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76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76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76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76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76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76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76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76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76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76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76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76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76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76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76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76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76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76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76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76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76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76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76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76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76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76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76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76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76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76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76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76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76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76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76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76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76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76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76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76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76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76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76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76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76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76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76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76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76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76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76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76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76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76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76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76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76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76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76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76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76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76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76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76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76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76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76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76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76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76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76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76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76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76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76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76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76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76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76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76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76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76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76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76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76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76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76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76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76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76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76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76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76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76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76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76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76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76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76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76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76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76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76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76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76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76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76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76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76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76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76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76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76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76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76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76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76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76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76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76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76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76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76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76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76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76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76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76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76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76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76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76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76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76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76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76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76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76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76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76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76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76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76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76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76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76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76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76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76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76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76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76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76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76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76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76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76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76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76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76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76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76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76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76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76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76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76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76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76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76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76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76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76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76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76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76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76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76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76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76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76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76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76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76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76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76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76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76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76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76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76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76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76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76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76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76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76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76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76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76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76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76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76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76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76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76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76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76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76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76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76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76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76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76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76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76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76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76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76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76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76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76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76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76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76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76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76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76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76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76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76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76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76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76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76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76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76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76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76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76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76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76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76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76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76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76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76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76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76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76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76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76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76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76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76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76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76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76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76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76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76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76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76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76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76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76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76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76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76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76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76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76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76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76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76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76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76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76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76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76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76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76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76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76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76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76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76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76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76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76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76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76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76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76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76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76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76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76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76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76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76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76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76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76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76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76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76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76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76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76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76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76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76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76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76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76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76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76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76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76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76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76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76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76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76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76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76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76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76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76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76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76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76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76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76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76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76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76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76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76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76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76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76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76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76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76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76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76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76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76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76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76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76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76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76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76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76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76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76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76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76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76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76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76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76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76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76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76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76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76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76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76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76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76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76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76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76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76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76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76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76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76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76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76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76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76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76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76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76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76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76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76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76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76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76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76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76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76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76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76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76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76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76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76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76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76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76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76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76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76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76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76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76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76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76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76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76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76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76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76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76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76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76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76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76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76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76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76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76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76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76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76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76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76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76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76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76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76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76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76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76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76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76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76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76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76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76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76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76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76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76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76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76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76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76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76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76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76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76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76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76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76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76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76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76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76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76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76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76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76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76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76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76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76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76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76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76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76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76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76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76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76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76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76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76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76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76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76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76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76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76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76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76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76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76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76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76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76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76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76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76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76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76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76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76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76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76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76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76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76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76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76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76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76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76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76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76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76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76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76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76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76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76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76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76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76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76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76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76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76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76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76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76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76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76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76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76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76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76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76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76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76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76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76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76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76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76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76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76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76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76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76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76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76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76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76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76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76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76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76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76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76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76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76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76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76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76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76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76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76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76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76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76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76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76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76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76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76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76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76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76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76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76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76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76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76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76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76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76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76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76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76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76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76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76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76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76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76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76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76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76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76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76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76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76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76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76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76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76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76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76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76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76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76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76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76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76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76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76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76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76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76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76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76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76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76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76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76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76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76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76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76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76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76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76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76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76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76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76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76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76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76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76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76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76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76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76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76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76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76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76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76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76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76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76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76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76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76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76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76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76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76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76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76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76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76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76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76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76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76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76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76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76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76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76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76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76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76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76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76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76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76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76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76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76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76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76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76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76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76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76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76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76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76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76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76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76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76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76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76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76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76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76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76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76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76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76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76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76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76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76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76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76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76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76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76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76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76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76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76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76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76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76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76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76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76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76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76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76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76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76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76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76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76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76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76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76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76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76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76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76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76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76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76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76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76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76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76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76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76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76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76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76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76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76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76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76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76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76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76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76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76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76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76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76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76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76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76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76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76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76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76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76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76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76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76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76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76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76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76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76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76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76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76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76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76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76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76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76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76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76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76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76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76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76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76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76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76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76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76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76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76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76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76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76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76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76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76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76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76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76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76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76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76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76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76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76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76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76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76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76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76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76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76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76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76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76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76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76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76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76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76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76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76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76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76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76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76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76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76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76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76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76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76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76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76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76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76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76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76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76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76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76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76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76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76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76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76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76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76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76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76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76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76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76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76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76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76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76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76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76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76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76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76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76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76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76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76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76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76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76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76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76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76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76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76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76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76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76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76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76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76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76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76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76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76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76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76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76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76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76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76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76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76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76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76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76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76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76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76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76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76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76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76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76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76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76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76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76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76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76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76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76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76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76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76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76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76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76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76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76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76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76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76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76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76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76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76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76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76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76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76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76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76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76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76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76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76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76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76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76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76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76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76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76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76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76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76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76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76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76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76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76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76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76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76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76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76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76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76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76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76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76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76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76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76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76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76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76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76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76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76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76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76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76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76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76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76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76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76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76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76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76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76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76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76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76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76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76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76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76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76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76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76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76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76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76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76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76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76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76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76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76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76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76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76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76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76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76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76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76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76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76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76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76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76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76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76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76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76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76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76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76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76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76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76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76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76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76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76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76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76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76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76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76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76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76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76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76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76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76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76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76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76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76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76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76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76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76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76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76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76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76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76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76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76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76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76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76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76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76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76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76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76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76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76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76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76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76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76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76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76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76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76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76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76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76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76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76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76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76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76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76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76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76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76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76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76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76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76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76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76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76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76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76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76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76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76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76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76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76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76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76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76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76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76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76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76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76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76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76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76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76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76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76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76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76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76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76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76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76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76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76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76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76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76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76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76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76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76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76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76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76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76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76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76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76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76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76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76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76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76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76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76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76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76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76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76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76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76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76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76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76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76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76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76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76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76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76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76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76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76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76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76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76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76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76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76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76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76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76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76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76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76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76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76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76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76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76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76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76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76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76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76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76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76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76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76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76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76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76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76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76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76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76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76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76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76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76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76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76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76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76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76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76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76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76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76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76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76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76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76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76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76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76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76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76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76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76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76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76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76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76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76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76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76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76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76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76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76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76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76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76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76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76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76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76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76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76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76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76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76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76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76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76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76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76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76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76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76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76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76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76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76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76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76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76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76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76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76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76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76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76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76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76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76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76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76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76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76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76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76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76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76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76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76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76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76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76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76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76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76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76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76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76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76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76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76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76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76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76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76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76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76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76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76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76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76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76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76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76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76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76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76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76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76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76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76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76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76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76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76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76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76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76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76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76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76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76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76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76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76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76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76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76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76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76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76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76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76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76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76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76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76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76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76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76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76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76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76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76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76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76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76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76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76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76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76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76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76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76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76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76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76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76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76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76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76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76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76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76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76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76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76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76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76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76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76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76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76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76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76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76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76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76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76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76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76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76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76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76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76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76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76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76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76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76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76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76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76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76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76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76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76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76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76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76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76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76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76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76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76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76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76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76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76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76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76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76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76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76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76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76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76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76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76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76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76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76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76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76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76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76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76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76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76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76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76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76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76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76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76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76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76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76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76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76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76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76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76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76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76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76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76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76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76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76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76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76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76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76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76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76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76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76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76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76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76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76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76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76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76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76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76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76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76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76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76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76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76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76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76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76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76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76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76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76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76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76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76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76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76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76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76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76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76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76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76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76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76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76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76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76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76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76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76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76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76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76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76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76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76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76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76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76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76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76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76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76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76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76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76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76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76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76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76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76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76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76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76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76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76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76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76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76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76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76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76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76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76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76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76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76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76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76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76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76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76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76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76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76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76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76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76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76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76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76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76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76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76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76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76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76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76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76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76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76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76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76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76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76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76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76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76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76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76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76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76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76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76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76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76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76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76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76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76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76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76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76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76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76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76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76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76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76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76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76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76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76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76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76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76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76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76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76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76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76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76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76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76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76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76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76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76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76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76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76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76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76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76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76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76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76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76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76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76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76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76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76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76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76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76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76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76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76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76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76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76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76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76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76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76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76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76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76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76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76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76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76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76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76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76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76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76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76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76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76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76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76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76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76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76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76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76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76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76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76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76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76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76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76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76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76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76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76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76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76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76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76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76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76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76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76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76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76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76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76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76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76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76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76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76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76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76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76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76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76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76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76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76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76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76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76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76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76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76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76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76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76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76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76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76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76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76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76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76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76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76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76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76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76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76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76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76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76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76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76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76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76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76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76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76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76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76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76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76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76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76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76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76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76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76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76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76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76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76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76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76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76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76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76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76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76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76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76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76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76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76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76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76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76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76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76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76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76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76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76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76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76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76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76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76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76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76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76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76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76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76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76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76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76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76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76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76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76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76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76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76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76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76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76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76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76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76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76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76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76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76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76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76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76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76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76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76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76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76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76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76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76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76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76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76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76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76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76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76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76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76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76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76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76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76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76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76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76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76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76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76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76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76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76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76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76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76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76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76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76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76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76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76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76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76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76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76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76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76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76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76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76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76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76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76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76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76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76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76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76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76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76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76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76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76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76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76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76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76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76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76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76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76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76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76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76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76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76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76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76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76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76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76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76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76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76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76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76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76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76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76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76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76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76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76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76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76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76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76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76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76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76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76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76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76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76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76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76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76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76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76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76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76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76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76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76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76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76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76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76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76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76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76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76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76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76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76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76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76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76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76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76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76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76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76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76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76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76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76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76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76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76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76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76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76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76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76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76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76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76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76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76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76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76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76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76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76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76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76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76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76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76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76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76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76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76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76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76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76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76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76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76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76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76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76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76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76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76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76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76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76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76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76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76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76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76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76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76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76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76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76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76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76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76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76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76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76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76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76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76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76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76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76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76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76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76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76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76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76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76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76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76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76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76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76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76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76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76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76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76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76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76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76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76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76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76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76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76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76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76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76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76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76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76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76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76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76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76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76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76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76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76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2026-10-01T11:25:01Z</dcterms:modified>
  <cp:lastModifiedBy>Loveish</cp:lastModifiedBy>
  <cp:lastPrinted>2012-12-06T18:14:13Z</cp:lastPrinted>
</cp:coreProperties>
</file>