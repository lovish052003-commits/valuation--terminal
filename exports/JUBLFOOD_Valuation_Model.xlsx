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Profit &amp; Loss" sheetId="2" state="visible" r:id="rId2"/>
    <sheet xmlns:r="http://schemas.openxmlformats.org/officeDocument/2006/relationships" name="Quarters" sheetId="3" state="visible" r:id="rId3"/>
    <sheet xmlns:r="http://schemas.openxmlformats.org/officeDocument/2006/relationships" name="Balance Sheet" sheetId="4" state="visible" r:id="rId4"/>
    <sheet xmlns:r="http://schemas.openxmlformats.org/officeDocument/2006/relationships" name="Cash Flow" sheetId="5" state="visible" r:id="rId5"/>
    <sheet xmlns:r="http://schemas.openxmlformats.org/officeDocument/2006/relationships" name="Customization" sheetId="6" state="visible" r:id="rId6"/>
    <sheet xmlns:r="http://schemas.openxmlformats.org/officeDocument/2006/relationships" name="Common Size Statement" sheetId="7" state="visible" r:id="rId7"/>
    <sheet xmlns:r="http://schemas.openxmlformats.org/officeDocument/2006/relationships" name="Data Sheet" sheetId="8" state="visible" r:id="rId8"/>
    <sheet xmlns:r="http://schemas.openxmlformats.org/officeDocument/2006/relationships" name="Cash Flow Statement" sheetId="9" state="visible" r:id="rId9"/>
    <sheet xmlns:r="http://schemas.openxmlformats.org/officeDocument/2006/relationships" name="Historical FS" sheetId="10" state="visible" r:id="rId10"/>
    <sheet xmlns:r="http://schemas.openxmlformats.org/officeDocument/2006/relationships" name="Ratio Analysis" sheetId="11" state="visible" r:id="rId11"/>
    <sheet xmlns:r="http://schemas.openxmlformats.org/officeDocument/2006/relationships" name="Forecasting" sheetId="12" state="visible" r:id="rId12"/>
    <sheet xmlns:r="http://schemas.openxmlformats.org/officeDocument/2006/relationships" name="Rm" sheetId="13" state="visible" r:id="rId13"/>
    <sheet xmlns:r="http://schemas.openxmlformats.org/officeDocument/2006/relationships" name="Beta-Regression" sheetId="14" state="visible" r:id="rId14"/>
    <sheet xmlns:r="http://schemas.openxmlformats.org/officeDocument/2006/relationships" name="WACC" sheetId="15" state="visible" r:id="rId15"/>
    <sheet xmlns:r="http://schemas.openxmlformats.org/officeDocument/2006/relationships" name="Intrinsic Valuation" sheetId="16" state="visible" r:id="rId16"/>
    <sheet xmlns:r="http://schemas.openxmlformats.org/officeDocument/2006/relationships" name="DCF" sheetId="17" state="visible" r:id="rId17"/>
    <sheet xmlns:r="http://schemas.openxmlformats.org/officeDocument/2006/relationships" name="Raw Data" sheetId="18" state="visible" r:id="rId18"/>
    <sheet xmlns:r="http://schemas.openxmlformats.org/officeDocument/2006/relationships" name="Comp_Valuation" sheetId="19" state="visible" r:id="rId19"/>
    <sheet xmlns:r="http://schemas.openxmlformats.org/officeDocument/2006/relationships" name="Dupont Analysis" sheetId="20" state="visible" r:id="rId20"/>
    <sheet xmlns:r="http://schemas.openxmlformats.org/officeDocument/2006/relationships" name="Altman's Z Score" sheetId="21" state="visible" r:id="rId21"/>
    <sheet xmlns:r="http://schemas.openxmlformats.org/officeDocument/2006/relationships" name="Raw FS" sheetId="22" state="visible" r:id="rId22"/>
    <sheet xmlns:r="http://schemas.openxmlformats.org/officeDocument/2006/relationships" name="List of Stocks" sheetId="23" state="visible" r:id="rId23"/>
  </sheets>
  <definedNames>
    <definedName name="UPDATE">'Data Sheet'!$E$1</definedName>
    <definedName name="UPDATE" localSheetId="22">#REF!</definedName>
    <definedName name="_xlnm._FilterDatabase" localSheetId="22" hidden="1">'List of Stocks'!$B$2:$E$5442</definedName>
  </definedNames>
  <calcPr calcId="191029" fullCalcOnLoad="1"/>
</workbook>
</file>

<file path=xl/styles.xml><?xml version="1.0" encoding="utf-8"?>
<styleSheet xmlns="http://schemas.openxmlformats.org/spreadsheetml/2006/main">
  <numFmts count="13">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s>
  <fonts count="32">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s>
  <fills count="18">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34">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3.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4.xml.rels><Relationships xmlns="http://schemas.openxmlformats.org/package/2006/relationships"><Relationship Type="http://schemas.openxmlformats.org/officeDocument/2006/relationships/hyperlink" Target="http://www.screener.in/" TargetMode="External" Id="rId1"/></Relationships>
</file>

<file path=xl/worksheets/_rels/sheet5.xml.rels><Relationships xmlns="http://schemas.openxmlformats.org/package/2006/relationships"><Relationship Type="http://schemas.openxmlformats.org/officeDocument/2006/relationships/hyperlink" Target="http://www.screener.in/" TargetMode="External" Id="rId1"/></Relationships>
</file>

<file path=xl/worksheets/_rels/sheet6.xml.rels><Relationships xmlns="http://schemas.openxmlformats.org/package/2006/relationships"><Relationship Type="http://schemas.openxmlformats.org/officeDocument/2006/relationships/hyperlink" Target="http://www.screener.in/excel/" TargetMode="External" Id="rId1"/></Relationships>
</file>

<file path=xl/worksheets/_rels/sheet8.xml.rels><Relationships xmlns="http://schemas.openxmlformats.org/package/2006/relationships"><Relationship Type="http://schemas.openxmlformats.org/officeDocument/2006/relationships/hyperlink" Target="https://www.screener.in/excel/" TargetMode="External" Id="rId1"/></Relationships>
</file>

<file path=xl/worksheets/_rels/sheet13.xml.rels><Relationships xmlns="http://schemas.openxmlformats.org/package/2006/relationships"><Relationship Type="http://schemas.openxmlformats.org/officeDocument/2006/relationships/drawing" Target="../drawings/drawing1.xml" Id="rId1"/></Relationships>
</file>

<file path=xl/worksheets/_rels/sheet14.xml.rels><Relationships xmlns="http://schemas.openxmlformats.org/package/2006/relationships"><Relationship Type="http://schemas.openxmlformats.org/officeDocument/2006/relationships/drawing" Target="../drawings/drawing2.xml" Id="rId1"/></Relationships>
</file>

<file path=xl/worksheets/_rels/sheet15.xml.rels><Relationships xmlns="http://schemas.openxmlformats.org/package/2006/relationships"><Relationship Type="http://schemas.openxmlformats.org/officeDocument/2006/relationships/drawing" Target="../drawings/drawing3.xml" Id="rId1"/></Relationships>
</file>

<file path=xl/worksheets/_rels/sheet16.xml.rels><Relationships xmlns="http://schemas.openxmlformats.org/package/2006/relationships"><Relationship Type="http://schemas.openxmlformats.org/officeDocument/2006/relationships/drawing" Target="../drawings/drawing4.xml" Id="rId1"/></Relationships>
</file>

<file path=xl/worksheets/_rels/sheet17.xml.rels><Relationships xmlns="http://schemas.openxmlformats.org/package/2006/relationships"><Relationship Type="http://schemas.openxmlformats.org/officeDocument/2006/relationships/drawing" Target="../drawings/drawing5.xml" Id="rId1"/></Relationships>
</file>

<file path=xl/worksheets/_rels/sheet19.xml.rels><Relationships xmlns="http://schemas.openxmlformats.org/package/2006/relationships"><Relationship Type="http://schemas.openxmlformats.org/officeDocument/2006/relationships/drawing" Target="../drawings/drawing6.xml" Id="rId1"/></Relationships>
</file>

<file path=xl/worksheets/_rels/sheet20.xml.rels><Relationships xmlns="http://schemas.openxmlformats.org/package/2006/relationships"><Relationship Type="http://schemas.openxmlformats.org/officeDocument/2006/relationships/drawing" Target="../drawings/drawing7.xml" Id="rId1"/></Relationships>
</file>

<file path=xl/worksheets/_rels/sheet21.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t="inlineStr">
        <is>
          <t>JUBILANT FOODWORKS LTD (JUBLFOOD) - Institutional Equity Valuation Model</t>
        </is>
      </c>
    </row>
    <row r="2"/>
    <row r="3"/>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row>
    <row r="5" ht="15.6" customHeight="1" s="176">
      <c r="A5" s="211">
        <f>DCF!D44</f>
        <v/>
      </c>
      <c r="B5" s="211">
        <f>DCF!D42</f>
        <v/>
      </c>
      <c r="C5" s="212">
        <f>(B5-A5)/A5</f>
        <v/>
      </c>
      <c r="D5" s="212">
        <f>(B5-A5)/B5</f>
        <v/>
      </c>
      <c r="E5" s="213">
        <f>IF(C5&gt;0.15,"UNDERVALUED / BUY",IF(C5&lt;-0.15,"OVERVALUED / SELL","FAIRLY VALUED / HOLD"))</f>
        <v/>
      </c>
      <c r="F5" s="213">
        <f>DCF!D20</f>
        <v/>
      </c>
      <c r="G5" s="214">
        <f>'Altman''s Z Score'!I89</f>
        <v/>
      </c>
      <c r="H5" s="213">
        <f>'Dupont Analysis'!I78</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(RBI 10Y G-Sec)</t>
        </is>
      </c>
    </row>
    <row r="11">
      <c r="A11" s="37" t="n"/>
      <c r="B11" s="216" t="inlineStr">
        <is>
          <t>Equity Risk Premium (ERP)</t>
        </is>
      </c>
      <c r="C11" s="217">
        <f>WACC!K27</f>
        <v/>
      </c>
      <c r="D11" s="218" t="inlineStr">
        <is>
          <t>% (Damodaran)</t>
        </is>
      </c>
    </row>
    <row r="12">
      <c r="B12" s="216" t="inlineStr">
        <is>
          <t>Levered Beta</t>
        </is>
      </c>
      <c r="C12" s="219">
        <f>WACC!K28</f>
        <v/>
      </c>
      <c r="D12" s="218" t="inlineStr">
        <is>
          <t>Regression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DCF!D40</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Net Equity Value</t>
        </is>
      </c>
      <c r="C35" s="225">
        <f>DCF!D39</f>
        <v/>
      </c>
      <c r="D35" s="218" t="inlineStr">
        <is>
          <t>₹ Cr</t>
        </is>
      </c>
    </row>
    <row r="36">
      <c r="B36" s="216" t="inlineStr">
        <is>
          <t>Shares Outstanding</t>
        </is>
      </c>
      <c r="C36" s="226">
        <f>DCF!D40</f>
        <v/>
      </c>
      <c r="D36" s="218" t="inlineStr">
        <is>
          <t>Cr shares</t>
        </is>
      </c>
    </row>
    <row r="37">
      <c r="B37" s="216" t="inlineStr">
        <is>
          <t>Intrinsic Value per Share</t>
        </is>
      </c>
      <c r="C37" s="225">
        <f>DCF!D42</f>
        <v/>
      </c>
      <c r="D37" s="218" t="inlineStr">
        <is>
          <t>₹</t>
        </is>
      </c>
    </row>
    <row r="38">
      <c r="B38" s="216" t="inlineStr">
        <is>
          <t>Current Market Price</t>
        </is>
      </c>
      <c r="C38" s="225">
        <f>DCF!D44</f>
        <v/>
      </c>
      <c r="D38" s="218" t="inlineStr">
        <is>
          <t>₹</t>
        </is>
      </c>
    </row>
    <row r="39">
      <c r="B39" s="216" t="inlineStr">
        <is>
          <t>Upside / (Downside)</t>
        </is>
      </c>
      <c r="C39" s="233">
        <f>(C37-C38)/C38</f>
        <v/>
      </c>
      <c r="D39" s="218" t="inlineStr">
        <is>
          <t>%</t>
        </is>
      </c>
    </row>
    <row r="40">
      <c r="B40" s="216" t="inlineStr">
        <is>
          <t>Margin of Safety (Standard)</t>
        </is>
      </c>
      <c r="C40" s="233">
        <f>(C37-C38)/C37</f>
        <v/>
      </c>
      <c r="D40" s="218" t="inlineStr">
        <is>
          <t>%</t>
        </is>
      </c>
    </row>
    <row r="41"/>
    <row r="42"/>
    <row r="43">
      <c r="B43" s="215" t="inlineStr">
        <is>
          <t>Pillar 4: Relative Multiples Implied Valuation &amp; Synthesis</t>
        </is>
      </c>
    </row>
    <row r="44">
      <c r="B44" s="216" t="inlineStr">
        <is>
          <t>Peer P/E Implied Price</t>
        </is>
      </c>
      <c r="C44" s="225">
        <f>IF(ISNUMBER(Comp_Valuation!Q25), Comp_Valuation!Q25*'Data Sheet'!K30/'Data Sheet'!B6, 'Data Sheet'!B8)</f>
        <v/>
      </c>
      <c r="D44" s="218" t="inlineStr">
        <is>
          <t>₹</t>
        </is>
      </c>
    </row>
    <row r="45">
      <c r="B45" s="216" t="inlineStr">
        <is>
          <t>Peer EV/EBITDA Implied Price</t>
        </is>
      </c>
      <c r="C45" s="225">
        <f>IF(ISNUMBER(Comp_Valuation!P25), (Comp_Valuation!P25*'Data Sheet'!K32+DCF!D37-DCF!D38)/'Data Sheet'!B6, 'Data Sheet'!B8)</f>
        <v/>
      </c>
      <c r="D45" s="218" t="inlineStr">
        <is>
          <t>₹</t>
        </is>
      </c>
    </row>
    <row r="46">
      <c r="B46" s="216" t="inlineStr">
        <is>
          <t>DCF Model Intrinsic Price</t>
        </is>
      </c>
      <c r="C46" s="225">
        <f>DCF!D42</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3.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4.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5.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6.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JUBILANT FOODWORKS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2</v>
      </c>
    </row>
    <row r="8">
      <c r="A8" s="193" t="inlineStr">
        <is>
          <t>Current Price</t>
        </is>
      </c>
      <c r="B8" t="n">
        <v>443</v>
      </c>
    </row>
    <row r="9">
      <c r="A9" s="193" t="inlineStr">
        <is>
          <t>Market Capitalization</t>
        </is>
      </c>
      <c r="B9" t="n">
        <v>29238</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2583</v>
      </c>
      <c r="C17" t="n">
        <v>3018</v>
      </c>
      <c r="D17" t="n">
        <v>3563</v>
      </c>
      <c r="E17" t="n">
        <v>3927</v>
      </c>
      <c r="F17" t="n">
        <v>3312</v>
      </c>
      <c r="G17" t="n">
        <v>4396</v>
      </c>
      <c r="H17" t="n">
        <v>5158</v>
      </c>
      <c r="I17" t="n">
        <v>5655</v>
      </c>
      <c r="J17" t="n">
        <v>8104</v>
      </c>
      <c r="K17" t="n">
        <v>9513</v>
      </c>
    </row>
    <row r="18" customFormat="1" s="188">
      <c r="A18" s="193" t="inlineStr">
        <is>
          <t>Raw Material Cost</t>
        </is>
      </c>
      <c r="B18" t="n">
        <v>631</v>
      </c>
      <c r="C18" t="n">
        <v>767</v>
      </c>
      <c r="D18" t="n">
        <v>885</v>
      </c>
      <c r="E18" t="n">
        <v>984</v>
      </c>
      <c r="F18" t="n">
        <v>728</v>
      </c>
      <c r="G18" t="n">
        <v>994</v>
      </c>
      <c r="H18" t="n">
        <v>1253</v>
      </c>
      <c r="I18" t="n">
        <v>1347</v>
      </c>
      <c r="J18" t="n">
        <v>2267</v>
      </c>
      <c r="K18" t="n">
        <v>2694</v>
      </c>
    </row>
    <row r="19" customFormat="1" s="188">
      <c r="A19" s="193" t="inlineStr">
        <is>
          <t>Change in Inventory</t>
        </is>
      </c>
      <c r="B19" t="n">
        <v>1</v>
      </c>
      <c r="C19" t="n">
        <v>1</v>
      </c>
      <c r="D19" t="n">
        <v>-1</v>
      </c>
      <c r="E19" t="n">
        <v>1</v>
      </c>
      <c r="F19" t="n">
        <v>1</v>
      </c>
      <c r="G19" t="n">
        <v>4</v>
      </c>
      <c r="H19" t="n">
        <v>6</v>
      </c>
      <c r="I19" t="n">
        <v>6</v>
      </c>
      <c r="J19" t="n">
        <v>9</v>
      </c>
      <c r="K19" t="n">
        <v>-17</v>
      </c>
    </row>
    <row r="20" customFormat="1" s="188">
      <c r="A20" s="193" t="inlineStr">
        <is>
          <t>Power and Fuel</t>
        </is>
      </c>
      <c r="B20" t="n">
        <v>32.03</v>
      </c>
      <c r="C20" t="n">
        <v>34.92</v>
      </c>
      <c r="D20" t="n">
        <v>40.19</v>
      </c>
      <c r="E20" t="n">
        <v>41.9</v>
      </c>
      <c r="F20" t="n">
        <v>40.94</v>
      </c>
      <c r="G20" t="n">
        <v>50.51</v>
      </c>
      <c r="H20" t="n">
        <v>63.24</v>
      </c>
      <c r="I20" t="n">
        <v>72.33</v>
      </c>
      <c r="J20" t="n">
        <v>91.90000000000001</v>
      </c>
      <c r="K20" t="n">
        <v>101.41</v>
      </c>
    </row>
    <row r="21" customFormat="1" s="188">
      <c r="A21" s="193" t="inlineStr">
        <is>
          <t>Other Mfr. Exp</t>
        </is>
      </c>
      <c r="B21" t="n">
        <v>288.26</v>
      </c>
      <c r="C21" t="n">
        <v>314.26</v>
      </c>
      <c r="D21" t="n">
        <v>361.72</v>
      </c>
      <c r="E21" t="n">
        <v>377.11</v>
      </c>
      <c r="F21" t="n">
        <v>368.42</v>
      </c>
      <c r="G21" t="n">
        <v>454.59</v>
      </c>
      <c r="H21" t="n">
        <v>569.13</v>
      </c>
      <c r="I21" t="n">
        <v>650.9400000000001</v>
      </c>
      <c r="J21" t="n">
        <v>827.09</v>
      </c>
      <c r="K21" t="n">
        <v>912.6799999999999</v>
      </c>
    </row>
    <row r="22" customFormat="1" s="188">
      <c r="A22" s="193" t="inlineStr">
        <is>
          <t>Employee Cost</t>
        </is>
      </c>
      <c r="B22" t="n">
        <v>595.64</v>
      </c>
      <c r="C22" t="n">
        <v>615.0700000000001</v>
      </c>
      <c r="D22" t="n">
        <v>683.38</v>
      </c>
      <c r="E22" t="n">
        <v>797.97</v>
      </c>
      <c r="F22" t="n">
        <v>748.51</v>
      </c>
      <c r="G22" t="n">
        <v>770.1799999999999</v>
      </c>
      <c r="H22" t="n">
        <v>908.3200000000001</v>
      </c>
      <c r="I22" t="n">
        <v>1060.88</v>
      </c>
      <c r="J22" t="n">
        <v>1396.32</v>
      </c>
      <c r="K22" t="n">
        <v>1625.77</v>
      </c>
    </row>
    <row r="23" customFormat="1" s="188">
      <c r="A23" s="193" t="inlineStr">
        <is>
          <t>Selling and admin</t>
        </is>
      </c>
      <c r="B23" t="n">
        <v>633.5599999999999</v>
      </c>
      <c r="C23" t="n">
        <v>676.76</v>
      </c>
      <c r="D23" t="n">
        <v>790.99</v>
      </c>
      <c r="E23" t="n">
        <v>675.4400000000001</v>
      </c>
      <c r="F23" t="n">
        <v>518</v>
      </c>
      <c r="G23" t="n">
        <v>819.41</v>
      </c>
      <c r="H23" t="n">
        <v>987.03</v>
      </c>
      <c r="I23" t="n">
        <v>1096.17</v>
      </c>
      <c r="J23" t="n">
        <v>1550.13</v>
      </c>
      <c r="K23" t="n">
        <v>1808.23</v>
      </c>
    </row>
    <row r="24" customFormat="1" s="188">
      <c r="A24" s="193" t="inlineStr">
        <is>
          <t>Other Expenses</t>
        </is>
      </c>
      <c r="B24" t="n">
        <v>158.39</v>
      </c>
      <c r="C24" t="n">
        <v>166.99</v>
      </c>
      <c r="D24" t="n">
        <v>200.72</v>
      </c>
      <c r="E24" t="n">
        <v>167.58</v>
      </c>
      <c r="F24" t="n">
        <v>127.13</v>
      </c>
      <c r="G24" t="n">
        <v>197.31</v>
      </c>
      <c r="H24" t="n">
        <v>235.28</v>
      </c>
      <c r="I24" t="n">
        <v>262.68</v>
      </c>
      <c r="J24" t="n">
        <v>369.56</v>
      </c>
      <c r="K24" t="n">
        <v>484.91</v>
      </c>
    </row>
    <row r="25" customFormat="1" s="188">
      <c r="A25" s="188" t="inlineStr">
        <is>
          <t>Other Income</t>
        </is>
      </c>
      <c r="B25" t="n">
        <v>-1</v>
      </c>
      <c r="C25" t="n">
        <v>21</v>
      </c>
      <c r="D25" t="n">
        <v>44</v>
      </c>
      <c r="E25" t="n">
        <v>38</v>
      </c>
      <c r="F25" t="n">
        <v>64</v>
      </c>
      <c r="G25" t="n">
        <v>26</v>
      </c>
      <c r="H25" t="n">
        <v>40</v>
      </c>
      <c r="I25" t="n">
        <v>211</v>
      </c>
      <c r="J25" t="n">
        <v>22</v>
      </c>
      <c r="K25" t="n">
        <v>91</v>
      </c>
    </row>
    <row r="26" customFormat="1" s="188">
      <c r="A26" s="188" t="inlineStr">
        <is>
          <t>Depreciation</t>
        </is>
      </c>
      <c r="B26" t="n">
        <v>155</v>
      </c>
      <c r="C26" t="n">
        <v>160</v>
      </c>
      <c r="D26" t="n">
        <v>157</v>
      </c>
      <c r="E26" t="n">
        <v>352</v>
      </c>
      <c r="F26" t="n">
        <v>375</v>
      </c>
      <c r="G26" t="n">
        <v>393</v>
      </c>
      <c r="H26" t="n">
        <v>486</v>
      </c>
      <c r="I26" t="n">
        <v>598</v>
      </c>
      <c r="J26" t="n">
        <v>795</v>
      </c>
      <c r="K26" t="n">
        <v>959</v>
      </c>
    </row>
    <row r="27" customFormat="1" s="188">
      <c r="A27" s="188" t="inlineStr">
        <is>
          <t>Interest</t>
        </is>
      </c>
      <c r="B27" t="n">
        <v>0</v>
      </c>
      <c r="C27" t="n">
        <v>0</v>
      </c>
      <c r="D27" t="n">
        <v>0</v>
      </c>
      <c r="E27" t="n">
        <v>165</v>
      </c>
      <c r="F27" t="n">
        <v>163</v>
      </c>
      <c r="G27" t="n">
        <v>176</v>
      </c>
      <c r="H27" t="n">
        <v>201</v>
      </c>
      <c r="I27" t="n">
        <v>288</v>
      </c>
      <c r="J27" t="n">
        <v>520</v>
      </c>
      <c r="K27" t="n">
        <v>436</v>
      </c>
    </row>
    <row r="28" customFormat="1" s="188">
      <c r="A28" s="188" t="inlineStr">
        <is>
          <t>Profit before tax</t>
        </is>
      </c>
      <c r="B28" t="n">
        <v>88</v>
      </c>
      <c r="C28" t="n">
        <v>303</v>
      </c>
      <c r="D28" t="n">
        <v>490</v>
      </c>
      <c r="E28" t="n">
        <v>403</v>
      </c>
      <c r="F28" t="n">
        <v>306</v>
      </c>
      <c r="G28" t="n">
        <v>563</v>
      </c>
      <c r="H28" t="n">
        <v>489</v>
      </c>
      <c r="I28" t="n">
        <v>485</v>
      </c>
      <c r="J28" t="n">
        <v>301</v>
      </c>
      <c r="K28" t="n">
        <v>599</v>
      </c>
    </row>
    <row r="29" customFormat="1" s="188">
      <c r="A29" s="188" t="inlineStr">
        <is>
          <t>Tax</t>
        </is>
      </c>
      <c r="B29" t="n">
        <v>30</v>
      </c>
      <c r="C29" t="n">
        <v>107</v>
      </c>
      <c r="D29" t="n">
        <v>172</v>
      </c>
      <c r="E29" t="n">
        <v>124</v>
      </c>
      <c r="F29" t="n">
        <v>75</v>
      </c>
      <c r="G29" t="n">
        <v>145</v>
      </c>
      <c r="H29" t="n">
        <v>136</v>
      </c>
      <c r="I29" t="n">
        <v>85</v>
      </c>
      <c r="J29" t="n">
        <v>84</v>
      </c>
      <c r="K29" t="n">
        <v>155</v>
      </c>
    </row>
    <row r="30" customFormat="1" s="188">
      <c r="A30" s="188" t="inlineStr">
        <is>
          <t>Net profit</t>
        </is>
      </c>
      <c r="B30" t="n">
        <v>58</v>
      </c>
      <c r="C30" t="n">
        <v>196</v>
      </c>
      <c r="D30" t="n">
        <v>318</v>
      </c>
      <c r="E30" t="n">
        <v>279</v>
      </c>
      <c r="F30" t="n">
        <v>231</v>
      </c>
      <c r="G30" t="n">
        <v>418</v>
      </c>
      <c r="H30" t="n">
        <v>353</v>
      </c>
      <c r="I30" t="n">
        <v>400</v>
      </c>
      <c r="J30" t="n">
        <v>217</v>
      </c>
      <c r="K30" t="n">
        <v>444</v>
      </c>
    </row>
    <row r="31" customFormat="1" s="188">
      <c r="A31" s="188" t="inlineStr">
        <is>
          <t>Dividend Amount</t>
        </is>
      </c>
      <c r="B31" t="n">
        <v>16.82</v>
      </c>
      <c r="C31" t="n">
        <v>33.32</v>
      </c>
      <c r="D31" t="n">
        <v>66.78</v>
      </c>
      <c r="E31" t="n">
        <v>78.12</v>
      </c>
      <c r="F31" t="n">
        <v>78.54000000000001</v>
      </c>
      <c r="G31" t="n">
        <v>79.42</v>
      </c>
      <c r="H31" t="n">
        <v>77.66</v>
      </c>
      <c r="I31" t="n">
        <v>80</v>
      </c>
      <c r="J31" t="n">
        <v>82.45999999999999</v>
      </c>
      <c r="K31" t="n">
        <v>79.92</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1574</v>
      </c>
      <c r="C42" t="n">
        <v>1933</v>
      </c>
      <c r="D42" t="n">
        <v>1955</v>
      </c>
      <c r="E42" t="n">
        <v>2151</v>
      </c>
      <c r="F42" t="n">
        <v>2095</v>
      </c>
      <c r="G42" t="n">
        <v>2261</v>
      </c>
      <c r="H42" t="n">
        <v>2340</v>
      </c>
      <c r="I42" t="n">
        <v>2429</v>
      </c>
      <c r="J42" t="n">
        <v>2499</v>
      </c>
      <c r="K42" t="n">
        <v>2570</v>
      </c>
    </row>
    <row r="43" customFormat="1" s="188">
      <c r="A43" s="188" t="inlineStr">
        <is>
          <t>Expenses</t>
        </is>
      </c>
      <c r="B43" t="n">
        <v>1262</v>
      </c>
      <c r="C43" t="n">
        <v>1553</v>
      </c>
      <c r="D43" t="n">
        <v>1558</v>
      </c>
      <c r="E43" t="n">
        <v>1749</v>
      </c>
      <c r="F43" t="n">
        <v>1703</v>
      </c>
      <c r="G43" t="n">
        <v>1823</v>
      </c>
      <c r="H43" t="n">
        <v>1864</v>
      </c>
      <c r="I43" t="n">
        <v>1945</v>
      </c>
      <c r="J43" t="n">
        <v>2015</v>
      </c>
      <c r="K43" t="n">
        <v>2066</v>
      </c>
    </row>
    <row r="44" customFormat="1" s="188">
      <c r="A44" s="188" t="inlineStr">
        <is>
          <t>Other Income</t>
        </is>
      </c>
      <c r="B44" t="n">
        <v>196</v>
      </c>
      <c r="C44" t="n">
        <v>14</v>
      </c>
      <c r="D44" t="n">
        <v>25</v>
      </c>
      <c r="E44" t="n">
        <v>6</v>
      </c>
      <c r="F44" t="n">
        <v>5</v>
      </c>
      <c r="G44" t="n">
        <v>19</v>
      </c>
      <c r="H44" t="n">
        <v>102</v>
      </c>
      <c r="I44" t="n">
        <v>-18</v>
      </c>
      <c r="J44" t="n">
        <v>13</v>
      </c>
      <c r="K44" t="n">
        <v>20</v>
      </c>
    </row>
    <row r="45" customFormat="1" s="188">
      <c r="A45" s="188" t="inlineStr">
        <is>
          <t>Depreciation</t>
        </is>
      </c>
      <c r="B45" t="n">
        <v>169</v>
      </c>
      <c r="C45" t="n">
        <v>184</v>
      </c>
      <c r="D45" t="n">
        <v>201</v>
      </c>
      <c r="E45" t="n">
        <v>208</v>
      </c>
      <c r="F45" t="n">
        <v>210</v>
      </c>
      <c r="G45" t="n">
        <v>220</v>
      </c>
      <c r="H45" t="n">
        <v>230</v>
      </c>
      <c r="I45" t="n">
        <v>247</v>
      </c>
      <c r="J45" t="n">
        <v>269</v>
      </c>
      <c r="K45" t="n">
        <v>255</v>
      </c>
    </row>
    <row r="46" customFormat="1" s="188">
      <c r="A46" s="188" t="inlineStr">
        <is>
          <t>Interest</t>
        </is>
      </c>
      <c r="B46" t="n">
        <v>114</v>
      </c>
      <c r="C46" t="n">
        <v>134</v>
      </c>
      <c r="D46" t="n">
        <v>138</v>
      </c>
      <c r="E46" t="n">
        <v>133</v>
      </c>
      <c r="F46" t="n">
        <v>116</v>
      </c>
      <c r="G46" t="n">
        <v>111</v>
      </c>
      <c r="H46" t="n">
        <v>106</v>
      </c>
      <c r="I46" t="n">
        <v>103</v>
      </c>
      <c r="J46" t="n">
        <v>117</v>
      </c>
      <c r="K46" t="n">
        <v>120</v>
      </c>
    </row>
    <row r="47" customFormat="1" s="188">
      <c r="A47" s="188" t="inlineStr">
        <is>
          <t>Profit before tax</t>
        </is>
      </c>
      <c r="B47" t="n">
        <v>224</v>
      </c>
      <c r="C47" t="n">
        <v>77</v>
      </c>
      <c r="D47" t="n">
        <v>82</v>
      </c>
      <c r="E47" t="n">
        <v>67</v>
      </c>
      <c r="F47" t="n">
        <v>71</v>
      </c>
      <c r="G47" t="n">
        <v>126</v>
      </c>
      <c r="H47" t="n">
        <v>242</v>
      </c>
      <c r="I47" t="n">
        <v>116</v>
      </c>
      <c r="J47" t="n">
        <v>111</v>
      </c>
      <c r="K47" t="n">
        <v>148</v>
      </c>
    </row>
    <row r="48" customFormat="1" s="188">
      <c r="A48" s="188" t="inlineStr">
        <is>
          <t>Tax</t>
        </is>
      </c>
      <c r="B48" t="n">
        <v>16</v>
      </c>
      <c r="C48" t="n">
        <v>19</v>
      </c>
      <c r="D48" t="n">
        <v>15</v>
      </c>
      <c r="E48" t="n">
        <v>24</v>
      </c>
      <c r="F48" t="n">
        <v>22</v>
      </c>
      <c r="G48" t="n">
        <v>32</v>
      </c>
      <c r="H48" t="n">
        <v>47</v>
      </c>
      <c r="I48" t="n">
        <v>43</v>
      </c>
      <c r="J48" t="n">
        <v>29</v>
      </c>
      <c r="K48" t="n">
        <v>48</v>
      </c>
    </row>
    <row r="49" customFormat="1" s="188">
      <c r="A49" s="188" t="inlineStr">
        <is>
          <t>Net profit</t>
        </is>
      </c>
      <c r="B49" t="n">
        <v>208</v>
      </c>
      <c r="C49" t="n">
        <v>58</v>
      </c>
      <c r="D49" t="n">
        <v>67</v>
      </c>
      <c r="E49" t="n">
        <v>43</v>
      </c>
      <c r="F49" t="n">
        <v>49</v>
      </c>
      <c r="G49" t="n">
        <v>94</v>
      </c>
      <c r="H49" t="n">
        <v>195</v>
      </c>
      <c r="I49" t="n">
        <v>73</v>
      </c>
      <c r="J49" t="n">
        <v>82</v>
      </c>
      <c r="K49" t="n">
        <v>100</v>
      </c>
    </row>
    <row r="50">
      <c r="A50" s="188" t="inlineStr">
        <is>
          <t>Operating Profit</t>
        </is>
      </c>
      <c r="B50" t="n">
        <v>311</v>
      </c>
      <c r="C50" t="n">
        <v>380</v>
      </c>
      <c r="D50" t="n">
        <v>396</v>
      </c>
      <c r="E50" t="n">
        <v>402</v>
      </c>
      <c r="F50" t="n">
        <v>392</v>
      </c>
      <c r="G50" t="n">
        <v>438</v>
      </c>
      <c r="H50" t="n">
        <v>476</v>
      </c>
      <c r="I50" t="n">
        <v>484</v>
      </c>
      <c r="J50" t="n">
        <v>485</v>
      </c>
      <c r="K50" t="n">
        <v>504</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66</v>
      </c>
      <c r="C57" t="n">
        <v>66</v>
      </c>
      <c r="D57" t="n">
        <v>132</v>
      </c>
      <c r="E57" t="n">
        <v>132</v>
      </c>
      <c r="F57" t="n">
        <v>132</v>
      </c>
      <c r="G57" t="n">
        <v>132</v>
      </c>
      <c r="H57" t="n">
        <v>132</v>
      </c>
      <c r="I57" t="n">
        <v>132</v>
      </c>
      <c r="J57" t="n">
        <v>132</v>
      </c>
      <c r="K57" t="n">
        <v>132</v>
      </c>
    </row>
    <row r="58">
      <c r="A58" s="188" t="inlineStr">
        <is>
          <t>Reserves</t>
        </is>
      </c>
      <c r="B58" t="n">
        <v>739</v>
      </c>
      <c r="C58" t="n">
        <v>902</v>
      </c>
      <c r="D58" t="n">
        <v>1128</v>
      </c>
      <c r="E58" t="n">
        <v>990</v>
      </c>
      <c r="F58" t="n">
        <v>1295</v>
      </c>
      <c r="G58" t="n">
        <v>1813</v>
      </c>
      <c r="H58" t="n">
        <v>1906</v>
      </c>
      <c r="I58" t="n">
        <v>2039</v>
      </c>
      <c r="J58" t="n">
        <v>1971</v>
      </c>
      <c r="K58" t="n">
        <v>2160</v>
      </c>
    </row>
    <row r="59">
      <c r="A59" s="188" t="inlineStr">
        <is>
          <t>Borrowings</t>
        </is>
      </c>
      <c r="B59" t="n">
        <v>0</v>
      </c>
      <c r="C59" t="n">
        <v>0</v>
      </c>
      <c r="D59" t="n">
        <v>0</v>
      </c>
      <c r="E59" t="n">
        <v>1670</v>
      </c>
      <c r="F59" t="n">
        <v>1620</v>
      </c>
      <c r="G59" t="n">
        <v>2106</v>
      </c>
      <c r="H59" t="n">
        <v>2554</v>
      </c>
      <c r="I59" t="n">
        <v>4207</v>
      </c>
      <c r="J59" t="n">
        <v>4372</v>
      </c>
      <c r="K59" t="n">
        <v>4902</v>
      </c>
    </row>
    <row r="60">
      <c r="A60" s="188" t="inlineStr">
        <is>
          <t>Other Liabilities</t>
        </is>
      </c>
      <c r="B60" t="n">
        <v>485</v>
      </c>
      <c r="C60" t="n">
        <v>529</v>
      </c>
      <c r="D60" t="n">
        <v>596</v>
      </c>
      <c r="E60" t="n">
        <v>578</v>
      </c>
      <c r="F60" t="n">
        <v>720</v>
      </c>
      <c r="G60" t="n">
        <v>731</v>
      </c>
      <c r="H60" t="n">
        <v>791</v>
      </c>
      <c r="I60" t="n">
        <v>1660</v>
      </c>
      <c r="J60" t="n">
        <v>1929</v>
      </c>
      <c r="K60" t="n">
        <v>2172</v>
      </c>
    </row>
    <row r="61" customFormat="1" s="187">
      <c r="A61" s="187" t="inlineStr">
        <is>
          <t>Total</t>
        </is>
      </c>
      <c r="B61" t="n">
        <v>1291</v>
      </c>
      <c r="C61" t="n">
        <v>1497</v>
      </c>
      <c r="D61" t="n">
        <v>1856</v>
      </c>
      <c r="E61" t="n">
        <v>3370</v>
      </c>
      <c r="F61" t="n">
        <v>3767</v>
      </c>
      <c r="G61" t="n">
        <v>4782</v>
      </c>
      <c r="H61" t="n">
        <v>5382</v>
      </c>
      <c r="I61" t="n">
        <v>8038</v>
      </c>
      <c r="J61" t="n">
        <v>8404</v>
      </c>
      <c r="K61" t="n">
        <v>9367</v>
      </c>
    </row>
    <row r="62">
      <c r="A62" s="188" t="inlineStr">
        <is>
          <t>Net Block</t>
        </is>
      </c>
      <c r="B62" t="n">
        <v>800</v>
      </c>
      <c r="C62" t="n">
        <v>789</v>
      </c>
      <c r="D62" t="n">
        <v>809</v>
      </c>
      <c r="E62" t="n">
        <v>2189</v>
      </c>
      <c r="F62" t="n">
        <v>2146</v>
      </c>
      <c r="G62" t="n">
        <v>2737</v>
      </c>
      <c r="H62" t="n">
        <v>3488</v>
      </c>
      <c r="I62" t="n">
        <v>6184</v>
      </c>
      <c r="J62" t="n">
        <v>6434</v>
      </c>
      <c r="K62" t="n">
        <v>7353</v>
      </c>
    </row>
    <row r="63">
      <c r="A63" s="188" t="inlineStr">
        <is>
          <t>Capital Work in Progress</t>
        </is>
      </c>
      <c r="B63" t="n">
        <v>61</v>
      </c>
      <c r="C63" t="n">
        <v>14</v>
      </c>
      <c r="D63" t="n">
        <v>16</v>
      </c>
      <c r="E63" t="n">
        <v>41</v>
      </c>
      <c r="F63" t="n">
        <v>29</v>
      </c>
      <c r="G63" t="n">
        <v>47</v>
      </c>
      <c r="H63" t="n">
        <v>184</v>
      </c>
      <c r="I63" t="n">
        <v>118</v>
      </c>
      <c r="J63" t="n">
        <v>255</v>
      </c>
      <c r="K63" t="n">
        <v>160</v>
      </c>
    </row>
    <row r="64">
      <c r="A64" s="188" t="inlineStr">
        <is>
          <t>Investments</t>
        </is>
      </c>
      <c r="B64" t="n">
        <v>94</v>
      </c>
      <c r="C64" t="n">
        <v>263</v>
      </c>
      <c r="D64" t="n">
        <v>181</v>
      </c>
      <c r="E64" t="n">
        <v>51</v>
      </c>
      <c r="F64" t="n">
        <v>517</v>
      </c>
      <c r="G64" t="n">
        <v>927</v>
      </c>
      <c r="H64" t="n">
        <v>822</v>
      </c>
      <c r="I64" t="n">
        <v>308</v>
      </c>
      <c r="J64" t="n">
        <v>176</v>
      </c>
      <c r="K64" t="n">
        <v>199</v>
      </c>
    </row>
    <row r="65">
      <c r="A65" s="188" t="inlineStr">
        <is>
          <t>Other Assets</t>
        </is>
      </c>
      <c r="B65" t="n">
        <v>336</v>
      </c>
      <c r="C65" t="n">
        <v>430</v>
      </c>
      <c r="D65" t="n">
        <v>850</v>
      </c>
      <c r="E65" t="n">
        <v>1089</v>
      </c>
      <c r="F65" t="n">
        <v>1076</v>
      </c>
      <c r="G65" t="n">
        <v>1072</v>
      </c>
      <c r="H65" t="n">
        <v>888</v>
      </c>
      <c r="I65" t="n">
        <v>1428</v>
      </c>
      <c r="J65" t="n">
        <v>1538</v>
      </c>
      <c r="K65" t="n">
        <v>1654</v>
      </c>
    </row>
    <row r="66" customFormat="1" s="187">
      <c r="A66" s="187" t="inlineStr">
        <is>
          <t>Total</t>
        </is>
      </c>
      <c r="B66" t="n">
        <v>1291</v>
      </c>
      <c r="C66" t="n">
        <v>1497</v>
      </c>
      <c r="D66" t="n">
        <v>1856</v>
      </c>
      <c r="E66" t="n">
        <v>3370</v>
      </c>
      <c r="F66" t="n">
        <v>3767</v>
      </c>
      <c r="G66" t="n">
        <v>4782</v>
      </c>
      <c r="H66" t="n">
        <v>5382</v>
      </c>
      <c r="I66" t="n">
        <v>8038</v>
      </c>
      <c r="J66" t="n">
        <v>8404</v>
      </c>
      <c r="K66" t="n">
        <v>9367</v>
      </c>
    </row>
    <row r="67" customFormat="1" s="188">
      <c r="A67" s="188" t="inlineStr">
        <is>
          <t>Receivables</t>
        </is>
      </c>
      <c r="B67" t="n">
        <v>16</v>
      </c>
      <c r="C67" t="n">
        <v>16</v>
      </c>
      <c r="D67" t="n">
        <v>27</v>
      </c>
      <c r="E67" t="n">
        <v>17</v>
      </c>
      <c r="F67" t="n">
        <v>17</v>
      </c>
      <c r="G67" t="n">
        <v>22</v>
      </c>
      <c r="H67" t="n">
        <v>29</v>
      </c>
      <c r="I67" t="n">
        <v>265</v>
      </c>
      <c r="J67" t="n">
        <v>330</v>
      </c>
      <c r="K67" t="n">
        <v>375</v>
      </c>
    </row>
    <row r="68">
      <c r="A68" s="188" t="inlineStr">
        <is>
          <t>Inventory</t>
        </is>
      </c>
      <c r="B68" t="n">
        <v>61</v>
      </c>
      <c r="C68" t="n">
        <v>64</v>
      </c>
      <c r="D68" t="n">
        <v>77</v>
      </c>
      <c r="E68" t="n">
        <v>95</v>
      </c>
      <c r="F68" t="n">
        <v>133</v>
      </c>
      <c r="G68" t="n">
        <v>161</v>
      </c>
      <c r="H68" t="n">
        <v>177</v>
      </c>
      <c r="I68" t="n">
        <v>410</v>
      </c>
      <c r="J68" t="n">
        <v>406</v>
      </c>
      <c r="K68" t="n">
        <v>309</v>
      </c>
    </row>
    <row r="69">
      <c r="A69" s="193" t="inlineStr">
        <is>
          <t>Cash &amp; Bank</t>
        </is>
      </c>
      <c r="B69" t="n">
        <v>35</v>
      </c>
      <c r="C69" t="n">
        <v>129</v>
      </c>
      <c r="D69" t="n">
        <v>494</v>
      </c>
      <c r="E69" t="n">
        <v>656</v>
      </c>
      <c r="F69" t="n">
        <v>539</v>
      </c>
      <c r="G69" t="n">
        <v>563</v>
      </c>
      <c r="H69" t="n">
        <v>257</v>
      </c>
      <c r="I69" t="n">
        <v>157</v>
      </c>
      <c r="J69" t="n">
        <v>154</v>
      </c>
      <c r="K69" t="n">
        <v>235</v>
      </c>
    </row>
    <row r="70">
      <c r="A70" s="193" t="inlineStr">
        <is>
          <t>No. of Equity Shares</t>
        </is>
      </c>
      <c r="B70" t="n">
        <v>330000000</v>
      </c>
      <c r="C70" t="n">
        <v>330000000</v>
      </c>
      <c r="D70" t="n">
        <v>660000000</v>
      </c>
      <c r="E70" t="n">
        <v>660000000</v>
      </c>
      <c r="F70" t="n">
        <v>660000000</v>
      </c>
      <c r="G70" t="n">
        <v>660000000</v>
      </c>
      <c r="H70" t="n">
        <v>660000000</v>
      </c>
      <c r="I70" t="n">
        <v>660000000</v>
      </c>
      <c r="J70" t="n">
        <v>660000000</v>
      </c>
      <c r="K70" t="n">
        <v>660000000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2</v>
      </c>
      <c r="C72" t="n">
        <v>2</v>
      </c>
      <c r="D72" t="n">
        <v>2</v>
      </c>
      <c r="E72" t="n">
        <v>2</v>
      </c>
      <c r="F72" t="n">
        <v>2</v>
      </c>
      <c r="G72" t="n">
        <v>2</v>
      </c>
      <c r="H72" t="n">
        <v>2</v>
      </c>
      <c r="I72" t="n">
        <v>2</v>
      </c>
      <c r="J72" t="n">
        <v>2</v>
      </c>
      <c r="K72" t="n">
        <v>2</v>
      </c>
    </row>
    <row r="73">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204</v>
      </c>
      <c r="C82" t="n">
        <v>409</v>
      </c>
      <c r="D82" t="n">
        <v>424</v>
      </c>
      <c r="E82" t="n">
        <v>728</v>
      </c>
      <c r="F82" t="n">
        <v>751</v>
      </c>
      <c r="G82" t="n">
        <v>930</v>
      </c>
      <c r="H82" t="n">
        <v>1026</v>
      </c>
      <c r="I82" t="n">
        <v>1010</v>
      </c>
      <c r="J82" t="n">
        <v>1658</v>
      </c>
      <c r="K82" t="n">
        <v>1894</v>
      </c>
    </row>
    <row r="83" customFormat="1" s="188">
      <c r="A83" s="188" t="inlineStr">
        <is>
          <t>Cash from Investing Activity</t>
        </is>
      </c>
      <c r="B83" t="n">
        <v>-188</v>
      </c>
      <c r="C83" t="n">
        <v>-332</v>
      </c>
      <c r="D83" t="n">
        <v>-457</v>
      </c>
      <c r="E83" t="n">
        <v>-99</v>
      </c>
      <c r="F83" t="n">
        <v>-602</v>
      </c>
      <c r="G83" t="n">
        <v>-654</v>
      </c>
      <c r="H83" t="n">
        <v>-595</v>
      </c>
      <c r="I83" t="n">
        <v>-1285</v>
      </c>
      <c r="J83" t="n">
        <v>-850</v>
      </c>
      <c r="K83" t="n">
        <v>-1084</v>
      </c>
    </row>
    <row r="84" customFormat="1" s="188">
      <c r="A84" s="188" t="inlineStr">
        <is>
          <t>Cash from Financing Activity</t>
        </is>
      </c>
      <c r="B84" t="n">
        <v>-15</v>
      </c>
      <c r="C84" t="n">
        <v>-35</v>
      </c>
      <c r="D84" t="n">
        <v>-17</v>
      </c>
      <c r="E84" t="n">
        <v>-461</v>
      </c>
      <c r="F84" t="n">
        <v>-289</v>
      </c>
      <c r="G84" t="n">
        <v>-307</v>
      </c>
      <c r="H84" t="n">
        <v>-426</v>
      </c>
      <c r="I84" t="n">
        <v>377</v>
      </c>
      <c r="J84" t="n">
        <v>-839</v>
      </c>
      <c r="K84" t="n">
        <v>-780</v>
      </c>
    </row>
    <row r="85" customFormat="1" s="187">
      <c r="A85" s="188" t="inlineStr">
        <is>
          <t>Net Cash Flow</t>
        </is>
      </c>
      <c r="B85" t="n">
        <v>0</v>
      </c>
      <c r="C85" t="n">
        <v>42</v>
      </c>
      <c r="D85" t="n">
        <v>-51</v>
      </c>
      <c r="E85" t="n">
        <v>168</v>
      </c>
      <c r="F85" t="n">
        <v>-140</v>
      </c>
      <c r="G85" t="n">
        <v>-31</v>
      </c>
      <c r="H85" t="n">
        <v>5</v>
      </c>
      <c r="I85" t="n">
        <v>102</v>
      </c>
      <c r="J85" t="n">
        <v>-32</v>
      </c>
      <c r="K85" t="n">
        <v>29</v>
      </c>
    </row>
    <row r="86">
      <c r="A86" s="188" t="n"/>
    </row>
    <row r="87">
      <c r="A87" s="188" t="n"/>
    </row>
    <row r="88">
      <c r="A88" s="188" t="n"/>
    </row>
    <row r="89">
      <c r="A89" s="188" t="n"/>
    </row>
    <row r="90" customFormat="1" s="187">
      <c r="A90" s="187" t="inlineStr">
        <is>
          <t>PRICE:</t>
        </is>
      </c>
      <c r="B90" t="n">
        <v>105.61</v>
      </c>
      <c r="C90" t="n">
        <v>200.59</v>
      </c>
      <c r="D90" t="n">
        <v>255.35</v>
      </c>
      <c r="E90" t="n">
        <v>351.37</v>
      </c>
      <c r="F90" t="n">
        <v>598.98</v>
      </c>
      <c r="G90" t="n">
        <v>525.6</v>
      </c>
      <c r="H90" t="n">
        <v>441.35</v>
      </c>
      <c r="I90" t="n">
        <v>468.4</v>
      </c>
      <c r="J90" t="n">
        <v>626.1</v>
      </c>
      <c r="K90" t="n">
        <v>443</v>
      </c>
    </row>
    <row r="92" customFormat="1" s="187">
      <c r="A92" s="187" t="inlineStr">
        <is>
          <t>DERIVED:</t>
        </is>
      </c>
    </row>
    <row r="93">
      <c r="A93" s="193" t="inlineStr">
        <is>
          <t>Adjusted Equity Shares in Cr</t>
        </is>
      </c>
      <c r="B93" s="198" t="n">
        <v>66</v>
      </c>
      <c r="C93" s="198" t="n">
        <v>66</v>
      </c>
      <c r="D93" s="198" t="n">
        <v>66</v>
      </c>
      <c r="E93" s="198" t="n">
        <v>66</v>
      </c>
      <c r="F93" s="198" t="n">
        <v>66</v>
      </c>
      <c r="G93" s="198" t="n">
        <v>66</v>
      </c>
      <c r="H93" s="198" t="n">
        <v>66</v>
      </c>
      <c r="I93" s="198" t="n">
        <v>66</v>
      </c>
      <c r="J93" s="198" t="n">
        <v>66</v>
      </c>
      <c r="K93" s="198" t="n">
        <v>66</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JUBILANT FOODWORKS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276</v>
      </c>
      <c r="D6" s="73" t="n">
        <v>212</v>
      </c>
      <c r="E6" s="73" t="n">
        <v>204</v>
      </c>
      <c r="F6" s="73" t="n">
        <v>409</v>
      </c>
      <c r="G6" s="73" t="n">
        <v>424</v>
      </c>
      <c r="H6" s="73" t="n">
        <v>728</v>
      </c>
      <c r="I6" s="73" t="n">
        <v>751</v>
      </c>
      <c r="J6" s="73" t="n">
        <v>930</v>
      </c>
      <c r="K6" s="73" t="n">
        <v>1026</v>
      </c>
      <c r="L6" s="73" t="n">
        <v>1010</v>
      </c>
      <c r="M6" s="73" t="n">
        <v>1658</v>
      </c>
      <c r="N6" s="73" t="n">
        <v>1894</v>
      </c>
    </row>
    <row r="7">
      <c r="B7" t="inlineStr">
        <is>
          <t>Profit from operations</t>
        </is>
      </c>
      <c r="C7" s="73" t="n">
        <v>262</v>
      </c>
      <c r="D7" s="73" t="n">
        <v>281</v>
      </c>
      <c r="E7" s="73" t="n">
        <v>234</v>
      </c>
      <c r="F7" s="73" t="n">
        <v>444</v>
      </c>
      <c r="G7" s="73" t="n">
        <v>605</v>
      </c>
      <c r="H7" s="73" t="n">
        <v>876</v>
      </c>
      <c r="I7" s="73" t="n">
        <v>787</v>
      </c>
      <c r="J7" s="73" t="n">
        <v>1112</v>
      </c>
      <c r="K7" s="73" t="n">
        <v>1161</v>
      </c>
      <c r="L7" s="73" t="n">
        <v>1195</v>
      </c>
      <c r="M7" s="73" t="n">
        <v>1610</v>
      </c>
      <c r="N7" s="73" t="n">
        <v>1921</v>
      </c>
    </row>
    <row r="8">
      <c r="B8" t="inlineStr">
        <is>
          <t>Receivables</t>
        </is>
      </c>
      <c r="C8" t="n">
        <v>-3</v>
      </c>
      <c r="D8" t="n">
        <v>-1</v>
      </c>
      <c r="E8" t="n">
        <v>-4</v>
      </c>
      <c r="F8" t="n">
        <v>0</v>
      </c>
      <c r="G8" t="n">
        <v>-13</v>
      </c>
      <c r="H8" s="73" t="n">
        <v>11</v>
      </c>
      <c r="I8" t="n">
        <v>-2</v>
      </c>
      <c r="J8" t="n">
        <v>-6</v>
      </c>
      <c r="K8" t="n">
        <v>-7</v>
      </c>
      <c r="L8" t="n">
        <v>-62</v>
      </c>
      <c r="M8" s="73" t="n">
        <v>-65</v>
      </c>
      <c r="N8" t="n">
        <v>-38</v>
      </c>
    </row>
    <row r="9">
      <c r="B9" t="inlineStr">
        <is>
          <t>Inventory</t>
        </is>
      </c>
      <c r="C9" t="n">
        <v>-10</v>
      </c>
      <c r="D9" t="n">
        <v>-12</v>
      </c>
      <c r="E9" t="n">
        <v>-6</v>
      </c>
      <c r="F9" t="n">
        <v>-3</v>
      </c>
      <c r="G9" t="n">
        <v>-13</v>
      </c>
      <c r="H9" t="n">
        <v>-18</v>
      </c>
      <c r="I9" s="73" t="n">
        <v>-38</v>
      </c>
      <c r="J9" t="n">
        <v>-27</v>
      </c>
      <c r="K9" s="73" t="n">
        <v>-16</v>
      </c>
      <c r="L9" s="73" t="n">
        <v>-114</v>
      </c>
      <c r="M9" s="73" t="n">
        <v>4</v>
      </c>
      <c r="N9" s="73" t="n">
        <v>91</v>
      </c>
    </row>
    <row r="10">
      <c r="B10" t="inlineStr">
        <is>
          <t>Payables</t>
        </is>
      </c>
      <c r="C10" t="n">
        <v>0</v>
      </c>
      <c r="D10" t="n">
        <v>0</v>
      </c>
      <c r="E10" t="n">
        <v>18</v>
      </c>
      <c r="F10" s="73" t="n">
        <v>80</v>
      </c>
      <c r="G10" t="n">
        <v>32</v>
      </c>
      <c r="H10" t="n">
        <v>18</v>
      </c>
      <c r="I10" s="73" t="n">
        <v>86</v>
      </c>
      <c r="J10" s="73" t="n">
        <v>4</v>
      </c>
      <c r="K10" s="73" t="n">
        <v>24</v>
      </c>
      <c r="L10" t="n">
        <v>97</v>
      </c>
      <c r="M10" s="73" t="n">
        <v>127</v>
      </c>
      <c r="N10" t="n">
        <v>127</v>
      </c>
    </row>
    <row r="11">
      <c r="B11" t="inlineStr">
        <is>
          <t>Working capital changes</t>
        </is>
      </c>
      <c r="C11" t="n">
        <v>49</v>
      </c>
      <c r="D11" t="n">
        <v>-31</v>
      </c>
      <c r="E11" t="n">
        <v>6</v>
      </c>
      <c r="F11" s="73" t="n">
        <v>91</v>
      </c>
      <c r="G11" t="n">
        <v>-4</v>
      </c>
      <c r="H11" t="n">
        <v>-8</v>
      </c>
      <c r="I11" t="n">
        <v>51</v>
      </c>
      <c r="J11" t="n">
        <v>-41</v>
      </c>
      <c r="K11" t="n">
        <v>-8</v>
      </c>
      <c r="L11" s="73" t="n">
        <v>-96</v>
      </c>
      <c r="M11" s="73" t="n">
        <v>150</v>
      </c>
      <c r="N11" s="73" t="n">
        <v>111</v>
      </c>
    </row>
    <row r="12">
      <c r="B12" t="inlineStr">
        <is>
          <t>Direct taxes</t>
        </is>
      </c>
      <c r="C12" s="73" t="n">
        <v>-35</v>
      </c>
      <c r="D12" s="73" t="n">
        <v>-39</v>
      </c>
      <c r="E12" s="73" t="n">
        <v>-37</v>
      </c>
      <c r="F12" s="73" t="n">
        <v>-126</v>
      </c>
      <c r="G12" s="73" t="n">
        <v>-178</v>
      </c>
      <c r="H12" s="73" t="n">
        <v>-140</v>
      </c>
      <c r="I12" s="73" t="n">
        <v>-87</v>
      </c>
      <c r="J12" s="73" t="n">
        <v>-141</v>
      </c>
      <c r="K12" s="73" t="n">
        <v>-126</v>
      </c>
      <c r="L12" s="73" t="n">
        <v>-89</v>
      </c>
      <c r="M12" s="73" t="n">
        <v>-102</v>
      </c>
      <c r="N12" s="73" t="n">
        <v>-138</v>
      </c>
    </row>
    <row r="13">
      <c r="B13" t="inlineStr">
        <is>
          <t>Cash from Investing Activity -</t>
        </is>
      </c>
      <c r="C13" s="73" t="n">
        <v>-262</v>
      </c>
      <c r="D13" s="73" t="n">
        <v>-200</v>
      </c>
      <c r="E13" s="73" t="n">
        <v>-188</v>
      </c>
      <c r="F13" s="73" t="n">
        <v>-332</v>
      </c>
      <c r="G13" s="73" t="n">
        <v>-457</v>
      </c>
      <c r="H13" s="73" t="n">
        <v>-99</v>
      </c>
      <c r="I13" s="73" t="n">
        <v>-602</v>
      </c>
      <c r="J13" s="73" t="n">
        <v>-654</v>
      </c>
      <c r="K13" s="73" t="n">
        <v>-595</v>
      </c>
      <c r="L13" s="73" t="n">
        <v>-1285</v>
      </c>
      <c r="M13" t="n">
        <v>-850</v>
      </c>
      <c r="N13" s="73" t="n">
        <v>-1084</v>
      </c>
    </row>
    <row r="14">
      <c r="B14" t="inlineStr">
        <is>
          <t>Fixed assets purchased</t>
        </is>
      </c>
      <c r="C14" s="73" t="n">
        <v>-287</v>
      </c>
      <c r="D14" s="73" t="n">
        <v>-227</v>
      </c>
      <c r="E14" s="73" t="n">
        <v>-201</v>
      </c>
      <c r="F14" s="73" t="n">
        <v>-119</v>
      </c>
      <c r="G14" s="73" t="n">
        <v>-167</v>
      </c>
      <c r="H14" s="73" t="n">
        <v>-289</v>
      </c>
      <c r="I14" s="73" t="n">
        <v>-219</v>
      </c>
      <c r="J14" s="73" t="n">
        <v>-458</v>
      </c>
      <c r="K14" s="73" t="n">
        <v>-842</v>
      </c>
      <c r="L14" s="73" t="n">
        <v>-853</v>
      </c>
      <c r="M14" s="73" t="n">
        <v>-876</v>
      </c>
      <c r="N14" s="73" t="n">
        <v>-1010</v>
      </c>
    </row>
    <row r="15">
      <c r="B15" t="inlineStr">
        <is>
          <t>Fixed assets sold</t>
        </is>
      </c>
      <c r="C15" t="n">
        <v>1</v>
      </c>
      <c r="D15" t="n">
        <v>1</v>
      </c>
      <c r="E15" t="n">
        <v>1</v>
      </c>
      <c r="F15" t="n">
        <v>3</v>
      </c>
      <c r="G15" t="n">
        <v>1</v>
      </c>
      <c r="H15" t="n">
        <v>1</v>
      </c>
      <c r="I15" t="n">
        <v>1</v>
      </c>
      <c r="J15" t="n">
        <v>2</v>
      </c>
      <c r="K15" t="n">
        <v>4</v>
      </c>
      <c r="L15" t="n">
        <v>5</v>
      </c>
      <c r="M15" t="n">
        <v>5</v>
      </c>
      <c r="N15" t="n">
        <v>5</v>
      </c>
    </row>
    <row r="16">
      <c r="B16" t="inlineStr">
        <is>
          <t>Investments purchased</t>
        </is>
      </c>
      <c r="C16" s="73" t="n">
        <v>-1094</v>
      </c>
      <c r="D16" s="73" t="n">
        <v>-1229</v>
      </c>
      <c r="E16" s="73" t="n">
        <v>-1706</v>
      </c>
      <c r="F16" s="73" t="n">
        <v>-1872</v>
      </c>
      <c r="G16" s="73" t="n">
        <v>0</v>
      </c>
      <c r="H16" s="73" t="n">
        <v>0</v>
      </c>
      <c r="I16" s="73" t="n">
        <v>-278</v>
      </c>
      <c r="J16" s="73" t="n">
        <v>-160</v>
      </c>
      <c r="K16" s="73" t="n">
        <v>-89</v>
      </c>
      <c r="L16" s="73" t="n">
        <v>-770</v>
      </c>
      <c r="M16" s="73" t="n">
        <v>0</v>
      </c>
      <c r="N16" s="73" t="n">
        <v>-38</v>
      </c>
    </row>
    <row r="17">
      <c r="B17" t="inlineStr">
        <is>
          <t>Investments sold</t>
        </is>
      </c>
      <c r="C17" s="73" t="n">
        <v>1114</v>
      </c>
      <c r="D17" s="73" t="n">
        <v>1249</v>
      </c>
      <c r="E17" s="73" t="n">
        <v>1709</v>
      </c>
      <c r="F17" s="73" t="n">
        <v>1702</v>
      </c>
      <c r="G17" s="73" t="n">
        <v>96</v>
      </c>
      <c r="H17" s="73" t="n">
        <v>144</v>
      </c>
      <c r="I17" s="73" t="n">
        <v>0</v>
      </c>
      <c r="J17" s="73" t="n">
        <v>0</v>
      </c>
      <c r="K17" s="73" t="n">
        <v>0</v>
      </c>
      <c r="L17" s="73" t="n">
        <v>32</v>
      </c>
      <c r="M17" s="73" t="n">
        <v>47</v>
      </c>
      <c r="N17" s="73" t="n">
        <v>0</v>
      </c>
    </row>
    <row r="18">
      <c r="B18" t="inlineStr">
        <is>
          <t>Interest received</t>
        </is>
      </c>
      <c r="C18" t="n">
        <v>0</v>
      </c>
      <c r="D18" t="n">
        <v>0</v>
      </c>
      <c r="E18" t="n">
        <v>0</v>
      </c>
      <c r="F18" t="n">
        <v>0</v>
      </c>
      <c r="G18" s="73" t="n">
        <v>16</v>
      </c>
      <c r="H18" s="73" t="n">
        <v>39</v>
      </c>
      <c r="I18" s="73" t="n">
        <v>37</v>
      </c>
      <c r="J18" s="73" t="n">
        <v>23</v>
      </c>
      <c r="K18" s="73" t="n">
        <v>21</v>
      </c>
      <c r="L18" s="73" t="n">
        <v>13</v>
      </c>
      <c r="M18" s="73" t="n">
        <v>5</v>
      </c>
      <c r="N18" t="n">
        <v>11</v>
      </c>
    </row>
    <row r="19">
      <c r="B19" t="inlineStr">
        <is>
          <t>Dividends received</t>
        </is>
      </c>
      <c r="C19" t="n">
        <v>6</v>
      </c>
      <c r="D19" t="n">
        <v>6</v>
      </c>
      <c r="E19" t="n">
        <v>8</v>
      </c>
      <c r="F19" t="n">
        <v>10</v>
      </c>
      <c r="G19" t="n">
        <v>6</v>
      </c>
      <c r="H19" t="n">
        <v>0</v>
      </c>
      <c r="I19" t="n">
        <v>0</v>
      </c>
      <c r="J19" t="n">
        <v>0</v>
      </c>
      <c r="K19" t="n">
        <v>0</v>
      </c>
      <c r="L19" t="n">
        <v>0</v>
      </c>
      <c r="M19" t="n">
        <v>0</v>
      </c>
      <c r="N19" t="n">
        <v>0</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-2</v>
      </c>
      <c r="D23" s="73" t="n">
        <v>1</v>
      </c>
      <c r="E23" s="73" t="n">
        <v>-0</v>
      </c>
      <c r="F23" s="73" t="n">
        <v>-56</v>
      </c>
      <c r="G23" s="73" t="n">
        <v>-409</v>
      </c>
      <c r="H23" s="73" t="n">
        <v>6</v>
      </c>
      <c r="I23" s="73" t="n">
        <v>-143</v>
      </c>
      <c r="J23" s="73" t="n">
        <v>-62</v>
      </c>
      <c r="K23" t="n">
        <v>311</v>
      </c>
      <c r="L23" s="73" t="n">
        <v>287</v>
      </c>
      <c r="M23" t="n">
        <v>-31</v>
      </c>
      <c r="N23" s="73" t="n">
        <v>-52</v>
      </c>
    </row>
    <row r="24">
      <c r="B24" t="inlineStr">
        <is>
          <t>Cash from Financing Activity -</t>
        </is>
      </c>
      <c r="C24" s="73" t="n">
        <v>1</v>
      </c>
      <c r="D24" s="73" t="n">
        <v>-18</v>
      </c>
      <c r="E24" s="73" t="n">
        <v>-15</v>
      </c>
      <c r="F24" s="73" t="n">
        <v>-35</v>
      </c>
      <c r="G24" s="73" t="n">
        <v>-17</v>
      </c>
      <c r="H24" s="73" t="n">
        <v>-461</v>
      </c>
      <c r="I24" s="73" t="n">
        <v>-289</v>
      </c>
      <c r="J24" s="73" t="n">
        <v>-307</v>
      </c>
      <c r="K24" s="73" t="n">
        <v>-426</v>
      </c>
      <c r="L24" s="73" t="n">
        <v>377</v>
      </c>
      <c r="M24" s="73" t="n">
        <v>-839</v>
      </c>
      <c r="N24" s="73" t="n">
        <v>-780</v>
      </c>
    </row>
    <row r="25">
      <c r="B25" t="inlineStr">
        <is>
          <t>Proceeds from shares</t>
        </is>
      </c>
      <c r="C25" t="n">
        <v>1</v>
      </c>
      <c r="D25" t="n">
        <v>2</v>
      </c>
      <c r="E25" s="73" t="n">
        <v>5</v>
      </c>
      <c r="F25" t="n">
        <v>21</v>
      </c>
      <c r="G25" t="n">
        <v>23</v>
      </c>
      <c r="H25" t="n">
        <v>11</v>
      </c>
      <c r="I25" t="n">
        <v>3</v>
      </c>
      <c r="J25" t="n">
        <v>6</v>
      </c>
      <c r="K25" s="73" t="n">
        <v>8</v>
      </c>
      <c r="L25" s="73" t="n">
        <v>0</v>
      </c>
      <c r="M25" t="n">
        <v>0</v>
      </c>
      <c r="N25" t="n">
        <v>2</v>
      </c>
    </row>
    <row r="26">
      <c r="B26" t="inlineStr">
        <is>
          <t>Proceeds from borrowings</t>
        </is>
      </c>
      <c r="C26" t="n">
        <v>-0</v>
      </c>
      <c r="D26" t="n">
        <v>-0</v>
      </c>
      <c r="E26" t="n">
        <v>-0</v>
      </c>
      <c r="F26" t="n">
        <v>-0</v>
      </c>
      <c r="G26" t="n">
        <v>-0</v>
      </c>
      <c r="H26" t="n">
        <v>-0</v>
      </c>
      <c r="I26" t="n">
        <v>-0</v>
      </c>
      <c r="J26" t="n">
        <v>120</v>
      </c>
      <c r="K26" t="n">
        <v>63</v>
      </c>
      <c r="L26" t="n">
        <v>1101</v>
      </c>
      <c r="M26" t="n">
        <v>117</v>
      </c>
      <c r="N26" s="73" t="n">
        <v>243</v>
      </c>
    </row>
    <row r="27">
      <c r="B27" t="inlineStr">
        <is>
          <t>Repayment of borrowings</t>
        </is>
      </c>
      <c r="C27" t="n">
        <v>-0</v>
      </c>
      <c r="D27" t="n">
        <v>-0</v>
      </c>
      <c r="E27" t="n">
        <v>-0</v>
      </c>
      <c r="F27" t="n">
        <v>-0</v>
      </c>
      <c r="G27" t="n">
        <v>-0</v>
      </c>
      <c r="H27" t="n">
        <v>-0</v>
      </c>
      <c r="I27" t="n">
        <v>-0</v>
      </c>
      <c r="J27" t="n">
        <v>-0</v>
      </c>
      <c r="K27" t="n">
        <v>-0</v>
      </c>
      <c r="L27" t="n">
        <v>-92</v>
      </c>
      <c r="M27" t="n">
        <v>-122</v>
      </c>
      <c r="N27" t="n">
        <v>-172</v>
      </c>
    </row>
    <row r="28">
      <c r="B28" t="inlineStr">
        <is>
          <t>Interest paid fin</t>
        </is>
      </c>
      <c r="C28" t="n">
        <v>-0</v>
      </c>
      <c r="D28" t="n">
        <v>-0</v>
      </c>
      <c r="E28" t="n">
        <v>-0</v>
      </c>
      <c r="F28" t="n">
        <v>-0</v>
      </c>
      <c r="G28" t="n">
        <v>-0</v>
      </c>
      <c r="H28" t="n">
        <v>-165</v>
      </c>
      <c r="I28" t="n">
        <v>-0</v>
      </c>
      <c r="J28" t="n">
        <v>-0</v>
      </c>
      <c r="K28" t="n">
        <v>-3</v>
      </c>
      <c r="L28" t="n">
        <v>-44</v>
      </c>
      <c r="M28" t="n">
        <v>-220</v>
      </c>
      <c r="N28" t="n">
        <v>-111</v>
      </c>
    </row>
    <row r="29">
      <c r="B29" t="inlineStr">
        <is>
          <t>Dividends paid</t>
        </is>
      </c>
      <c r="C29" s="73" t="n">
        <v>-0</v>
      </c>
      <c r="D29" s="73" t="n">
        <v>-16</v>
      </c>
      <c r="E29" s="73" t="n">
        <v>-16</v>
      </c>
      <c r="F29" s="73" t="n">
        <v>-16</v>
      </c>
      <c r="G29" s="73" t="n">
        <v>-33</v>
      </c>
      <c r="H29" s="73" t="n">
        <v>-145</v>
      </c>
      <c r="I29" s="73" t="n">
        <v>-0</v>
      </c>
      <c r="J29" s="73" t="n">
        <v>-79</v>
      </c>
      <c r="K29" s="73" t="n">
        <v>-79</v>
      </c>
      <c r="L29" s="73" t="n">
        <v>-79</v>
      </c>
      <c r="M29" s="73" t="n">
        <v>-79</v>
      </c>
      <c r="N29" s="73" t="n">
        <v>-81</v>
      </c>
    </row>
    <row r="30">
      <c r="B30" t="inlineStr">
        <is>
          <t>Financial liabilities</t>
        </is>
      </c>
      <c r="C30" t="n">
        <v>-0</v>
      </c>
      <c r="D30" t="n">
        <v>-0</v>
      </c>
      <c r="E30" t="n">
        <v>-0</v>
      </c>
      <c r="F30" t="n">
        <v>-0</v>
      </c>
      <c r="G30" t="n">
        <v>-0</v>
      </c>
      <c r="H30" t="n">
        <v>-132</v>
      </c>
      <c r="I30" t="n">
        <v>-284</v>
      </c>
      <c r="J30" t="n">
        <v>-310</v>
      </c>
      <c r="K30" t="n">
        <v>-373</v>
      </c>
      <c r="L30" t="n">
        <v>-450</v>
      </c>
      <c r="M30" t="n">
        <v>-545</v>
      </c>
      <c r="N30" t="n">
        <v>-641</v>
      </c>
    </row>
    <row r="31">
      <c r="B31" t="inlineStr">
        <is>
          <t>Other financing items</t>
        </is>
      </c>
      <c r="C31" t="n">
        <v>-0</v>
      </c>
      <c r="D31" t="n">
        <v>-3</v>
      </c>
      <c r="E31" s="73" t="n">
        <v>-3</v>
      </c>
      <c r="F31" s="73" t="n">
        <v>-39</v>
      </c>
      <c r="G31" s="73" t="n">
        <v>-7</v>
      </c>
      <c r="H31" s="73" t="n">
        <v>-30</v>
      </c>
      <c r="I31" t="n">
        <v>-7</v>
      </c>
      <c r="J31" t="n">
        <v>-43</v>
      </c>
      <c r="K31" t="n">
        <v>-42</v>
      </c>
      <c r="L31" t="n">
        <v>-59</v>
      </c>
      <c r="M31" t="n">
        <v>9</v>
      </c>
      <c r="N31" t="n">
        <v>-20</v>
      </c>
    </row>
    <row r="32">
      <c r="B32" t="inlineStr">
        <is>
          <t>Net Cash Flow</t>
        </is>
      </c>
      <c r="C32" t="n">
        <v>15</v>
      </c>
      <c r="D32" t="n">
        <v>-6</v>
      </c>
      <c r="E32" t="n">
        <v>0</v>
      </c>
      <c r="F32" t="n">
        <v>42</v>
      </c>
      <c r="G32" t="n">
        <v>-51</v>
      </c>
      <c r="H32" t="n">
        <v>168</v>
      </c>
      <c r="I32" t="n">
        <v>-140</v>
      </c>
      <c r="J32" t="n">
        <v>-31</v>
      </c>
      <c r="K32" t="n">
        <v>5</v>
      </c>
      <c r="L32" t="n">
        <v>102</v>
      </c>
      <c r="M32" t="n">
        <v>-32</v>
      </c>
      <c r="N32" t="n">
        <v>29</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FS'!C51:'Historical FS'!C53),0)</f>
        <v/>
      </c>
      <c r="D21" s="46">
        <f>IFERROR('Historical FS'!D25/SUM('Historical FS'!D51:'Historical FS'!D53),0)</f>
        <v/>
      </c>
      <c r="E21" s="46">
        <f>IFERROR('Historical FS'!E25/SUM('Historical FS'!E51:'Historical FS'!E53),0)</f>
        <v/>
      </c>
      <c r="F21" s="46">
        <f>IFERROR('Historical FS'!F25/SUM('Historical FS'!F51:'Historical FS'!F53),0)</f>
        <v/>
      </c>
      <c r="G21" s="46">
        <f>IFERROR('Historical FS'!G25/SUM('Historical FS'!G51:'Historical FS'!G53),0)</f>
        <v/>
      </c>
      <c r="H21" s="46">
        <f>IFERROR('Historical FS'!H25/SUM('Historical FS'!H51:'Historical FS'!H53),0)</f>
        <v/>
      </c>
      <c r="I21" s="46">
        <f>IFERROR('Historical FS'!I25/SUM('Historical FS'!I51:'Historical FS'!I53),0)</f>
        <v/>
      </c>
      <c r="J21" s="46">
        <f>IFERROR('Historical FS'!J25/SUM('Historical FS'!J51:'Historical FS'!J53),0)</f>
        <v/>
      </c>
      <c r="K21" s="46">
        <f>IFERROR('Historical FS'!K25/SUM('Historical FS'!K51:'Historical FS'!K53),0)</f>
        <v/>
      </c>
      <c r="L21" s="46">
        <f>IFERROR('Historical FS'!L25/SUM('Historical FS'!L51:'Historical FS'!L53),0)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FS'!C51:'Historical FS'!C52),0)</f>
        <v/>
      </c>
      <c r="D23" s="46">
        <f>IFERROR('Historical FS'!D37/SUM('Historical FS'!D51:'Historical FS'!D52),0)</f>
        <v/>
      </c>
      <c r="E23" s="46">
        <f>IFERROR('Historical FS'!E37/SUM('Historical FS'!E51:'Historical FS'!E52),0)</f>
        <v/>
      </c>
      <c r="F23" s="46">
        <f>IFERROR('Historical FS'!F37/SUM('Historical FS'!F51:'Historical FS'!F52),0)</f>
        <v/>
      </c>
      <c r="G23" s="46">
        <f>IFERROR('Historical FS'!G37/SUM('Historical FS'!G51:'Historical FS'!G52),0)</f>
        <v/>
      </c>
      <c r="H23" s="46">
        <f>IFERROR('Historical FS'!H37/SUM('Historical FS'!H51:'Historical FS'!H52),0)</f>
        <v/>
      </c>
      <c r="I23" s="46">
        <f>IFERROR('Historical FS'!I37/SUM('Historical FS'!I51:'Historical FS'!I52),0)</f>
        <v/>
      </c>
      <c r="J23" s="46">
        <f>IFERROR('Historical FS'!J37/SUM('Historical FS'!J51:'Historical FS'!J52),0)</f>
        <v/>
      </c>
      <c r="K23" s="46">
        <f>IFERROR('Historical FS'!K37/SUM('Historical FS'!K51:'Historical FS'!K52),0)</f>
        <v/>
      </c>
      <c r="L23" s="46">
        <f>IFERROR('Historical FS'!L37/SUM('Historical FS'!L51:'Historical FS'!L52),0)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FS'!C51:'Historical FS'!C52),0)</f>
        <v/>
      </c>
      <c r="D31" s="158">
        <f>IFERROR('Historical FS'!D7/SUM('Historical FS'!D51:'Historical FS'!D52),0)</f>
        <v/>
      </c>
      <c r="E31" s="158">
        <f>IFERROR('Historical FS'!E7/SUM('Historical FS'!E51:'Historical FS'!E52),0)</f>
        <v/>
      </c>
      <c r="F31" s="158">
        <f>IFERROR('Historical FS'!F7/SUM('Historical FS'!F51:'Historical FS'!F52),0)</f>
        <v/>
      </c>
      <c r="G31" s="158">
        <f>IFERROR('Historical FS'!G7/SUM('Historical FS'!G51:'Historical FS'!G52),0)</f>
        <v/>
      </c>
      <c r="H31" s="158">
        <f>IFERROR('Historical FS'!H7/SUM('Historical FS'!H51:'Historical FS'!H52),0)</f>
        <v/>
      </c>
      <c r="I31" s="158">
        <f>IFERROR('Historical FS'!I7/SUM('Historical FS'!I51:'Historical FS'!I52),0)</f>
        <v/>
      </c>
      <c r="J31" s="158">
        <f>IFERROR('Historical FS'!J7/SUM('Historical FS'!J51:'Historical FS'!J52),0)</f>
        <v/>
      </c>
      <c r="K31" s="158">
        <f>IFERROR('Historical FS'!K7/SUM('Historical FS'!K51:'Historical FS'!K52),0)</f>
        <v/>
      </c>
      <c r="L31" s="158">
        <f>IFERROR('Historical FS'!L7/SUM('Historical FS'!L51:'Historical FS'!L52),0)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t="inlineStr">
        <is>
          <t>Nifty 50 Daily Returns</t>
        </is>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O11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SLOPE(D10:D252, H10:H252)</f>
        <v/>
      </c>
    </row>
    <row r="12">
      <c r="B12" s="34">
        <f>'Raw Data'!G8</f>
        <v/>
      </c>
      <c r="C12">
        <f>'Raw Data'!H8</f>
        <v/>
      </c>
      <c r="D12" s="36">
        <f>C11/C12-1</f>
        <v/>
      </c>
      <c r="F12" s="34">
        <f>'Raw Data'!G8</f>
        <v/>
      </c>
      <c r="G12">
        <f>'Raw Data'!J8</f>
        <v/>
      </c>
      <c r="H12" s="36">
        <f>G11/G12-1</f>
        <v/>
      </c>
      <c r="J12" t="inlineStr">
        <is>
          <t>Market Beta</t>
        </is>
      </c>
      <c r="L12" s="47" t="n">
        <v>1</v>
      </c>
      <c r="N12" t="inlineStr">
        <is>
          <t>Beta 2</t>
        </is>
      </c>
      <c r="O12">
        <f>_xlfn.COVARIANCE.S(D10:D252, H10:H252)/_xlfn.VAR.S(H10:H252)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0.8100000000000001</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0.92</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0.93</v>
      </c>
      <c r="K17" s="47">
        <f>J17/(1+(1-G17)*H17)</f>
        <v/>
      </c>
    </row>
    <row r="18">
      <c r="B18" s="119">
        <f>'Raw Data'!O28</f>
        <v/>
      </c>
      <c r="C18" s="119" t="n"/>
      <c r="D18" s="119">
        <f>'Raw Data'!Q28</f>
        <v/>
      </c>
      <c r="E18" s="124">
        <f>'Raw Data'!R28</f>
        <v/>
      </c>
      <c r="F18" s="124">
        <f>'Raw Data'!S28</f>
        <v/>
      </c>
      <c r="G18" s="120">
        <f>'Raw Data'!T28</f>
        <v/>
      </c>
      <c r="H18" s="36">
        <f>E18/F18</f>
        <v/>
      </c>
      <c r="I18" s="36">
        <f>E18/SUM(E18:F18)</f>
        <v/>
      </c>
      <c r="J18" t="n">
        <v>0.7</v>
      </c>
      <c r="K18" s="47">
        <f>J18/(1+(1-G18)*H18)</f>
        <v/>
      </c>
    </row>
    <row r="20">
      <c r="F20" s="122" t="inlineStr">
        <is>
          <t>Average</t>
        </is>
      </c>
      <c r="G20" s="69">
        <f>AVERAGE(G14:G18)</f>
        <v/>
      </c>
      <c r="H20" s="69">
        <f>AVERAGE(H14:H18)</f>
        <v/>
      </c>
      <c r="I20" s="69">
        <f>AVERAGE(I14:I18)</f>
        <v/>
      </c>
      <c r="J20" s="69">
        <f>AVERAGE(J14:J18)</f>
        <v/>
      </c>
      <c r="K20" s="69">
        <f>AVERAGE(K14:K18)</f>
        <v/>
      </c>
    </row>
    <row r="21">
      <c r="F21" s="68" t="inlineStr">
        <is>
          <t>Median</t>
        </is>
      </c>
      <c r="G21" s="70">
        <f>MEDIAN(G14:G18)</f>
        <v/>
      </c>
      <c r="H21" s="70">
        <f>MEDIAN(H14:H18)</f>
        <v/>
      </c>
      <c r="I21" s="70">
        <f>MEDIAN(I14:I18)</f>
        <v/>
      </c>
      <c r="J21" s="70">
        <f>MEDIAN(J14:J18)</f>
        <v/>
      </c>
      <c r="K21" s="70">
        <f>MEDIAN(K14:K18)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t="n">
        <v>0.078</v>
      </c>
      <c r="G26" t="inlineStr">
        <is>
          <t>Risk Free Rate (RBI 10Y G-Sec)</t>
        </is>
      </c>
      <c r="K26" s="121" t="n">
        <v>0.068</v>
      </c>
    </row>
    <row r="27">
      <c r="B27" t="inlineStr">
        <is>
          <t>Tax Rate</t>
        </is>
      </c>
      <c r="E27" s="46">
        <f>'Raw Data'!T24</f>
        <v/>
      </c>
      <c r="G27" t="inlineStr">
        <is>
          <t>Equity Risk Premium (Damodaran)</t>
        </is>
      </c>
      <c r="K27" s="121" t="n">
        <v>0.065</v>
      </c>
    </row>
    <row r="28">
      <c r="B28" s="67" t="inlineStr">
        <is>
          <t>Post-Tax Cost of Debt</t>
        </is>
      </c>
      <c r="C28" s="64" t="n"/>
      <c r="D28" s="64" t="n"/>
      <c r="E28" s="66">
        <f>E26*(1-E27)</f>
        <v/>
      </c>
      <c r="G28" t="inlineStr">
        <is>
          <t>Levered Beta (Regression Beta-Regression!O11)</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L65"/>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37" t="inlineStr">
        <is>
          <t>4 Year Median</t>
        </is>
      </c>
      <c r="K55" s="37" t="n"/>
      <c r="L55" s="114">
        <f>MEDIAN(H52:L52)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H52*H40</f>
        <v/>
      </c>
      <c r="I62" s="135">
        <f>I52*I40</f>
        <v/>
      </c>
      <c r="J62" s="135">
        <f>J52*J40</f>
        <v/>
      </c>
      <c r="K62" s="135">
        <f>K52*K40</f>
        <v/>
      </c>
      <c r="L62" s="135">
        <f>L52*L40</f>
        <v/>
      </c>
    </row>
    <row r="64">
      <c r="J64" s="37" t="inlineStr">
        <is>
          <t>4 Year Average</t>
        </is>
      </c>
      <c r="K64" s="37" t="n"/>
      <c r="L64" s="114">
        <f>AVERAGE(I62:L62)</f>
        <v/>
      </c>
    </row>
    <row r="65">
      <c r="J65" s="37" t="inlineStr">
        <is>
          <t>4 Year Median</t>
        </is>
      </c>
      <c r="K65" s="37" t="n"/>
      <c r="L65" s="114">
        <f>MEDIAN(H62:L62)</f>
        <v/>
      </c>
    </row>
  </sheetData>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54"/>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39" t="n"/>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H8*(1+$D$18)</f>
        <v/>
      </c>
      <c r="J8" s="130">
        <f>I8*(1+$D$18)</f>
        <v/>
      </c>
      <c r="K8" s="130">
        <f>J8*(1+$D$18)</f>
        <v/>
      </c>
      <c r="L8" s="130">
        <f>K8*(1+$D$18)</f>
        <v/>
      </c>
      <c r="M8" s="130">
        <f>L8*(1+$D$18)</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MIN(0.85, 'Intrinsic Valuation'!$L$55)</f>
        <v/>
      </c>
      <c r="J11" s="81">
        <f>MIN(0.85, $I$11+($M$11-$I$11)/4*1)</f>
        <v/>
      </c>
      <c r="K11" s="81">
        <f>MIN(0.85, $I$11+($M$11-$I$11)/4*2)</f>
        <v/>
      </c>
      <c r="L11" s="81">
        <f>MIN(0.85, $I$11+($M$11-$I$11)/4*3)</f>
        <v/>
      </c>
      <c r="M11" s="81">
        <f>MIN(0.85,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Valuation'!L62</f>
        <v/>
      </c>
    </row>
    <row r="19">
      <c r="B19" s="79" t="inlineStr">
        <is>
          <t>Terminal Growth Rate</t>
        </is>
      </c>
      <c r="C19" s="79" t="n"/>
      <c r="D19" s="80" t="n">
        <v>0.04</v>
      </c>
    </row>
    <row r="20">
      <c r="B20" s="79" t="inlineStr">
        <is>
          <t>WACC</t>
        </is>
      </c>
      <c r="C20" s="79" t="n"/>
      <c r="D20" s="80">
        <f>WACC!K46</f>
        <v/>
      </c>
    </row>
    <row r="21">
      <c r="B21" s="79" t="inlineStr">
        <is>
          <t>Terminal Reinvestment Rate</t>
        </is>
      </c>
      <c r="C21" s="79" t="n"/>
      <c r="D21" s="80">
        <f>D19/D22</f>
        <v/>
      </c>
    </row>
    <row r="22">
      <c r="B22" t="inlineStr">
        <is>
          <t>Terminal ROIC (Stable)</t>
        </is>
      </c>
      <c r="D22" s="46">
        <f>'Intrinsic Valuation'!L40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'Data Sheet'!K69+'Data Sheet'!K64</f>
        <v/>
      </c>
    </row>
    <row r="38">
      <c r="B38" t="inlineStr">
        <is>
          <t>Less: Debt</t>
        </is>
      </c>
      <c r="D38" s="107">
        <f>'Data Sheet'!K59</f>
        <v/>
      </c>
    </row>
    <row r="39">
      <c r="B39" s="37" t="inlineStr">
        <is>
          <t>Equity Value</t>
        </is>
      </c>
      <c r="C39" s="37" t="n"/>
      <c r="D39" s="129">
        <f>D35+D37-D38</f>
        <v/>
      </c>
    </row>
    <row r="40">
      <c r="B40" t="inlineStr">
        <is>
          <t>No. of Shares</t>
        </is>
      </c>
      <c r="D40">
        <f>'Data Sheet'!K70/10000000</f>
        <v/>
      </c>
    </row>
    <row r="41"/>
    <row r="42" ht="15" customHeight="1" s="176" thickBot="1">
      <c r="B42" s="127" t="inlineStr">
        <is>
          <t>Equity Value per Share</t>
        </is>
      </c>
      <c r="C42" s="127" t="n"/>
      <c r="D42" s="128">
        <f>D39/D40</f>
        <v/>
      </c>
    </row>
    <row r="43"/>
    <row r="44">
      <c r="B44" t="inlineStr">
        <is>
          <t>Share Price</t>
        </is>
      </c>
      <c r="D44" s="107">
        <f>'Data Sheet'!B8</f>
        <v/>
      </c>
    </row>
    <row r="45">
      <c r="B45" t="inlineStr">
        <is>
          <t>Upside / (Downside)</t>
        </is>
      </c>
      <c r="D45" s="165">
        <f>D42/D44-1</f>
        <v/>
      </c>
    </row>
    <row r="46"/>
    <row r="47"/>
    <row r="48"/>
    <row r="49"/>
    <row r="50"/>
    <row r="51"/>
    <row r="52"/>
    <row r="53"/>
    <row r="54"/>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2026-10-01</t>
        </is>
      </c>
      <c r="H6" t="n">
        <v>443.4</v>
      </c>
      <c r="J6" t="n">
        <v>22421.95</v>
      </c>
    </row>
    <row r="7">
      <c r="B7" t="n">
        <v>2024</v>
      </c>
      <c r="C7" s="46" t="n">
        <v>0.08749999999999999</v>
      </c>
      <c r="G7" s="34" t="inlineStr">
        <is>
          <t>2026-09-30</t>
        </is>
      </c>
      <c r="H7" t="n">
        <v>456.7</v>
      </c>
      <c r="J7" t="n">
        <v>22620.45</v>
      </c>
    </row>
    <row r="8">
      <c r="B8" t="n">
        <v>2023</v>
      </c>
      <c r="C8" s="46" t="n">
        <v>0.1942</v>
      </c>
      <c r="G8" s="34" t="inlineStr">
        <is>
          <t>2026-09-29</t>
        </is>
      </c>
      <c r="H8" t="n">
        <v>463</v>
      </c>
      <c r="J8" t="n">
        <v>22716.2</v>
      </c>
    </row>
    <row r="9">
      <c r="B9" t="n">
        <v>2022</v>
      </c>
      <c r="C9" s="46" t="n">
        <v>0.0432</v>
      </c>
      <c r="G9" s="34" t="inlineStr">
        <is>
          <t>2026-09-28</t>
        </is>
      </c>
      <c r="H9" t="n">
        <v>478.7</v>
      </c>
      <c r="J9" t="n">
        <v>22780.25</v>
      </c>
    </row>
    <row r="10">
      <c r="B10" t="n">
        <v>2021</v>
      </c>
      <c r="C10" s="46" t="n">
        <v>0.2412</v>
      </c>
      <c r="G10" s="34" t="inlineStr">
        <is>
          <t>2026-09-25</t>
        </is>
      </c>
      <c r="H10" t="n">
        <v>484.55</v>
      </c>
      <c r="J10" t="n">
        <v>23140.5</v>
      </c>
    </row>
    <row r="11">
      <c r="B11" t="n">
        <v>2020</v>
      </c>
      <c r="C11" s="46" t="n">
        <v>0.149</v>
      </c>
      <c r="G11" s="34" t="inlineStr">
        <is>
          <t>2026-09-24</t>
        </is>
      </c>
      <c r="H11" t="n">
        <v>478.9</v>
      </c>
      <c r="J11" t="n">
        <v>23063.1</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2026-09-23</t>
        </is>
      </c>
      <c r="H12" t="n">
        <v>483.3</v>
      </c>
      <c r="J12" t="n">
        <v>23446.8</v>
      </c>
      <c r="N12" t="n">
        <v>1</v>
      </c>
      <c r="O12" t="inlineStr">
        <is>
          <t>Travel Food</t>
        </is>
      </c>
      <c r="P12" t="n">
        <v>1208.1</v>
      </c>
      <c r="Q12">
        <f>IF(P12&gt;0, R12/P12, 0)</f>
        <v/>
      </c>
      <c r="R12" t="n">
        <v>15911.9</v>
      </c>
      <c r="S12" t="n">
        <v>245</v>
      </c>
      <c r="T12" t="n">
        <v>1123</v>
      </c>
      <c r="U12">
        <f>R12+S12-T12</f>
        <v/>
      </c>
      <c r="V12" t="n">
        <v>1808.9</v>
      </c>
      <c r="W12">
        <f>IF(X12&gt;0, U12/(X12*1.5), 15.0)</f>
        <v/>
      </c>
      <c r="X12" t="n">
        <v>475.98</v>
      </c>
    </row>
    <row r="13">
      <c r="B13" t="n">
        <v>2018</v>
      </c>
      <c r="C13" s="46" t="n">
        <v>0.0315</v>
      </c>
      <c r="G13" s="34" t="inlineStr">
        <is>
          <t>2026-09-22</t>
        </is>
      </c>
      <c r="H13" t="n">
        <v>491.1</v>
      </c>
      <c r="J13" t="n">
        <v>23329</v>
      </c>
      <c r="N13" t="n">
        <v>2</v>
      </c>
      <c r="O13" t="inlineStr">
        <is>
          <t>Westlife Food</t>
        </is>
      </c>
      <c r="P13" t="n">
        <v>588.05</v>
      </c>
      <c r="Q13">
        <f>IF(P13&gt;0, R13/P13, 0)</f>
        <v/>
      </c>
      <c r="R13" t="n">
        <v>9169.799999999999</v>
      </c>
      <c r="S13" t="n">
        <v>1805</v>
      </c>
      <c r="T13" t="n">
        <v>120</v>
      </c>
      <c r="U13">
        <f>R13+S13-T13</f>
        <v/>
      </c>
      <c r="V13" t="n">
        <v>2942.6</v>
      </c>
      <c r="W13">
        <f>IF(X13&gt;0, U13/(X13*1.5), 15.0)</f>
        <v/>
      </c>
      <c r="X13" t="n">
        <v>2.36</v>
      </c>
    </row>
    <row r="14">
      <c r="B14" t="n">
        <v>2017</v>
      </c>
      <c r="C14" s="46" t="n">
        <v>0.2865</v>
      </c>
      <c r="G14" s="34" t="inlineStr">
        <is>
          <t>2026-09-21</t>
        </is>
      </c>
      <c r="H14" t="n">
        <v>487.05</v>
      </c>
      <c r="J14" t="n">
        <v>23414.3</v>
      </c>
      <c r="N14" t="n">
        <v>3</v>
      </c>
      <c r="O14" t="inlineStr">
        <is>
          <t>JUBILANT FOODWORKS LTD</t>
        </is>
      </c>
      <c r="P14" t="n">
        <v>443</v>
      </c>
      <c r="Q14">
        <f>IF(P14&gt;0, R14/P14, 0)</f>
        <v/>
      </c>
      <c r="R14" t="n">
        <v>29258</v>
      </c>
      <c r="S14" t="n">
        <v>4902</v>
      </c>
      <c r="T14" t="n">
        <v>0</v>
      </c>
      <c r="U14">
        <f>R14+S14-T14</f>
        <v/>
      </c>
      <c r="V14" t="n">
        <v>0</v>
      </c>
      <c r="W14">
        <f>IF(X14&gt;0, U14/(X14*1.5), 15.0)</f>
        <v/>
      </c>
      <c r="X14" t="n">
        <v>0</v>
      </c>
    </row>
    <row r="15">
      <c r="B15" t="n">
        <v>2016</v>
      </c>
      <c r="C15" s="46" t="n">
        <v>0.0301</v>
      </c>
      <c r="G15" s="34" t="inlineStr">
        <is>
          <t>2026-09-18</t>
        </is>
      </c>
      <c r="H15" t="n">
        <v>500</v>
      </c>
      <c r="J15" t="n">
        <v>23346.4</v>
      </c>
      <c r="N15" t="n">
        <v>4</v>
      </c>
      <c r="O15" t="inlineStr">
        <is>
          <t>Sapphire Foods</t>
        </is>
      </c>
      <c r="P15" t="n">
        <v>209.82</v>
      </c>
      <c r="Q15">
        <f>IF(P15&gt;0, R15/P15, 0)</f>
        <v/>
      </c>
      <c r="R15" t="n">
        <v>6743.3</v>
      </c>
      <c r="S15" t="n">
        <v>1417</v>
      </c>
      <c r="T15" t="n">
        <v>3</v>
      </c>
      <c r="U15">
        <f>R15+S15-T15</f>
        <v/>
      </c>
      <c r="V15" t="n">
        <v>3563.8</v>
      </c>
      <c r="W15">
        <f>IF(X15&gt;0, U15/(X15*1.5), 15.0)</f>
        <v/>
      </c>
      <c r="X15" t="n">
        <v>2.46</v>
      </c>
    </row>
    <row r="16">
      <c r="B16" t="n">
        <v>2015</v>
      </c>
      <c r="C16" s="46" t="n">
        <v>-0.0406</v>
      </c>
      <c r="G16" s="34" t="inlineStr">
        <is>
          <t>2026-09-17</t>
        </is>
      </c>
      <c r="H16" t="n">
        <v>480.2</v>
      </c>
      <c r="J16" t="n">
        <v>23270.6</v>
      </c>
      <c r="N16" t="n">
        <v>5</v>
      </c>
      <c r="O16" t="inlineStr">
        <is>
          <t>ITC Hotels</t>
        </is>
      </c>
      <c r="P16" t="n">
        <v>158.51</v>
      </c>
      <c r="Q16">
        <f>IF(P16&gt;0, R16/P16, 0)</f>
        <v/>
      </c>
      <c r="R16" t="n">
        <v>33018.7</v>
      </c>
      <c r="S16" t="n">
        <v>2399</v>
      </c>
      <c r="T16" t="n">
        <v>38128</v>
      </c>
      <c r="U16">
        <f>R16+S16-T16</f>
        <v/>
      </c>
      <c r="V16" t="n">
        <v>3744.1</v>
      </c>
      <c r="W16">
        <f>IF(X16&gt;0, U16/(X16*1.5), 15.0)</f>
        <v/>
      </c>
      <c r="X16" t="n">
        <v>921.54</v>
      </c>
    </row>
    <row r="17">
      <c r="B17" t="n">
        <v>2014</v>
      </c>
      <c r="C17" s="46" t="n">
        <v>0.3139</v>
      </c>
      <c r="G17" s="34" t="inlineStr">
        <is>
          <t>2026-09-16</t>
        </is>
      </c>
      <c r="H17" t="n">
        <v>471</v>
      </c>
      <c r="J17" t="n">
        <v>23217.6</v>
      </c>
      <c r="N17" t="n">
        <v>6</v>
      </c>
      <c r="O17" t="inlineStr">
        <is>
          <t>United Foodbrands</t>
        </is>
      </c>
      <c r="P17" t="n">
        <v>692.75</v>
      </c>
      <c r="Q17">
        <f>IF(P17&gt;0, R17/P17, 0)</f>
        <v/>
      </c>
      <c r="R17" t="n">
        <v>2709.9</v>
      </c>
      <c r="S17" t="n">
        <v>885</v>
      </c>
      <c r="T17" t="n">
        <v>0</v>
      </c>
      <c r="U17">
        <f>R17+S17-T17</f>
        <v/>
      </c>
      <c r="V17" t="n">
        <v>1703.6</v>
      </c>
      <c r="W17">
        <f>IF(X17&gt;0, U17/(X17*1.5), 15.0)</f>
        <v/>
      </c>
      <c r="X17" t="n">
        <v>9.199999999999999</v>
      </c>
    </row>
    <row r="18">
      <c r="B18" t="n">
        <v>2013</v>
      </c>
      <c r="C18" s="46" t="n">
        <v>0.06759999999999999</v>
      </c>
      <c r="G18" s="34" t="inlineStr">
        <is>
          <t>2026-09-15</t>
        </is>
      </c>
      <c r="H18" t="n">
        <v>466</v>
      </c>
      <c r="J18" t="n">
        <v>23118.6</v>
      </c>
      <c r="N18" t="n">
        <v>7</v>
      </c>
      <c r="O18" t="inlineStr">
        <is>
          <t>Spice LoungeFood</t>
        </is>
      </c>
      <c r="P18" t="n">
        <v>27.9</v>
      </c>
      <c r="Q18">
        <f>IF(P18&gt;0, R18/P18, 0)</f>
        <v/>
      </c>
      <c r="R18" t="n">
        <v>1945</v>
      </c>
      <c r="S18" t="n">
        <v>118</v>
      </c>
      <c r="T18" t="n">
        <v>47</v>
      </c>
      <c r="U18">
        <f>R18+S18-T18</f>
        <v/>
      </c>
      <c r="V18" t="n">
        <v>160.6</v>
      </c>
      <c r="W18">
        <f>IF(X18&gt;0, U18/(X18*1.5), 15.0)</f>
        <v/>
      </c>
      <c r="X18" t="n">
        <v>15.68</v>
      </c>
    </row>
    <row r="19">
      <c r="B19" t="n">
        <v>2012</v>
      </c>
      <c r="C19" s="46" t="n">
        <v>0.277</v>
      </c>
      <c r="G19" s="34" t="inlineStr">
        <is>
          <t>2026-09-11</t>
        </is>
      </c>
      <c r="H19" t="n">
        <v>470.25</v>
      </c>
      <c r="J19" t="n">
        <v>23398.1</v>
      </c>
      <c r="N19" t="n">
        <v>8</v>
      </c>
      <c r="O19" t="inlineStr">
        <is>
          <t>Ventive Hospital</t>
        </is>
      </c>
      <c r="P19" t="n">
        <v>552.2</v>
      </c>
      <c r="Q19">
        <f>IF(P19&gt;0, R19/P19, 0)</f>
        <v/>
      </c>
      <c r="R19" t="n">
        <v>12896.2</v>
      </c>
      <c r="S19" t="n">
        <v>2574</v>
      </c>
      <c r="T19" t="n">
        <v>118</v>
      </c>
      <c r="U19">
        <f>R19+S19-T19</f>
        <v/>
      </c>
      <c r="V19" t="n">
        <v>2171.2</v>
      </c>
      <c r="W19">
        <f>IF(X19&gt;0, U19/(X19*1.5), 15.0)</f>
        <v/>
      </c>
      <c r="X19" t="n">
        <v>484.64</v>
      </c>
    </row>
    <row r="20">
      <c r="B20" t="n">
        <v>2011</v>
      </c>
      <c r="C20" s="46" t="n">
        <v>-0.2462</v>
      </c>
      <c r="G20" s="34" t="inlineStr">
        <is>
          <t>2026-09-10</t>
        </is>
      </c>
      <c r="H20" t="n">
        <v>473.8</v>
      </c>
      <c r="J20" t="n">
        <v>23477.8</v>
      </c>
      <c r="N20" t="n">
        <v>9</v>
      </c>
      <c r="O20" t="inlineStr">
        <is>
          <t>Devyani Intl.</t>
        </is>
      </c>
      <c r="P20" t="n">
        <v>127.07</v>
      </c>
      <c r="Q20">
        <f>IF(P20&gt;0, R20/P20, 0)</f>
        <v/>
      </c>
      <c r="R20" t="n">
        <v>15667</v>
      </c>
      <c r="S20" t="n">
        <v>3833</v>
      </c>
      <c r="T20" t="n">
        <v>2</v>
      </c>
      <c r="U20">
        <f>R20+S20-T20</f>
        <v/>
      </c>
      <c r="V20" t="n">
        <v>6322.1</v>
      </c>
      <c r="W20">
        <f>IF(X20&gt;0, U20/(X20*1.5), 15.0)</f>
        <v/>
      </c>
      <c r="X20" t="n">
        <v>68.44</v>
      </c>
    </row>
    <row r="21">
      <c r="B21" t="n">
        <v>2010</v>
      </c>
      <c r="C21" s="46" t="n">
        <v>0.1795</v>
      </c>
      <c r="G21" s="34" t="inlineStr">
        <is>
          <t>2026-09-09</t>
        </is>
      </c>
      <c r="H21" t="n">
        <v>475.95</v>
      </c>
      <c r="J21" t="n">
        <v>23431.5</v>
      </c>
      <c r="N21" t="n">
        <v>10</v>
      </c>
      <c r="O21" t="inlineStr">
        <is>
          <t>Hero Motocorp</t>
        </is>
      </c>
      <c r="P21" t="n">
        <v>5285.5</v>
      </c>
      <c r="Q21">
        <f>IF(P21&gt;0, R21/P21, 0)</f>
        <v/>
      </c>
      <c r="R21" t="n">
        <v>105784.63</v>
      </c>
      <c r="S21" t="n">
        <v>26446.16</v>
      </c>
      <c r="T21" t="n">
        <v>5289.23</v>
      </c>
      <c r="U21" t="n">
        <v>126941.56</v>
      </c>
    </row>
    <row r="22">
      <c r="B22" t="n">
        <v>2009</v>
      </c>
      <c r="C22" s="46" t="n">
        <v>0.7576000000000001</v>
      </c>
      <c r="G22" s="34" t="inlineStr">
        <is>
          <t>2026-09-08</t>
        </is>
      </c>
      <c r="H22" t="n">
        <v>480.4</v>
      </c>
      <c r="J22" t="n">
        <v>23635.1</v>
      </c>
    </row>
    <row r="23">
      <c r="B23" t="n">
        <v>2008</v>
      </c>
      <c r="C23" s="46" t="n">
        <v>-0.5179</v>
      </c>
      <c r="G23" s="34" t="inlineStr">
        <is>
          <t>2026-09-07</t>
        </is>
      </c>
      <c r="H23" t="n">
        <v>475.4</v>
      </c>
      <c r="J23" t="n">
        <v>23779.15</v>
      </c>
    </row>
    <row r="24">
      <c r="B24" t="n">
        <v>2007</v>
      </c>
      <c r="C24" s="46" t="n">
        <v>0.5477</v>
      </c>
      <c r="G24" s="34" t="inlineStr">
        <is>
          <t>2026-09-04</t>
        </is>
      </c>
      <c r="H24" t="n">
        <v>482.7</v>
      </c>
      <c r="J24" t="n">
        <v>23897.7</v>
      </c>
      <c r="O24" t="inlineStr">
        <is>
          <t>Travel Food</t>
        </is>
      </c>
      <c r="Q24" t="inlineStr">
        <is>
          <t>India</t>
        </is>
      </c>
      <c r="R24" t="n">
        <v>245</v>
      </c>
      <c r="S24" t="n">
        <v>15911.9</v>
      </c>
      <c r="T24" s="46" t="n">
        <v>0.2517</v>
      </c>
    </row>
    <row r="25">
      <c r="B25" t="n">
        <v>2006</v>
      </c>
      <c r="C25" s="46" t="n">
        <v>0.3983</v>
      </c>
      <c r="G25" s="34" t="inlineStr">
        <is>
          <t>2026-09-03</t>
        </is>
      </c>
      <c r="H25" t="n">
        <v>482.9</v>
      </c>
      <c r="J25" t="n">
        <v>23873.45</v>
      </c>
      <c r="O25" t="inlineStr">
        <is>
          <t>Westlife Food</t>
        </is>
      </c>
      <c r="Q25">
        <f>Q24</f>
        <v/>
      </c>
      <c r="R25" t="n">
        <v>1805</v>
      </c>
      <c r="S25" t="n">
        <v>9169.799999999999</v>
      </c>
      <c r="T25" s="46">
        <f>T24</f>
        <v/>
      </c>
    </row>
    <row r="26">
      <c r="B26" t="n">
        <v>2005</v>
      </c>
      <c r="C26" s="46" t="n">
        <v>0.3634</v>
      </c>
      <c r="G26" s="34" t="inlineStr">
        <is>
          <t>2026-09-02</t>
        </is>
      </c>
      <c r="H26" t="n">
        <v>486.5</v>
      </c>
      <c r="J26" t="n">
        <v>23914.45</v>
      </c>
      <c r="O26" t="inlineStr">
        <is>
          <t>JUBILANT FOODWORKS LTD</t>
        </is>
      </c>
      <c r="Q26">
        <f>Q25</f>
        <v/>
      </c>
      <c r="R26" t="n">
        <v>4902</v>
      </c>
      <c r="S26" t="n">
        <v>29258</v>
      </c>
      <c r="T26" s="46">
        <f>T25</f>
        <v/>
      </c>
    </row>
    <row r="27">
      <c r="B27" t="n">
        <v>2004</v>
      </c>
      <c r="C27" s="46" t="n">
        <v>0.1068</v>
      </c>
      <c r="G27" s="34" t="inlineStr">
        <is>
          <t>2026-09-01</t>
        </is>
      </c>
      <c r="H27" t="n">
        <v>484.4</v>
      </c>
      <c r="J27" t="n">
        <v>24055.8</v>
      </c>
      <c r="O27" t="inlineStr">
        <is>
          <t>Sapphire Foods</t>
        </is>
      </c>
      <c r="Q27">
        <f>Q26</f>
        <v/>
      </c>
      <c r="R27" t="n">
        <v>1417</v>
      </c>
      <c r="S27" t="n">
        <v>6743.3</v>
      </c>
      <c r="T27" s="46">
        <f>T26</f>
        <v/>
      </c>
    </row>
    <row r="28">
      <c r="B28" t="n">
        <v>2003</v>
      </c>
      <c r="C28" s="46" t="n">
        <v>0.719</v>
      </c>
      <c r="G28" s="34" t="inlineStr">
        <is>
          <t>2026-08-31</t>
        </is>
      </c>
      <c r="H28" t="n">
        <v>496</v>
      </c>
      <c r="J28" t="n">
        <v>24080.4</v>
      </c>
      <c r="O28" t="inlineStr">
        <is>
          <t>ITC Hotels</t>
        </is>
      </c>
      <c r="Q28">
        <f>Q27</f>
        <v/>
      </c>
      <c r="R28" t="n">
        <v>2399</v>
      </c>
      <c r="S28" t="n">
        <v>33018.7</v>
      </c>
      <c r="T28" s="46">
        <f>T27</f>
        <v/>
      </c>
    </row>
    <row r="29">
      <c r="B29" t="n">
        <v>2002</v>
      </c>
      <c r="C29" s="46" t="n">
        <v>0.0325</v>
      </c>
      <c r="G29" s="34" t="inlineStr">
        <is>
          <t>2026-08-28</t>
        </is>
      </c>
      <c r="H29" t="n">
        <v>490.45</v>
      </c>
      <c r="J29" t="n">
        <v>24175.65</v>
      </c>
    </row>
    <row r="30">
      <c r="G30" s="34" t="inlineStr">
        <is>
          <t>2026-08-27</t>
        </is>
      </c>
      <c r="H30" t="n">
        <v>504</v>
      </c>
      <c r="J30" t="n">
        <v>24090.85</v>
      </c>
    </row>
    <row r="31">
      <c r="G31" s="34" t="inlineStr">
        <is>
          <t>2026-08-26</t>
        </is>
      </c>
      <c r="H31" t="n">
        <v>499.5</v>
      </c>
      <c r="J31" t="n">
        <v>24207.75</v>
      </c>
    </row>
    <row r="32">
      <c r="G32" s="34" t="inlineStr">
        <is>
          <t>2026-08-25</t>
        </is>
      </c>
      <c r="H32" t="n">
        <v>515</v>
      </c>
      <c r="J32" t="n">
        <v>24334.55</v>
      </c>
    </row>
    <row r="33">
      <c r="G33" s="34" t="inlineStr">
        <is>
          <t>2026-08-24</t>
        </is>
      </c>
      <c r="H33" t="n">
        <v>507.9</v>
      </c>
      <c r="J33" t="n">
        <v>24219.05</v>
      </c>
    </row>
    <row r="34">
      <c r="G34" s="34" t="inlineStr">
        <is>
          <t>2026-08-21</t>
        </is>
      </c>
      <c r="H34" t="n">
        <v>506.75</v>
      </c>
      <c r="J34" t="n">
        <v>24252</v>
      </c>
    </row>
    <row r="35">
      <c r="G35" s="34" t="inlineStr">
        <is>
          <t>2026-08-20</t>
        </is>
      </c>
      <c r="H35" t="n">
        <v>507.3</v>
      </c>
      <c r="J35" t="n">
        <v>24231.85</v>
      </c>
    </row>
    <row r="36">
      <c r="G36" s="34" t="inlineStr">
        <is>
          <t>2026-08-19</t>
        </is>
      </c>
      <c r="H36" t="n">
        <v>498.3</v>
      </c>
      <c r="J36" t="n">
        <v>24078.3</v>
      </c>
    </row>
    <row r="37">
      <c r="G37" s="34" t="inlineStr">
        <is>
          <t>2026-08-18</t>
        </is>
      </c>
      <c r="H37" t="n">
        <v>500.55</v>
      </c>
      <c r="J37" t="n">
        <v>24154.9</v>
      </c>
    </row>
    <row r="38">
      <c r="G38" s="34" t="inlineStr">
        <is>
          <t>2026-08-17</t>
        </is>
      </c>
      <c r="H38" t="n">
        <v>511.5</v>
      </c>
      <c r="J38" t="n">
        <v>24287.65</v>
      </c>
    </row>
    <row r="39">
      <c r="G39" s="34" t="inlineStr">
        <is>
          <t>2026-08-14</t>
        </is>
      </c>
      <c r="H39" t="n">
        <v>504.1</v>
      </c>
      <c r="J39" t="n">
        <v>24366</v>
      </c>
    </row>
    <row r="40">
      <c r="G40" s="34" t="inlineStr">
        <is>
          <t>2026-08-13</t>
        </is>
      </c>
      <c r="H40" t="n">
        <v>491.55</v>
      </c>
      <c r="J40" t="n">
        <v>24395.85</v>
      </c>
    </row>
    <row r="41">
      <c r="G41" s="34" t="inlineStr">
        <is>
          <t>2026-08-12</t>
        </is>
      </c>
      <c r="H41" t="n">
        <v>484.7</v>
      </c>
      <c r="J41" t="n">
        <v>24435.95</v>
      </c>
    </row>
    <row r="42">
      <c r="G42" s="34" t="inlineStr">
        <is>
          <t>2026-08-11</t>
        </is>
      </c>
      <c r="H42" t="n">
        <v>488.2</v>
      </c>
      <c r="J42" t="n">
        <v>24471.7</v>
      </c>
    </row>
    <row r="43">
      <c r="G43" s="34" t="inlineStr">
        <is>
          <t>2026-08-10</t>
        </is>
      </c>
      <c r="H43" t="n">
        <v>495</v>
      </c>
      <c r="J43" t="n">
        <v>24583.8</v>
      </c>
    </row>
    <row r="44">
      <c r="G44" s="34" t="inlineStr">
        <is>
          <t>2026-08-07</t>
        </is>
      </c>
      <c r="H44" t="n">
        <v>486.5</v>
      </c>
      <c r="J44" t="n">
        <v>24570.65</v>
      </c>
    </row>
    <row r="45">
      <c r="G45" s="34" t="inlineStr">
        <is>
          <t>2026-08-06</t>
        </is>
      </c>
      <c r="H45" t="n">
        <v>473</v>
      </c>
      <c r="J45" t="n">
        <v>24636</v>
      </c>
    </row>
    <row r="46">
      <c r="G46" s="34" t="inlineStr">
        <is>
          <t>2026-08-05</t>
        </is>
      </c>
      <c r="H46" t="n">
        <v>485</v>
      </c>
      <c r="J46" t="n">
        <v>24624.65</v>
      </c>
    </row>
    <row r="47">
      <c r="G47" s="34" t="inlineStr">
        <is>
          <t>2026-08-04</t>
        </is>
      </c>
      <c r="H47" t="n">
        <v>465</v>
      </c>
      <c r="J47" t="n">
        <v>24614.9</v>
      </c>
    </row>
    <row r="48">
      <c r="G48" s="34" t="inlineStr">
        <is>
          <t>2026-08-03</t>
        </is>
      </c>
      <c r="H48" t="n">
        <v>470</v>
      </c>
      <c r="J48" t="n">
        <v>24774.3</v>
      </c>
    </row>
    <row r="49">
      <c r="G49" s="34" t="inlineStr">
        <is>
          <t>2026-07-31</t>
        </is>
      </c>
      <c r="H49" t="n">
        <v>438.25</v>
      </c>
      <c r="J49" t="n">
        <v>24383.6</v>
      </c>
    </row>
    <row r="50">
      <c r="G50" s="34" t="inlineStr">
        <is>
          <t>2026-07-30</t>
        </is>
      </c>
      <c r="H50" t="n">
        <v>439.8</v>
      </c>
      <c r="J50" t="n">
        <v>24317.15</v>
      </c>
    </row>
    <row r="51">
      <c r="G51" s="34" t="inlineStr">
        <is>
          <t>2026-07-29</t>
        </is>
      </c>
      <c r="H51" t="n">
        <v>440.1</v>
      </c>
      <c r="J51" t="n">
        <v>24250.2</v>
      </c>
    </row>
    <row r="52">
      <c r="G52" s="34" t="inlineStr">
        <is>
          <t>2026-07-28</t>
        </is>
      </c>
      <c r="H52" t="n">
        <v>432.2</v>
      </c>
      <c r="J52" t="n">
        <v>23985.35</v>
      </c>
    </row>
    <row r="53">
      <c r="G53" s="34" t="inlineStr">
        <is>
          <t>2026-07-27</t>
        </is>
      </c>
      <c r="H53" t="n">
        <v>427.45</v>
      </c>
      <c r="J53" t="n">
        <v>23995.95</v>
      </c>
    </row>
    <row r="54">
      <c r="G54" s="34" t="inlineStr">
        <is>
          <t>2026-07-24</t>
        </is>
      </c>
      <c r="H54" t="n">
        <v>418.25</v>
      </c>
      <c r="J54" t="n">
        <v>23767.45</v>
      </c>
    </row>
    <row r="55">
      <c r="G55" s="34" t="inlineStr">
        <is>
          <t>2026-07-23</t>
        </is>
      </c>
      <c r="H55" t="n">
        <v>412.3</v>
      </c>
      <c r="J55" t="n">
        <v>23869.6</v>
      </c>
    </row>
    <row r="56">
      <c r="G56" s="34" t="inlineStr">
        <is>
          <t>2026-07-22</t>
        </is>
      </c>
      <c r="H56" t="n">
        <v>417.2</v>
      </c>
      <c r="J56" t="n">
        <v>23996.25</v>
      </c>
    </row>
    <row r="57">
      <c r="G57" s="34" t="inlineStr">
        <is>
          <t>2026-07-21</t>
        </is>
      </c>
      <c r="H57" t="n">
        <v>425.5</v>
      </c>
      <c r="J57" t="n">
        <v>24187.7</v>
      </c>
    </row>
    <row r="58">
      <c r="G58" s="34" t="inlineStr">
        <is>
          <t>2026-07-20</t>
        </is>
      </c>
      <c r="H58" t="n">
        <v>424.85</v>
      </c>
      <c r="J58" t="n">
        <v>24238.5</v>
      </c>
    </row>
    <row r="59">
      <c r="G59" s="34" t="inlineStr">
        <is>
          <t>2026-07-17</t>
        </is>
      </c>
      <c r="H59" t="n">
        <v>417.15</v>
      </c>
      <c r="J59" t="n">
        <v>24334.3</v>
      </c>
    </row>
    <row r="60">
      <c r="G60" s="34" t="inlineStr">
        <is>
          <t>2026-07-16</t>
        </is>
      </c>
      <c r="H60" t="n">
        <v>423.15</v>
      </c>
      <c r="J60" t="n">
        <v>24072.75</v>
      </c>
    </row>
    <row r="61">
      <c r="G61" s="34" t="inlineStr">
        <is>
          <t>2026-07-15</t>
        </is>
      </c>
      <c r="H61" t="n">
        <v>429.05</v>
      </c>
      <c r="J61" t="n">
        <v>24078.5</v>
      </c>
    </row>
    <row r="62">
      <c r="G62" s="34" t="inlineStr">
        <is>
          <t>2026-07-14</t>
        </is>
      </c>
      <c r="H62" t="n">
        <v>421.5</v>
      </c>
      <c r="J62" t="n">
        <v>24052.05</v>
      </c>
    </row>
    <row r="63">
      <c r="G63" s="34" t="inlineStr">
        <is>
          <t>2026-07-13</t>
        </is>
      </c>
      <c r="H63" t="n">
        <v>431.4</v>
      </c>
      <c r="J63" t="n">
        <v>24211</v>
      </c>
    </row>
    <row r="64">
      <c r="G64" s="34" t="inlineStr">
        <is>
          <t>2026-07-10</t>
        </is>
      </c>
      <c r="H64" t="n">
        <v>438.05</v>
      </c>
      <c r="J64" t="n">
        <v>24206.9</v>
      </c>
    </row>
    <row r="65">
      <c r="G65" s="34" t="inlineStr">
        <is>
          <t>2026-07-09</t>
        </is>
      </c>
      <c r="H65" t="n">
        <v>429.35</v>
      </c>
      <c r="J65" t="n">
        <v>23962.8</v>
      </c>
    </row>
    <row r="66">
      <c r="G66" s="34" t="inlineStr">
        <is>
          <t>2026-07-08</t>
        </is>
      </c>
      <c r="H66" t="n">
        <v>429.2</v>
      </c>
      <c r="J66" t="n">
        <v>23882.05</v>
      </c>
    </row>
    <row r="67">
      <c r="G67" s="34" t="inlineStr">
        <is>
          <t>2026-07-07</t>
        </is>
      </c>
      <c r="H67" t="n">
        <v>454.95</v>
      </c>
      <c r="J67" t="n">
        <v>24398.7</v>
      </c>
    </row>
    <row r="68">
      <c r="G68" s="34" t="inlineStr">
        <is>
          <t>2026-07-06</t>
        </is>
      </c>
      <c r="H68" t="n">
        <v>438.25</v>
      </c>
      <c r="J68" t="n">
        <v>24430.35</v>
      </c>
    </row>
    <row r="69">
      <c r="G69" s="34" t="inlineStr">
        <is>
          <t>2026-07-03</t>
        </is>
      </c>
      <c r="H69" t="n">
        <v>429.6</v>
      </c>
      <c r="J69" t="n">
        <v>24270.85</v>
      </c>
    </row>
    <row r="70">
      <c r="G70" s="34" t="inlineStr">
        <is>
          <t>2026-07-02</t>
        </is>
      </c>
      <c r="H70" t="n">
        <v>431.6</v>
      </c>
      <c r="J70" t="n">
        <v>24175.7</v>
      </c>
    </row>
    <row r="71">
      <c r="G71" s="34" t="inlineStr">
        <is>
          <t>2026-07-01</t>
        </is>
      </c>
      <c r="H71" t="n">
        <v>421.45</v>
      </c>
      <c r="J71" t="n">
        <v>24005.85</v>
      </c>
    </row>
    <row r="72">
      <c r="G72" s="34" t="inlineStr">
        <is>
          <t>2026-06-30</t>
        </is>
      </c>
      <c r="H72" t="n">
        <v>417.6</v>
      </c>
      <c r="J72" t="n">
        <v>23865.75</v>
      </c>
    </row>
    <row r="73">
      <c r="G73" s="34" t="inlineStr">
        <is>
          <t>2026-06-29</t>
        </is>
      </c>
      <c r="H73" t="n">
        <v>417.7</v>
      </c>
      <c r="J73" t="n">
        <v>23946.25</v>
      </c>
    </row>
    <row r="74">
      <c r="G74" s="34" t="inlineStr">
        <is>
          <t>2026-06-25</t>
        </is>
      </c>
      <c r="H74" t="n">
        <v>423.2</v>
      </c>
      <c r="J74" t="n">
        <v>24056</v>
      </c>
    </row>
    <row r="75">
      <c r="G75" s="34" t="inlineStr">
        <is>
          <t>2026-06-24</t>
        </is>
      </c>
      <c r="H75" t="n">
        <v>424.5</v>
      </c>
      <c r="J75" t="n">
        <v>24021.65</v>
      </c>
    </row>
    <row r="76">
      <c r="G76" s="34" t="inlineStr">
        <is>
          <t>2026-06-23</t>
        </is>
      </c>
      <c r="H76" t="n">
        <v>423.45</v>
      </c>
      <c r="J76" t="n">
        <v>23824.1</v>
      </c>
    </row>
    <row r="77">
      <c r="G77" s="34" t="inlineStr">
        <is>
          <t>2026-06-22</t>
        </is>
      </c>
      <c r="H77" t="n">
        <v>433.4</v>
      </c>
      <c r="J77" t="n">
        <v>24102.9</v>
      </c>
    </row>
    <row r="78">
      <c r="G78" s="34" t="inlineStr">
        <is>
          <t>2026-06-19</t>
        </is>
      </c>
      <c r="H78" t="n">
        <v>419</v>
      </c>
      <c r="J78" t="n">
        <v>24013.1</v>
      </c>
    </row>
    <row r="79">
      <c r="G79" s="34" t="inlineStr">
        <is>
          <t>2026-06-18</t>
        </is>
      </c>
      <c r="H79" t="n">
        <v>422.95</v>
      </c>
      <c r="J79" t="n">
        <v>24168</v>
      </c>
    </row>
    <row r="80">
      <c r="G80" s="34" t="inlineStr">
        <is>
          <t>2026-06-17</t>
        </is>
      </c>
      <c r="H80" t="n">
        <v>423.15</v>
      </c>
      <c r="J80" t="n">
        <v>24085.7</v>
      </c>
    </row>
    <row r="81">
      <c r="G81" s="34" t="inlineStr">
        <is>
          <t>2026-06-16</t>
        </is>
      </c>
      <c r="H81" t="n">
        <v>423.35</v>
      </c>
      <c r="J81" t="n">
        <v>23989.15</v>
      </c>
    </row>
    <row r="82">
      <c r="G82" s="34" t="inlineStr">
        <is>
          <t>2026-06-15</t>
        </is>
      </c>
      <c r="H82" t="n">
        <v>422.65</v>
      </c>
      <c r="J82" t="n">
        <v>23853.9</v>
      </c>
    </row>
    <row r="83">
      <c r="G83" s="34" t="inlineStr">
        <is>
          <t>2026-06-12</t>
        </is>
      </c>
      <c r="H83" t="n">
        <v>419.35</v>
      </c>
      <c r="J83" t="n">
        <v>23622.9</v>
      </c>
    </row>
    <row r="84">
      <c r="G84" s="34" t="inlineStr">
        <is>
          <t>2026-06-11</t>
        </is>
      </c>
      <c r="H84" t="n">
        <v>413.6</v>
      </c>
      <c r="J84" t="n">
        <v>23161.6</v>
      </c>
    </row>
    <row r="85">
      <c r="G85" s="34" t="inlineStr">
        <is>
          <t>2026-06-10</t>
        </is>
      </c>
      <c r="H85" t="n">
        <v>425.05</v>
      </c>
      <c r="J85" t="n">
        <v>23214.95</v>
      </c>
    </row>
    <row r="86">
      <c r="G86" s="34" t="inlineStr">
        <is>
          <t>2026-06-09</t>
        </is>
      </c>
      <c r="H86" t="n">
        <v>422.8</v>
      </c>
      <c r="J86" t="n">
        <v>23242.1</v>
      </c>
    </row>
    <row r="87">
      <c r="G87" s="34" t="inlineStr">
        <is>
          <t>2026-06-08</t>
        </is>
      </c>
      <c r="H87" t="n">
        <v>414.6</v>
      </c>
      <c r="J87" t="n">
        <v>23123</v>
      </c>
    </row>
    <row r="88">
      <c r="G88" s="34" t="inlineStr">
        <is>
          <t>2026-06-05</t>
        </is>
      </c>
      <c r="H88" t="n">
        <v>427.2</v>
      </c>
      <c r="J88" t="n">
        <v>23366.7</v>
      </c>
    </row>
    <row r="89">
      <c r="G89" s="34" t="inlineStr">
        <is>
          <t>2026-06-04</t>
        </is>
      </c>
      <c r="H89" t="n">
        <v>430.3</v>
      </c>
      <c r="J89" t="n">
        <v>23416.55</v>
      </c>
    </row>
    <row r="90">
      <c r="G90" s="34" t="inlineStr">
        <is>
          <t>2026-06-03</t>
        </is>
      </c>
      <c r="H90" t="n">
        <v>432.3</v>
      </c>
      <c r="J90" t="n">
        <v>23405.6</v>
      </c>
    </row>
    <row r="91">
      <c r="G91" s="34" t="inlineStr">
        <is>
          <t>2026-06-02</t>
        </is>
      </c>
      <c r="H91" t="n">
        <v>430.7</v>
      </c>
      <c r="J91" t="n">
        <v>23483.55</v>
      </c>
    </row>
    <row r="92">
      <c r="G92" s="34" t="inlineStr">
        <is>
          <t>2026-06-01</t>
        </is>
      </c>
      <c r="H92" t="n">
        <v>423.7</v>
      </c>
      <c r="J92" t="n">
        <v>23382.6</v>
      </c>
    </row>
    <row r="93">
      <c r="G93" s="34" t="inlineStr">
        <is>
          <t>2026-05-29</t>
        </is>
      </c>
      <c r="H93" t="n">
        <v>427.5</v>
      </c>
      <c r="J93" t="n">
        <v>23547.75</v>
      </c>
    </row>
    <row r="94">
      <c r="G94" s="34" t="inlineStr">
        <is>
          <t>2026-05-27</t>
        </is>
      </c>
      <c r="H94" t="n">
        <v>427.3</v>
      </c>
      <c r="J94" t="n">
        <v>23907.15</v>
      </c>
    </row>
    <row r="95">
      <c r="G95" s="34" t="inlineStr">
        <is>
          <t>2026-05-26</t>
        </is>
      </c>
      <c r="H95" t="n">
        <v>430.05</v>
      </c>
      <c r="J95" t="n">
        <v>23913.7</v>
      </c>
    </row>
    <row r="96">
      <c r="G96" s="34" t="inlineStr">
        <is>
          <t>2026-05-25</t>
        </is>
      </c>
      <c r="H96" t="n">
        <v>438.75</v>
      </c>
      <c r="J96" t="n">
        <v>24031.7</v>
      </c>
    </row>
    <row r="97">
      <c r="G97" s="34" t="inlineStr">
        <is>
          <t>2026-05-22</t>
        </is>
      </c>
      <c r="H97" t="n">
        <v>436.65</v>
      </c>
      <c r="J97" t="n">
        <v>23719.3</v>
      </c>
    </row>
    <row r="98">
      <c r="G98" s="34" t="inlineStr">
        <is>
          <t>2026-05-21</t>
        </is>
      </c>
      <c r="H98" t="n">
        <v>435.65</v>
      </c>
      <c r="J98" t="n">
        <v>23654.7</v>
      </c>
    </row>
    <row r="99">
      <c r="G99" s="34" t="inlineStr">
        <is>
          <t>2026-05-20</t>
        </is>
      </c>
      <c r="H99" t="n">
        <v>472.55</v>
      </c>
      <c r="J99" t="n">
        <v>23659</v>
      </c>
    </row>
    <row r="100">
      <c r="G100" s="34" t="inlineStr">
        <is>
          <t>2026-05-19</t>
        </is>
      </c>
      <c r="H100" t="n">
        <v>473</v>
      </c>
      <c r="J100" t="n">
        <v>23618</v>
      </c>
    </row>
    <row r="101">
      <c r="G101" s="34" t="inlineStr">
        <is>
          <t>2026-05-18</t>
        </is>
      </c>
      <c r="H101" t="n">
        <v>456.95</v>
      </c>
      <c r="J101" t="n">
        <v>23649.95</v>
      </c>
    </row>
    <row r="102">
      <c r="G102" s="34" t="inlineStr">
        <is>
          <t>2026-05-15</t>
        </is>
      </c>
      <c r="H102" t="n">
        <v>461.35</v>
      </c>
      <c r="J102" t="n">
        <v>23643.5</v>
      </c>
    </row>
    <row r="103">
      <c r="G103" s="34" t="inlineStr">
        <is>
          <t>2026-05-14</t>
        </is>
      </c>
      <c r="H103" t="n">
        <v>460.45</v>
      </c>
      <c r="J103" t="n">
        <v>23689.6</v>
      </c>
    </row>
    <row r="104">
      <c r="G104" s="34" t="inlineStr">
        <is>
          <t>2026-05-13</t>
        </is>
      </c>
      <c r="H104" t="n">
        <v>448.4</v>
      </c>
      <c r="J104" t="n">
        <v>23412.6</v>
      </c>
    </row>
    <row r="105">
      <c r="G105" s="34" t="inlineStr">
        <is>
          <t>2026-05-12</t>
        </is>
      </c>
      <c r="H105" t="n">
        <v>442.15</v>
      </c>
      <c r="J105" t="n">
        <v>23379.55</v>
      </c>
    </row>
    <row r="106">
      <c r="G106" s="34" t="inlineStr">
        <is>
          <t>2026-05-11</t>
        </is>
      </c>
      <c r="H106" t="n">
        <v>460.5</v>
      </c>
      <c r="J106" t="n">
        <v>23815.85</v>
      </c>
    </row>
    <row r="107">
      <c r="G107" s="34" t="inlineStr">
        <is>
          <t>2026-05-08</t>
        </is>
      </c>
      <c r="H107" t="n">
        <v>473.3</v>
      </c>
      <c r="J107" t="n">
        <v>24176.15</v>
      </c>
    </row>
    <row r="108">
      <c r="G108" s="34" t="inlineStr">
        <is>
          <t>2026-05-07</t>
        </is>
      </c>
      <c r="H108" t="n">
        <v>479</v>
      </c>
      <c r="J108" t="n">
        <v>24326.65</v>
      </c>
    </row>
    <row r="109">
      <c r="G109" s="34" t="inlineStr">
        <is>
          <t>2026-05-06</t>
        </is>
      </c>
      <c r="H109" t="n">
        <v>471.25</v>
      </c>
      <c r="J109" t="n">
        <v>24330.95</v>
      </c>
    </row>
    <row r="110">
      <c r="G110" s="34" t="inlineStr">
        <is>
          <t>2026-05-05</t>
        </is>
      </c>
      <c r="H110" t="n">
        <v>465.35</v>
      </c>
      <c r="J110" t="n">
        <v>24032.8</v>
      </c>
    </row>
    <row r="111">
      <c r="G111" s="34" t="inlineStr">
        <is>
          <t>2026-05-04</t>
        </is>
      </c>
      <c r="H111" t="n">
        <v>476.4</v>
      </c>
      <c r="J111" t="n">
        <v>24119.3</v>
      </c>
    </row>
    <row r="112">
      <c r="G112" s="34" t="inlineStr">
        <is>
          <t>2026-04-30</t>
        </is>
      </c>
      <c r="H112" t="n">
        <v>478.6</v>
      </c>
      <c r="J112" t="n">
        <v>23997.55</v>
      </c>
    </row>
    <row r="113">
      <c r="G113" s="34" t="inlineStr">
        <is>
          <t>2026-04-29</t>
        </is>
      </c>
      <c r="H113" t="n">
        <v>485.4</v>
      </c>
      <c r="J113" t="n">
        <v>24177.65</v>
      </c>
    </row>
    <row r="114">
      <c r="G114" s="34" t="inlineStr">
        <is>
          <t>2026-04-28</t>
        </is>
      </c>
      <c r="H114" t="n">
        <v>482.4</v>
      </c>
      <c r="J114" t="n">
        <v>23995.7</v>
      </c>
    </row>
    <row r="115">
      <c r="G115" s="34" t="inlineStr">
        <is>
          <t>2026-04-27</t>
        </is>
      </c>
      <c r="H115" t="n">
        <v>485.1</v>
      </c>
      <c r="J115" t="n">
        <v>24092.7</v>
      </c>
    </row>
    <row r="116">
      <c r="G116" s="34" t="inlineStr">
        <is>
          <t>2026-04-24</t>
        </is>
      </c>
      <c r="H116" t="n">
        <v>491.95</v>
      </c>
      <c r="J116" t="n">
        <v>23897.95</v>
      </c>
    </row>
    <row r="117">
      <c r="G117" s="34" t="inlineStr">
        <is>
          <t>2026-04-23</t>
        </is>
      </c>
      <c r="H117" t="n">
        <v>492.85</v>
      </c>
      <c r="J117" t="n">
        <v>24173.05</v>
      </c>
    </row>
    <row r="118">
      <c r="G118" s="34" t="inlineStr">
        <is>
          <t>2026-04-22</t>
        </is>
      </c>
      <c r="H118" t="n">
        <v>493.1</v>
      </c>
      <c r="J118" t="n">
        <v>24378.1</v>
      </c>
    </row>
    <row r="119">
      <c r="G119" s="34" t="inlineStr">
        <is>
          <t>2026-04-21</t>
        </is>
      </c>
      <c r="H119" t="n">
        <v>471.9</v>
      </c>
      <c r="J119" t="n">
        <v>24576.6</v>
      </c>
    </row>
    <row r="120">
      <c r="G120" s="34" t="inlineStr">
        <is>
          <t>2026-04-20</t>
        </is>
      </c>
      <c r="H120" t="n">
        <v>456.15</v>
      </c>
      <c r="J120" t="n">
        <v>24364.85</v>
      </c>
    </row>
    <row r="121">
      <c r="G121" s="34" t="inlineStr">
        <is>
          <t>2026-04-17</t>
        </is>
      </c>
      <c r="H121" t="n">
        <v>458.95</v>
      </c>
      <c r="J121" t="n">
        <v>24353.55</v>
      </c>
    </row>
    <row r="122">
      <c r="G122" s="34" t="inlineStr">
        <is>
          <t>2026-04-16</t>
        </is>
      </c>
      <c r="H122" t="n">
        <v>459.65</v>
      </c>
      <c r="J122" t="n">
        <v>24196.75</v>
      </c>
    </row>
    <row r="123">
      <c r="G123" s="34" t="inlineStr">
        <is>
          <t>2026-04-15</t>
        </is>
      </c>
      <c r="H123" t="n">
        <v>454.85</v>
      </c>
      <c r="J123" t="n">
        <v>24231.3</v>
      </c>
    </row>
    <row r="124">
      <c r="G124" s="34" t="inlineStr">
        <is>
          <t>2026-04-13</t>
        </is>
      </c>
      <c r="H124" t="n">
        <v>437.9</v>
      </c>
      <c r="J124" t="n">
        <v>23842.65</v>
      </c>
    </row>
    <row r="125">
      <c r="G125" s="34" t="inlineStr">
        <is>
          <t>2026-04-10</t>
        </is>
      </c>
      <c r="H125" t="n">
        <v>445</v>
      </c>
      <c r="J125" t="n">
        <v>24050.6</v>
      </c>
    </row>
    <row r="126">
      <c r="G126" s="34" t="inlineStr">
        <is>
          <t>2026-04-09</t>
        </is>
      </c>
      <c r="H126" t="n">
        <v>427.85</v>
      </c>
      <c r="J126" t="n">
        <v>23775.1</v>
      </c>
    </row>
    <row r="127">
      <c r="G127" s="34" t="inlineStr">
        <is>
          <t>2026-04-08</t>
        </is>
      </c>
      <c r="H127" t="n">
        <v>435.75</v>
      </c>
      <c r="J127" t="n">
        <v>23997.35</v>
      </c>
    </row>
    <row r="128">
      <c r="G128" s="34" t="inlineStr">
        <is>
          <t>2026-04-07</t>
        </is>
      </c>
      <c r="H128" t="n">
        <v>413.15</v>
      </c>
      <c r="J128" t="n">
        <v>23123.65</v>
      </c>
    </row>
    <row r="129">
      <c r="G129" s="34" t="inlineStr">
        <is>
          <t>2026-04-06</t>
        </is>
      </c>
      <c r="H129" t="n">
        <v>461.1</v>
      </c>
      <c r="J129" t="n">
        <v>22968.25</v>
      </c>
    </row>
    <row r="130">
      <c r="G130" s="34" t="inlineStr">
        <is>
          <t>2026-04-02</t>
        </is>
      </c>
      <c r="H130" t="n">
        <v>446.55</v>
      </c>
      <c r="J130" t="n">
        <v>22713.1</v>
      </c>
    </row>
    <row r="131">
      <c r="G131" s="34" t="inlineStr">
        <is>
          <t>2026-04-01</t>
        </is>
      </c>
      <c r="H131" t="n">
        <v>443.7</v>
      </c>
      <c r="J131" t="n">
        <v>22679.4</v>
      </c>
    </row>
    <row r="132">
      <c r="G132" s="34" t="inlineStr">
        <is>
          <t>2026-03-30</t>
        </is>
      </c>
      <c r="H132" t="n">
        <v>434.1</v>
      </c>
      <c r="J132" t="n">
        <v>22331.4</v>
      </c>
    </row>
    <row r="133">
      <c r="G133" s="34" t="inlineStr">
        <is>
          <t>2026-03-27</t>
        </is>
      </c>
      <c r="H133" t="n">
        <v>454.35</v>
      </c>
      <c r="J133" t="n">
        <v>22819.6</v>
      </c>
    </row>
    <row r="134">
      <c r="G134" s="34" t="inlineStr">
        <is>
          <t>2026-03-25</t>
        </is>
      </c>
      <c r="H134" t="n">
        <v>462.35</v>
      </c>
      <c r="J134" t="n">
        <v>23306.45</v>
      </c>
    </row>
    <row r="135">
      <c r="G135" s="34" t="inlineStr">
        <is>
          <t>2026-03-24</t>
        </is>
      </c>
      <c r="H135" t="n">
        <v>448.6</v>
      </c>
      <c r="J135" t="n">
        <v>22912.4</v>
      </c>
    </row>
    <row r="136">
      <c r="G136" s="34" t="inlineStr">
        <is>
          <t>2026-03-23</t>
        </is>
      </c>
      <c r="H136" t="n">
        <v>438.05</v>
      </c>
      <c r="J136" t="n">
        <v>22512.65</v>
      </c>
    </row>
    <row r="137">
      <c r="G137" s="34" t="inlineStr">
        <is>
          <t>2026-03-20</t>
        </is>
      </c>
      <c r="H137" t="n">
        <v>451.55</v>
      </c>
      <c r="J137" t="n">
        <v>23114.5</v>
      </c>
    </row>
    <row r="138">
      <c r="G138" s="34" t="inlineStr">
        <is>
          <t>2026-03-19</t>
        </is>
      </c>
      <c r="H138" t="n">
        <v>454.2</v>
      </c>
      <c r="J138" t="n">
        <v>23002.15</v>
      </c>
    </row>
    <row r="139">
      <c r="G139" s="34" t="inlineStr">
        <is>
          <t>2026-03-18</t>
        </is>
      </c>
      <c r="H139" t="n">
        <v>477.95</v>
      </c>
      <c r="J139" t="n">
        <v>23777.8</v>
      </c>
    </row>
    <row r="140">
      <c r="G140" s="34" t="inlineStr">
        <is>
          <t>2026-03-17</t>
        </is>
      </c>
      <c r="H140" t="n">
        <v>465.75</v>
      </c>
      <c r="J140" t="n">
        <v>23581.15</v>
      </c>
    </row>
    <row r="141">
      <c r="G141" s="34" t="inlineStr">
        <is>
          <t>2026-03-16</t>
        </is>
      </c>
      <c r="H141" t="n">
        <v>467.8</v>
      </c>
      <c r="J141" t="n">
        <v>23408.8</v>
      </c>
    </row>
    <row r="142">
      <c r="G142" s="34" t="inlineStr">
        <is>
          <t>2026-03-13</t>
        </is>
      </c>
      <c r="H142" t="n">
        <v>458.15</v>
      </c>
      <c r="J142" t="n">
        <v>23151.1</v>
      </c>
    </row>
    <row r="143">
      <c r="G143" s="34" t="inlineStr">
        <is>
          <t>2026-03-12</t>
        </is>
      </c>
      <c r="H143" t="n">
        <v>461.75</v>
      </c>
      <c r="J143" t="n">
        <v>23639.15</v>
      </c>
    </row>
    <row r="144">
      <c r="G144" s="34" t="inlineStr">
        <is>
          <t>2026-03-11</t>
        </is>
      </c>
      <c r="H144" t="n">
        <v>473.25</v>
      </c>
      <c r="J144" t="n">
        <v>23866.85</v>
      </c>
    </row>
    <row r="145">
      <c r="G145" s="34" t="inlineStr">
        <is>
          <t>2026-03-10</t>
        </is>
      </c>
      <c r="H145" t="n">
        <v>482.35</v>
      </c>
      <c r="J145" t="n">
        <v>24261.6</v>
      </c>
    </row>
    <row r="146">
      <c r="G146" s="34" t="inlineStr">
        <is>
          <t>2026-03-09</t>
        </is>
      </c>
      <c r="H146" t="n">
        <v>488.65</v>
      </c>
      <c r="J146" t="n">
        <v>24028.05</v>
      </c>
    </row>
    <row r="147">
      <c r="G147" s="34" t="inlineStr">
        <is>
          <t>2026-03-06</t>
        </is>
      </c>
      <c r="H147" t="n">
        <v>492</v>
      </c>
      <c r="J147" t="n">
        <v>24450.45</v>
      </c>
    </row>
    <row r="148">
      <c r="G148" s="34" t="inlineStr">
        <is>
          <t>2026-03-05</t>
        </is>
      </c>
      <c r="H148" t="n">
        <v>500.5</v>
      </c>
      <c r="J148" t="n">
        <v>24765.9</v>
      </c>
    </row>
    <row r="149">
      <c r="G149" s="34" t="inlineStr">
        <is>
          <t>2026-03-04</t>
        </is>
      </c>
      <c r="H149" t="n">
        <v>499.5</v>
      </c>
      <c r="J149" t="n">
        <v>24480.5</v>
      </c>
    </row>
    <row r="150">
      <c r="G150" s="34" t="inlineStr">
        <is>
          <t>2026-03-02</t>
        </is>
      </c>
      <c r="H150" t="n">
        <v>505.65</v>
      </c>
      <c r="J150" t="n">
        <v>24865.7</v>
      </c>
    </row>
    <row r="151">
      <c r="G151" s="34" t="inlineStr">
        <is>
          <t>2026-02-27</t>
        </is>
      </c>
      <c r="H151" t="n">
        <v>519.9</v>
      </c>
      <c r="J151" t="n">
        <v>25178.65</v>
      </c>
    </row>
    <row r="152">
      <c r="G152" s="34" t="inlineStr">
        <is>
          <t>2026-02-26</t>
        </is>
      </c>
      <c r="H152" t="n">
        <v>516.15</v>
      </c>
      <c r="J152" t="n">
        <v>25496.55</v>
      </c>
    </row>
    <row r="153">
      <c r="G153" s="34" t="inlineStr">
        <is>
          <t>2026-02-25</t>
        </is>
      </c>
      <c r="H153" t="n">
        <v>517.95</v>
      </c>
      <c r="J153" t="n">
        <v>25482.5</v>
      </c>
    </row>
    <row r="154">
      <c r="G154" s="34" t="inlineStr">
        <is>
          <t>2026-02-24</t>
        </is>
      </c>
      <c r="H154" t="n">
        <v>518.9</v>
      </c>
      <c r="J154" t="n">
        <v>25424.65</v>
      </c>
    </row>
    <row r="155">
      <c r="G155" s="34" t="inlineStr">
        <is>
          <t>2026-02-23</t>
        </is>
      </c>
      <c r="H155" t="n">
        <v>536.1</v>
      </c>
      <c r="J155" t="n">
        <v>25713</v>
      </c>
    </row>
    <row r="156">
      <c r="G156" s="34" t="inlineStr">
        <is>
          <t>2026-02-20</t>
        </is>
      </c>
      <c r="H156" t="n">
        <v>532.4</v>
      </c>
      <c r="J156" t="n">
        <v>25571.25</v>
      </c>
    </row>
    <row r="157">
      <c r="G157" s="34" t="inlineStr">
        <is>
          <t>2026-02-19</t>
        </is>
      </c>
      <c r="H157" t="n">
        <v>524.75</v>
      </c>
      <c r="J157" t="n">
        <v>25454.35</v>
      </c>
    </row>
    <row r="158">
      <c r="G158" s="34" t="inlineStr">
        <is>
          <t>2026-02-18</t>
        </is>
      </c>
      <c r="H158" t="n">
        <v>524.05</v>
      </c>
      <c r="J158" t="n">
        <v>25819.35</v>
      </c>
    </row>
    <row r="159">
      <c r="G159" s="34" t="inlineStr">
        <is>
          <t>2026-02-17</t>
        </is>
      </c>
      <c r="H159" t="n">
        <v>530.95</v>
      </c>
      <c r="J159" t="n">
        <v>25725.4</v>
      </c>
    </row>
    <row r="160">
      <c r="G160" s="34" t="inlineStr">
        <is>
          <t>2026-02-16</t>
        </is>
      </c>
      <c r="H160" t="n">
        <v>534.55</v>
      </c>
      <c r="J160" t="n">
        <v>25682.75</v>
      </c>
    </row>
    <row r="161">
      <c r="G161" s="34" t="inlineStr">
        <is>
          <t>2026-02-13</t>
        </is>
      </c>
      <c r="H161" t="n">
        <v>533.1</v>
      </c>
      <c r="J161" t="n">
        <v>25471.1</v>
      </c>
    </row>
    <row r="162">
      <c r="G162" s="34" t="inlineStr">
        <is>
          <t>2026-02-12</t>
        </is>
      </c>
      <c r="H162" t="n">
        <v>540.75</v>
      </c>
      <c r="J162" t="n">
        <v>25807.2</v>
      </c>
    </row>
    <row r="163">
      <c r="G163" s="34" t="inlineStr">
        <is>
          <t>2026-02-11</t>
        </is>
      </c>
      <c r="H163" t="n">
        <v>547</v>
      </c>
      <c r="J163" t="n">
        <v>25953.85</v>
      </c>
    </row>
    <row r="164">
      <c r="G164" s="34" t="inlineStr">
        <is>
          <t>2026-02-10</t>
        </is>
      </c>
      <c r="H164" t="n">
        <v>554.45</v>
      </c>
      <c r="J164" t="n">
        <v>25935.15</v>
      </c>
    </row>
    <row r="165">
      <c r="G165" s="34" t="inlineStr">
        <is>
          <t>2026-02-09</t>
        </is>
      </c>
      <c r="H165" t="n">
        <v>548.35</v>
      </c>
      <c r="J165" t="n">
        <v>25867.3</v>
      </c>
    </row>
    <row r="166">
      <c r="G166" s="34" t="inlineStr">
        <is>
          <t>2026-02-06</t>
        </is>
      </c>
      <c r="H166" t="n">
        <v>544.25</v>
      </c>
      <c r="J166" t="n">
        <v>25693.7</v>
      </c>
    </row>
    <row r="167">
      <c r="G167" s="34" t="inlineStr">
        <is>
          <t>2026-02-05</t>
        </is>
      </c>
      <c r="H167" t="n">
        <v>545.1</v>
      </c>
      <c r="J167" t="n">
        <v>25642.8</v>
      </c>
    </row>
    <row r="168">
      <c r="G168" s="34" t="inlineStr">
        <is>
          <t>2026-02-04</t>
        </is>
      </c>
      <c r="H168" t="n">
        <v>516.6</v>
      </c>
      <c r="J168" t="n">
        <v>25776</v>
      </c>
    </row>
    <row r="169">
      <c r="G169" s="34" t="inlineStr">
        <is>
          <t>2026-02-03</t>
        </is>
      </c>
      <c r="H169" t="n">
        <v>506.5</v>
      </c>
      <c r="J169" t="n">
        <v>25727.55</v>
      </c>
    </row>
    <row r="170">
      <c r="G170" s="34" t="inlineStr">
        <is>
          <t>2026-02-02</t>
        </is>
      </c>
      <c r="H170" t="n">
        <v>496.45</v>
      </c>
      <c r="J170" t="n">
        <v>25088.4</v>
      </c>
    </row>
    <row r="171">
      <c r="G171" s="34" t="inlineStr">
        <is>
          <t>2026-02-01</t>
        </is>
      </c>
      <c r="H171" t="n">
        <v>492.3</v>
      </c>
      <c r="J171" t="n">
        <v>25320.65</v>
      </c>
    </row>
    <row r="172">
      <c r="G172" s="34" t="inlineStr">
        <is>
          <t>2026-01-30</t>
        </is>
      </c>
      <c r="H172" t="n">
        <v>497.05</v>
      </c>
      <c r="J172" t="n">
        <v>25320.65</v>
      </c>
    </row>
    <row r="173">
      <c r="G173" s="34" t="inlineStr">
        <is>
          <t>2026-01-29</t>
        </is>
      </c>
      <c r="H173" t="n">
        <v>488.4</v>
      </c>
      <c r="J173" t="n">
        <v>25418.9</v>
      </c>
    </row>
    <row r="174">
      <c r="G174" s="34" t="inlineStr">
        <is>
          <t>2026-01-28</t>
        </is>
      </c>
      <c r="H174" t="n">
        <v>493.65</v>
      </c>
      <c r="J174" t="n">
        <v>25342.75</v>
      </c>
    </row>
    <row r="175">
      <c r="G175" s="34" t="inlineStr">
        <is>
          <t>2026-01-27</t>
        </is>
      </c>
      <c r="H175" t="n">
        <v>488.3</v>
      </c>
      <c r="J175" t="n">
        <v>25175.4</v>
      </c>
    </row>
    <row r="176">
      <c r="G176" s="34" t="inlineStr">
        <is>
          <t>2026-01-23</t>
        </is>
      </c>
      <c r="H176" t="n">
        <v>492.6</v>
      </c>
      <c r="J176" t="n">
        <v>25048.65</v>
      </c>
    </row>
    <row r="177">
      <c r="G177" s="34" t="inlineStr">
        <is>
          <t>2026-01-22</t>
        </is>
      </c>
      <c r="H177" t="n">
        <v>501</v>
      </c>
      <c r="J177" t="n">
        <v>25289.9</v>
      </c>
    </row>
    <row r="178">
      <c r="G178" s="34" t="inlineStr">
        <is>
          <t>2026-01-21</t>
        </is>
      </c>
      <c r="H178" t="n">
        <v>507.5</v>
      </c>
      <c r="J178" t="n">
        <v>25157.5</v>
      </c>
    </row>
    <row r="179">
      <c r="G179" s="34" t="inlineStr">
        <is>
          <t>2026-01-20</t>
        </is>
      </c>
      <c r="H179" t="n">
        <v>506.8</v>
      </c>
      <c r="J179" t="n">
        <v>25232.5</v>
      </c>
    </row>
    <row r="180">
      <c r="G180" s="34" t="inlineStr">
        <is>
          <t>2026-01-19</t>
        </is>
      </c>
      <c r="H180" t="n">
        <v>517.3</v>
      </c>
      <c r="J180" t="n">
        <v>25585.5</v>
      </c>
    </row>
    <row r="181">
      <c r="G181" s="34" t="inlineStr">
        <is>
          <t>2026-01-16</t>
        </is>
      </c>
      <c r="H181" t="n">
        <v>527.8</v>
      </c>
      <c r="J181" t="n">
        <v>25694.35</v>
      </c>
    </row>
    <row r="182">
      <c r="G182" s="34" t="inlineStr">
        <is>
          <t>2026-01-14</t>
        </is>
      </c>
      <c r="H182" t="n">
        <v>529.3</v>
      </c>
      <c r="J182" t="n">
        <v>25665.6</v>
      </c>
    </row>
    <row r="183">
      <c r="G183" s="34" t="inlineStr">
        <is>
          <t>2026-01-13</t>
        </is>
      </c>
      <c r="H183" t="n">
        <v>528</v>
      </c>
      <c r="J183" t="n">
        <v>25732.3</v>
      </c>
    </row>
    <row r="184">
      <c r="G184" s="34" t="inlineStr">
        <is>
          <t>2026-01-12</t>
        </is>
      </c>
      <c r="H184" t="n">
        <v>523.6</v>
      </c>
      <c r="J184" t="n">
        <v>25790.25</v>
      </c>
    </row>
    <row r="185">
      <c r="G185" s="34" t="inlineStr">
        <is>
          <t>2026-01-09</t>
        </is>
      </c>
      <c r="H185" t="n">
        <v>521.75</v>
      </c>
      <c r="J185" t="n">
        <v>25683.3</v>
      </c>
    </row>
    <row r="186">
      <c r="G186" s="34" t="inlineStr">
        <is>
          <t>2026-01-08</t>
        </is>
      </c>
      <c r="H186" t="n">
        <v>525.95</v>
      </c>
      <c r="J186" t="n">
        <v>25876.85</v>
      </c>
    </row>
    <row r="187">
      <c r="G187" s="34" t="inlineStr">
        <is>
          <t>2026-01-07</t>
        </is>
      </c>
      <c r="H187" t="n">
        <v>537.4</v>
      </c>
      <c r="J187" t="n">
        <v>26140.75</v>
      </c>
    </row>
    <row r="188">
      <c r="G188" s="34" t="inlineStr">
        <is>
          <t>2026-01-06</t>
        </is>
      </c>
      <c r="H188" t="n">
        <v>546.5</v>
      </c>
      <c r="J188" t="n">
        <v>26178.7</v>
      </c>
    </row>
    <row r="189">
      <c r="G189" s="34" t="inlineStr">
        <is>
          <t>2026-01-05</t>
        </is>
      </c>
      <c r="H189" t="n">
        <v>539.05</v>
      </c>
      <c r="J189" t="n">
        <v>26250.3</v>
      </c>
    </row>
    <row r="190">
      <c r="G190" s="34" t="inlineStr">
        <is>
          <t>2026-01-02</t>
        </is>
      </c>
      <c r="H190" t="n">
        <v>552.95</v>
      </c>
      <c r="J190" t="n">
        <v>26328.55</v>
      </c>
    </row>
    <row r="191">
      <c r="G191" s="34" t="inlineStr">
        <is>
          <t>2026-01-01</t>
        </is>
      </c>
      <c r="H191" t="n">
        <v>553.15</v>
      </c>
      <c r="J191" t="n">
        <v>26146.55</v>
      </c>
    </row>
    <row r="192">
      <c r="G192" s="34" t="inlineStr">
        <is>
          <t>2025-12-31</t>
        </is>
      </c>
      <c r="H192" t="n">
        <v>558.6</v>
      </c>
      <c r="J192" t="n">
        <v>26129.6</v>
      </c>
    </row>
    <row r="193">
      <c r="G193" s="34" t="inlineStr">
        <is>
          <t>2025-12-30</t>
        </is>
      </c>
      <c r="H193" t="n">
        <v>558.3</v>
      </c>
      <c r="J193" t="n">
        <v>25938.85</v>
      </c>
    </row>
    <row r="194">
      <c r="G194" s="34" t="inlineStr">
        <is>
          <t>2025-12-29</t>
        </is>
      </c>
      <c r="H194" t="n">
        <v>563.6</v>
      </c>
      <c r="J194" t="n">
        <v>25942.1</v>
      </c>
    </row>
    <row r="195">
      <c r="G195" s="34" t="inlineStr">
        <is>
          <t>2025-12-26</t>
        </is>
      </c>
      <c r="H195" t="n">
        <v>559.8</v>
      </c>
      <c r="J195" t="n">
        <v>26042.3</v>
      </c>
    </row>
    <row r="196">
      <c r="G196" s="34" t="inlineStr">
        <is>
          <t>2025-12-24</t>
        </is>
      </c>
      <c r="H196" t="n">
        <v>563.65</v>
      </c>
      <c r="J196" t="n">
        <v>26142.1</v>
      </c>
    </row>
    <row r="197">
      <c r="G197" s="34" t="inlineStr">
        <is>
          <t>2025-12-23</t>
        </is>
      </c>
      <c r="H197" t="n">
        <v>566.35</v>
      </c>
      <c r="J197" t="n">
        <v>26177.15</v>
      </c>
    </row>
    <row r="198">
      <c r="G198" s="34" t="inlineStr">
        <is>
          <t>2025-12-22</t>
        </is>
      </c>
      <c r="H198" t="n">
        <v>568.5</v>
      </c>
      <c r="J198" t="n">
        <v>26172.4</v>
      </c>
    </row>
    <row r="199">
      <c r="G199" s="34" t="inlineStr">
        <is>
          <t>2025-12-19</t>
        </is>
      </c>
      <c r="H199" t="n">
        <v>563.7</v>
      </c>
      <c r="J199" t="n">
        <v>25966.4</v>
      </c>
    </row>
    <row r="200">
      <c r="G200" s="34" t="inlineStr">
        <is>
          <t>2025-12-18</t>
        </is>
      </c>
      <c r="H200" t="n">
        <v>558.7</v>
      </c>
      <c r="J200" t="n">
        <v>25815.55</v>
      </c>
    </row>
    <row r="201">
      <c r="G201" s="34" t="inlineStr">
        <is>
          <t>2025-12-17</t>
        </is>
      </c>
      <c r="H201" t="n">
        <v>554.05</v>
      </c>
      <c r="J201" t="n">
        <v>25818.55</v>
      </c>
    </row>
    <row r="202">
      <c r="G202" s="34" t="inlineStr">
        <is>
          <t>2025-12-16</t>
        </is>
      </c>
      <c r="H202" t="n">
        <v>560.2</v>
      </c>
      <c r="J202" t="n">
        <v>25860.1</v>
      </c>
    </row>
    <row r="203">
      <c r="G203" s="34" t="inlineStr">
        <is>
          <t>2025-12-15</t>
        </is>
      </c>
      <c r="H203" t="n">
        <v>577.45</v>
      </c>
      <c r="J203" t="n">
        <v>26027.3</v>
      </c>
    </row>
    <row r="204">
      <c r="G204" s="34" t="inlineStr">
        <is>
          <t>2025-12-12</t>
        </is>
      </c>
      <c r="H204" t="n">
        <v>583.55</v>
      </c>
      <c r="J204" t="n">
        <v>26046.95</v>
      </c>
    </row>
    <row r="205">
      <c r="G205" s="34" t="inlineStr">
        <is>
          <t>2025-12-11</t>
        </is>
      </c>
      <c r="H205" t="n">
        <v>597.9</v>
      </c>
      <c r="J205" t="n">
        <v>25898.55</v>
      </c>
    </row>
    <row r="206">
      <c r="G206" s="34" t="inlineStr">
        <is>
          <t>2025-12-10</t>
        </is>
      </c>
      <c r="H206" t="n">
        <v>583.1</v>
      </c>
      <c r="J206" t="n">
        <v>25758</v>
      </c>
    </row>
    <row r="207">
      <c r="G207" s="34" t="inlineStr">
        <is>
          <t>2025-12-09</t>
        </is>
      </c>
      <c r="H207" t="n">
        <v>583.5</v>
      </c>
      <c r="J207" t="n">
        <v>25839.65</v>
      </c>
    </row>
    <row r="208">
      <c r="G208" s="34" t="inlineStr">
        <is>
          <t>2025-12-08</t>
        </is>
      </c>
      <c r="H208" t="n">
        <v>584.2</v>
      </c>
      <c r="J208" t="n">
        <v>25960.55</v>
      </c>
    </row>
    <row r="209">
      <c r="G209" s="34" t="inlineStr">
        <is>
          <t>2025-12-05</t>
        </is>
      </c>
      <c r="H209" t="n">
        <v>593.2</v>
      </c>
      <c r="J209" t="n">
        <v>26186.45</v>
      </c>
    </row>
    <row r="210">
      <c r="G210" s="34" t="inlineStr">
        <is>
          <t>2025-12-04</t>
        </is>
      </c>
      <c r="H210" t="n">
        <v>590.9</v>
      </c>
      <c r="J210" t="n">
        <v>26033.75</v>
      </c>
    </row>
    <row r="211">
      <c r="G211" s="34" t="inlineStr">
        <is>
          <t>2025-12-03</t>
        </is>
      </c>
      <c r="H211" t="n">
        <v>589.2</v>
      </c>
      <c r="J211" t="n">
        <v>25986</v>
      </c>
    </row>
    <row r="212">
      <c r="G212" s="34" t="inlineStr">
        <is>
          <t>2025-12-02</t>
        </is>
      </c>
      <c r="H212" t="n">
        <v>603.45</v>
      </c>
      <c r="J212" t="n">
        <v>26032.2</v>
      </c>
    </row>
    <row r="213">
      <c r="G213" s="34" t="inlineStr">
        <is>
          <t>2025-12-01</t>
        </is>
      </c>
      <c r="H213" t="n">
        <v>609.35</v>
      </c>
      <c r="J213" t="n">
        <v>26175.75</v>
      </c>
    </row>
    <row r="214">
      <c r="G214" s="34" t="inlineStr">
        <is>
          <t>2025-11-28</t>
        </is>
      </c>
      <c r="H214" t="n">
        <v>601.5</v>
      </c>
      <c r="J214" t="n">
        <v>26202.95</v>
      </c>
    </row>
    <row r="215">
      <c r="G215" s="34" t="inlineStr">
        <is>
          <t>2025-11-27</t>
        </is>
      </c>
      <c r="H215" t="n">
        <v>606.65</v>
      </c>
      <c r="J215" t="n">
        <v>26215.55</v>
      </c>
    </row>
    <row r="216">
      <c r="G216" s="34" t="inlineStr">
        <is>
          <t>2025-11-26</t>
        </is>
      </c>
      <c r="H216" t="n">
        <v>605</v>
      </c>
      <c r="J216" t="n">
        <v>26205.3</v>
      </c>
    </row>
    <row r="217">
      <c r="G217" s="34" t="inlineStr">
        <is>
          <t>2025-11-25</t>
        </is>
      </c>
      <c r="H217" t="n">
        <v>593.05</v>
      </c>
      <c r="J217" t="n">
        <v>25884.8</v>
      </c>
    </row>
    <row r="218">
      <c r="G218" s="34" t="inlineStr">
        <is>
          <t>2025-11-24</t>
        </is>
      </c>
      <c r="H218" t="n">
        <v>589.05</v>
      </c>
      <c r="J218" t="n">
        <v>25959.5</v>
      </c>
    </row>
    <row r="219">
      <c r="G219" s="34" t="inlineStr">
        <is>
          <t>2025-11-21</t>
        </is>
      </c>
      <c r="H219" t="n">
        <v>589.05</v>
      </c>
      <c r="J219" t="n">
        <v>26068.15</v>
      </c>
    </row>
    <row r="220">
      <c r="G220" s="34" t="inlineStr">
        <is>
          <t>2025-11-20</t>
        </is>
      </c>
      <c r="H220" t="n">
        <v>591.15</v>
      </c>
      <c r="J220" t="n">
        <v>26192.15</v>
      </c>
    </row>
    <row r="221">
      <c r="G221" s="34" t="inlineStr">
        <is>
          <t>2025-11-19</t>
        </is>
      </c>
      <c r="H221" t="n">
        <v>595.15</v>
      </c>
      <c r="J221" t="n">
        <v>26052.65</v>
      </c>
    </row>
    <row r="222">
      <c r="G222" s="34" t="inlineStr">
        <is>
          <t>2025-11-18</t>
        </is>
      </c>
      <c r="H222" t="n">
        <v>600.35</v>
      </c>
      <c r="J222" t="n">
        <v>25910.05</v>
      </c>
    </row>
    <row r="223">
      <c r="G223" s="34" t="inlineStr">
        <is>
          <t>2025-11-17</t>
        </is>
      </c>
      <c r="H223" t="n">
        <v>603.2</v>
      </c>
      <c r="J223" t="n">
        <v>26013.45</v>
      </c>
    </row>
    <row r="224">
      <c r="G224" s="34" t="inlineStr">
        <is>
          <t>2025-11-14</t>
        </is>
      </c>
      <c r="H224" t="n">
        <v>615.3</v>
      </c>
      <c r="J224" t="n">
        <v>25910.05</v>
      </c>
    </row>
    <row r="225">
      <c r="G225" s="34" t="inlineStr">
        <is>
          <t>2025-11-13</t>
        </is>
      </c>
      <c r="H225" t="n">
        <v>573.5</v>
      </c>
      <c r="J225" t="n">
        <v>25879.15</v>
      </c>
    </row>
    <row r="226">
      <c r="G226" s="34" t="inlineStr">
        <is>
          <t>2025-11-12</t>
        </is>
      </c>
      <c r="H226" t="n">
        <v>585.3</v>
      </c>
      <c r="J226" t="n">
        <v>25875.8</v>
      </c>
    </row>
    <row r="227">
      <c r="G227" s="34" t="inlineStr">
        <is>
          <t>2025-11-11</t>
        </is>
      </c>
      <c r="H227" t="n">
        <v>580.05</v>
      </c>
      <c r="J227" t="n">
        <v>25694.95</v>
      </c>
    </row>
    <row r="228">
      <c r="G228" s="34" t="inlineStr">
        <is>
          <t>2025-11-10</t>
        </is>
      </c>
      <c r="H228" t="n">
        <v>584.35</v>
      </c>
      <c r="J228" t="n">
        <v>25574.35</v>
      </c>
    </row>
    <row r="229">
      <c r="G229" s="34" t="inlineStr">
        <is>
          <t>2025-11-07</t>
        </is>
      </c>
      <c r="H229" t="n">
        <v>576.5</v>
      </c>
      <c r="J229" t="n">
        <v>25492.3</v>
      </c>
    </row>
    <row r="230">
      <c r="G230" s="34" t="inlineStr">
        <is>
          <t>2025-11-06</t>
        </is>
      </c>
      <c r="H230" t="n">
        <v>583.25</v>
      </c>
      <c r="J230" t="n">
        <v>25509.7</v>
      </c>
    </row>
    <row r="231">
      <c r="G231" s="34" t="inlineStr">
        <is>
          <t>2025-11-04</t>
        </is>
      </c>
      <c r="H231" t="n">
        <v>593.45</v>
      </c>
      <c r="J231" t="n">
        <v>25597.65</v>
      </c>
    </row>
    <row r="232">
      <c r="G232" s="34" t="inlineStr">
        <is>
          <t>2025-11-03</t>
        </is>
      </c>
      <c r="H232" t="n">
        <v>600.4</v>
      </c>
      <c r="J232" t="n">
        <v>25763.35</v>
      </c>
    </row>
    <row r="233">
      <c r="G233" s="34" t="inlineStr">
        <is>
          <t>2025-10-31</t>
        </is>
      </c>
      <c r="H233" t="n">
        <v>597.85</v>
      </c>
      <c r="J233" t="n">
        <v>25722.1</v>
      </c>
    </row>
    <row r="234">
      <c r="G234" s="34" t="inlineStr">
        <is>
          <t>2025-10-30</t>
        </is>
      </c>
      <c r="H234" t="n">
        <v>613.25</v>
      </c>
      <c r="J234" t="n">
        <v>25877.85</v>
      </c>
    </row>
    <row r="235">
      <c r="G235" s="34" t="inlineStr">
        <is>
          <t>2025-10-29</t>
        </is>
      </c>
      <c r="H235" t="n">
        <v>613.05</v>
      </c>
      <c r="J235" t="n">
        <v>26053.9</v>
      </c>
    </row>
    <row r="236">
      <c r="G236" s="34" t="inlineStr">
        <is>
          <t>2025-10-28</t>
        </is>
      </c>
      <c r="H236" t="n">
        <v>600.75</v>
      </c>
      <c r="J236" t="n">
        <v>25936.2</v>
      </c>
    </row>
    <row r="237">
      <c r="G237" s="34" t="inlineStr">
        <is>
          <t>2025-10-27</t>
        </is>
      </c>
      <c r="H237" t="n">
        <v>595.7</v>
      </c>
      <c r="J237" t="n">
        <v>25966.05</v>
      </c>
    </row>
    <row r="238">
      <c r="G238" s="34" t="inlineStr">
        <is>
          <t>2025-10-24</t>
        </is>
      </c>
      <c r="H238" t="n">
        <v>590.55</v>
      </c>
      <c r="J238" t="n">
        <v>25795.15</v>
      </c>
    </row>
    <row r="239">
      <c r="G239" s="34" t="inlineStr">
        <is>
          <t>2025-10-23</t>
        </is>
      </c>
      <c r="H239" t="n">
        <v>599.4</v>
      </c>
      <c r="J239" t="n">
        <v>25891.4</v>
      </c>
    </row>
    <row r="240">
      <c r="G240" s="34" t="inlineStr">
        <is>
          <t>2025-10-21</t>
        </is>
      </c>
      <c r="H240" t="n">
        <v>590.7</v>
      </c>
      <c r="J240" t="n">
        <v>25868.6</v>
      </c>
    </row>
    <row r="241">
      <c r="G241" s="34" t="inlineStr">
        <is>
          <t>2025-10-20</t>
        </is>
      </c>
      <c r="H241" t="n">
        <v>590.75</v>
      </c>
      <c r="J241" t="n">
        <v>25843.15</v>
      </c>
    </row>
    <row r="242">
      <c r="G242" s="34" t="inlineStr">
        <is>
          <t>2025-10-17</t>
        </is>
      </c>
      <c r="H242" t="n">
        <v>592.65</v>
      </c>
      <c r="J242" t="n">
        <v>25709.85</v>
      </c>
    </row>
    <row r="243">
      <c r="G243" s="34" t="inlineStr">
        <is>
          <t>2025-10-16</t>
        </is>
      </c>
      <c r="H243" t="n">
        <v>595.3</v>
      </c>
      <c r="J243" t="n">
        <v>25585.3</v>
      </c>
    </row>
    <row r="244">
      <c r="G244" s="34" t="inlineStr">
        <is>
          <t>2025-10-15</t>
        </is>
      </c>
      <c r="H244" t="n">
        <v>584.7</v>
      </c>
      <c r="J244" t="n">
        <v>25323.55</v>
      </c>
    </row>
    <row r="245">
      <c r="G245" s="34" t="inlineStr">
        <is>
          <t>2025-10-14</t>
        </is>
      </c>
      <c r="H245" t="n">
        <v>583.65</v>
      </c>
      <c r="J245" t="n">
        <v>25145.5</v>
      </c>
    </row>
    <row r="246">
      <c r="G246" s="34" t="inlineStr">
        <is>
          <t>2025-10-13</t>
        </is>
      </c>
      <c r="H246" t="n">
        <v>597.1</v>
      </c>
      <c r="J246" t="n">
        <v>25227.35</v>
      </c>
    </row>
    <row r="247">
      <c r="G247" s="34" t="inlineStr">
        <is>
          <t>2025-10-10</t>
        </is>
      </c>
      <c r="H247" t="n">
        <v>602.3</v>
      </c>
      <c r="J247" t="n">
        <v>25285.35</v>
      </c>
    </row>
    <row r="248">
      <c r="G248" s="34" t="inlineStr">
        <is>
          <t>2025-10-09</t>
        </is>
      </c>
      <c r="H248" t="n">
        <v>599.15</v>
      </c>
      <c r="J248" t="n">
        <v>25181.8</v>
      </c>
    </row>
    <row r="249">
      <c r="G249" s="161" t="inlineStr">
        <is>
          <t>2025-10-08</t>
        </is>
      </c>
      <c r="H249" t="n">
        <v>603</v>
      </c>
      <c r="J249" t="n">
        <v>25046.15</v>
      </c>
    </row>
    <row r="250">
      <c r="G250" s="161" t="inlineStr">
        <is>
          <t>2025-10-07</t>
        </is>
      </c>
      <c r="H250" t="n">
        <v>613.9</v>
      </c>
      <c r="J250" t="n">
        <v>25108.3</v>
      </c>
    </row>
    <row r="251">
      <c r="G251" s="161" t="inlineStr">
        <is>
          <t>2025-10-06</t>
        </is>
      </c>
      <c r="H251" t="n">
        <v>623.35</v>
      </c>
      <c r="J251" t="n">
        <v>25077.65</v>
      </c>
    </row>
    <row r="252">
      <c r="G252" s="161" t="n">
        <v>45919</v>
      </c>
      <c r="H252" t="n">
        <v>15864</v>
      </c>
      <c r="J252" t="n">
        <v>25327.05</v>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row r="12">
      <c r="B12" s="201">
        <f>'Raw FS'!L57</f>
        <v/>
      </c>
      <c r="C12" s="201" t="inlineStr">
        <is>
          <t>TRAVELFOOD</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WESTLIFE</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SAPPHIRE</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ITCHOTELS</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UFBL</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539895</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VENTIVE</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DEVYANI</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t="inlineStr">
        <is>
          <t>JUBILANT FOODWORKS LTD Comparable Valuation</t>
        </is>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58" t="inlineStr">
        <is>
          <t>52 Week (High - INR - 635.00 &amp; low INR - 408.00)</t>
        </is>
      </c>
      <c r="C5" s="58" t="n"/>
      <c r="D5" s="58" t="n"/>
      <c r="E5" s="58" t="n"/>
      <c r="F5" s="58" t="n"/>
      <c r="G5" s="58" t="n"/>
      <c r="H5" s="58" t="n"/>
      <c r="I5" s="58" t="n"/>
    </row>
    <row r="6">
      <c r="B6" s="37" t="inlineStr">
        <is>
          <t>About the Company</t>
        </is>
      </c>
    </row>
    <row r="7" ht="4.2" customHeight="1" s="176">
      <c r="B7" s="37" t="n"/>
    </row>
    <row r="8">
      <c r="B8" s="185" t="inlineStr">
        <is>
          <t>Jubilant FoodWorks Limited  is an Indian food service company based in Noida, which holds the master franchise for Domino's Pizza in India, Nepal, Sri Lanka and Bangladesh, for Popeyes in India, Bangladesh, Nepal, and Bhutan, and also for Dunkin' Donuts in India. The company also operates two homegrown restaurant brands called Ekdum! and Hong's Kitchen. Jubilant FoodWorks is a part of the Jubilant Bhartia Group, owned by Shyam Sunder Bhartia (husband of Shobhana Bhartia) and Hari Bhartia.</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Jubilant Food Share Price Today, Jubilant Food Stock Price Live NSE/BSE Updates</t>
        </is>
      </c>
    </row>
    <row r="38"/>
    <row r="39">
      <c r="A39" t="inlineStr">
        <is>
          <t>•</t>
        </is>
      </c>
      <c r="B39" s="184" t="inlineStr">
        <is>
          <t>Jubilant FoodWorks among 4 stocks closed above VWAP, signalling bullish shift</t>
        </is>
      </c>
    </row>
    <row r="40"/>
    <row r="41">
      <c r="A41" t="inlineStr">
        <is>
          <t>•</t>
        </is>
      </c>
      <c r="B41" s="184" t="inlineStr">
        <is>
          <t>Jubilant FoodWorks among 5 F&amp;O stocks with a sharp rise in futures open interest</t>
        </is>
      </c>
    </row>
    <row r="42"/>
    <row r="43">
      <c r="A43" t="inlineStr">
        <is>
          <t>•</t>
        </is>
      </c>
      <c r="B43" s="184" t="inlineStr">
        <is>
          <t>Jubilant Foodworks shares rally 6% after Q1 results; Bernstein sees Popeyes as strong growth driver. Shoul</t>
        </is>
      </c>
    </row>
    <row r="44"/>
    <row r="45">
      <c r="A45" t="inlineStr">
        <is>
          <t>•</t>
        </is>
      </c>
      <c r="B45" s="184" t="inlineStr">
        <is>
          <t>Jubilant FoodWorks profit rises as Domino's sales growth picks up</t>
        </is>
      </c>
    </row>
    <row r="46"/>
    <row r="47">
      <c r="A47" t="inlineStr">
        <is>
          <t>•</t>
        </is>
      </c>
      <c r="B47" s="184" t="inlineStr">
        <is>
          <t>JUBILANT FOODWORKS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58" t="inlineStr">
        <is>
          <t>52 Week (High - INR - 635.00 &amp; low INR - 408.00)</t>
        </is>
      </c>
      <c r="C5" s="58" t="n"/>
      <c r="D5" s="58" t="n"/>
      <c r="E5" s="58" t="n"/>
      <c r="F5" s="58" t="n"/>
      <c r="G5" s="58" t="n"/>
      <c r="H5" s="58" t="n"/>
      <c r="I5" s="58" t="n"/>
    </row>
    <row r="6">
      <c r="B6" s="37" t="inlineStr">
        <is>
          <t>About the Company</t>
        </is>
      </c>
    </row>
    <row r="7" ht="6.6" customHeight="1" s="176"/>
    <row r="8">
      <c r="B8" s="185" t="inlineStr">
        <is>
          <t>Jubilant FoodWorks Limited  is an Indian food service company based in Noida, which holds the master franchise for Domino's Pizza in India, Nepal, Sri Lanka and Bangladesh, for Popeyes in India, Bangladesh, Nepal, and Bhutan, and also for Dunkin' Donuts in India. The company also operates two homegrown restaurant brands called Ekdum! and Hong's Kitchen. Jubilant FoodWorks is a part of the Jubilant Bhartia Group, owned by Shyam Sunder Bhartia (husband of Shobhana Bhartia) and Hari Bhartia.</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Jubilant Food Share Price Today, Jubilant Food Stock Price Live NSE/BSE Updates</t>
        </is>
      </c>
    </row>
    <row r="37"/>
    <row r="38" ht="14.4" customHeight="1" s="176">
      <c r="A38" t="inlineStr">
        <is>
          <t>•</t>
        </is>
      </c>
      <c r="B38" s="184" t="inlineStr">
        <is>
          <t>Jubilant FoodWorks among 4 stocks closed above VWAP, signalling bullish shift</t>
        </is>
      </c>
    </row>
    <row r="39"/>
    <row r="40" ht="20.4" customHeight="1" s="176">
      <c r="A40" t="inlineStr">
        <is>
          <t>•</t>
        </is>
      </c>
      <c r="B40" s="184" t="inlineStr">
        <is>
          <t>Jubilant FoodWorks among 5 F&amp;O stocks with a sharp rise in futures open interest</t>
        </is>
      </c>
    </row>
    <row r="41"/>
    <row r="42">
      <c r="A42" t="inlineStr">
        <is>
          <t>•</t>
        </is>
      </c>
      <c r="B42" s="184" t="inlineStr">
        <is>
          <t>Jubilant Foodworks shares rally 6% after Q1 results; Bernstein sees Popeyes as strong growth driver. Shoul</t>
        </is>
      </c>
    </row>
    <row r="43"/>
    <row r="44">
      <c r="A44" t="inlineStr">
        <is>
          <t>•</t>
        </is>
      </c>
      <c r="B44" s="184" t="inlineStr">
        <is>
          <t>Jubilant FoodWorks profit rises as Domino's sales growth picks up</t>
        </is>
      </c>
    </row>
    <row r="45"/>
    <row r="46">
      <c r="A46" t="inlineStr">
        <is>
          <t>•</t>
        </is>
      </c>
      <c r="B46" s="184" t="inlineStr">
        <is>
          <t>JUBILANT FOODWORKS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'Data Sheet'!K65-'Data Sheet'!K60</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Borrowings</t>
        </is>
      </c>
      <c r="E78" s="107">
        <f>'Data Sheet'!G59</f>
        <v/>
      </c>
      <c r="F78" s="107">
        <f>SUM('Data Sheet'!H59:H60)</f>
        <v/>
      </c>
      <c r="G78" s="107">
        <f>SUM('Data Sheet'!I59:I60)</f>
        <v/>
      </c>
      <c r="H78" s="107">
        <f>'Data Sheet'!J59</f>
        <v/>
      </c>
      <c r="I78" s="107">
        <f>'Data Sheet'!K59</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2093</v>
      </c>
      <c r="T4" s="73" t="n">
        <v>2438</v>
      </c>
      <c r="U4" s="73" t="n">
        <v>2583</v>
      </c>
      <c r="V4" s="73" t="n">
        <v>3018</v>
      </c>
      <c r="W4" s="73" t="n">
        <v>3563</v>
      </c>
      <c r="X4" s="73" t="n">
        <v>3927</v>
      </c>
      <c r="Y4" s="73" t="n">
        <v>3312</v>
      </c>
      <c r="Z4" s="73" t="n">
        <v>4396</v>
      </c>
      <c r="AA4" s="73" t="n">
        <v>5158</v>
      </c>
      <c r="AB4" s="73" t="n">
        <v>5655</v>
      </c>
      <c r="AC4" s="73" t="n">
        <v>8104</v>
      </c>
      <c r="AD4" s="73" t="n">
        <v>9513</v>
      </c>
      <c r="AE4" s="73" t="n">
        <v>9838</v>
      </c>
    </row>
    <row r="5">
      <c r="B5" s="35" t="inlineStr">
        <is>
          <t>Equity Capital</t>
        </is>
      </c>
      <c r="C5" t="n">
        <v>66</v>
      </c>
      <c r="D5" s="47" t="n">
        <v>66</v>
      </c>
      <c r="E5" s="47" t="n">
        <v>66</v>
      </c>
      <c r="F5" s="47" t="n">
        <v>66</v>
      </c>
      <c r="G5" s="47" t="n">
        <v>132</v>
      </c>
      <c r="H5" s="47" t="n">
        <v>132</v>
      </c>
      <c r="I5" s="47" t="n">
        <v>132</v>
      </c>
      <c r="J5" s="47" t="n">
        <v>132</v>
      </c>
      <c r="K5" s="47" t="n">
        <v>132</v>
      </c>
      <c r="L5" s="47" t="n">
        <v>132</v>
      </c>
      <c r="M5" s="47" t="n">
        <v>132</v>
      </c>
      <c r="N5" s="47" t="n">
        <v>132</v>
      </c>
      <c r="R5" t="inlineStr">
        <is>
          <t>Expenses +</t>
        </is>
      </c>
      <c r="S5" s="73" t="n">
        <v>1836</v>
      </c>
      <c r="T5" s="73" t="n">
        <v>2173</v>
      </c>
      <c r="U5" s="73" t="n">
        <v>2339</v>
      </c>
      <c r="V5" s="73" t="n">
        <v>2576</v>
      </c>
      <c r="W5" s="73" t="n">
        <v>2961</v>
      </c>
      <c r="X5" s="73" t="n">
        <v>3045</v>
      </c>
      <c r="Y5" s="73" t="n">
        <v>2532</v>
      </c>
      <c r="Z5" s="73" t="n">
        <v>3290</v>
      </c>
      <c r="AA5" s="73" t="n">
        <v>4022</v>
      </c>
      <c r="AB5" s="73" t="n">
        <v>4496</v>
      </c>
      <c r="AC5" s="73" t="n">
        <v>6511</v>
      </c>
      <c r="AD5" s="73" t="n">
        <v>7610</v>
      </c>
      <c r="AE5" s="73" t="n">
        <v>7890</v>
      </c>
    </row>
    <row r="6">
      <c r="B6" t="inlineStr">
        <is>
          <t>Reserves</t>
        </is>
      </c>
      <c r="C6" s="73" t="n">
        <v>581</v>
      </c>
      <c r="D6" s="73" t="n">
        <v>696</v>
      </c>
      <c r="E6" s="73" t="n">
        <v>739</v>
      </c>
      <c r="F6" s="73" t="n">
        <v>902</v>
      </c>
      <c r="G6" s="73" t="n">
        <v>1128</v>
      </c>
      <c r="H6" s="73" t="n">
        <v>990</v>
      </c>
      <c r="I6" s="73" t="n">
        <v>1295</v>
      </c>
      <c r="J6" s="73" t="n">
        <v>1813</v>
      </c>
      <c r="K6" s="73" t="n">
        <v>1906</v>
      </c>
      <c r="L6" s="73" t="n">
        <v>2039</v>
      </c>
      <c r="M6" s="73" t="n">
        <v>1971</v>
      </c>
      <c r="N6" s="73" t="n">
        <v>2160</v>
      </c>
      <c r="O6" s="73" t="n"/>
      <c r="R6" t="inlineStr">
        <is>
          <t>Operating Profit</t>
        </is>
      </c>
      <c r="S6" s="73" t="n">
        <v>256</v>
      </c>
      <c r="T6" s="73" t="n">
        <v>265</v>
      </c>
      <c r="U6" s="73" t="n">
        <v>245</v>
      </c>
      <c r="V6" s="73" t="n">
        <v>442</v>
      </c>
      <c r="W6" s="73" t="n">
        <v>603</v>
      </c>
      <c r="X6" s="73" t="n">
        <v>883</v>
      </c>
      <c r="Y6" s="73" t="n">
        <v>780</v>
      </c>
      <c r="Z6" s="73" t="n">
        <v>1106</v>
      </c>
      <c r="AA6" s="73" t="n">
        <v>1136</v>
      </c>
      <c r="AB6" s="73" t="n">
        <v>1159</v>
      </c>
      <c r="AC6" s="73" t="n">
        <v>1594</v>
      </c>
      <c r="AD6" s="73" t="n">
        <v>1902</v>
      </c>
      <c r="AE6" s="73" t="n">
        <v>1949</v>
      </c>
    </row>
    <row r="7">
      <c r="B7" s="73" t="inlineStr">
        <is>
          <t>Borrowings -</t>
        </is>
      </c>
      <c r="C7" s="73" t="n">
        <v>0</v>
      </c>
      <c r="D7" s="73" t="n">
        <v>0</v>
      </c>
      <c r="E7" s="73" t="n">
        <v>0</v>
      </c>
      <c r="F7" s="73" t="n">
        <v>0</v>
      </c>
      <c r="G7" s="73" t="n">
        <v>0</v>
      </c>
      <c r="H7" s="73" t="n">
        <v>1670</v>
      </c>
      <c r="I7" s="73" t="n">
        <v>1620</v>
      </c>
      <c r="J7" s="73" t="n">
        <v>2106</v>
      </c>
      <c r="K7" s="73" t="n">
        <v>2554</v>
      </c>
      <c r="L7" s="73" t="n">
        <v>4207</v>
      </c>
      <c r="M7" s="73" t="n">
        <v>4372</v>
      </c>
      <c r="N7" s="73" t="n">
        <v>4902</v>
      </c>
      <c r="O7" s="73" t="n"/>
      <c r="R7" t="inlineStr">
        <is>
          <t>OPM %</t>
        </is>
      </c>
      <c r="S7" s="75" t="n">
        <v>12</v>
      </c>
      <c r="T7" s="75" t="n">
        <v>11</v>
      </c>
      <c r="U7" s="75" t="n">
        <v>9</v>
      </c>
      <c r="V7" s="75" t="n">
        <v>15</v>
      </c>
      <c r="W7" s="75" t="n">
        <v>17</v>
      </c>
      <c r="X7" s="75" t="n">
        <v>22</v>
      </c>
      <c r="Y7" s="75" t="n">
        <v>24</v>
      </c>
      <c r="Z7" s="75" t="n">
        <v>25</v>
      </c>
      <c r="AA7" s="75" t="n">
        <v>22</v>
      </c>
      <c r="AB7" s="75" t="n">
        <v>20</v>
      </c>
      <c r="AC7" s="75" t="n">
        <v>20</v>
      </c>
      <c r="AD7" s="75" t="n">
        <v>20</v>
      </c>
      <c r="AE7" s="75" t="n">
        <v>20</v>
      </c>
    </row>
    <row r="8">
      <c r="B8" s="73" t="inlineStr">
        <is>
          <t>Long term Borrowings</t>
        </is>
      </c>
      <c r="C8" s="73" t="n">
        <v>0</v>
      </c>
      <c r="D8" s="73" t="n">
        <v>0</v>
      </c>
      <c r="E8" s="73" t="n">
        <v>0</v>
      </c>
      <c r="F8" s="73" t="n">
        <v>0</v>
      </c>
      <c r="G8" s="73" t="n">
        <v>0</v>
      </c>
      <c r="H8" s="73" t="n">
        <v>0</v>
      </c>
      <c r="I8" s="73" t="n">
        <v>0</v>
      </c>
      <c r="J8" s="73" t="n">
        <v>120</v>
      </c>
      <c r="K8" s="73" t="n">
        <v>183</v>
      </c>
      <c r="L8" s="73" t="n">
        <v>1195</v>
      </c>
      <c r="M8" s="73" t="n">
        <v>1283</v>
      </c>
      <c r="N8" s="73" t="n">
        <v>340</v>
      </c>
      <c r="R8" t="inlineStr">
        <is>
          <t>Other Income +</t>
        </is>
      </c>
      <c r="S8" s="73" t="n">
        <v>6</v>
      </c>
      <c r="T8" s="73" t="n">
        <v>10</v>
      </c>
      <c r="U8" s="73" t="n">
        <v>-1</v>
      </c>
      <c r="V8" s="73" t="n">
        <v>21</v>
      </c>
      <c r="W8" s="73" t="n">
        <v>44</v>
      </c>
      <c r="X8" s="73" t="n">
        <v>38</v>
      </c>
      <c r="Y8" s="73" t="n">
        <v>64</v>
      </c>
      <c r="Z8" s="73" t="n">
        <v>26</v>
      </c>
      <c r="AA8" s="73" t="n">
        <v>40</v>
      </c>
      <c r="AB8" s="73" t="n">
        <v>211</v>
      </c>
      <c r="AC8" s="73" t="n">
        <v>22</v>
      </c>
      <c r="AD8" s="73" t="n">
        <v>91</v>
      </c>
      <c r="AE8" s="73" t="n">
        <v>117</v>
      </c>
    </row>
    <row r="9">
      <c r="B9" t="inlineStr">
        <is>
          <t>Short term Borrowings</t>
        </is>
      </c>
      <c r="C9" t="n">
        <v>0</v>
      </c>
      <c r="D9" t="n">
        <v>0</v>
      </c>
      <c r="E9" t="n">
        <v>0</v>
      </c>
      <c r="F9" t="n">
        <v>0</v>
      </c>
      <c r="G9" t="n">
        <v>0</v>
      </c>
      <c r="H9" t="n">
        <v>0</v>
      </c>
      <c r="I9" t="n">
        <v>0</v>
      </c>
      <c r="J9" t="n">
        <v>0</v>
      </c>
      <c r="K9" t="n">
        <v>0</v>
      </c>
      <c r="L9" t="n">
        <v>312</v>
      </c>
      <c r="M9" t="n">
        <v>219</v>
      </c>
      <c r="N9" s="73" t="n">
        <v>1406</v>
      </c>
      <c r="R9" t="inlineStr">
        <is>
          <t>Interest</t>
        </is>
      </c>
      <c r="S9" t="n">
        <v>0</v>
      </c>
      <c r="T9" t="n">
        <v>0</v>
      </c>
      <c r="U9" t="n">
        <v>0</v>
      </c>
      <c r="V9" t="n">
        <v>0</v>
      </c>
      <c r="W9" t="n">
        <v>0</v>
      </c>
      <c r="X9" t="n">
        <v>165</v>
      </c>
      <c r="Y9" t="n">
        <v>163</v>
      </c>
      <c r="Z9" t="n">
        <v>176</v>
      </c>
      <c r="AA9" t="n">
        <v>201</v>
      </c>
      <c r="AB9" t="n">
        <v>288</v>
      </c>
      <c r="AC9" t="n">
        <v>520</v>
      </c>
      <c r="AD9" t="n">
        <v>436</v>
      </c>
      <c r="AE9" t="n">
        <v>447</v>
      </c>
    </row>
    <row r="10">
      <c r="B10" t="inlineStr">
        <is>
          <t>Lease Liabilities</t>
        </is>
      </c>
      <c r="C10" t="n">
        <v>0</v>
      </c>
      <c r="D10" t="n">
        <v>0</v>
      </c>
      <c r="E10" t="n">
        <v>0</v>
      </c>
      <c r="F10" t="n">
        <v>0</v>
      </c>
      <c r="G10" t="n">
        <v>0</v>
      </c>
      <c r="H10" t="n">
        <v>1670</v>
      </c>
      <c r="I10" t="n">
        <v>1620</v>
      </c>
      <c r="J10" t="n">
        <v>1986</v>
      </c>
      <c r="K10" t="n">
        <v>2371</v>
      </c>
      <c r="L10" t="n">
        <v>2700</v>
      </c>
      <c r="M10" t="n">
        <v>2870</v>
      </c>
      <c r="N10" t="n">
        <v>3157</v>
      </c>
      <c r="O10" s="73" t="n"/>
      <c r="R10" t="inlineStr">
        <is>
          <t>Depreciation</t>
        </is>
      </c>
      <c r="S10" s="73" t="n">
        <v>101</v>
      </c>
      <c r="T10" s="73" t="n">
        <v>128</v>
      </c>
      <c r="U10" s="73" t="n">
        <v>155</v>
      </c>
      <c r="V10" s="73" t="n">
        <v>160</v>
      </c>
      <c r="W10" s="73" t="n">
        <v>157</v>
      </c>
      <c r="X10" s="73" t="n">
        <v>352</v>
      </c>
      <c r="Y10" s="73" t="n">
        <v>375</v>
      </c>
      <c r="Z10" s="73" t="n">
        <v>393</v>
      </c>
      <c r="AA10" s="73" t="n">
        <v>486</v>
      </c>
      <c r="AB10" s="73" t="n">
        <v>598</v>
      </c>
      <c r="AC10" s="73" t="n">
        <v>795</v>
      </c>
      <c r="AD10" s="73" t="n">
        <v>959</v>
      </c>
      <c r="AE10" s="73" t="n">
        <v>1002</v>
      </c>
    </row>
    <row r="11">
      <c r="B11" s="73" t="inlineStr">
        <is>
          <t>Other Borrowings</t>
        </is>
      </c>
      <c r="C11" s="73" t="n">
        <v>0</v>
      </c>
      <c r="D11" s="73" t="n">
        <v>0</v>
      </c>
      <c r="E11" s="73" t="n">
        <v>0</v>
      </c>
      <c r="F11" s="73" t="n">
        <v>0</v>
      </c>
      <c r="G11" s="73" t="n">
        <v>0</v>
      </c>
      <c r="H11" s="73" t="n">
        <v>0</v>
      </c>
      <c r="I11" s="73" t="n">
        <v>0</v>
      </c>
      <c r="J11" s="73" t="n">
        <v>0</v>
      </c>
      <c r="K11" s="73" t="n">
        <v>0</v>
      </c>
      <c r="L11" s="73" t="n">
        <v>0</v>
      </c>
      <c r="M11" s="73" t="n">
        <v>0</v>
      </c>
      <c r="N11" s="73" t="n">
        <v>0</v>
      </c>
      <c r="O11" s="73" t="n"/>
      <c r="R11" t="inlineStr">
        <is>
          <t>Profit before tax</t>
        </is>
      </c>
      <c r="S11" s="73" t="n">
        <v>161</v>
      </c>
      <c r="T11" s="73" t="n">
        <v>147</v>
      </c>
      <c r="U11" s="73" t="n">
        <v>88</v>
      </c>
      <c r="V11" s="73" t="n">
        <v>303</v>
      </c>
      <c r="W11" s="73" t="n">
        <v>490</v>
      </c>
      <c r="X11" s="73" t="n">
        <v>403</v>
      </c>
      <c r="Y11" s="73" t="n">
        <v>306</v>
      </c>
      <c r="Z11" s="73" t="n">
        <v>563</v>
      </c>
      <c r="AA11" s="73" t="n">
        <v>489</v>
      </c>
      <c r="AB11" s="73" t="n">
        <v>485</v>
      </c>
      <c r="AC11" s="73" t="n">
        <v>301</v>
      </c>
      <c r="AD11" s="73" t="n">
        <v>599</v>
      </c>
      <c r="AE11" s="73" t="n">
        <v>617</v>
      </c>
    </row>
    <row r="12">
      <c r="B12" s="73" t="inlineStr">
        <is>
          <t>Other Liabilities -</t>
        </is>
      </c>
      <c r="C12" s="73" t="n">
        <v>429</v>
      </c>
      <c r="D12" s="73" t="n">
        <v>460</v>
      </c>
      <c r="E12" s="73" t="n">
        <v>485</v>
      </c>
      <c r="F12" s="73" t="n">
        <v>529</v>
      </c>
      <c r="G12" s="73" t="n">
        <v>596</v>
      </c>
      <c r="H12" s="73" t="n">
        <v>578</v>
      </c>
      <c r="I12" s="73" t="n">
        <v>720</v>
      </c>
      <c r="J12" s="73" t="n">
        <v>731</v>
      </c>
      <c r="K12" s="73" t="n">
        <v>791</v>
      </c>
      <c r="L12" s="73" t="n">
        <v>1660</v>
      </c>
      <c r="M12" s="73" t="n">
        <v>1929</v>
      </c>
      <c r="N12" s="73" t="n">
        <v>2172</v>
      </c>
      <c r="R12" t="inlineStr">
        <is>
          <t>Tax %</t>
        </is>
      </c>
      <c r="S12" s="75" t="n">
        <v>31</v>
      </c>
      <c r="T12" s="75" t="n">
        <v>34</v>
      </c>
      <c r="U12" s="75" t="n">
        <v>35</v>
      </c>
      <c r="V12" s="75" t="n">
        <v>35</v>
      </c>
      <c r="W12" s="75" t="n">
        <v>35</v>
      </c>
      <c r="X12" s="75" t="n">
        <v>31</v>
      </c>
      <c r="Y12" s="75" t="n">
        <v>25</v>
      </c>
      <c r="Z12" s="75" t="n">
        <v>26</v>
      </c>
      <c r="AA12" s="75" t="n">
        <v>28</v>
      </c>
      <c r="AB12" s="75" t="n">
        <v>18</v>
      </c>
      <c r="AC12" s="75" t="n">
        <v>28</v>
      </c>
      <c r="AD12" s="75" t="n">
        <v>26</v>
      </c>
      <c r="AE12" t="n">
        <v>0</v>
      </c>
    </row>
    <row r="13">
      <c r="B13" t="inlineStr">
        <is>
          <t>Non controlling int</t>
        </is>
      </c>
      <c r="C13" t="n">
        <v>0</v>
      </c>
      <c r="D13" t="n">
        <v>0</v>
      </c>
      <c r="E13" t="n">
        <v>0</v>
      </c>
      <c r="F13" t="n">
        <v>0</v>
      </c>
      <c r="G13" t="n">
        <v>3</v>
      </c>
      <c r="H13" t="n">
        <v>11</v>
      </c>
      <c r="I13" t="n">
        <v>9</v>
      </c>
      <c r="J13" t="n">
        <v>10</v>
      </c>
      <c r="K13" t="n">
        <v>0</v>
      </c>
      <c r="L13" t="n">
        <v>73</v>
      </c>
      <c r="M13" t="n">
        <v>80</v>
      </c>
      <c r="N13" t="n">
        <v>96</v>
      </c>
      <c r="O13" s="73" t="n"/>
      <c r="R13" t="inlineStr">
        <is>
          <t>Net Profit +</t>
        </is>
      </c>
      <c r="S13" s="73" t="n">
        <v>111</v>
      </c>
      <c r="T13" s="73" t="n">
        <v>97</v>
      </c>
      <c r="U13" s="73" t="n">
        <v>58</v>
      </c>
      <c r="V13" s="73" t="n">
        <v>196</v>
      </c>
      <c r="W13" s="73" t="n">
        <v>318</v>
      </c>
      <c r="X13" s="73" t="n">
        <v>279</v>
      </c>
      <c r="Y13" s="73" t="n">
        <v>231</v>
      </c>
      <c r="Z13" s="73" t="n">
        <v>418</v>
      </c>
      <c r="AA13" s="73" t="n">
        <v>353</v>
      </c>
      <c r="AB13" s="73" t="n">
        <v>400</v>
      </c>
      <c r="AC13" s="73" t="n">
        <v>217</v>
      </c>
      <c r="AD13" s="73" t="n">
        <v>444</v>
      </c>
      <c r="AE13" s="73" t="n">
        <v>450</v>
      </c>
    </row>
    <row r="14">
      <c r="B14" s="73" t="inlineStr">
        <is>
          <t>Trade Payables</t>
        </is>
      </c>
      <c r="C14" s="73" t="n">
        <v>242</v>
      </c>
      <c r="D14" s="73" t="n">
        <v>296</v>
      </c>
      <c r="E14" s="73" t="n">
        <v>314</v>
      </c>
      <c r="F14" s="73" t="n">
        <v>389</v>
      </c>
      <c r="G14" s="73" t="n">
        <v>421</v>
      </c>
      <c r="H14" s="73" t="n">
        <v>447</v>
      </c>
      <c r="I14" s="73" t="n">
        <v>533</v>
      </c>
      <c r="J14" s="73" t="n">
        <v>537</v>
      </c>
      <c r="K14" s="73" t="n">
        <v>561</v>
      </c>
      <c r="L14" s="73" t="n">
        <v>790</v>
      </c>
      <c r="M14" s="73" t="n">
        <v>901</v>
      </c>
      <c r="N14" s="73" t="n">
        <v>1036</v>
      </c>
      <c r="S14" t="n">
        <v>1.69</v>
      </c>
      <c r="T14" t="n">
        <v>1.47</v>
      </c>
      <c r="U14" t="n">
        <v>0.88</v>
      </c>
      <c r="V14" t="n">
        <v>2.97</v>
      </c>
      <c r="W14" t="n">
        <v>4.85</v>
      </c>
      <c r="X14" t="n">
        <v>4.24</v>
      </c>
      <c r="Y14" t="n">
        <v>3.51</v>
      </c>
      <c r="Z14" t="n">
        <v>6.37</v>
      </c>
      <c r="AA14" t="n">
        <v>5.35</v>
      </c>
      <c r="AB14" t="n">
        <v>6.05</v>
      </c>
      <c r="AC14" t="n">
        <v>3.19</v>
      </c>
      <c r="AD14" t="n">
        <v>6.49</v>
      </c>
      <c r="AE14" t="n">
        <v>6.57</v>
      </c>
    </row>
    <row r="15">
      <c r="B15" t="inlineStr">
        <is>
          <t>Advance from Customers</t>
        </is>
      </c>
      <c r="C15" t="n">
        <v>0</v>
      </c>
      <c r="D15" t="n">
        <v>0</v>
      </c>
      <c r="E15" t="n">
        <v>0</v>
      </c>
      <c r="F15" t="n">
        <v>0</v>
      </c>
      <c r="G15" t="n">
        <v>0</v>
      </c>
      <c r="H15" t="n">
        <v>1</v>
      </c>
      <c r="I15" t="n">
        <v>2</v>
      </c>
      <c r="J15" s="73" t="n">
        <v>4</v>
      </c>
      <c r="K15" s="73" t="n">
        <v>4</v>
      </c>
      <c r="L15" t="n">
        <v>26</v>
      </c>
      <c r="M15" s="73" t="n">
        <v>20</v>
      </c>
      <c r="N15" s="73" t="n">
        <v>20</v>
      </c>
      <c r="O15" s="73" t="n"/>
      <c r="S15" t="n">
        <v>15</v>
      </c>
      <c r="T15" t="n">
        <v>17</v>
      </c>
      <c r="U15" t="n">
        <v>29</v>
      </c>
      <c r="V15" t="n">
        <v>17</v>
      </c>
      <c r="W15" t="n">
        <v>21</v>
      </c>
      <c r="X15" t="n">
        <v>28</v>
      </c>
      <c r="Y15" t="n">
        <v>34</v>
      </c>
      <c r="Z15" t="n">
        <v>19</v>
      </c>
      <c r="AA15" t="n">
        <v>22</v>
      </c>
      <c r="AB15" t="n">
        <v>20</v>
      </c>
      <c r="AC15" t="n">
        <v>38</v>
      </c>
      <c r="AD15" t="n">
        <v>18</v>
      </c>
      <c r="AE15" t="n">
        <v>0</v>
      </c>
    </row>
    <row r="16">
      <c r="B16" s="73" t="inlineStr">
        <is>
          <t>Other liability items</t>
        </is>
      </c>
      <c r="C16" s="73" t="n">
        <v>186</v>
      </c>
      <c r="D16" s="73" t="n">
        <v>164</v>
      </c>
      <c r="E16" s="73" t="n">
        <v>171</v>
      </c>
      <c r="F16" s="73" t="n">
        <v>140</v>
      </c>
      <c r="G16" s="73" t="n">
        <v>173</v>
      </c>
      <c r="H16" s="73" t="n">
        <v>119</v>
      </c>
      <c r="I16" s="73" t="n">
        <v>176</v>
      </c>
      <c r="J16" s="73" t="n">
        <v>180</v>
      </c>
      <c r="K16" s="73" t="n">
        <v>225</v>
      </c>
      <c r="L16" s="73" t="n">
        <v>771</v>
      </c>
      <c r="M16" s="73" t="n">
        <v>928</v>
      </c>
      <c r="N16" s="73" t="n">
        <v>1021</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1075</v>
      </c>
      <c r="D18" s="71" t="n">
        <v>1222</v>
      </c>
      <c r="E18" s="71" t="n">
        <v>1291</v>
      </c>
      <c r="F18" s="71" t="n">
        <v>1497</v>
      </c>
      <c r="G18" s="71" t="n">
        <v>1856</v>
      </c>
      <c r="H18" s="71" t="n">
        <v>3370</v>
      </c>
      <c r="I18" s="71" t="n">
        <v>3767</v>
      </c>
      <c r="J18" s="71" t="n">
        <v>4782</v>
      </c>
      <c r="K18" s="71" t="n">
        <v>5382</v>
      </c>
      <c r="L18" s="71" t="n">
        <v>8038</v>
      </c>
      <c r="M18" s="71" t="n">
        <v>8404</v>
      </c>
      <c r="N18" s="71" t="n">
        <v>9367</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276</v>
      </c>
      <c r="T19" s="73" t="n">
        <v>212</v>
      </c>
      <c r="U19" s="73" t="n">
        <v>204</v>
      </c>
      <c r="V19" s="73" t="n">
        <v>409</v>
      </c>
      <c r="W19" s="73" t="n">
        <v>424</v>
      </c>
      <c r="X19" s="73" t="n">
        <v>728</v>
      </c>
      <c r="Y19" s="73" t="n">
        <v>751</v>
      </c>
      <c r="Z19" s="73" t="n">
        <v>930</v>
      </c>
      <c r="AA19" s="73" t="n">
        <v>1026</v>
      </c>
      <c r="AB19" s="73" t="n">
        <v>1010</v>
      </c>
      <c r="AC19" s="73" t="n">
        <v>1658</v>
      </c>
      <c r="AD19" s="73" t="n">
        <v>1894</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262</v>
      </c>
      <c r="T20" s="73" t="n">
        <v>281</v>
      </c>
      <c r="U20" s="73" t="n">
        <v>234</v>
      </c>
      <c r="V20" s="73" t="n">
        <v>444</v>
      </c>
      <c r="W20" s="73" t="n">
        <v>605</v>
      </c>
      <c r="X20" s="73" t="n">
        <v>876</v>
      </c>
      <c r="Y20" s="73" t="n">
        <v>787</v>
      </c>
      <c r="Z20" s="73" t="n">
        <v>1112</v>
      </c>
      <c r="AA20" s="73" t="n">
        <v>1161</v>
      </c>
      <c r="AB20" s="73" t="n">
        <v>1195</v>
      </c>
      <c r="AC20" s="73" t="n">
        <v>1610</v>
      </c>
      <c r="AD20" s="73" t="n">
        <v>1921</v>
      </c>
      <c r="AE20" t="n">
        <v>0</v>
      </c>
    </row>
    <row r="21">
      <c r="B21" s="73" t="inlineStr">
        <is>
          <t>Fixed Assets -</t>
        </is>
      </c>
      <c r="C21" s="73" t="n">
        <v>737</v>
      </c>
      <c r="D21" s="73" t="n">
        <v>828</v>
      </c>
      <c r="E21" s="73" t="n">
        <v>800</v>
      </c>
      <c r="F21" s="73" t="n">
        <v>789</v>
      </c>
      <c r="G21" s="73" t="n">
        <v>809</v>
      </c>
      <c r="H21" s="73" t="n">
        <v>2189</v>
      </c>
      <c r="I21" s="73" t="n">
        <v>2146</v>
      </c>
      <c r="J21" s="73" t="n">
        <v>2737</v>
      </c>
      <c r="K21" s="73" t="n">
        <v>3488</v>
      </c>
      <c r="L21" s="73" t="n">
        <v>6184</v>
      </c>
      <c r="M21" s="73" t="n">
        <v>6434</v>
      </c>
      <c r="N21" s="73" t="n">
        <v>7353</v>
      </c>
      <c r="R21" t="inlineStr">
        <is>
          <t>Receivables</t>
        </is>
      </c>
      <c r="S21" t="n">
        <v>-3</v>
      </c>
      <c r="T21" t="n">
        <v>-1</v>
      </c>
      <c r="U21" t="n">
        <v>-4</v>
      </c>
      <c r="V21" t="n">
        <v>0</v>
      </c>
      <c r="W21" t="n">
        <v>-13</v>
      </c>
      <c r="X21" s="73" t="n">
        <v>11</v>
      </c>
      <c r="Y21" t="n">
        <v>-2</v>
      </c>
      <c r="Z21" t="n">
        <v>-6</v>
      </c>
      <c r="AA21" t="n">
        <v>-7</v>
      </c>
      <c r="AB21" t="n">
        <v>-62</v>
      </c>
      <c r="AC21" s="73" t="n">
        <v>-65</v>
      </c>
      <c r="AD21" t="n">
        <v>-38</v>
      </c>
      <c r="AE21" t="n">
        <v>0</v>
      </c>
    </row>
    <row r="22">
      <c r="B22" s="73" t="inlineStr">
        <is>
          <t>Land</t>
        </is>
      </c>
      <c r="C22" s="73" t="n">
        <v>34</v>
      </c>
      <c r="D22" s="73" t="n">
        <v>34</v>
      </c>
      <c r="E22" s="73" t="n">
        <v>0</v>
      </c>
      <c r="F22" s="73" t="n">
        <v>0</v>
      </c>
      <c r="G22" s="73" t="n">
        <v>0</v>
      </c>
      <c r="H22" s="73" t="n">
        <v>34</v>
      </c>
      <c r="I22" s="73" t="n">
        <v>56</v>
      </c>
      <c r="J22" s="73" t="n">
        <v>112</v>
      </c>
      <c r="K22" s="73" t="n">
        <v>149</v>
      </c>
      <c r="L22" s="73" t="n">
        <v>153</v>
      </c>
      <c r="M22" s="73" t="n">
        <v>153</v>
      </c>
      <c r="N22" s="73" t="n">
        <v>154</v>
      </c>
      <c r="O22" s="73" t="n"/>
      <c r="R22" t="inlineStr">
        <is>
          <t>Inventory</t>
        </is>
      </c>
      <c r="S22" t="n">
        <v>-10</v>
      </c>
      <c r="T22" t="n">
        <v>-12</v>
      </c>
      <c r="U22" t="n">
        <v>-6</v>
      </c>
      <c r="V22" t="n">
        <v>-3</v>
      </c>
      <c r="W22" t="n">
        <v>-13</v>
      </c>
      <c r="X22" t="n">
        <v>-18</v>
      </c>
      <c r="Y22" s="73" t="n">
        <v>-38</v>
      </c>
      <c r="Z22" t="n">
        <v>-27</v>
      </c>
      <c r="AA22" s="73" t="n">
        <v>-16</v>
      </c>
      <c r="AB22" s="73" t="n">
        <v>-114</v>
      </c>
      <c r="AC22" s="73" t="n">
        <v>4</v>
      </c>
      <c r="AD22" s="73" t="n">
        <v>91</v>
      </c>
      <c r="AE22" t="n">
        <v>0</v>
      </c>
    </row>
    <row r="23">
      <c r="B23" s="73" t="inlineStr">
        <is>
          <t>Building</t>
        </is>
      </c>
      <c r="C23" s="73" t="n">
        <v>362</v>
      </c>
      <c r="D23" s="73" t="n">
        <v>315</v>
      </c>
      <c r="E23" s="73" t="n">
        <v>356</v>
      </c>
      <c r="F23" s="73" t="n">
        <v>400</v>
      </c>
      <c r="G23" s="73" t="n">
        <v>432</v>
      </c>
      <c r="H23" s="73" t="n">
        <v>489</v>
      </c>
      <c r="I23" s="73" t="n">
        <v>560</v>
      </c>
      <c r="J23" s="73" t="n">
        <v>646</v>
      </c>
      <c r="K23" s="73" t="n">
        <v>835</v>
      </c>
      <c r="L23" s="73" t="n">
        <v>1221</v>
      </c>
      <c r="M23" s="73" t="n">
        <v>4992</v>
      </c>
      <c r="N23" s="73" t="n">
        <v>5718</v>
      </c>
      <c r="O23" s="73" t="n"/>
      <c r="R23" t="inlineStr">
        <is>
          <t>Payables</t>
        </is>
      </c>
      <c r="S23" t="n">
        <v>0</v>
      </c>
      <c r="T23" t="n">
        <v>0</v>
      </c>
      <c r="U23" t="n">
        <v>18</v>
      </c>
      <c r="V23" s="73" t="n">
        <v>80</v>
      </c>
      <c r="W23" t="n">
        <v>32</v>
      </c>
      <c r="X23" t="n">
        <v>18</v>
      </c>
      <c r="Y23" s="73" t="n">
        <v>86</v>
      </c>
      <c r="Z23" s="73" t="n">
        <v>4</v>
      </c>
      <c r="AA23" s="73" t="n">
        <v>24</v>
      </c>
      <c r="AB23" t="n">
        <v>97</v>
      </c>
      <c r="AC23" s="73" t="n">
        <v>127</v>
      </c>
      <c r="AD23" t="n">
        <v>127</v>
      </c>
      <c r="AE23" t="n">
        <v>0</v>
      </c>
    </row>
    <row r="24">
      <c r="B24" s="73" t="inlineStr">
        <is>
          <t>Plant Machinery</t>
        </is>
      </c>
      <c r="C24" s="73" t="n">
        <v>474</v>
      </c>
      <c r="D24" s="73" t="n">
        <v>425</v>
      </c>
      <c r="E24" s="73" t="n">
        <v>482</v>
      </c>
      <c r="F24" s="73" t="n">
        <v>546</v>
      </c>
      <c r="G24" s="73" t="n">
        <v>620</v>
      </c>
      <c r="H24" s="73" t="n">
        <v>719</v>
      </c>
      <c r="I24" s="73" t="n">
        <v>799</v>
      </c>
      <c r="J24" s="73" t="n">
        <v>955</v>
      </c>
      <c r="K24" s="73" t="n">
        <v>1145</v>
      </c>
      <c r="L24" s="73" t="n">
        <v>1575</v>
      </c>
      <c r="M24" s="73" t="n">
        <v>1715</v>
      </c>
      <c r="N24" s="73" t="n">
        <v>2052</v>
      </c>
      <c r="R24" t="inlineStr">
        <is>
          <t>Working capital changes</t>
        </is>
      </c>
      <c r="S24" t="n">
        <v>49</v>
      </c>
      <c r="T24" t="n">
        <v>-31</v>
      </c>
      <c r="U24" t="n">
        <v>6</v>
      </c>
      <c r="V24" s="73" t="n">
        <v>91</v>
      </c>
      <c r="W24" t="n">
        <v>-4</v>
      </c>
      <c r="X24" t="n">
        <v>-8</v>
      </c>
      <c r="Y24" t="n">
        <v>51</v>
      </c>
      <c r="Z24" t="n">
        <v>-41</v>
      </c>
      <c r="AA24" t="n">
        <v>-8</v>
      </c>
      <c r="AB24" s="73" t="n">
        <v>-96</v>
      </c>
      <c r="AC24" s="73" t="n">
        <v>150</v>
      </c>
      <c r="AD24" s="73" t="n">
        <v>111</v>
      </c>
      <c r="AE24" t="n">
        <v>0</v>
      </c>
    </row>
    <row r="25">
      <c r="B25" t="inlineStr">
        <is>
          <t>Equipments</t>
        </is>
      </c>
      <c r="C25" t="n">
        <v>24</v>
      </c>
      <c r="D25" t="n">
        <v>31</v>
      </c>
      <c r="E25" t="n">
        <v>33</v>
      </c>
      <c r="F25" t="n">
        <v>32</v>
      </c>
      <c r="G25" t="n">
        <v>34</v>
      </c>
      <c r="H25" t="n">
        <v>39</v>
      </c>
      <c r="I25" t="n">
        <v>42</v>
      </c>
      <c r="J25" t="n">
        <v>45</v>
      </c>
      <c r="K25" t="n">
        <v>61</v>
      </c>
      <c r="L25" t="n">
        <v>61</v>
      </c>
      <c r="M25" t="n">
        <v>53</v>
      </c>
      <c r="N25" t="n">
        <v>57</v>
      </c>
      <c r="R25" t="inlineStr">
        <is>
          <t>Direct taxes</t>
        </is>
      </c>
      <c r="S25" s="73" t="n">
        <v>-35</v>
      </c>
      <c r="T25" s="73" t="n">
        <v>-39</v>
      </c>
      <c r="U25" s="73" t="n">
        <v>-37</v>
      </c>
      <c r="V25" s="73" t="n">
        <v>-126</v>
      </c>
      <c r="W25" s="73" t="n">
        <v>-178</v>
      </c>
      <c r="X25" s="73" t="n">
        <v>-140</v>
      </c>
      <c r="Y25" s="73" t="n">
        <v>-87</v>
      </c>
      <c r="Z25" s="73" t="n">
        <v>-141</v>
      </c>
      <c r="AA25" s="73" t="n">
        <v>-126</v>
      </c>
      <c r="AB25" s="73" t="n">
        <v>-89</v>
      </c>
      <c r="AC25" s="73" t="n">
        <v>-102</v>
      </c>
      <c r="AD25" s="73" t="n">
        <v>-138</v>
      </c>
      <c r="AE25" t="n">
        <v>0</v>
      </c>
    </row>
    <row r="26">
      <c r="B26" s="73" t="inlineStr">
        <is>
          <t>Furniture n fittings</t>
        </is>
      </c>
      <c r="C26" s="73" t="n">
        <v>87</v>
      </c>
      <c r="D26" s="73" t="n">
        <v>71</v>
      </c>
      <c r="E26" s="73" t="n">
        <v>86</v>
      </c>
      <c r="F26" s="73" t="n">
        <v>91</v>
      </c>
      <c r="G26" s="73" t="n">
        <v>99</v>
      </c>
      <c r="H26" s="73" t="n">
        <v>116</v>
      </c>
      <c r="I26" s="73" t="n">
        <v>129</v>
      </c>
      <c r="J26" s="73" t="n">
        <v>146</v>
      </c>
      <c r="K26" s="73" t="n">
        <v>171</v>
      </c>
      <c r="L26" s="73" t="n">
        <v>335</v>
      </c>
      <c r="M26" s="73" t="n">
        <v>394</v>
      </c>
      <c r="N26" s="73" t="n">
        <v>472</v>
      </c>
      <c r="R26" t="inlineStr">
        <is>
          <t>Cash from Investing Activity -</t>
        </is>
      </c>
      <c r="S26" s="73" t="n">
        <v>-262</v>
      </c>
      <c r="T26" s="73" t="n">
        <v>-200</v>
      </c>
      <c r="U26" s="73" t="n">
        <v>-188</v>
      </c>
      <c r="V26" s="73" t="n">
        <v>-332</v>
      </c>
      <c r="W26" s="73" t="n">
        <v>-457</v>
      </c>
      <c r="X26" s="73" t="n">
        <v>-99</v>
      </c>
      <c r="Y26" s="73" t="n">
        <v>-602</v>
      </c>
      <c r="Z26" s="73" t="n">
        <v>-654</v>
      </c>
      <c r="AA26" s="73" t="n">
        <v>-595</v>
      </c>
      <c r="AB26" s="73" t="n">
        <v>-1285</v>
      </c>
      <c r="AC26" t="n">
        <v>-850</v>
      </c>
      <c r="AD26" s="73" t="n">
        <v>-1084</v>
      </c>
      <c r="AE26" t="n">
        <v>0</v>
      </c>
    </row>
    <row r="27">
      <c r="B27" s="73" t="inlineStr">
        <is>
          <t>Railway sidings</t>
        </is>
      </c>
      <c r="C27" s="73" t="n">
        <v>0</v>
      </c>
      <c r="D27" s="73" t="n">
        <v>0</v>
      </c>
      <c r="E27" s="73" t="n">
        <v>0</v>
      </c>
      <c r="F27" s="73" t="n">
        <v>0</v>
      </c>
      <c r="G27" s="73" t="n">
        <v>0</v>
      </c>
      <c r="H27" s="73" t="n">
        <v>0</v>
      </c>
      <c r="I27" s="73" t="n">
        <v>0</v>
      </c>
      <c r="J27" s="73" t="n">
        <v>0</v>
      </c>
      <c r="K27" s="73" t="n">
        <v>0</v>
      </c>
      <c r="L27" s="73" t="n">
        <v>0</v>
      </c>
      <c r="M27" s="73" t="n">
        <v>0</v>
      </c>
      <c r="N27" s="73" t="n">
        <v>0</v>
      </c>
      <c r="R27" t="inlineStr">
        <is>
          <t>Fixed assets purchased</t>
        </is>
      </c>
      <c r="S27" s="73" t="n">
        <v>-287</v>
      </c>
      <c r="T27" s="73" t="n">
        <v>-227</v>
      </c>
      <c r="U27" s="73" t="n">
        <v>-201</v>
      </c>
      <c r="V27" s="73" t="n">
        <v>-119</v>
      </c>
      <c r="W27" s="73" t="n">
        <v>-167</v>
      </c>
      <c r="X27" s="73" t="n">
        <v>-289</v>
      </c>
      <c r="Y27" s="73" t="n">
        <v>-219</v>
      </c>
      <c r="Z27" s="73" t="n">
        <v>-458</v>
      </c>
      <c r="AA27" s="73" t="n">
        <v>-842</v>
      </c>
      <c r="AB27" s="73" t="n">
        <v>-853</v>
      </c>
      <c r="AC27" s="73" t="n">
        <v>-876</v>
      </c>
      <c r="AD27" s="73" t="n">
        <v>-1010</v>
      </c>
      <c r="AE27" t="n">
        <v>0</v>
      </c>
    </row>
    <row r="28">
      <c r="B28" t="inlineStr">
        <is>
          <t>Vehicles</t>
        </is>
      </c>
      <c r="C28" t="n">
        <v>60</v>
      </c>
      <c r="D28" t="n">
        <v>37</v>
      </c>
      <c r="E28" t="n">
        <v>40</v>
      </c>
      <c r="F28" t="n">
        <v>37</v>
      </c>
      <c r="G28" t="n">
        <v>44</v>
      </c>
      <c r="H28" t="n">
        <v>60</v>
      </c>
      <c r="I28" t="n">
        <v>79</v>
      </c>
      <c r="J28" t="n">
        <v>113</v>
      </c>
      <c r="K28" t="n">
        <v>153</v>
      </c>
      <c r="L28" t="n">
        <v>252</v>
      </c>
      <c r="M28" t="n">
        <v>361</v>
      </c>
      <c r="N28" t="n">
        <v>497</v>
      </c>
      <c r="O28" s="73" t="n"/>
      <c r="R28" t="inlineStr">
        <is>
          <t>Fixed assets sold</t>
        </is>
      </c>
      <c r="S28" s="73" t="n">
        <v>1</v>
      </c>
      <c r="T28" s="73" t="n">
        <v>1</v>
      </c>
      <c r="U28" s="73" t="n">
        <v>1</v>
      </c>
      <c r="V28" s="73" t="n">
        <v>3</v>
      </c>
      <c r="W28" s="73" t="n">
        <v>1</v>
      </c>
      <c r="X28" s="73" t="n">
        <v>1</v>
      </c>
      <c r="Y28" s="73" t="n">
        <v>1</v>
      </c>
      <c r="Z28" s="73" t="n">
        <v>2</v>
      </c>
      <c r="AA28" s="73" t="n">
        <v>4</v>
      </c>
      <c r="AB28" t="n">
        <v>5</v>
      </c>
      <c r="AC28" s="73" t="n">
        <v>5</v>
      </c>
      <c r="AD28" s="73" t="n">
        <v>5</v>
      </c>
      <c r="AE28" t="n">
        <v>0</v>
      </c>
    </row>
    <row r="29">
      <c r="B29" t="inlineStr">
        <is>
          <t>Intangible Assets</t>
        </is>
      </c>
      <c r="C29" t="n">
        <v>0</v>
      </c>
      <c r="D29" t="n">
        <v>0</v>
      </c>
      <c r="E29" t="n">
        <v>0</v>
      </c>
      <c r="F29" t="n">
        <v>0</v>
      </c>
      <c r="G29" t="n">
        <v>0</v>
      </c>
      <c r="H29" t="n">
        <v>0</v>
      </c>
      <c r="I29" s="73" t="n">
        <v>0</v>
      </c>
      <c r="J29" s="73" t="n">
        <v>0</v>
      </c>
      <c r="K29" s="73" t="n">
        <v>0</v>
      </c>
      <c r="L29" s="73" t="n">
        <v>1742</v>
      </c>
      <c r="M29" s="73" t="n">
        <v>1677</v>
      </c>
      <c r="N29" s="73" t="n">
        <v>1807</v>
      </c>
      <c r="R29" t="inlineStr">
        <is>
          <t>Investments purchased</t>
        </is>
      </c>
      <c r="S29" s="73" t="n">
        <v>-1094</v>
      </c>
      <c r="T29" s="73" t="n">
        <v>-1229</v>
      </c>
      <c r="U29" s="73" t="n">
        <v>-1706</v>
      </c>
      <c r="V29" s="73" t="n">
        <v>-1872</v>
      </c>
      <c r="W29" s="73" t="n">
        <v>0</v>
      </c>
      <c r="X29" s="73" t="n">
        <v>0</v>
      </c>
      <c r="Y29" s="73" t="n">
        <v>-278</v>
      </c>
      <c r="Z29" s="73" t="n">
        <v>-160</v>
      </c>
      <c r="AA29" s="73" t="n">
        <v>-89</v>
      </c>
      <c r="AB29" s="73" t="n">
        <v>-770</v>
      </c>
      <c r="AC29" s="73" t="n">
        <v>0</v>
      </c>
      <c r="AD29" s="73" t="n">
        <v>-38</v>
      </c>
      <c r="AE29" t="n">
        <v>0</v>
      </c>
    </row>
    <row r="30">
      <c r="B30" t="inlineStr">
        <is>
          <t>Other fixed assets</t>
        </is>
      </c>
      <c r="C30" t="n">
        <v>40</v>
      </c>
      <c r="D30" t="n">
        <v>34</v>
      </c>
      <c r="E30" t="n">
        <v>53</v>
      </c>
      <c r="F30" t="n">
        <v>68</v>
      </c>
      <c r="G30" t="n">
        <v>81</v>
      </c>
      <c r="H30" t="n">
        <v>2294</v>
      </c>
      <c r="I30" t="n">
        <v>2229</v>
      </c>
      <c r="J30" t="n">
        <v>2644</v>
      </c>
      <c r="K30" t="n">
        <v>3190</v>
      </c>
      <c r="L30" t="n">
        <v>3906</v>
      </c>
      <c r="M30" t="n">
        <v>687</v>
      </c>
      <c r="N30" s="73" t="n">
        <v>981</v>
      </c>
      <c r="O30" s="73" t="n"/>
      <c r="R30" t="inlineStr">
        <is>
          <t>Investments sold</t>
        </is>
      </c>
      <c r="S30" s="73" t="n">
        <v>1114</v>
      </c>
      <c r="T30" s="73" t="n">
        <v>1249</v>
      </c>
      <c r="U30" s="73" t="n">
        <v>1709</v>
      </c>
      <c r="V30" s="73" t="n">
        <v>1702</v>
      </c>
      <c r="W30" s="73" t="n">
        <v>96</v>
      </c>
      <c r="X30" s="73" t="n">
        <v>144</v>
      </c>
      <c r="Y30" s="73" t="n">
        <v>0</v>
      </c>
      <c r="Z30" s="73" t="n">
        <v>0</v>
      </c>
      <c r="AA30" s="73" t="n">
        <v>0</v>
      </c>
      <c r="AB30" s="73" t="n">
        <v>32</v>
      </c>
      <c r="AC30" s="73" t="n">
        <v>47</v>
      </c>
      <c r="AD30" s="73" t="n">
        <v>0</v>
      </c>
      <c r="AE30" t="n">
        <v>0</v>
      </c>
    </row>
    <row r="31">
      <c r="B31" t="inlineStr">
        <is>
          <t>Gross Block</t>
        </is>
      </c>
      <c r="C31" s="73" t="n">
        <v>1081</v>
      </c>
      <c r="D31" s="73" t="n">
        <v>947</v>
      </c>
      <c r="E31" s="73" t="n">
        <v>1050</v>
      </c>
      <c r="F31" s="73" t="n">
        <v>1173</v>
      </c>
      <c r="G31" s="73" t="n">
        <v>1310</v>
      </c>
      <c r="H31" s="73" t="n">
        <v>3751</v>
      </c>
      <c r="I31" s="73" t="n">
        <v>3895</v>
      </c>
      <c r="J31" s="73" t="n">
        <v>4660</v>
      </c>
      <c r="K31" s="73" t="n">
        <v>5702</v>
      </c>
      <c r="L31" s="73" t="n">
        <v>9245</v>
      </c>
      <c r="M31" s="73" t="n">
        <v>10032</v>
      </c>
      <c r="N31" s="73" t="n">
        <v>11737</v>
      </c>
      <c r="O31" s="73" t="n"/>
      <c r="R31" t="inlineStr">
        <is>
          <t>Interest received</t>
        </is>
      </c>
      <c r="S31" t="n">
        <v>0</v>
      </c>
      <c r="T31" t="n">
        <v>0</v>
      </c>
      <c r="U31" s="73" t="n">
        <v>0</v>
      </c>
      <c r="V31" s="73" t="n">
        <v>0</v>
      </c>
      <c r="W31" s="73" t="n">
        <v>16</v>
      </c>
      <c r="X31" s="73" t="n">
        <v>39</v>
      </c>
      <c r="Y31" s="73" t="n">
        <v>37</v>
      </c>
      <c r="Z31" s="73" t="n">
        <v>23</v>
      </c>
      <c r="AA31" s="73" t="n">
        <v>21</v>
      </c>
      <c r="AB31" s="73" t="n">
        <v>13</v>
      </c>
      <c r="AC31" s="73" t="n">
        <v>5</v>
      </c>
      <c r="AD31" s="73" t="n">
        <v>11</v>
      </c>
      <c r="AE31" t="n">
        <v>0</v>
      </c>
    </row>
    <row r="32">
      <c r="B32" s="73" t="inlineStr">
        <is>
          <t>Accumulated Depreciation</t>
        </is>
      </c>
      <c r="C32" s="73" t="n">
        <v>344</v>
      </c>
      <c r="D32" s="73" t="n">
        <v>118</v>
      </c>
      <c r="E32" s="73" t="n">
        <v>250</v>
      </c>
      <c r="F32" s="73" t="n">
        <v>384</v>
      </c>
      <c r="G32" s="73" t="n">
        <v>501</v>
      </c>
      <c r="H32" s="73" t="n">
        <v>1562</v>
      </c>
      <c r="I32" s="73" t="n">
        <v>1750</v>
      </c>
      <c r="J32" s="73" t="n">
        <v>1924</v>
      </c>
      <c r="K32" s="73" t="n">
        <v>2214</v>
      </c>
      <c r="L32" s="73" t="n">
        <v>3061</v>
      </c>
      <c r="M32" s="73" t="n">
        <v>3598</v>
      </c>
      <c r="N32" s="73" t="n">
        <v>4384</v>
      </c>
      <c r="O32" s="73" t="n"/>
      <c r="R32" t="inlineStr">
        <is>
          <t>Dividends received</t>
        </is>
      </c>
      <c r="S32" t="n">
        <v>6</v>
      </c>
      <c r="T32" t="n">
        <v>6</v>
      </c>
      <c r="U32" s="73" t="n">
        <v>8</v>
      </c>
      <c r="V32" t="n">
        <v>10</v>
      </c>
      <c r="W32" t="n">
        <v>6</v>
      </c>
      <c r="X32" t="n">
        <v>0</v>
      </c>
      <c r="Y32" s="73" t="n">
        <v>0</v>
      </c>
      <c r="Z32" s="73" t="n">
        <v>0</v>
      </c>
      <c r="AA32" s="73" t="n">
        <v>0</v>
      </c>
      <c r="AB32" s="73" t="n">
        <v>0</v>
      </c>
      <c r="AC32" s="73" t="n">
        <v>0</v>
      </c>
      <c r="AD32" s="73" t="n">
        <v>0</v>
      </c>
      <c r="AE32" t="n">
        <v>0</v>
      </c>
    </row>
    <row r="33">
      <c r="B33" t="inlineStr">
        <is>
          <t>Net Block</t>
        </is>
      </c>
      <c r="C33" s="73" t="n">
        <v>737</v>
      </c>
      <c r="D33" s="73" t="n">
        <v>828</v>
      </c>
      <c r="E33" s="73" t="n">
        <v>800</v>
      </c>
      <c r="F33" s="73" t="n">
        <v>789</v>
      </c>
      <c r="G33" s="73" t="n">
        <v>809</v>
      </c>
      <c r="H33" s="73" t="n">
        <v>2189</v>
      </c>
      <c r="I33" s="73" t="n">
        <v>2146</v>
      </c>
      <c r="J33" s="73" t="n">
        <v>2737</v>
      </c>
      <c r="K33" s="73" t="n">
        <v>3488</v>
      </c>
      <c r="L33" s="73" t="n">
        <v>6184</v>
      </c>
      <c r="M33" s="73" t="n">
        <v>6434</v>
      </c>
      <c r="N33" s="73" t="n">
        <v>7353</v>
      </c>
      <c r="O33" s="73"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0</v>
      </c>
      <c r="W34" s="73" t="n">
        <v>0</v>
      </c>
      <c r="X34" s="73" t="n">
        <v>0</v>
      </c>
      <c r="Y34" s="73" t="n">
        <v>0</v>
      </c>
      <c r="Z34" s="73" t="n">
        <v>0</v>
      </c>
      <c r="AA34" s="73" t="n">
        <v>0</v>
      </c>
      <c r="AB34" s="73" t="n">
        <v>0</v>
      </c>
      <c r="AC34" s="73" t="n">
        <v>0</v>
      </c>
      <c r="AD34" s="73" t="n">
        <v>0</v>
      </c>
      <c r="AE34" t="n">
        <v>0</v>
      </c>
    </row>
    <row r="35">
      <c r="B35" t="inlineStr">
        <is>
          <t>CWIP</t>
        </is>
      </c>
      <c r="C35" s="73" t="n">
        <v>20</v>
      </c>
      <c r="D35" s="73" t="n">
        <v>26</v>
      </c>
      <c r="E35" s="73" t="n">
        <v>61</v>
      </c>
      <c r="F35" s="73" t="n">
        <v>14</v>
      </c>
      <c r="G35" s="73" t="n">
        <v>16</v>
      </c>
      <c r="H35" s="73" t="n">
        <v>41</v>
      </c>
      <c r="I35" s="73" t="n">
        <v>29</v>
      </c>
      <c r="J35" s="73" t="n">
        <v>47</v>
      </c>
      <c r="K35" s="73" t="n">
        <v>184</v>
      </c>
      <c r="L35" s="73" t="n">
        <v>118</v>
      </c>
      <c r="M35" s="73" t="n">
        <v>255</v>
      </c>
      <c r="N35" s="73" t="n">
        <v>160</v>
      </c>
      <c r="O35" s="73" t="n"/>
      <c r="R35" t="inlineStr">
        <is>
          <t>Redemp n Canc of Shares</t>
        </is>
      </c>
      <c r="S35" s="73" t="n">
        <v>0</v>
      </c>
      <c r="T35" s="73" t="n">
        <v>0</v>
      </c>
      <c r="U35" s="73" t="n">
        <v>0</v>
      </c>
      <c r="V35" s="73" t="n">
        <v>0</v>
      </c>
      <c r="W35" s="73" t="n">
        <v>0</v>
      </c>
      <c r="X35" s="73" t="n">
        <v>0</v>
      </c>
      <c r="Y35" s="73" t="n">
        <v>0</v>
      </c>
      <c r="Z35" s="73" t="n">
        <v>0</v>
      </c>
      <c r="AA35" s="73" t="n">
        <v>0</v>
      </c>
      <c r="AB35" s="73" t="n">
        <v>0</v>
      </c>
      <c r="AC35" s="73" t="n">
        <v>0</v>
      </c>
      <c r="AD35" s="73" t="n">
        <v>0</v>
      </c>
      <c r="AE35" t="n">
        <v>0</v>
      </c>
    </row>
    <row r="36">
      <c r="B36" t="inlineStr">
        <is>
          <t>Investments</t>
        </is>
      </c>
      <c r="C36" s="73" t="n">
        <v>75</v>
      </c>
      <c r="D36" s="73" t="n">
        <v>91</v>
      </c>
      <c r="E36" s="73" t="n">
        <v>94</v>
      </c>
      <c r="F36" s="73" t="n">
        <v>263</v>
      </c>
      <c r="G36" s="73" t="n">
        <v>181</v>
      </c>
      <c r="H36" s="73" t="n">
        <v>51</v>
      </c>
      <c r="I36" s="73" t="n">
        <v>517</v>
      </c>
      <c r="J36" s="73" t="n">
        <v>927</v>
      </c>
      <c r="K36" s="73" t="n">
        <v>822</v>
      </c>
      <c r="L36" s="73" t="n">
        <v>308</v>
      </c>
      <c r="M36" s="73" t="n">
        <v>176</v>
      </c>
      <c r="N36" s="73" t="n">
        <v>199</v>
      </c>
      <c r="O36" s="73" t="n"/>
      <c r="R36" t="inlineStr">
        <is>
          <t>Other investing items</t>
        </is>
      </c>
      <c r="S36" s="73" t="n">
        <v>-2</v>
      </c>
      <c r="T36" s="73" t="n">
        <v>1</v>
      </c>
      <c r="U36" s="73" t="n">
        <v>-0</v>
      </c>
      <c r="V36" s="73" t="n">
        <v>-56</v>
      </c>
      <c r="W36" s="73" t="n">
        <v>-409</v>
      </c>
      <c r="X36" s="73" t="n">
        <v>6</v>
      </c>
      <c r="Y36" s="73" t="n">
        <v>-143</v>
      </c>
      <c r="Z36" s="73" t="n">
        <v>-62</v>
      </c>
      <c r="AA36" t="n">
        <v>311</v>
      </c>
      <c r="AB36" s="73" t="n">
        <v>287</v>
      </c>
      <c r="AC36" t="n">
        <v>-31</v>
      </c>
      <c r="AD36" s="73" t="n">
        <v>-52</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1</v>
      </c>
      <c r="T37" s="73" t="n">
        <v>-18</v>
      </c>
      <c r="U37" s="73" t="n">
        <v>-15</v>
      </c>
      <c r="V37" s="73" t="n">
        <v>-35</v>
      </c>
      <c r="W37" s="73" t="n">
        <v>-17</v>
      </c>
      <c r="X37" s="73" t="n">
        <v>-461</v>
      </c>
      <c r="Y37" s="73" t="n">
        <v>-289</v>
      </c>
      <c r="Z37" s="73" t="n">
        <v>-307</v>
      </c>
      <c r="AA37" s="73" t="n">
        <v>-426</v>
      </c>
      <c r="AB37" s="73" t="n">
        <v>377</v>
      </c>
      <c r="AC37" s="73" t="n">
        <v>-839</v>
      </c>
      <c r="AD37" s="73" t="n">
        <v>-780</v>
      </c>
      <c r="AE37" t="n">
        <v>0</v>
      </c>
    </row>
    <row r="38">
      <c r="B38" t="inlineStr">
        <is>
          <t>Other Assets -</t>
        </is>
      </c>
      <c r="C38" s="73" t="n">
        <v>243</v>
      </c>
      <c r="D38" s="73" t="n">
        <v>277</v>
      </c>
      <c r="E38" s="73" t="n">
        <v>336</v>
      </c>
      <c r="F38" s="73" t="n">
        <v>430</v>
      </c>
      <c r="G38" s="73" t="n">
        <v>850</v>
      </c>
      <c r="H38" s="73" t="n">
        <v>1089</v>
      </c>
      <c r="I38" s="73" t="n">
        <v>1076</v>
      </c>
      <c r="J38" s="73" t="n">
        <v>1072</v>
      </c>
      <c r="K38" s="73" t="n">
        <v>888</v>
      </c>
      <c r="L38" s="73" t="n">
        <v>1428</v>
      </c>
      <c r="M38" s="73" t="n">
        <v>1538</v>
      </c>
      <c r="N38" s="73" t="n">
        <v>1654</v>
      </c>
      <c r="O38" s="73" t="n"/>
      <c r="R38" t="inlineStr">
        <is>
          <t>Proceeds from shares</t>
        </is>
      </c>
      <c r="S38" t="n">
        <v>1</v>
      </c>
      <c r="T38" t="n">
        <v>2</v>
      </c>
      <c r="U38" s="73" t="n">
        <v>5</v>
      </c>
      <c r="V38" t="n">
        <v>21</v>
      </c>
      <c r="W38" t="n">
        <v>23</v>
      </c>
      <c r="X38" t="n">
        <v>11</v>
      </c>
      <c r="Y38" t="n">
        <v>3</v>
      </c>
      <c r="Z38" t="n">
        <v>6</v>
      </c>
      <c r="AA38" s="73" t="n">
        <v>8</v>
      </c>
      <c r="AB38" s="73" t="n">
        <v>0</v>
      </c>
      <c r="AC38" t="n">
        <v>0</v>
      </c>
      <c r="AD38" t="n">
        <v>2</v>
      </c>
      <c r="AE38" t="n">
        <v>0</v>
      </c>
    </row>
    <row r="39">
      <c r="B39" t="inlineStr">
        <is>
          <t>Inventories</t>
        </is>
      </c>
      <c r="C39" s="73" t="n">
        <v>43</v>
      </c>
      <c r="D39" s="73" t="n">
        <v>55</v>
      </c>
      <c r="E39" s="73" t="n">
        <v>61</v>
      </c>
      <c r="F39" s="73" t="n">
        <v>64</v>
      </c>
      <c r="G39" s="73" t="n">
        <v>77</v>
      </c>
      <c r="H39" s="73" t="n">
        <v>95</v>
      </c>
      <c r="I39" s="73" t="n">
        <v>133</v>
      </c>
      <c r="J39" s="73" t="n">
        <v>161</v>
      </c>
      <c r="K39" s="73" t="n">
        <v>177</v>
      </c>
      <c r="L39" s="73" t="n">
        <v>410</v>
      </c>
      <c r="M39" s="73" t="n">
        <v>406</v>
      </c>
      <c r="N39" s="73" t="n">
        <v>309</v>
      </c>
      <c r="O39" s="73" t="n"/>
      <c r="R39" t="inlineStr">
        <is>
          <t>Proceeds from borrowings</t>
        </is>
      </c>
      <c r="S39" t="n">
        <v>-0</v>
      </c>
      <c r="T39" t="n">
        <v>-0</v>
      </c>
      <c r="U39" t="n">
        <v>-0</v>
      </c>
      <c r="V39" t="n">
        <v>-0</v>
      </c>
      <c r="W39" t="n">
        <v>-0</v>
      </c>
      <c r="X39" t="n">
        <v>-0</v>
      </c>
      <c r="Y39" t="n">
        <v>-0</v>
      </c>
      <c r="Z39" t="n">
        <v>120</v>
      </c>
      <c r="AA39" t="n">
        <v>63</v>
      </c>
      <c r="AB39" t="n">
        <v>1101</v>
      </c>
      <c r="AC39" t="n">
        <v>117</v>
      </c>
      <c r="AD39" s="73" t="n">
        <v>243</v>
      </c>
      <c r="AE39" t="n">
        <v>0</v>
      </c>
    </row>
    <row r="40">
      <c r="B40" t="inlineStr">
        <is>
          <t>Trade receivables +</t>
        </is>
      </c>
      <c r="C40" s="73" t="n">
        <v>12</v>
      </c>
      <c r="D40" s="73" t="n">
        <v>12</v>
      </c>
      <c r="E40" s="73" t="n">
        <v>16</v>
      </c>
      <c r="F40" s="73" t="n">
        <v>16</v>
      </c>
      <c r="G40" s="73" t="n">
        <v>27</v>
      </c>
      <c r="H40" s="73" t="n">
        <v>17</v>
      </c>
      <c r="I40" s="73" t="n">
        <v>17</v>
      </c>
      <c r="J40" s="73" t="n">
        <v>22</v>
      </c>
      <c r="K40" s="73" t="n">
        <v>29</v>
      </c>
      <c r="L40" s="73" t="n">
        <v>265</v>
      </c>
      <c r="M40" s="73" t="n">
        <v>330</v>
      </c>
      <c r="N40" s="73" t="n">
        <v>375</v>
      </c>
      <c r="O40" s="73" t="n"/>
      <c r="R40" t="inlineStr">
        <is>
          <t>Repayment of borrowings</t>
        </is>
      </c>
      <c r="S40" t="n">
        <v>-0</v>
      </c>
      <c r="T40" t="n">
        <v>-0</v>
      </c>
      <c r="U40" t="n">
        <v>-0</v>
      </c>
      <c r="V40" s="73" t="n">
        <v>-0</v>
      </c>
      <c r="W40" t="n">
        <v>-0</v>
      </c>
      <c r="X40" t="n">
        <v>-0</v>
      </c>
      <c r="Y40" s="73" t="n">
        <v>-0</v>
      </c>
      <c r="Z40" t="n">
        <v>-0</v>
      </c>
      <c r="AA40" s="73" t="n">
        <v>-0</v>
      </c>
      <c r="AB40" s="73" t="n">
        <v>-92</v>
      </c>
      <c r="AC40" s="73" t="n">
        <v>-122</v>
      </c>
      <c r="AD40" s="73" t="n">
        <v>-172</v>
      </c>
      <c r="AE40" t="n">
        <v>0</v>
      </c>
    </row>
    <row r="41">
      <c r="B41" t="inlineStr">
        <is>
          <t>Cash Equivalents</t>
        </is>
      </c>
      <c r="C41" s="73" t="n">
        <v>39</v>
      </c>
      <c r="D41" s="73" t="n">
        <v>33</v>
      </c>
      <c r="E41" s="73" t="n">
        <v>35</v>
      </c>
      <c r="F41" s="73" t="n">
        <v>129</v>
      </c>
      <c r="G41" s="73" t="n">
        <v>494</v>
      </c>
      <c r="H41" s="73" t="n">
        <v>656</v>
      </c>
      <c r="I41" s="73" t="n">
        <v>539</v>
      </c>
      <c r="J41" s="73" t="n">
        <v>563</v>
      </c>
      <c r="K41" s="73" t="n">
        <v>257</v>
      </c>
      <c r="L41" s="73" t="n">
        <v>157</v>
      </c>
      <c r="M41" s="73" t="n">
        <v>154</v>
      </c>
      <c r="N41" s="73" t="n">
        <v>235</v>
      </c>
      <c r="O41" s="73" t="n"/>
      <c r="R41" t="inlineStr">
        <is>
          <t>Interest paid fin</t>
        </is>
      </c>
      <c r="S41" s="73" t="n">
        <v>-0</v>
      </c>
      <c r="T41" s="73" t="n">
        <v>-0</v>
      </c>
      <c r="U41" s="73" t="n">
        <v>-0</v>
      </c>
      <c r="V41" s="73" t="n">
        <v>-0</v>
      </c>
      <c r="W41" s="73" t="n">
        <v>-0</v>
      </c>
      <c r="X41" s="73" t="n">
        <v>-165</v>
      </c>
      <c r="Y41" s="73" t="n">
        <v>-0</v>
      </c>
      <c r="Z41" s="73" t="n">
        <v>-0</v>
      </c>
      <c r="AA41" s="73" t="n">
        <v>-3</v>
      </c>
      <c r="AB41" s="73" t="n">
        <v>-44</v>
      </c>
      <c r="AC41" s="73" t="n">
        <v>-220</v>
      </c>
      <c r="AD41" s="73" t="n">
        <v>-111</v>
      </c>
      <c r="AE41" t="n">
        <v>0</v>
      </c>
    </row>
    <row r="42">
      <c r="B42" t="inlineStr">
        <is>
          <t>Loans n Advances</t>
        </is>
      </c>
      <c r="C42" s="73" t="n">
        <v>-2</v>
      </c>
      <c r="D42" s="73" t="n">
        <v>5</v>
      </c>
      <c r="E42" s="73" t="n">
        <v>5</v>
      </c>
      <c r="F42" s="73" t="n">
        <v>5</v>
      </c>
      <c r="G42" s="73" t="n">
        <v>7</v>
      </c>
      <c r="H42" s="73" t="n">
        <v>-2</v>
      </c>
      <c r="I42" s="73" t="n">
        <v>-3</v>
      </c>
      <c r="J42" s="73" t="n">
        <v>-2</v>
      </c>
      <c r="K42" s="73" t="n">
        <v>-1</v>
      </c>
      <c r="L42" s="73" t="n">
        <v>-1</v>
      </c>
      <c r="M42" s="73" t="n">
        <v>-5</v>
      </c>
      <c r="N42" s="73" t="n">
        <v>-9</v>
      </c>
      <c r="O42" s="73" t="n"/>
      <c r="R42" t="inlineStr">
        <is>
          <t>Dividends paid</t>
        </is>
      </c>
      <c r="S42" s="73" t="n">
        <v>-0</v>
      </c>
      <c r="T42" s="73" t="n">
        <v>-16</v>
      </c>
      <c r="U42" s="73" t="n">
        <v>-16</v>
      </c>
      <c r="V42" s="73" t="n">
        <v>-16</v>
      </c>
      <c r="W42" s="73" t="n">
        <v>-33</v>
      </c>
      <c r="X42" s="73" t="n">
        <v>-145</v>
      </c>
      <c r="Y42" s="73" t="n">
        <v>-0</v>
      </c>
      <c r="Z42" s="73" t="n">
        <v>-79</v>
      </c>
      <c r="AA42" s="73" t="n">
        <v>-79</v>
      </c>
      <c r="AB42" s="73" t="n">
        <v>-79</v>
      </c>
      <c r="AC42" s="73" t="n">
        <v>-79</v>
      </c>
      <c r="AD42" s="73" t="n">
        <v>-81</v>
      </c>
      <c r="AE42" t="n">
        <v>0</v>
      </c>
    </row>
    <row r="43">
      <c r="B43" t="inlineStr">
        <is>
          <t>Other asset items</t>
        </is>
      </c>
      <c r="C43" s="73" t="n">
        <v>151</v>
      </c>
      <c r="D43" s="73" t="n">
        <v>171</v>
      </c>
      <c r="E43" s="73" t="n">
        <v>219</v>
      </c>
      <c r="F43" s="73" t="n">
        <v>216</v>
      </c>
      <c r="G43" s="73" t="n">
        <v>244</v>
      </c>
      <c r="H43" s="73" t="n">
        <v>324</v>
      </c>
      <c r="I43" s="73" t="n">
        <v>389</v>
      </c>
      <c r="J43" s="73" t="n">
        <v>327</v>
      </c>
      <c r="K43" s="73" t="n">
        <v>427</v>
      </c>
      <c r="L43" s="73" t="n">
        <v>597</v>
      </c>
      <c r="M43" s="73" t="n">
        <v>653</v>
      </c>
      <c r="N43" s="73" t="n">
        <v>745</v>
      </c>
      <c r="O43" s="73" t="n"/>
      <c r="R43" t="inlineStr">
        <is>
          <t>Financial liabilities</t>
        </is>
      </c>
      <c r="S43" t="n">
        <v>-0</v>
      </c>
      <c r="T43" t="n">
        <v>-0</v>
      </c>
      <c r="U43" t="n">
        <v>-0</v>
      </c>
      <c r="V43" t="n">
        <v>-0</v>
      </c>
      <c r="W43" t="n">
        <v>-0</v>
      </c>
      <c r="X43" t="n">
        <v>-132</v>
      </c>
      <c r="Y43" t="n">
        <v>-284</v>
      </c>
      <c r="Z43" t="n">
        <v>-310</v>
      </c>
      <c r="AA43" t="n">
        <v>-373</v>
      </c>
      <c r="AB43" t="n">
        <v>-450</v>
      </c>
      <c r="AC43" t="n">
        <v>-545</v>
      </c>
      <c r="AD43" t="n">
        <v>-641</v>
      </c>
      <c r="AE43" t="n">
        <v>0</v>
      </c>
    </row>
    <row r="44">
      <c r="B44" s="57" t="inlineStr">
        <is>
          <t>Total Assets</t>
        </is>
      </c>
      <c r="C44" s="73" t="n">
        <v>1075</v>
      </c>
      <c r="D44" s="73" t="n">
        <v>1222</v>
      </c>
      <c r="E44" s="73" t="n">
        <v>1291</v>
      </c>
      <c r="F44" s="73" t="n">
        <v>1497</v>
      </c>
      <c r="G44" s="73" t="n">
        <v>1856</v>
      </c>
      <c r="H44" s="73" t="n">
        <v>3370</v>
      </c>
      <c r="I44" s="73" t="n">
        <v>3767</v>
      </c>
      <c r="J44" s="73" t="n">
        <v>4782</v>
      </c>
      <c r="K44" s="73" t="n">
        <v>5382</v>
      </c>
      <c r="L44" s="73" t="n">
        <v>8038</v>
      </c>
      <c r="M44" s="73" t="n">
        <v>8404</v>
      </c>
      <c r="N44" s="73" t="n">
        <v>9367</v>
      </c>
      <c r="R44" t="inlineStr">
        <is>
          <t>Other financing items</t>
        </is>
      </c>
      <c r="S44" t="n">
        <v>-0</v>
      </c>
      <c r="T44" t="n">
        <v>-3</v>
      </c>
      <c r="U44" s="73" t="n">
        <v>-3</v>
      </c>
      <c r="V44" s="73" t="n">
        <v>-39</v>
      </c>
      <c r="W44" s="73" t="n">
        <v>-7</v>
      </c>
      <c r="X44" s="73" t="n">
        <v>-30</v>
      </c>
      <c r="Y44" t="n">
        <v>-7</v>
      </c>
      <c r="Z44" t="n">
        <v>-43</v>
      </c>
      <c r="AA44" t="n">
        <v>-42</v>
      </c>
      <c r="AB44" t="n">
        <v>-59</v>
      </c>
      <c r="AC44" t="n">
        <v>9</v>
      </c>
      <c r="AD44" t="n">
        <v>-20</v>
      </c>
      <c r="AE44" t="n">
        <v>0</v>
      </c>
    </row>
    <row r="45">
      <c r="R45" t="inlineStr">
        <is>
          <t>Net Cash Flow</t>
        </is>
      </c>
      <c r="S45" t="n">
        <v>15</v>
      </c>
      <c r="T45" t="n">
        <v>-6</v>
      </c>
      <c r="U45" t="n">
        <v>0</v>
      </c>
      <c r="V45" t="n">
        <v>42</v>
      </c>
      <c r="W45" t="n">
        <v>-51</v>
      </c>
      <c r="X45" t="n">
        <v>168</v>
      </c>
      <c r="Y45" t="n">
        <v>-140</v>
      </c>
      <c r="Z45" t="n">
        <v>-31</v>
      </c>
      <c r="AA45" t="n">
        <v>5</v>
      </c>
      <c r="AB45" t="n">
        <v>102</v>
      </c>
      <c r="AC45" t="n">
        <v>-32</v>
      </c>
      <c r="AD45" t="n">
        <v>29</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Travel Food</t>
        </is>
      </c>
      <c r="M57" t="n">
        <v>1208.1</v>
      </c>
      <c r="N57" t="n">
        <v>13.171</v>
      </c>
      <c r="AR57" t="n">
        <v>15911.9</v>
      </c>
      <c r="AS57">
        <f>AZ57-BA57</f>
        <v/>
      </c>
      <c r="AT57">
        <f>AR57+AS57</f>
        <v/>
      </c>
      <c r="AU57" t="n">
        <v>1808.9</v>
      </c>
      <c r="AV57" t="n">
        <v>772.6</v>
      </c>
      <c r="AW57" t="n">
        <v>475.98</v>
      </c>
      <c r="AX57" t="n">
        <v>15</v>
      </c>
      <c r="AZ57" t="n">
        <v>245</v>
      </c>
      <c r="BA57" t="n">
        <v>1123</v>
      </c>
    </row>
    <row r="58">
      <c r="K58" t="n">
        <v>2</v>
      </c>
      <c r="L58" t="inlineStr">
        <is>
          <t>Westlife Food</t>
        </is>
      </c>
      <c r="M58" t="n">
        <v>588.05</v>
      </c>
      <c r="N58" t="n">
        <v>15.5936</v>
      </c>
      <c r="AR58" t="n">
        <v>9169.799999999999</v>
      </c>
      <c r="AS58">
        <f>AZ58-BA58</f>
        <v/>
      </c>
      <c r="AT58">
        <f>AR58+AS58</f>
        <v/>
      </c>
      <c r="AU58" t="n">
        <v>2942.6</v>
      </c>
      <c r="AV58" t="n">
        <v>3.5</v>
      </c>
      <c r="AW58" t="n">
        <v>2.36</v>
      </c>
      <c r="AX58" t="n">
        <v>15</v>
      </c>
      <c r="AZ58" t="n">
        <v>1805</v>
      </c>
      <c r="BA58" t="n">
        <v>120</v>
      </c>
    </row>
    <row r="59">
      <c r="K59" t="n">
        <v>3</v>
      </c>
      <c r="L59" t="inlineStr">
        <is>
          <t>Sapphire Foods</t>
        </is>
      </c>
      <c r="M59" t="n">
        <v>209.82</v>
      </c>
      <c r="N59" t="n">
        <v>32.1385</v>
      </c>
      <c r="AR59" t="n">
        <v>6743.3</v>
      </c>
      <c r="AS59">
        <f>AZ59-BA59</f>
        <v/>
      </c>
      <c r="AT59">
        <f>AR59+AS59</f>
        <v/>
      </c>
      <c r="AU59" t="n">
        <v>3563.8</v>
      </c>
      <c r="AV59" t="n">
        <v>84.09999999999999</v>
      </c>
      <c r="AW59" t="n">
        <v>2.46</v>
      </c>
      <c r="AX59" t="n">
        <v>15</v>
      </c>
      <c r="AZ59" t="n">
        <v>1417</v>
      </c>
      <c r="BA59" t="n">
        <v>3</v>
      </c>
    </row>
    <row r="60">
      <c r="K60" t="n">
        <v>4</v>
      </c>
      <c r="L60" t="inlineStr">
        <is>
          <t>ITC Hotels</t>
        </is>
      </c>
      <c r="M60" t="n">
        <v>158.51</v>
      </c>
      <c r="N60" t="n">
        <v>208.3067</v>
      </c>
      <c r="AR60" t="n">
        <v>33018.7</v>
      </c>
      <c r="AS60">
        <f>AZ60-BA60</f>
        <v/>
      </c>
      <c r="AT60">
        <f>AR60+AS60</f>
        <v/>
      </c>
      <c r="AU60" t="n">
        <v>3744.1</v>
      </c>
      <c r="AV60" t="n">
        <v>1091.5</v>
      </c>
      <c r="AW60" t="n">
        <v>921.54</v>
      </c>
      <c r="AX60" t="n">
        <v>15</v>
      </c>
      <c r="AZ60" t="n">
        <v>2399</v>
      </c>
      <c r="BA60" t="n">
        <v>38128</v>
      </c>
    </row>
    <row r="61">
      <c r="K61" t="n">
        <v>5</v>
      </c>
      <c r="L61" t="inlineStr">
        <is>
          <t>United Foodbrands</t>
        </is>
      </c>
      <c r="M61" t="n">
        <v>692.75</v>
      </c>
      <c r="N61" t="n">
        <v>3.9118</v>
      </c>
      <c r="AR61" t="n">
        <v>2709.9</v>
      </c>
      <c r="AS61">
        <f>AZ61-BA61</f>
        <v/>
      </c>
      <c r="AT61">
        <f>AR61+AS61</f>
        <v/>
      </c>
      <c r="AU61" t="n">
        <v>1703.6</v>
      </c>
      <c r="AV61" t="n">
        <v>13.8</v>
      </c>
      <c r="AW61" t="n">
        <v>9.199999999999999</v>
      </c>
      <c r="AX61" t="n">
        <v>15</v>
      </c>
      <c r="AZ61" t="n">
        <v>885</v>
      </c>
      <c r="BA61" t="n">
        <v>0</v>
      </c>
    </row>
    <row r="62">
      <c r="K62" t="n">
        <v>6</v>
      </c>
      <c r="L62" t="inlineStr">
        <is>
          <t>Spice LoungeFood</t>
        </is>
      </c>
      <c r="M62" t="n">
        <v>27.9</v>
      </c>
      <c r="N62" t="n">
        <v>69.7133</v>
      </c>
      <c r="AR62" t="n">
        <v>1945</v>
      </c>
      <c r="AS62">
        <f>AZ62-BA62</f>
        <v/>
      </c>
      <c r="AT62">
        <f>AR62+AS62</f>
        <v/>
      </c>
      <c r="AU62" t="n">
        <v>160.6</v>
      </c>
      <c r="AV62" t="n">
        <v>28.9</v>
      </c>
      <c r="AW62" t="n">
        <v>15.68</v>
      </c>
      <c r="AX62" t="n">
        <v>15</v>
      </c>
      <c r="AZ62" t="n">
        <v>118</v>
      </c>
      <c r="BA62" t="n">
        <v>47</v>
      </c>
    </row>
    <row r="63">
      <c r="K63" t="n">
        <v>7</v>
      </c>
      <c r="L63" t="inlineStr">
        <is>
          <t>Ventive Hospital</t>
        </is>
      </c>
      <c r="M63" t="n">
        <v>552.2</v>
      </c>
      <c r="N63" t="n">
        <v>23.3542</v>
      </c>
      <c r="AR63" t="n">
        <v>12896.2</v>
      </c>
      <c r="AS63">
        <f>AZ63-BA63</f>
        <v/>
      </c>
      <c r="AT63">
        <f>AR63+AS63</f>
        <v/>
      </c>
      <c r="AU63" t="n">
        <v>2171.2</v>
      </c>
      <c r="AV63" t="n">
        <v>745.1</v>
      </c>
      <c r="AW63" t="n">
        <v>484.64</v>
      </c>
      <c r="AX63" t="n">
        <v>15</v>
      </c>
      <c r="AZ63" t="n">
        <v>2574</v>
      </c>
      <c r="BA63" t="n">
        <v>118</v>
      </c>
    </row>
    <row r="64">
      <c r="K64" t="n">
        <v>8</v>
      </c>
      <c r="L64" t="inlineStr">
        <is>
          <t>Devyani Intl.</t>
        </is>
      </c>
      <c r="M64" t="n">
        <v>127.07</v>
      </c>
      <c r="N64" t="n">
        <v>123.2942</v>
      </c>
      <c r="AR64" t="n">
        <v>15667</v>
      </c>
      <c r="AS64">
        <f>AZ64-BA64</f>
        <v/>
      </c>
      <c r="AT64">
        <f>AR64+AS64</f>
        <v/>
      </c>
      <c r="AU64" t="n">
        <v>6322.1</v>
      </c>
      <c r="AV64" t="n">
        <v>102.7</v>
      </c>
      <c r="AW64" t="n">
        <v>68.44</v>
      </c>
      <c r="AX64" t="n">
        <v>15</v>
      </c>
      <c r="AZ64" t="n">
        <v>3833</v>
      </c>
      <c r="BA64" t="n">
        <v>2</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2026-10-04T08:11:47Z</dcterms:modified>
  <cp:lastModifiedBy>Loveish</cp:lastModifiedBy>
  <cp:lastPrinted>2012-12-06T18:14:13Z</cp:lastPrinted>
</cp:coreProperties>
</file>