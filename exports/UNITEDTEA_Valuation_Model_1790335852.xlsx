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6.xml" ContentType="application/vnd.openxmlformats-officedocument.drawing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Common Size Statement" sheetId="6" state="visible" r:id="rId6"/>
    <sheet xmlns:r="http://schemas.openxmlformats.org/officeDocument/2006/relationships" name="Data Sheet" sheetId="7" state="visible" r:id="rId7"/>
    <sheet xmlns:r="http://schemas.openxmlformats.org/officeDocument/2006/relationships" name="Cash Flow Statement" sheetId="8" state="visible" r:id="rId8"/>
    <sheet xmlns:r="http://schemas.openxmlformats.org/officeDocument/2006/relationships" name="Historical F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Forecasting" sheetId="11" state="visible" r:id="rId11"/>
    <sheet xmlns:r="http://schemas.openxmlformats.org/officeDocument/2006/relationships" name="Rm" sheetId="12" state="visible" r:id="rId12"/>
    <sheet xmlns:r="http://schemas.openxmlformats.org/officeDocument/2006/relationships" name="Beta-Regression" sheetId="13" state="visible" r:id="rId13"/>
    <sheet xmlns:r="http://schemas.openxmlformats.org/officeDocument/2006/relationships" name="WACC" sheetId="14" state="visible" r:id="rId14"/>
    <sheet xmlns:r="http://schemas.openxmlformats.org/officeDocument/2006/relationships" name="Intrinsic Valuation" sheetId="15" state="visible" r:id="rId15"/>
    <sheet xmlns:r="http://schemas.openxmlformats.org/officeDocument/2006/relationships" name="DCF" sheetId="16" state="visible" r:id="rId16"/>
    <sheet xmlns:r="http://schemas.openxmlformats.org/officeDocument/2006/relationships" name="Raw Data" sheetId="17" state="visible" r:id="rId17"/>
    <sheet xmlns:r="http://schemas.openxmlformats.org/officeDocument/2006/relationships" name="Comp_Valuation" sheetId="18" state="visible" r:id="rId18"/>
    <sheet xmlns:r="http://schemas.openxmlformats.org/officeDocument/2006/relationships" name="Dupont Analysis" sheetId="19" state="visible" r:id="rId19"/>
    <sheet xmlns:r="http://schemas.openxmlformats.org/officeDocument/2006/relationships" name="Altman's Z Score" sheetId="20" state="visible" r:id="rId20"/>
    <sheet xmlns:r="http://schemas.openxmlformats.org/officeDocument/2006/relationships" name="Raw FS" sheetId="21" state="visible" r:id="rId21"/>
    <sheet xmlns:r="http://schemas.openxmlformats.org/officeDocument/2006/relationships" name="List of Stocks" sheetId="22" state="visible" r:id="rId22"/>
  </sheets>
  <externalReferences>
    <externalReference xmlns:r="http://schemas.openxmlformats.org/officeDocument/2006/relationships" r:id="rId23"/>
  </externalReferences>
  <definedNames>
    <definedName name="UPDATE">'Data Sheet'!$E$1</definedName>
    <definedName name="UPDATE" localSheetId="21">'[1]Data Sheet'!$E$1</definedName>
    <definedName name="_xlnm._FilterDatabase" localSheetId="21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color theme="1"/>
      <sz val="11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6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19" fillId="0" borderId="0" pivotButton="0" quotePrefix="0" xfId="0"/>
    <xf numFmtId="0" fontId="0" fillId="0" borderId="8" pivotButton="0" quotePrefix="0" xfId="0"/>
    <xf numFmtId="164" fontId="13" fillId="8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externalLink" Target="/xl/externalLinks/externalLink1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ITC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</v>
      </c>
    </row>
    <row r="8">
      <c r="A8" s="176" t="inlineStr">
        <is>
          <t>Current Price</t>
        </is>
      </c>
      <c r="B8" t="n">
        <v>276.7</v>
      </c>
    </row>
    <row r="9">
      <c r="A9" s="176" t="inlineStr">
        <is>
          <t>Market Capitalization</t>
        </is>
      </c>
      <c r="B9" t="n">
        <v>346194.04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71">
      <c r="A17" s="171" t="inlineStr">
        <is>
          <t>Sales</t>
        </is>
      </c>
      <c r="B17" t="n">
        <v>42767.6</v>
      </c>
      <c r="C17" t="n">
        <v>43448.94</v>
      </c>
      <c r="D17" t="n">
        <v>48339.58</v>
      </c>
      <c r="E17" t="n">
        <v>49387.7</v>
      </c>
      <c r="F17" t="n">
        <v>49257.45</v>
      </c>
      <c r="G17" t="n">
        <v>60644.54</v>
      </c>
      <c r="H17" t="n">
        <v>70919.03</v>
      </c>
      <c r="I17" t="n">
        <v>67931.94</v>
      </c>
      <c r="J17" t="n">
        <v>75323.34</v>
      </c>
      <c r="K17" t="n">
        <v>78868.39999999999</v>
      </c>
    </row>
    <row r="18" customFormat="1" s="171">
      <c r="A18" s="176" t="inlineStr">
        <is>
          <t>Raw Material Cost</t>
        </is>
      </c>
      <c r="B18" t="n">
        <v>15456.59</v>
      </c>
      <c r="C18" t="n">
        <v>14827.72</v>
      </c>
      <c r="D18" t="n">
        <v>17623.52</v>
      </c>
      <c r="E18" t="n">
        <v>18048.6</v>
      </c>
      <c r="F18" t="n">
        <v>20776.71</v>
      </c>
      <c r="G18" t="n">
        <v>27071.07</v>
      </c>
      <c r="H18" t="n">
        <v>29364.36</v>
      </c>
      <c r="I18" t="n">
        <v>27348.57</v>
      </c>
      <c r="J18" t="n">
        <v>32704.37</v>
      </c>
      <c r="K18" t="n">
        <v>35098.34</v>
      </c>
    </row>
    <row r="19" customFormat="1" s="171">
      <c r="A19" s="176" t="inlineStr">
        <is>
          <t>Change in Inventory</t>
        </is>
      </c>
      <c r="B19" t="n">
        <v>-592.5700000000001</v>
      </c>
      <c r="C19" t="n">
        <v>-1027.76</v>
      </c>
      <c r="D19" t="n">
        <v>203.19</v>
      </c>
      <c r="E19" t="n">
        <v>703.13</v>
      </c>
      <c r="F19" t="n">
        <v>645.27</v>
      </c>
      <c r="G19" t="n">
        <v>686</v>
      </c>
      <c r="H19" t="n">
        <v>358.59</v>
      </c>
      <c r="I19" t="n">
        <v>367.77</v>
      </c>
      <c r="J19" t="n">
        <v>725.65</v>
      </c>
      <c r="K19" t="n">
        <v>2550.46</v>
      </c>
    </row>
    <row r="20" customFormat="1" s="171">
      <c r="A20" s="176" t="inlineStr">
        <is>
          <t>Power and Fuel</t>
        </is>
      </c>
      <c r="B20" t="n">
        <v>584.33</v>
      </c>
      <c r="C20" t="n">
        <v>653.5</v>
      </c>
      <c r="D20" t="n">
        <v>746.73</v>
      </c>
      <c r="E20" t="n">
        <v>780.85</v>
      </c>
      <c r="F20" t="n">
        <v>699.5599999999999</v>
      </c>
      <c r="G20" t="n">
        <v>889.77</v>
      </c>
      <c r="H20" t="n">
        <v>1232.34</v>
      </c>
      <c r="I20" t="n">
        <v>952.9</v>
      </c>
      <c r="J20" t="n">
        <v>975.35</v>
      </c>
      <c r="K20" t="n">
        <v>947.71</v>
      </c>
    </row>
    <row r="21" customFormat="1" s="171">
      <c r="A21" s="176" t="inlineStr">
        <is>
          <t>Other Mfr. Exp</t>
        </is>
      </c>
      <c r="B21" t="n">
        <v>1683.9</v>
      </c>
      <c r="C21" t="n">
        <v>1697.62</v>
      </c>
      <c r="D21" t="n">
        <v>1871.01</v>
      </c>
      <c r="E21" t="n">
        <v>1908.29</v>
      </c>
      <c r="F21" t="n">
        <v>1587.18</v>
      </c>
      <c r="G21" t="n">
        <v>1887.67</v>
      </c>
      <c r="H21" t="n">
        <v>2327.8</v>
      </c>
      <c r="I21" t="n">
        <v>2183.76</v>
      </c>
      <c r="J21" t="n">
        <v>2345.36</v>
      </c>
      <c r="K21" t="n">
        <v>2582.48</v>
      </c>
    </row>
    <row r="22" customFormat="1" s="171">
      <c r="A22" s="176" t="inlineStr">
        <is>
          <t>Employee Cost</t>
        </is>
      </c>
      <c r="B22" t="n">
        <v>3631.73</v>
      </c>
      <c r="C22" t="n">
        <v>3760.9</v>
      </c>
      <c r="D22" t="n">
        <v>4177.88</v>
      </c>
      <c r="E22" t="n">
        <v>4295.79</v>
      </c>
      <c r="F22" t="n">
        <v>4463.33</v>
      </c>
      <c r="G22" t="n">
        <v>4890.55</v>
      </c>
      <c r="H22" t="n">
        <v>5736.22</v>
      </c>
      <c r="I22" t="n">
        <v>5548.53</v>
      </c>
      <c r="J22" t="n">
        <v>6169.78</v>
      </c>
      <c r="K22" t="n">
        <v>6781.5</v>
      </c>
    </row>
    <row r="23" customFormat="1" s="171">
      <c r="A23" s="176" t="inlineStr">
        <is>
          <t>Selling and admin</t>
        </is>
      </c>
      <c r="B23" t="n">
        <v>4179.74</v>
      </c>
      <c r="C23" t="n">
        <v>3954.87</v>
      </c>
      <c r="D23" t="n">
        <v>4546.39</v>
      </c>
      <c r="E23" t="n">
        <v>4488.63</v>
      </c>
      <c r="F23" t="n">
        <v>4236.77</v>
      </c>
      <c r="G23" t="n">
        <v>4858.38</v>
      </c>
      <c r="H23" t="n">
        <v>5604.08</v>
      </c>
      <c r="I23" t="n">
        <v>5312.45</v>
      </c>
      <c r="J23" t="n">
        <v>5793.29</v>
      </c>
      <c r="K23" t="n">
        <v>6377.95</v>
      </c>
    </row>
    <row r="24" customFormat="1" s="171">
      <c r="A24" s="176" t="inlineStr">
        <is>
          <t>Other Expenses</t>
        </is>
      </c>
      <c r="B24" t="n">
        <v>1169.23</v>
      </c>
      <c r="C24" t="n">
        <v>1005.98</v>
      </c>
      <c r="D24" t="n">
        <v>1039.85</v>
      </c>
      <c r="E24" t="n">
        <v>1225.13</v>
      </c>
      <c r="F24" t="n">
        <v>1074.39</v>
      </c>
      <c r="G24" t="n">
        <v>1109.95</v>
      </c>
      <c r="H24" t="n">
        <v>1308.56</v>
      </c>
      <c r="I24" t="n">
        <v>1765.97</v>
      </c>
      <c r="J24" t="n">
        <v>2229.26</v>
      </c>
      <c r="K24" t="n">
        <v>2324.88</v>
      </c>
    </row>
    <row r="25" customFormat="1" s="171">
      <c r="A25" s="171" t="inlineStr">
        <is>
          <t>Other Income</t>
        </is>
      </c>
      <c r="B25" t="n">
        <v>1758.63</v>
      </c>
      <c r="C25" t="n">
        <v>2239.81</v>
      </c>
      <c r="D25" t="n">
        <v>2080.44</v>
      </c>
      <c r="E25" t="n">
        <v>2417.32</v>
      </c>
      <c r="F25" t="n">
        <v>2576.95</v>
      </c>
      <c r="G25" t="n">
        <v>1909.72</v>
      </c>
      <c r="H25" t="n">
        <v>2097.64</v>
      </c>
      <c r="I25" t="n">
        <v>3330.45</v>
      </c>
      <c r="J25" t="n">
        <v>17802.75</v>
      </c>
      <c r="K25" t="n">
        <v>2523.09</v>
      </c>
    </row>
    <row r="26" customFormat="1" s="171">
      <c r="A26" s="171" t="inlineStr">
        <is>
          <t>Depreciation</t>
        </is>
      </c>
      <c r="B26" t="n">
        <v>1152.79</v>
      </c>
      <c r="C26" t="n">
        <v>1236.28</v>
      </c>
      <c r="D26" t="n">
        <v>1396.61</v>
      </c>
      <c r="E26" t="n">
        <v>1644.91</v>
      </c>
      <c r="F26" t="n">
        <v>1645.59</v>
      </c>
      <c r="G26" t="n">
        <v>1732.41</v>
      </c>
      <c r="H26" t="n">
        <v>1809.01</v>
      </c>
      <c r="I26" t="n">
        <v>1518.05</v>
      </c>
      <c r="J26" t="n">
        <v>1646.32</v>
      </c>
      <c r="K26" t="n">
        <v>1710.53</v>
      </c>
    </row>
    <row r="27" customFormat="1" s="171">
      <c r="A27" s="171" t="inlineStr">
        <is>
          <t>Interest</t>
        </is>
      </c>
      <c r="B27" t="n">
        <v>49.03</v>
      </c>
      <c r="C27" t="n">
        <v>115.01</v>
      </c>
      <c r="D27" t="n">
        <v>71.40000000000001</v>
      </c>
      <c r="E27" t="n">
        <v>81.38</v>
      </c>
      <c r="F27" t="n">
        <v>57.97</v>
      </c>
      <c r="G27" t="n">
        <v>59.99</v>
      </c>
      <c r="H27" t="n">
        <v>77.77</v>
      </c>
      <c r="I27" t="n">
        <v>39.11</v>
      </c>
      <c r="J27" t="n">
        <v>45.06</v>
      </c>
      <c r="K27" t="n">
        <v>85.17</v>
      </c>
    </row>
    <row r="28" customFormat="1" s="171">
      <c r="A28" s="171" t="inlineStr">
        <is>
          <t>Profit before tax</t>
        </is>
      </c>
      <c r="B28" t="n">
        <v>16026.32</v>
      </c>
      <c r="C28" t="n">
        <v>17409.11</v>
      </c>
      <c r="D28" t="n">
        <v>19149.82</v>
      </c>
      <c r="E28" t="n">
        <v>20034.57</v>
      </c>
      <c r="F28" t="n">
        <v>17938.17</v>
      </c>
      <c r="G28" t="n">
        <v>20740.47</v>
      </c>
      <c r="H28" t="n">
        <v>25915.12</v>
      </c>
      <c r="I28" t="n">
        <v>26960.82</v>
      </c>
      <c r="J28" t="n">
        <v>41942.95</v>
      </c>
      <c r="K28" t="n">
        <v>28033.39</v>
      </c>
    </row>
    <row r="29" customFormat="1" s="171">
      <c r="A29" s="171" t="inlineStr">
        <is>
          <t>Tax</t>
        </is>
      </c>
      <c r="B29" t="n">
        <v>5549.09</v>
      </c>
      <c r="C29" t="n">
        <v>5916.43</v>
      </c>
      <c r="D29" t="n">
        <v>6313.92</v>
      </c>
      <c r="E29" t="n">
        <v>4441.79</v>
      </c>
      <c r="F29" t="n">
        <v>4555.29</v>
      </c>
      <c r="G29" t="n">
        <v>5237.34</v>
      </c>
      <c r="H29" t="n">
        <v>6438.4</v>
      </c>
      <c r="I29" t="n">
        <v>6209.46</v>
      </c>
      <c r="J29" t="n">
        <v>6890.47</v>
      </c>
      <c r="K29" t="n">
        <v>7015.24</v>
      </c>
    </row>
    <row r="30" customFormat="1" s="171">
      <c r="A30" s="171" t="inlineStr">
        <is>
          <t>Net profit</t>
        </is>
      </c>
      <c r="B30" t="n">
        <v>10289.44</v>
      </c>
      <c r="C30" t="n">
        <v>11271.2</v>
      </c>
      <c r="D30" t="n">
        <v>12592.33</v>
      </c>
      <c r="E30" t="n">
        <v>15306.23</v>
      </c>
      <c r="F30" t="n">
        <v>13161.19</v>
      </c>
      <c r="G30" t="n">
        <v>15242.66</v>
      </c>
      <c r="H30" t="n">
        <v>19191.66</v>
      </c>
      <c r="I30" t="n">
        <v>20458.78</v>
      </c>
      <c r="J30" t="n">
        <v>34746.63</v>
      </c>
      <c r="K30" t="n">
        <v>20689.47</v>
      </c>
    </row>
    <row r="31" customFormat="1" s="171">
      <c r="A31" s="171" t="inlineStr">
        <is>
          <t>Dividend Amount</t>
        </is>
      </c>
      <c r="B31" t="n">
        <v>5770.02</v>
      </c>
      <c r="C31" t="n">
        <v>6285.21</v>
      </c>
      <c r="D31" t="n">
        <v>7048.7</v>
      </c>
      <c r="E31" t="n">
        <v>12476.58</v>
      </c>
      <c r="F31" t="n">
        <v>13231.96</v>
      </c>
      <c r="G31" t="n">
        <v>14171.8</v>
      </c>
      <c r="H31" t="n">
        <v>19263.4</v>
      </c>
      <c r="I31" t="n">
        <v>17166.46</v>
      </c>
      <c r="J31" t="n">
        <v>17957.73</v>
      </c>
      <c r="K31" t="n">
        <v>18167.78</v>
      </c>
    </row>
    <row r="32" customFormat="1" s="171">
      <c r="A32" s="171" t="inlineStr">
        <is>
          <t>EBITDA</t>
        </is>
      </c>
      <c r="B32" s="171">
        <f>SUM(B26:B28)</f>
        <v/>
      </c>
      <c r="C32" s="171">
        <f>SUM(C26:C28)</f>
        <v/>
      </c>
      <c r="D32" s="171">
        <f>SUM(D26:D28)</f>
        <v/>
      </c>
      <c r="E32" s="171">
        <f>SUM(E26:E28)</f>
        <v/>
      </c>
      <c r="F32" s="171">
        <f>SUM(F26:F28)</f>
        <v/>
      </c>
      <c r="G32" s="171">
        <f>SUM(G26:G28)</f>
        <v/>
      </c>
      <c r="H32" s="171">
        <f>SUM(H26:H28)</f>
        <v/>
      </c>
      <c r="I32" s="171">
        <f>SUM(I26:I28)</f>
        <v/>
      </c>
      <c r="J32" s="171">
        <f>SUM(J26:J28)</f>
        <v/>
      </c>
      <c r="K32" s="171">
        <f>SUM(K26:K28)</f>
        <v/>
      </c>
    </row>
    <row r="33">
      <c r="A33" s="171" t="n"/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71">
      <c r="A42" s="171" t="inlineStr">
        <is>
          <t>Sales</t>
        </is>
      </c>
      <c r="B42" t="n">
        <v>17037.8</v>
      </c>
      <c r="C42" t="n">
        <v>17777.81</v>
      </c>
      <c r="D42" t="n">
        <v>19990.36</v>
      </c>
      <c r="E42" t="n">
        <v>18790.17</v>
      </c>
      <c r="F42" t="n">
        <v>18765</v>
      </c>
      <c r="G42" t="n">
        <v>21494.79</v>
      </c>
      <c r="H42" t="n">
        <v>19501.63</v>
      </c>
      <c r="I42" t="n">
        <v>20047.3</v>
      </c>
      <c r="J42" t="n">
        <v>17824.68</v>
      </c>
      <c r="K42" t="n">
        <v>19114.37</v>
      </c>
    </row>
    <row r="43" customFormat="1" s="171">
      <c r="A43" s="171" t="inlineStr">
        <is>
          <t>Expenses</t>
        </is>
      </c>
      <c r="B43" t="n">
        <v>10735.73</v>
      </c>
      <c r="C43" t="n">
        <v>11232.97</v>
      </c>
      <c r="D43" t="n">
        <v>13438.28</v>
      </c>
      <c r="E43" t="n">
        <v>12428.27</v>
      </c>
      <c r="F43" t="n">
        <v>12245.61</v>
      </c>
      <c r="G43" t="n">
        <v>14678.32</v>
      </c>
      <c r="H43" t="n">
        <v>12806.94</v>
      </c>
      <c r="I43" t="n">
        <v>13164.78</v>
      </c>
      <c r="J43" t="n">
        <v>10900.45</v>
      </c>
      <c r="K43" t="n">
        <v>13933.51</v>
      </c>
    </row>
    <row r="44" customFormat="1" s="171">
      <c r="A44" s="171" t="inlineStr">
        <is>
          <t>Other Income</t>
        </is>
      </c>
      <c r="B44" t="n">
        <v>868</v>
      </c>
      <c r="C44" t="n">
        <v>771.13</v>
      </c>
      <c r="D44" t="n">
        <v>690.3099999999999</v>
      </c>
      <c r="E44" t="n">
        <v>803.4</v>
      </c>
      <c r="F44" t="n">
        <v>15391.28</v>
      </c>
      <c r="G44" t="n">
        <v>750.97</v>
      </c>
      <c r="H44" t="n">
        <v>738.84</v>
      </c>
      <c r="I44" t="n">
        <v>321.85</v>
      </c>
      <c r="J44" t="n">
        <v>699.52</v>
      </c>
      <c r="K44" t="n">
        <v>1147.5</v>
      </c>
    </row>
    <row r="45" customFormat="1" s="171">
      <c r="A45" s="171" t="inlineStr">
        <is>
          <t>Depreciation</t>
        </is>
      </c>
      <c r="B45" t="n">
        <v>385.09</v>
      </c>
      <c r="C45" t="n">
        <v>403.13</v>
      </c>
      <c r="D45" t="n">
        <v>416.18</v>
      </c>
      <c r="E45" t="n">
        <v>415.98</v>
      </c>
      <c r="F45" t="n">
        <v>411.03</v>
      </c>
      <c r="G45" t="n">
        <v>422.96</v>
      </c>
      <c r="H45" t="n">
        <v>434.8</v>
      </c>
      <c r="I45" t="n">
        <v>430.82</v>
      </c>
      <c r="J45" t="n">
        <v>421.95</v>
      </c>
      <c r="K45" t="n">
        <v>427.73</v>
      </c>
    </row>
    <row r="46" customFormat="1" s="171">
      <c r="A46" s="171" t="inlineStr">
        <is>
          <t>Interest</t>
        </is>
      </c>
      <c r="B46" t="n">
        <v>10.72</v>
      </c>
      <c r="C46" t="n">
        <v>9.6</v>
      </c>
      <c r="D46" t="n">
        <v>14.73</v>
      </c>
      <c r="E46" t="n">
        <v>9.82</v>
      </c>
      <c r="F46" t="n">
        <v>10.91</v>
      </c>
      <c r="G46" t="n">
        <v>16.47</v>
      </c>
      <c r="H46" t="n">
        <v>20.05</v>
      </c>
      <c r="I46" t="n">
        <v>19.47</v>
      </c>
      <c r="J46" t="n">
        <v>29.18</v>
      </c>
      <c r="K46" t="n">
        <v>39.78</v>
      </c>
    </row>
    <row r="47" customFormat="1" s="171">
      <c r="A47" s="171" t="inlineStr">
        <is>
          <t>Profit before tax</t>
        </is>
      </c>
      <c r="B47" t="n">
        <v>6774.26</v>
      </c>
      <c r="C47" t="n">
        <v>6903.24</v>
      </c>
      <c r="D47" t="n">
        <v>6811.48</v>
      </c>
      <c r="E47" t="n">
        <v>6739.5</v>
      </c>
      <c r="F47" t="n">
        <v>21488.73</v>
      </c>
      <c r="G47" t="n">
        <v>7128.01</v>
      </c>
      <c r="H47" t="n">
        <v>6978.68</v>
      </c>
      <c r="I47" t="n">
        <v>6754.08</v>
      </c>
      <c r="J47" t="n">
        <v>7172.62</v>
      </c>
      <c r="K47" t="n">
        <v>5860.85</v>
      </c>
    </row>
    <row r="48" customFormat="1" s="171">
      <c r="A48" s="171" t="inlineStr">
        <is>
          <t>Tax</t>
        </is>
      </c>
      <c r="B48" t="n">
        <v>1583.55</v>
      </c>
      <c r="C48" t="n">
        <v>1726.25</v>
      </c>
      <c r="D48" t="n">
        <v>1757.05</v>
      </c>
      <c r="E48" t="n">
        <v>1726.32</v>
      </c>
      <c r="F48" t="n">
        <v>1680.85</v>
      </c>
      <c r="G48" t="n">
        <v>1784.6</v>
      </c>
      <c r="H48" t="n">
        <v>1792.13</v>
      </c>
      <c r="I48" t="n">
        <v>1735.63</v>
      </c>
      <c r="J48" t="n">
        <v>1702.88</v>
      </c>
      <c r="K48" t="n">
        <v>1352.06</v>
      </c>
    </row>
    <row r="49" customFormat="1" s="171">
      <c r="A49" s="171" t="inlineStr">
        <is>
          <t>Net profit</t>
        </is>
      </c>
      <c r="B49" t="n">
        <v>5120.55</v>
      </c>
      <c r="C49" t="n">
        <v>5091.59</v>
      </c>
      <c r="D49" t="n">
        <v>4992.87</v>
      </c>
      <c r="E49" t="n">
        <v>4934.8</v>
      </c>
      <c r="F49" t="n">
        <v>19727.37</v>
      </c>
      <c r="G49" t="n">
        <v>5244.2</v>
      </c>
      <c r="H49" t="n">
        <v>5126.11</v>
      </c>
      <c r="I49" t="n">
        <v>4931.19</v>
      </c>
      <c r="J49" t="n">
        <v>5387.97</v>
      </c>
      <c r="K49" t="n">
        <v>4394.13</v>
      </c>
    </row>
    <row r="50">
      <c r="A50" s="171" t="inlineStr">
        <is>
          <t>Operating Profit</t>
        </is>
      </c>
      <c r="B50" t="n">
        <v>6302.07</v>
      </c>
      <c r="C50" t="n">
        <v>6544.84</v>
      </c>
      <c r="D50" t="n">
        <v>6552.08</v>
      </c>
      <c r="E50" t="n">
        <v>6361.9</v>
      </c>
      <c r="F50" t="n">
        <v>6519.39</v>
      </c>
      <c r="G50" t="n">
        <v>6816.47</v>
      </c>
      <c r="H50" t="n">
        <v>6694.69</v>
      </c>
      <c r="I50" t="n">
        <v>6882.52</v>
      </c>
      <c r="J50" t="n">
        <v>6924.23</v>
      </c>
      <c r="K50" t="n">
        <v>5180.86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71" t="inlineStr">
        <is>
          <t>Equity Share Capital</t>
        </is>
      </c>
      <c r="B57" t="n">
        <v>1214.74</v>
      </c>
      <c r="C57" t="n">
        <v>1220.43</v>
      </c>
      <c r="D57" t="n">
        <v>1225.86</v>
      </c>
      <c r="E57" t="n">
        <v>1229.22</v>
      </c>
      <c r="F57" t="n">
        <v>1230.88</v>
      </c>
      <c r="G57" t="n">
        <v>1232.33</v>
      </c>
      <c r="H57" t="n">
        <v>1242.8</v>
      </c>
      <c r="I57" t="n">
        <v>1248.47</v>
      </c>
      <c r="J57" t="n">
        <v>1251.41</v>
      </c>
      <c r="K57" t="n">
        <v>1252.95</v>
      </c>
    </row>
    <row r="58">
      <c r="A58" s="171" t="inlineStr">
        <is>
          <t>Reserves</t>
        </is>
      </c>
      <c r="B58" t="n">
        <v>45198.19</v>
      </c>
      <c r="C58" t="n">
        <v>51289.68</v>
      </c>
      <c r="D58" t="n">
        <v>57915.01</v>
      </c>
      <c r="E58" t="n">
        <v>64044.04</v>
      </c>
      <c r="F58" t="n">
        <v>59116.46</v>
      </c>
      <c r="G58" t="n">
        <v>61223.24</v>
      </c>
      <c r="H58" t="n">
        <v>67912.46000000001</v>
      </c>
      <c r="I58" t="n">
        <v>73258.53</v>
      </c>
      <c r="J58" t="n">
        <v>68778.64</v>
      </c>
      <c r="K58" t="n">
        <v>71254.35000000001</v>
      </c>
    </row>
    <row r="59">
      <c r="A59" s="171" t="inlineStr">
        <is>
          <t>Borrowings</t>
        </is>
      </c>
      <c r="B59" t="n">
        <v>45.72</v>
      </c>
      <c r="C59" t="n">
        <v>35.92</v>
      </c>
      <c r="D59" t="n">
        <v>13.44</v>
      </c>
      <c r="E59" t="n">
        <v>277.45</v>
      </c>
      <c r="F59" t="n">
        <v>270.83</v>
      </c>
      <c r="G59" t="n">
        <v>249.44</v>
      </c>
      <c r="H59" t="n">
        <v>306.04</v>
      </c>
      <c r="I59" t="n">
        <v>303.43</v>
      </c>
      <c r="J59" t="n">
        <v>284.54</v>
      </c>
      <c r="K59" t="n">
        <v>2399.06</v>
      </c>
    </row>
    <row r="60">
      <c r="A60" s="171" t="inlineStr">
        <is>
          <t>Other Liabilities</t>
        </is>
      </c>
      <c r="B60" t="n">
        <v>9439.67</v>
      </c>
      <c r="C60" t="n">
        <v>11694.85</v>
      </c>
      <c r="D60" t="n">
        <v>12584.73</v>
      </c>
      <c r="E60" t="n">
        <v>11760.04</v>
      </c>
      <c r="F60" t="n">
        <v>13142.59</v>
      </c>
      <c r="G60" t="n">
        <v>14491.01</v>
      </c>
      <c r="H60" t="n">
        <v>16369.66</v>
      </c>
      <c r="I60" t="n">
        <v>16943.54</v>
      </c>
      <c r="J60" t="n">
        <v>17688.11</v>
      </c>
      <c r="K60" t="n">
        <v>18730.84</v>
      </c>
    </row>
    <row r="61" customFormat="1" s="170">
      <c r="A61" s="170" t="inlineStr">
        <is>
          <t>Total</t>
        </is>
      </c>
      <c r="B61" t="n">
        <v>55898.32</v>
      </c>
      <c r="C61" t="n">
        <v>64240.88</v>
      </c>
      <c r="D61" t="n">
        <v>71739.03999999999</v>
      </c>
      <c r="E61" t="n">
        <v>77310.75</v>
      </c>
      <c r="F61" t="n">
        <v>73760.75999999999</v>
      </c>
      <c r="G61" t="n">
        <v>77196.02</v>
      </c>
      <c r="H61" t="n">
        <v>85830.96000000001</v>
      </c>
      <c r="I61" t="n">
        <v>91753.97</v>
      </c>
      <c r="J61" t="n">
        <v>88002.7</v>
      </c>
      <c r="K61" t="n">
        <v>93637.2</v>
      </c>
    </row>
    <row r="62">
      <c r="A62" s="171" t="inlineStr">
        <is>
          <t>Net Block</t>
        </is>
      </c>
      <c r="B62" t="n">
        <v>15893.48</v>
      </c>
      <c r="C62" t="n">
        <v>16523.96</v>
      </c>
      <c r="D62" t="n">
        <v>19374.19</v>
      </c>
      <c r="E62" t="n">
        <v>21713.34</v>
      </c>
      <c r="F62" t="n">
        <v>23298.48</v>
      </c>
      <c r="G62" t="n">
        <v>24231.59</v>
      </c>
      <c r="H62" t="n">
        <v>25851.27</v>
      </c>
      <c r="I62" t="n">
        <v>27820.22</v>
      </c>
      <c r="J62" t="n">
        <v>21954.85</v>
      </c>
      <c r="K62" t="n">
        <v>22442.53</v>
      </c>
    </row>
    <row r="63">
      <c r="A63" s="171" t="inlineStr">
        <is>
          <t>Capital Work in Progress</t>
        </is>
      </c>
      <c r="B63" t="n">
        <v>3729.89</v>
      </c>
      <c r="C63" t="n">
        <v>5508.33</v>
      </c>
      <c r="D63" t="n">
        <v>4136.42</v>
      </c>
      <c r="E63" t="n">
        <v>3256.46</v>
      </c>
      <c r="F63" t="n">
        <v>4011.29</v>
      </c>
      <c r="G63" t="n">
        <v>3225.54</v>
      </c>
      <c r="H63" t="n">
        <v>3003.3</v>
      </c>
      <c r="I63" t="n">
        <v>2860.78</v>
      </c>
      <c r="J63" t="n">
        <v>1090.91</v>
      </c>
      <c r="K63" t="n">
        <v>1601.88</v>
      </c>
    </row>
    <row r="64">
      <c r="A64" s="171" t="inlineStr">
        <is>
          <t>Investments</t>
        </is>
      </c>
      <c r="B64" t="n">
        <v>17581.38</v>
      </c>
      <c r="C64" t="n">
        <v>22052.86</v>
      </c>
      <c r="D64" t="n">
        <v>25043.49</v>
      </c>
      <c r="E64" t="n">
        <v>28663.35</v>
      </c>
      <c r="F64" t="n">
        <v>24870.87</v>
      </c>
      <c r="G64" t="n">
        <v>24841.01</v>
      </c>
      <c r="H64" t="n">
        <v>29415.02</v>
      </c>
      <c r="I64" t="n">
        <v>31114.02</v>
      </c>
      <c r="J64" t="n">
        <v>34719.82</v>
      </c>
      <c r="K64" t="n">
        <v>38128.43</v>
      </c>
    </row>
    <row r="65">
      <c r="A65" s="171" t="inlineStr">
        <is>
          <t>Other Assets</t>
        </is>
      </c>
      <c r="B65" t="n">
        <v>18693.57</v>
      </c>
      <c r="C65" t="n">
        <v>20155.73</v>
      </c>
      <c r="D65" t="n">
        <v>23184.94</v>
      </c>
      <c r="E65" t="n">
        <v>23677.6</v>
      </c>
      <c r="F65" t="n">
        <v>21580.12</v>
      </c>
      <c r="G65" t="n">
        <v>24897.88</v>
      </c>
      <c r="H65" t="n">
        <v>27561.37</v>
      </c>
      <c r="I65" t="n">
        <v>29958.95</v>
      </c>
      <c r="J65" t="n">
        <v>30237.12</v>
      </c>
      <c r="K65" t="n">
        <v>31464.36</v>
      </c>
    </row>
    <row r="66" customFormat="1" s="170">
      <c r="A66" s="170" t="inlineStr">
        <is>
          <t>Total</t>
        </is>
      </c>
      <c r="B66" t="n">
        <v>55898.32</v>
      </c>
      <c r="C66" t="n">
        <v>64240.88</v>
      </c>
      <c r="D66" t="n">
        <v>71739.03999999999</v>
      </c>
      <c r="E66" t="n">
        <v>77310.75</v>
      </c>
      <c r="F66" t="n">
        <v>73760.75999999999</v>
      </c>
      <c r="G66" t="n">
        <v>77196.02</v>
      </c>
      <c r="H66" t="n">
        <v>85830.96000000001</v>
      </c>
      <c r="I66" t="n">
        <v>91753.97</v>
      </c>
      <c r="J66" t="n">
        <v>88002.7</v>
      </c>
      <c r="K66" t="n">
        <v>93637.2</v>
      </c>
    </row>
    <row r="67" customFormat="1" s="171">
      <c r="A67" s="171" t="inlineStr">
        <is>
          <t>Receivables</t>
        </is>
      </c>
      <c r="B67" t="n">
        <v>2474.29</v>
      </c>
      <c r="C67" t="n">
        <v>2682.29</v>
      </c>
      <c r="D67" t="n">
        <v>4035.28</v>
      </c>
      <c r="E67" t="n">
        <v>2562.48</v>
      </c>
      <c r="F67" t="n">
        <v>2501.7</v>
      </c>
      <c r="G67" t="n">
        <v>2461.9</v>
      </c>
      <c r="H67" t="n">
        <v>2956.17</v>
      </c>
      <c r="I67" t="n">
        <v>4025.82</v>
      </c>
      <c r="J67" t="n">
        <v>4719.67</v>
      </c>
      <c r="K67" t="n">
        <v>3922.86</v>
      </c>
    </row>
    <row r="68">
      <c r="A68" s="171" t="inlineStr">
        <is>
          <t>Inventory</t>
        </is>
      </c>
      <c r="B68" t="n">
        <v>8116.1</v>
      </c>
      <c r="C68" t="n">
        <v>7495.09</v>
      </c>
      <c r="D68" t="n">
        <v>7859.56</v>
      </c>
      <c r="E68" t="n">
        <v>8879.33</v>
      </c>
      <c r="F68" t="n">
        <v>10397.16</v>
      </c>
      <c r="G68" t="n">
        <v>10864.15</v>
      </c>
      <c r="H68" t="n">
        <v>11771.16</v>
      </c>
      <c r="I68" t="n">
        <v>14152.88</v>
      </c>
      <c r="J68" t="n">
        <v>15637.56</v>
      </c>
      <c r="K68" t="n">
        <v>18622.96</v>
      </c>
    </row>
    <row r="69">
      <c r="A69" s="176" t="inlineStr">
        <is>
          <t>Cash &amp; Bank</t>
        </is>
      </c>
      <c r="B69" t="n">
        <v>2967.4</v>
      </c>
      <c r="C69" t="n">
        <v>2899.6</v>
      </c>
      <c r="D69" t="n">
        <v>4152.03</v>
      </c>
      <c r="E69" t="n">
        <v>7277.34</v>
      </c>
      <c r="F69" t="n">
        <v>4659.02</v>
      </c>
      <c r="G69" t="n">
        <v>4654.42</v>
      </c>
      <c r="H69" t="n">
        <v>4880.19</v>
      </c>
      <c r="I69" t="n">
        <v>7217.68</v>
      </c>
      <c r="J69" t="n">
        <v>4012.36</v>
      </c>
      <c r="K69" t="n">
        <v>3008.79</v>
      </c>
    </row>
    <row r="70">
      <c r="A70" s="176" t="inlineStr">
        <is>
          <t>No. of Equity Shares</t>
        </is>
      </c>
      <c r="B70" t="n">
        <v>12147383071</v>
      </c>
      <c r="C70" t="n">
        <v>12204294911</v>
      </c>
      <c r="D70" t="n">
        <v>12258631601</v>
      </c>
      <c r="E70" t="n">
        <v>12292231241</v>
      </c>
      <c r="F70" t="n">
        <v>12308844231</v>
      </c>
      <c r="G70" t="n">
        <v>12323255931</v>
      </c>
      <c r="H70" t="n">
        <v>12428017741</v>
      </c>
      <c r="I70" t="n">
        <v>12484700000</v>
      </c>
      <c r="J70" t="n">
        <v>12514119781</v>
      </c>
      <c r="K70" t="n">
        <v>12529468231</v>
      </c>
    </row>
    <row r="71">
      <c r="A71" s="176" t="inlineStr">
        <is>
          <t>New Bonus Shares</t>
        </is>
      </c>
      <c r="B71" t="n">
        <v>4026657100</v>
      </c>
    </row>
    <row r="72">
      <c r="A72" s="176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K73" t="n">
        <v>366</v>
      </c>
    </row>
    <row r="74">
      <c r="A74" s="171" t="inlineStr">
        <is>
          <t>Other Assets</t>
        </is>
      </c>
      <c r="B74" s="176">
        <f>B65-SUM(B67:B69)</f>
        <v/>
      </c>
      <c r="C74" s="176">
        <f>C65-SUM(C67:C69)</f>
        <v/>
      </c>
      <c r="D74" s="176">
        <f>D65-SUM(D67:D69)</f>
        <v/>
      </c>
      <c r="E74" s="176">
        <f>E65-SUM(E67:E69)</f>
        <v/>
      </c>
      <c r="F74" s="176">
        <f>F65-SUM(F67:F69)</f>
        <v/>
      </c>
      <c r="G74" s="176">
        <f>G65-SUM(G67:G69)</f>
        <v/>
      </c>
      <c r="H74" s="176">
        <f>H65-SUM(H67:H69)</f>
        <v/>
      </c>
      <c r="I74" s="176">
        <f>I65-SUM(I67:I69)</f>
        <v/>
      </c>
      <c r="J74" s="176">
        <f>J65-SUM(J67:J69)</f>
        <v/>
      </c>
      <c r="K74" s="176">
        <f>K65-SUM(K67:K69)</f>
        <v/>
      </c>
    </row>
    <row r="75">
      <c r="A75" s="171" t="n"/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0">
      <c r="A82" s="171" t="inlineStr">
        <is>
          <t>Cash from Operating Activity</t>
        </is>
      </c>
      <c r="B82" t="n">
        <v>10627.31</v>
      </c>
      <c r="C82" t="n">
        <v>13169.4</v>
      </c>
      <c r="D82" t="n">
        <v>12583.41</v>
      </c>
      <c r="E82" t="n">
        <v>14689.66</v>
      </c>
      <c r="F82" t="n">
        <v>12526.97</v>
      </c>
      <c r="G82" t="n">
        <v>15775.51</v>
      </c>
      <c r="H82" t="n">
        <v>18877.55</v>
      </c>
      <c r="I82" t="n">
        <v>17178.86</v>
      </c>
      <c r="J82" t="n">
        <v>17627.04</v>
      </c>
      <c r="K82" t="n">
        <v>18464.31</v>
      </c>
    </row>
    <row r="83" customFormat="1" s="171">
      <c r="A83" s="171" t="inlineStr">
        <is>
          <t>Cash from Investing Activity</t>
        </is>
      </c>
      <c r="B83" t="n">
        <v>-3250.93</v>
      </c>
      <c r="C83" t="n">
        <v>-7113.89</v>
      </c>
      <c r="D83" t="n">
        <v>-5545.68</v>
      </c>
      <c r="E83" t="n">
        <v>-6174.02</v>
      </c>
      <c r="F83" t="n">
        <v>5739.98</v>
      </c>
      <c r="G83" t="n">
        <v>-2238.49</v>
      </c>
      <c r="H83" t="n">
        <v>-5732.29</v>
      </c>
      <c r="I83" t="n">
        <v>1562.77</v>
      </c>
      <c r="J83" t="n">
        <v>-563.84</v>
      </c>
      <c r="K83" t="n">
        <v>-2320.74</v>
      </c>
    </row>
    <row r="84" customFormat="1" s="171">
      <c r="A84" s="171" t="inlineStr">
        <is>
          <t>Cash from Financing Activity</t>
        </is>
      </c>
      <c r="B84" t="n">
        <v>-7301.03</v>
      </c>
      <c r="C84" t="n">
        <v>-6221.13</v>
      </c>
      <c r="D84" t="n">
        <v>-6868.64</v>
      </c>
      <c r="E84" t="n">
        <v>-8181.48</v>
      </c>
      <c r="F84" t="n">
        <v>-18633.83</v>
      </c>
      <c r="G84" t="n">
        <v>-13580.5</v>
      </c>
      <c r="H84" t="n">
        <v>-13006.03</v>
      </c>
      <c r="I84" t="n">
        <v>-18550.96</v>
      </c>
      <c r="J84" t="n">
        <v>-17037.4</v>
      </c>
      <c r="K84" t="n">
        <v>-16147.12</v>
      </c>
    </row>
    <row r="85" customFormat="1" s="170">
      <c r="A85" s="171" t="inlineStr">
        <is>
          <t>Net Cash Flow</t>
        </is>
      </c>
      <c r="B85" t="n">
        <v>75.34999999999999</v>
      </c>
      <c r="C85" t="n">
        <v>-165.62</v>
      </c>
      <c r="D85" t="n">
        <v>169.09</v>
      </c>
      <c r="E85" t="n">
        <v>334.16</v>
      </c>
      <c r="F85" t="n">
        <v>-366.88</v>
      </c>
      <c r="G85" t="n">
        <v>-43.48</v>
      </c>
      <c r="H85" t="n">
        <v>139.23</v>
      </c>
      <c r="I85" t="n">
        <v>190.67</v>
      </c>
      <c r="J85" t="n">
        <v>25.8</v>
      </c>
      <c r="K85" t="n">
        <v>-3.55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262.75</v>
      </c>
      <c r="C90" t="n">
        <v>239.5</v>
      </c>
      <c r="D90" t="n">
        <v>278.64</v>
      </c>
      <c r="E90" t="n">
        <v>160.95</v>
      </c>
      <c r="F90" t="n">
        <v>204.82</v>
      </c>
      <c r="G90" t="n">
        <v>234.96</v>
      </c>
      <c r="H90" t="n">
        <v>359.49</v>
      </c>
      <c r="I90" t="n">
        <v>401.53</v>
      </c>
      <c r="J90" t="n">
        <v>409.75</v>
      </c>
      <c r="K90" t="n">
        <v>287.7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1214.74</v>
      </c>
      <c r="C93" s="181" t="n">
        <v>1220.43</v>
      </c>
      <c r="D93" s="181" t="n">
        <v>1225.86</v>
      </c>
      <c r="E93" s="181" t="n">
        <v>1229.22</v>
      </c>
      <c r="F93" s="181" t="n">
        <v>1230.88</v>
      </c>
      <c r="G93" s="181" t="n">
        <v>1232.33</v>
      </c>
      <c r="H93" s="181" t="n">
        <v>1242.8</v>
      </c>
      <c r="I93" s="181" t="n">
        <v>1248.47</v>
      </c>
      <c r="J93" s="181" t="n">
        <v>1251.41</v>
      </c>
      <c r="K93" s="181" t="n">
        <v>1252.95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 t="array" ref="M11:N11">D21:E21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2"/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183" t="inlineStr">
        <is>
          <t>Less: Minority Interest</t>
        </is>
      </c>
      <c r="D39" s="107">
        <f>'Data Sheet'!K73</f>
        <v/>
      </c>
    </row>
    <row r="40">
      <c r="B40" s="37" t="inlineStr">
        <is>
          <t>Equity Value</t>
        </is>
      </c>
      <c r="C40" s="37" t="n"/>
      <c r="D40" s="129">
        <f>D35+D37-D38-D39</f>
        <v/>
      </c>
    </row>
    <row r="41">
      <c r="B41" t="inlineStr">
        <is>
          <t>No. of Shares</t>
        </is>
      </c>
      <c r="D41">
        <f>'Data Sheet'!K70/10000000</f>
        <v/>
      </c>
    </row>
    <row r="42" ht="15" customHeight="1" s="109" thickBot="1"/>
    <row r="43">
      <c r="B43" s="127" t="inlineStr">
        <is>
          <t>Equity Value per Share</t>
        </is>
      </c>
      <c r="C43" s="127" t="n"/>
      <c r="D43" s="128">
        <f>D40/D41</f>
        <v/>
      </c>
    </row>
    <row r="44"/>
    <row r="45">
      <c r="B45" t="inlineStr">
        <is>
          <t>Share Price</t>
        </is>
      </c>
      <c r="D45" s="107" t="n">
        <v>276.5</v>
      </c>
    </row>
    <row r="46">
      <c r="B46" t="inlineStr">
        <is>
          <t>Discount /Premium</t>
        </is>
      </c>
      <c r="D46" s="83">
        <f>D45/D43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Hind. Unilever</t>
        </is>
      </c>
      <c r="Q24" t="inlineStr">
        <is>
          <t>India</t>
        </is>
      </c>
      <c r="R24" t="n">
        <v>1478</v>
      </c>
      <c r="S24" t="n">
        <v>483526.44</v>
      </c>
      <c r="T24" s="46" t="n">
        <v>0.25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ITC</t>
        </is>
      </c>
      <c r="Q25">
        <f>Q24</f>
        <v/>
      </c>
      <c r="R25" t="n">
        <v>2399.06</v>
      </c>
      <c r="S25" t="n">
        <v>345505.91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Nestle India</t>
        </is>
      </c>
      <c r="Q26">
        <f>Q25</f>
        <v/>
      </c>
      <c r="R26" t="n">
        <v>444.16</v>
      </c>
      <c r="S26" t="n">
        <v>291221.06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Varun Beverages</t>
        </is>
      </c>
      <c r="Q27">
        <f>Q26</f>
        <v/>
      </c>
      <c r="R27" t="n">
        <v>2508.18</v>
      </c>
      <c r="S27" t="n">
        <v>148827.3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Britannia Inds.</t>
        </is>
      </c>
      <c r="Q28">
        <f>Q27</f>
        <v/>
      </c>
      <c r="R28" t="n">
        <v>1380.28</v>
      </c>
      <c r="S28" t="n">
        <v>135517.4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4" t="n"/>
      <c r="F9" s="184" t="n"/>
      <c r="G9" s="184" t="n"/>
      <c r="H9" s="184" t="n"/>
      <c r="I9" s="184" t="n"/>
      <c r="J9" s="84" t="n"/>
      <c r="K9" s="166" t="inlineStr">
        <is>
          <t>Financials</t>
        </is>
      </c>
      <c r="L9" s="184" t="n"/>
      <c r="M9" s="184" t="n"/>
      <c r="N9" s="84" t="n"/>
      <c r="O9" s="166" t="inlineStr">
        <is>
          <t>Valuation</t>
        </is>
      </c>
      <c r="P9" s="184" t="n"/>
      <c r="Q9" s="184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MAX(O12,O14:O21)</f>
        <v/>
      </c>
      <c r="P23" s="86">
        <f>MAX(P12,P14:P21)</f>
        <v/>
      </c>
      <c r="Q23" s="86">
        <f>MAX(Q12,Q14:Q21)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_xlfn.QUARTILE.INC((O12,O14:O21),1)</f>
        <v/>
      </c>
      <c r="P24" s="87">
        <f>_xlfn.QUARTILE.INC((P12,P14:P21),1)</f>
        <v/>
      </c>
      <c r="Q24" s="87">
        <f>_xlfn.QUARTILE.INC((Q12,Q14:Q21),1)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MEDIAN(O12,O14:O21)</f>
        <v/>
      </c>
      <c r="P25" s="153">
        <f>MEDIAN(P12,P14:P21)</f>
        <v/>
      </c>
      <c r="Q25" s="153">
        <f>MEDIAN(Q12,Q14:Q21)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AVERAGE(O12,O14:O21)</f>
        <v/>
      </c>
      <c r="P26" s="153">
        <f>AVERAGE(P12,P14:P21)</f>
        <v/>
      </c>
      <c r="Q26" s="153">
        <f>AVERAGE(Q12,Q14:Q21)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QUARTILE((O12,O14:O21),3)</f>
        <v/>
      </c>
      <c r="P27" s="87">
        <f>QUARTILE((P12,P14:P21),3)</f>
        <v/>
      </c>
      <c r="Q27" s="87">
        <f>QUARTILE((Q12,Q14:Q21),3)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MIN(O12,O14:O21)</f>
        <v/>
      </c>
      <c r="P28" s="86">
        <f>MIN(P12,P14:P21)</f>
        <v/>
      </c>
      <c r="Q28" s="86">
        <f>MIN(Q12,Q14:Q21)</f>
        <v/>
      </c>
    </row>
    <row r="30">
      <c r="B30" s="84" t="inlineStr">
        <is>
          <t>ITC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K13*O26</f>
        <v/>
      </c>
      <c r="P32" s="155">
        <f>L13*P26</f>
        <v/>
      </c>
      <c r="Q32" s="155">
        <f>M13*Q26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$G$13</f>
        <v/>
      </c>
      <c r="P33" s="155">
        <f>$G$13</f>
        <v/>
      </c>
      <c r="Q33" s="155">
        <f>$G$13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$E$13</f>
        <v/>
      </c>
      <c r="P35" s="155">
        <f>$E$13</f>
        <v/>
      </c>
      <c r="Q35" s="155">
        <f>$E$13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IF(O37&gt;$D$13,"Overvalued","Undervalued")</f>
        <v/>
      </c>
      <c r="P39">
        <f>IF(P37&gt;$D$13,"Overvalued","Undervalued")</f>
        <v/>
      </c>
      <c r="Q39">
        <f>IF(Q37&gt;$D$13,"Overvalued","Undervalued")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5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7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7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7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5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09">
      <c r="A38" t="inlineStr">
        <is>
          <t>•</t>
        </is>
      </c>
      <c r="B38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09">
      <c r="A40" t="inlineStr">
        <is>
          <t>•</t>
        </is>
      </c>
      <c r="B40" s="167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7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7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1"/>
    <row r="2"/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38817</v>
      </c>
      <c r="T4" s="73" t="n">
        <v>39192</v>
      </c>
      <c r="U4" s="73" t="n">
        <v>42768</v>
      </c>
      <c r="V4" s="73" t="n">
        <v>43449</v>
      </c>
      <c r="W4" s="73" t="n">
        <v>48340</v>
      </c>
      <c r="X4" s="73" t="n">
        <v>49388</v>
      </c>
      <c r="Y4" s="73" t="n">
        <v>49257</v>
      </c>
      <c r="Z4" s="73" t="n">
        <v>60645</v>
      </c>
      <c r="AA4" s="73" t="n">
        <v>70919</v>
      </c>
      <c r="AB4" s="73" t="n">
        <v>67932</v>
      </c>
      <c r="AC4" s="73" t="n">
        <v>75323</v>
      </c>
      <c r="AD4" s="73" t="n">
        <v>78868</v>
      </c>
      <c r="AE4" s="73" t="n">
        <v>76488</v>
      </c>
    </row>
    <row r="5">
      <c r="B5" s="35" t="inlineStr">
        <is>
          <t>Equity Capital</t>
        </is>
      </c>
      <c r="C5" t="n">
        <v>802</v>
      </c>
      <c r="D5" s="47" t="n">
        <v>805</v>
      </c>
      <c r="E5" s="47" t="n">
        <v>1215</v>
      </c>
      <c r="F5" s="47" t="n">
        <v>1220</v>
      </c>
      <c r="G5" s="47" t="n">
        <v>1226</v>
      </c>
      <c r="H5" s="47" t="n">
        <v>1229</v>
      </c>
      <c r="I5" s="47" t="n">
        <v>1231</v>
      </c>
      <c r="J5" s="47" t="n">
        <v>1232</v>
      </c>
      <c r="K5" s="47" t="n">
        <v>1243</v>
      </c>
      <c r="L5" s="47" t="n">
        <v>1248</v>
      </c>
      <c r="M5" s="47" t="n">
        <v>1251</v>
      </c>
      <c r="N5" s="47" t="n">
        <v>1253</v>
      </c>
      <c r="R5" t="inlineStr">
        <is>
          <t>Expenses +</t>
        </is>
      </c>
      <c r="S5" s="73" t="n">
        <v>24566</v>
      </c>
      <c r="T5" s="73" t="n">
        <v>24661</v>
      </c>
      <c r="U5" s="73" t="n">
        <v>27298</v>
      </c>
      <c r="V5" s="73" t="n">
        <v>26928</v>
      </c>
      <c r="W5" s="73" t="n">
        <v>29802</v>
      </c>
      <c r="X5" s="73" t="n">
        <v>30044</v>
      </c>
      <c r="Y5" s="73" t="n">
        <v>32193</v>
      </c>
      <c r="Z5" s="73" t="n">
        <v>40021</v>
      </c>
      <c r="AA5" s="73" t="n">
        <v>45215</v>
      </c>
      <c r="AB5" s="73" t="n">
        <v>42744</v>
      </c>
      <c r="AC5" s="73" t="n">
        <v>49492</v>
      </c>
      <c r="AD5" s="73" t="n">
        <v>51562</v>
      </c>
      <c r="AE5" s="73" t="n">
        <v>50806</v>
      </c>
    </row>
    <row r="6">
      <c r="B6" t="inlineStr">
        <is>
          <t>Reserves</t>
        </is>
      </c>
      <c r="C6" s="73" t="n">
        <v>30934</v>
      </c>
      <c r="D6" s="73" t="n">
        <v>41875</v>
      </c>
      <c r="E6" s="73" t="n">
        <v>45198</v>
      </c>
      <c r="F6" s="73" t="n">
        <v>51290</v>
      </c>
      <c r="G6" s="73" t="n">
        <v>57915</v>
      </c>
      <c r="H6" s="73" t="n">
        <v>64044</v>
      </c>
      <c r="I6" s="73" t="n">
        <v>59116</v>
      </c>
      <c r="J6" s="73" t="n">
        <v>61223</v>
      </c>
      <c r="K6" s="73" t="n">
        <v>67912</v>
      </c>
      <c r="L6" s="73" t="n">
        <v>73259</v>
      </c>
      <c r="M6" s="73" t="n">
        <v>68779</v>
      </c>
      <c r="N6" s="73" t="n">
        <v>71254</v>
      </c>
      <c r="O6" s="73" t="n"/>
      <c r="R6" t="inlineStr">
        <is>
          <t>Operating Profit</t>
        </is>
      </c>
      <c r="S6" s="73" t="n">
        <v>14252</v>
      </c>
      <c r="T6" s="73" t="n">
        <v>14531</v>
      </c>
      <c r="U6" s="73" t="n">
        <v>15470</v>
      </c>
      <c r="V6" s="73" t="n">
        <v>16521</v>
      </c>
      <c r="W6" s="73" t="n">
        <v>18537</v>
      </c>
      <c r="X6" s="73" t="n">
        <v>19344</v>
      </c>
      <c r="Y6" s="73" t="n">
        <v>17065</v>
      </c>
      <c r="Z6" s="73" t="n">
        <v>20623</v>
      </c>
      <c r="AA6" s="73" t="n">
        <v>25704</v>
      </c>
      <c r="AB6" s="73" t="n">
        <v>25188</v>
      </c>
      <c r="AC6" s="73" t="n">
        <v>25832</v>
      </c>
      <c r="AD6" s="73" t="n">
        <v>27306</v>
      </c>
      <c r="AE6" s="73" t="n">
        <v>25682</v>
      </c>
    </row>
    <row r="7">
      <c r="B7" s="73" t="inlineStr">
        <is>
          <t>Borrowings -</t>
        </is>
      </c>
      <c r="C7" s="73" t="n">
        <v>269</v>
      </c>
      <c r="D7" s="73" t="n">
        <v>84</v>
      </c>
      <c r="E7" s="73" t="n">
        <v>46</v>
      </c>
      <c r="F7" s="73" t="n">
        <v>36</v>
      </c>
      <c r="G7" s="73" t="n">
        <v>13</v>
      </c>
      <c r="H7" s="73" t="n">
        <v>277</v>
      </c>
      <c r="I7" s="73" t="n">
        <v>271</v>
      </c>
      <c r="J7" s="73" t="n">
        <v>249</v>
      </c>
      <c r="K7" s="73" t="n">
        <v>306</v>
      </c>
      <c r="L7" s="73" t="n">
        <v>303</v>
      </c>
      <c r="M7" s="73" t="n">
        <v>285</v>
      </c>
      <c r="N7" s="73" t="n">
        <v>2399</v>
      </c>
      <c r="O7" s="73" t="n"/>
      <c r="R7" t="inlineStr">
        <is>
          <t>OPM %</t>
        </is>
      </c>
      <c r="S7" s="75" t="n">
        <v>0.37</v>
      </c>
      <c r="T7" s="75" t="n">
        <v>0.37</v>
      </c>
      <c r="U7" s="75" t="n">
        <v>0.36</v>
      </c>
      <c r="V7" s="75" t="n">
        <v>0.38</v>
      </c>
      <c r="W7" s="75" t="n">
        <v>0.38</v>
      </c>
      <c r="X7" s="75" t="n">
        <v>0.39</v>
      </c>
      <c r="Y7" s="75" t="n">
        <v>0.35</v>
      </c>
      <c r="Z7" s="75" t="n">
        <v>0.34</v>
      </c>
      <c r="AA7" s="75" t="n">
        <v>0.36</v>
      </c>
      <c r="AB7" s="75" t="n">
        <v>0.37</v>
      </c>
      <c r="AC7" s="75" t="n">
        <v>0.34</v>
      </c>
      <c r="AD7" s="75" t="n">
        <v>0.35</v>
      </c>
      <c r="AE7" s="75" t="n">
        <v>0.34</v>
      </c>
    </row>
    <row r="8">
      <c r="B8" s="73" t="inlineStr">
        <is>
          <t>Long term Borrowings</t>
        </is>
      </c>
      <c r="C8" s="73" t="n">
        <v>61</v>
      </c>
      <c r="D8" s="73" t="n">
        <v>27</v>
      </c>
      <c r="E8" s="73" t="n">
        <v>18</v>
      </c>
      <c r="F8" s="73" t="n">
        <v>12</v>
      </c>
      <c r="G8" s="73" t="n">
        <v>8</v>
      </c>
      <c r="H8" s="73" t="n">
        <v>6</v>
      </c>
      <c r="I8" s="73" t="n">
        <v>6</v>
      </c>
      <c r="J8" s="73" t="n">
        <v>5</v>
      </c>
      <c r="K8" s="73" t="n">
        <v>3</v>
      </c>
      <c r="L8" s="73" t="n">
        <v>2</v>
      </c>
      <c r="M8" s="73" t="n">
        <v>0</v>
      </c>
      <c r="N8" s="73" t="n">
        <v>60</v>
      </c>
      <c r="R8" t="inlineStr">
        <is>
          <t>Other Income +</t>
        </is>
      </c>
      <c r="S8" s="73" t="n">
        <v>1229</v>
      </c>
      <c r="T8" s="73" t="n">
        <v>1483</v>
      </c>
      <c r="U8" s="73" t="n">
        <v>1759</v>
      </c>
      <c r="V8" s="73" t="n">
        <v>2240</v>
      </c>
      <c r="W8" s="73" t="n">
        <v>2080</v>
      </c>
      <c r="X8" s="73" t="n">
        <v>2417</v>
      </c>
      <c r="Y8" s="73" t="n">
        <v>2577</v>
      </c>
      <c r="Z8" s="73" t="n">
        <v>1910</v>
      </c>
      <c r="AA8" s="73" t="n">
        <v>2098</v>
      </c>
      <c r="AB8" s="73" t="n">
        <v>3330</v>
      </c>
      <c r="AC8" s="73" t="n">
        <v>17803</v>
      </c>
      <c r="AD8" s="73" t="n">
        <v>2523</v>
      </c>
      <c r="AE8" s="73" t="n">
        <v>2908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1028</v>
      </c>
      <c r="T10" s="73" t="n">
        <v>1077</v>
      </c>
      <c r="U10" s="73" t="n">
        <v>1153</v>
      </c>
      <c r="V10" s="73" t="n">
        <v>1236</v>
      </c>
      <c r="W10" s="73" t="n">
        <v>1397</v>
      </c>
      <c r="X10" s="73" t="n">
        <v>1645</v>
      </c>
      <c r="Y10" s="73" t="n">
        <v>1646</v>
      </c>
      <c r="Z10" s="73" t="n">
        <v>1732</v>
      </c>
      <c r="AA10" s="73" t="n">
        <v>1809</v>
      </c>
      <c r="AB10" s="73" t="n">
        <v>1518</v>
      </c>
      <c r="AC10" s="73" t="n">
        <v>1646</v>
      </c>
      <c r="AD10" s="73" t="n">
        <v>1711</v>
      </c>
      <c r="AE10" s="73" t="n">
        <v>1715</v>
      </c>
    </row>
    <row r="11">
      <c r="B11" s="73" t="inlineStr">
        <is>
          <t>Other Borrowings</t>
        </is>
      </c>
      <c r="C11" s="73" t="n">
        <v>13</v>
      </c>
      <c r="D11" s="73" t="n">
        <v>13</v>
      </c>
      <c r="E11" s="73" t="n">
        <v>8</v>
      </c>
      <c r="F11" s="73" t="n">
        <v>7</v>
      </c>
      <c r="G11" s="73" t="n">
        <v>3</v>
      </c>
      <c r="H11" s="73" t="n">
        <v>2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14362</v>
      </c>
      <c r="T11" s="73" t="n">
        <v>14859</v>
      </c>
      <c r="U11" s="73" t="n">
        <v>16026</v>
      </c>
      <c r="V11" s="73" t="n">
        <v>17409</v>
      </c>
      <c r="W11" s="73" t="n">
        <v>19150</v>
      </c>
      <c r="X11" s="73" t="n">
        <v>20035</v>
      </c>
      <c r="Y11" s="73" t="n">
        <v>17938</v>
      </c>
      <c r="Z11" s="73" t="n">
        <v>20740</v>
      </c>
      <c r="AA11" s="73" t="n">
        <v>25915</v>
      </c>
      <c r="AB11" s="73" t="n">
        <v>26961</v>
      </c>
      <c r="AC11" s="73" t="n">
        <v>41943</v>
      </c>
      <c r="AD11" s="73" t="n">
        <v>28033</v>
      </c>
      <c r="AE11" s="73" t="n">
        <v>26766</v>
      </c>
    </row>
    <row r="12">
      <c r="B12" s="73" t="inlineStr">
        <is>
          <t>Other Liabilities -</t>
        </is>
      </c>
      <c r="C12" s="73" t="n">
        <v>13948</v>
      </c>
      <c r="D12" s="73" t="n">
        <v>8888</v>
      </c>
      <c r="E12" s="73" t="n">
        <v>9440</v>
      </c>
      <c r="F12" s="73" t="n">
        <v>11695</v>
      </c>
      <c r="G12" s="73" t="n">
        <v>12585</v>
      </c>
      <c r="H12" s="73" t="n">
        <v>11760</v>
      </c>
      <c r="I12" s="73" t="n">
        <v>13143</v>
      </c>
      <c r="J12" s="73" t="n">
        <v>14491</v>
      </c>
      <c r="K12" s="73" t="n">
        <v>16370</v>
      </c>
      <c r="L12" s="73" t="n">
        <v>16944</v>
      </c>
      <c r="M12" s="73" t="n">
        <v>17688</v>
      </c>
      <c r="N12" s="73" t="n">
        <v>18731</v>
      </c>
      <c r="R12" t="inlineStr">
        <is>
          <t>Tax %</t>
        </is>
      </c>
      <c r="S12" s="75" t="n">
        <v>0.32</v>
      </c>
      <c r="T12" s="75" t="n">
        <v>0.36</v>
      </c>
      <c r="U12" s="75" t="n">
        <v>0.35</v>
      </c>
      <c r="V12" s="75" t="n">
        <v>0.34</v>
      </c>
      <c r="W12" s="75" t="n">
        <v>0.33</v>
      </c>
      <c r="X12" s="75" t="n">
        <v>0.22</v>
      </c>
      <c r="Y12" s="75" t="n">
        <v>0.25</v>
      </c>
      <c r="Z12" s="75" t="n">
        <v>0.25</v>
      </c>
      <c r="AA12" s="75" t="n">
        <v>0.25</v>
      </c>
      <c r="AB12" s="75" t="n">
        <v>0.23</v>
      </c>
      <c r="AC12" s="75" t="n">
        <v>0.16</v>
      </c>
      <c r="AD12" s="75" t="n">
        <v>0.25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9779</v>
      </c>
      <c r="T13" s="73" t="n">
        <v>9501</v>
      </c>
      <c r="U13" s="73" t="n">
        <v>10477</v>
      </c>
      <c r="V13" s="73" t="n">
        <v>11493</v>
      </c>
      <c r="W13" s="73" t="n">
        <v>12836</v>
      </c>
      <c r="X13" s="73" t="n">
        <v>15593</v>
      </c>
      <c r="Y13" s="73" t="n">
        <v>13383</v>
      </c>
      <c r="Z13" s="73" t="n">
        <v>15503</v>
      </c>
      <c r="AA13" s="73" t="n">
        <v>19477</v>
      </c>
      <c r="AB13" s="73" t="n">
        <v>20751</v>
      </c>
      <c r="AC13" s="73" t="n">
        <v>35052</v>
      </c>
      <c r="AD13" s="73" t="n">
        <v>21018</v>
      </c>
      <c r="AE13" s="73" t="n">
        <v>20184</v>
      </c>
    </row>
    <row r="14">
      <c r="B14" s="73" t="inlineStr">
        <is>
          <t>Trade Payables</t>
        </is>
      </c>
      <c r="C14" s="73" t="n">
        <v>2020</v>
      </c>
      <c r="D14" s="73" t="n">
        <v>2339</v>
      </c>
      <c r="E14" s="73" t="n">
        <v>2659</v>
      </c>
      <c r="F14" s="73" t="n">
        <v>3496</v>
      </c>
      <c r="G14" s="73" t="n">
        <v>3510</v>
      </c>
      <c r="H14" s="73" t="n">
        <v>3630</v>
      </c>
      <c r="I14" s="73" t="n">
        <v>4319</v>
      </c>
      <c r="J14" s="73" t="n">
        <v>4417</v>
      </c>
      <c r="K14" s="73" t="n">
        <v>4659</v>
      </c>
      <c r="L14" s="73" t="n">
        <v>4798</v>
      </c>
      <c r="M14" s="73" t="n">
        <v>4807</v>
      </c>
      <c r="N14" s="73" t="n">
        <v>5640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73" t="n">
        <v>1278</v>
      </c>
      <c r="K15" s="73" t="n">
        <v>1295</v>
      </c>
      <c r="L15" t="n">
        <v>886</v>
      </c>
      <c r="M15" s="73" t="n">
        <v>1264</v>
      </c>
      <c r="N15" s="73" t="n">
        <v>1342</v>
      </c>
      <c r="O15" s="73" t="n"/>
    </row>
    <row r="16">
      <c r="B16" s="73" t="inlineStr">
        <is>
          <t>Other liability items</t>
        </is>
      </c>
      <c r="C16" s="73" t="n">
        <v>11702</v>
      </c>
      <c r="D16" s="73" t="n">
        <v>5483</v>
      </c>
      <c r="E16" s="73" t="n">
        <v>5991</v>
      </c>
      <c r="F16" s="73" t="n">
        <v>7404</v>
      </c>
      <c r="G16" s="73" t="n">
        <v>8301</v>
      </c>
      <c r="H16" s="73" t="n">
        <v>7050</v>
      </c>
      <c r="I16" s="73" t="n">
        <v>7666</v>
      </c>
      <c r="J16" s="73" t="n">
        <v>8429</v>
      </c>
      <c r="K16" s="73" t="n">
        <v>10032</v>
      </c>
      <c r="L16" s="73" t="n">
        <v>10877</v>
      </c>
      <c r="M16" s="73" t="n">
        <v>11249</v>
      </c>
      <c r="N16" s="73" t="n">
        <v>11384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>
        <f>SUM(C5:C17)</f>
        <v/>
      </c>
      <c r="D18" s="71">
        <f>SUM(D5:D17)</f>
        <v/>
      </c>
      <c r="E18" s="71">
        <f>SUM(E5:E17)</f>
        <v/>
      </c>
      <c r="F18" s="71">
        <f>SUM(F5:F17)</f>
        <v/>
      </c>
      <c r="G18" s="71">
        <f>SUM(G5:G17)</f>
        <v/>
      </c>
      <c r="H18" s="71">
        <f>SUM(H5:H17)</f>
        <v/>
      </c>
      <c r="I18" s="71">
        <f>SUM(I5:I17)</f>
        <v/>
      </c>
      <c r="J18" s="71">
        <f>SUM(J5:J17)</f>
        <v/>
      </c>
      <c r="K18" s="71">
        <f>SUM(K5:K17)</f>
        <v/>
      </c>
      <c r="L18" s="71">
        <f>SUM(L5:L17)</f>
        <v/>
      </c>
      <c r="M18" s="71">
        <f>SUM(M5:M17)</f>
        <v/>
      </c>
      <c r="N18" s="71">
        <f>SUM(N5:N17)</f>
        <v/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9843</v>
      </c>
      <c r="T19" s="73" t="n">
        <v>9799</v>
      </c>
      <c r="U19" s="73" t="n">
        <v>10627</v>
      </c>
      <c r="V19" s="73" t="n">
        <v>13169</v>
      </c>
      <c r="W19" s="73" t="n">
        <v>12583</v>
      </c>
      <c r="X19" s="73" t="n">
        <v>14690</v>
      </c>
      <c r="Y19" s="73" t="n">
        <v>12527</v>
      </c>
      <c r="Z19" s="73" t="n">
        <v>15776</v>
      </c>
      <c r="AA19" s="73" t="n">
        <v>18878</v>
      </c>
      <c r="AB19" s="73" t="n">
        <v>17179</v>
      </c>
      <c r="AC19" s="73" t="n">
        <v>17627</v>
      </c>
      <c r="AD19" s="73" t="n">
        <v>18464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14261</v>
      </c>
      <c r="T20" s="73" t="n">
        <v>15154</v>
      </c>
      <c r="U20" s="73" t="n">
        <v>16075</v>
      </c>
      <c r="V20" s="73" t="n">
        <v>17433</v>
      </c>
      <c r="W20" s="73" t="n">
        <v>18862</v>
      </c>
      <c r="X20" s="73" t="n">
        <v>19416</v>
      </c>
      <c r="Y20" s="73" t="n">
        <v>17326</v>
      </c>
      <c r="Z20" s="73" t="n">
        <v>20857</v>
      </c>
      <c r="AA20" s="73" t="n">
        <v>26052</v>
      </c>
      <c r="AB20" s="73" t="n">
        <v>26635</v>
      </c>
      <c r="AC20" s="73" t="n">
        <v>26719</v>
      </c>
      <c r="AD20" s="73" t="n">
        <v>27600</v>
      </c>
    </row>
    <row r="21">
      <c r="B21" s="73" t="inlineStr">
        <is>
          <t>Fixed Assets -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73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73" t="n">
        <v>-1023</v>
      </c>
      <c r="AD21" t="n">
        <v>468</v>
      </c>
    </row>
    <row r="22">
      <c r="B22" s="73" t="inlineStr">
        <is>
          <t>Land</t>
        </is>
      </c>
      <c r="C22" s="73" t="n">
        <v>1717</v>
      </c>
      <c r="D22" s="73" t="n">
        <v>1615</v>
      </c>
      <c r="E22" s="73" t="n">
        <v>1673</v>
      </c>
      <c r="F22" s="73" t="n">
        <v>1685</v>
      </c>
      <c r="G22" s="73" t="n">
        <v>2021</v>
      </c>
      <c r="H22" s="73" t="n">
        <v>2797</v>
      </c>
      <c r="I22" s="73" t="n">
        <v>2889</v>
      </c>
      <c r="J22" s="73" t="n">
        <v>2829</v>
      </c>
      <c r="K22" s="73" t="n">
        <v>2830</v>
      </c>
      <c r="L22" s="73" t="n">
        <v>2865</v>
      </c>
      <c r="M22" s="73" t="n">
        <v>1588</v>
      </c>
      <c r="N22" s="73" t="n">
        <v>1633</v>
      </c>
      <c r="O22" s="73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73" t="n">
        <v>-1460</v>
      </c>
      <c r="Z22" t="n">
        <v>-466</v>
      </c>
      <c r="AA22" s="73" t="n">
        <v>-1098</v>
      </c>
      <c r="AB22" s="73" t="n">
        <v>-2545</v>
      </c>
      <c r="AC22" s="73" t="n">
        <v>-2975</v>
      </c>
      <c r="AD22" s="73" t="n">
        <v>-3306</v>
      </c>
    </row>
    <row r="23">
      <c r="B23" s="73" t="inlineStr">
        <is>
          <t>Building</t>
        </is>
      </c>
      <c r="C23" s="73" t="n">
        <v>4860</v>
      </c>
      <c r="D23" s="73" t="n">
        <v>4219</v>
      </c>
      <c r="E23" s="73" t="n">
        <v>4716</v>
      </c>
      <c r="F23" s="73" t="n">
        <v>5331</v>
      </c>
      <c r="G23" s="73" t="n">
        <v>6996</v>
      </c>
      <c r="H23" s="73" t="n">
        <v>8161</v>
      </c>
      <c r="I23" s="73" t="n">
        <v>8387</v>
      </c>
      <c r="J23" s="73" t="n">
        <v>9100</v>
      </c>
      <c r="K23" s="73" t="n">
        <v>9789</v>
      </c>
      <c r="L23" s="73" t="n">
        <v>10944</v>
      </c>
      <c r="M23" s="73" t="n">
        <v>7550</v>
      </c>
      <c r="N23" s="73" t="n">
        <v>7791</v>
      </c>
      <c r="O23" s="73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73" t="n">
        <v>2098</v>
      </c>
      <c r="W23" t="n">
        <v>639</v>
      </c>
      <c r="X23" t="n">
        <v>-607</v>
      </c>
      <c r="Y23" s="73" t="n">
        <v>1112</v>
      </c>
      <c r="Z23" s="73" t="n">
        <v>1099</v>
      </c>
      <c r="AA23" s="73" t="n">
        <v>1058</v>
      </c>
      <c r="AB23" t="n">
        <v>141</v>
      </c>
      <c r="AC23" s="73" t="n">
        <v>1256</v>
      </c>
      <c r="AD23" t="n">
        <v>76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73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73" t="n">
        <v>-3337</v>
      </c>
      <c r="AC24" s="73" t="n">
        <v>-2742</v>
      </c>
      <c r="AD24" s="73" t="n">
        <v>-2762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-4449</v>
      </c>
      <c r="T25" s="73" t="n">
        <v>-5078</v>
      </c>
      <c r="U25" s="73" t="n">
        <v>-5492</v>
      </c>
      <c r="V25" s="73" t="n">
        <v>-6000</v>
      </c>
      <c r="W25" s="73" t="n">
        <v>-5803</v>
      </c>
      <c r="X25" s="73" t="n">
        <v>-5023</v>
      </c>
      <c r="Y25" s="73" t="n">
        <v>-4387</v>
      </c>
      <c r="Z25" s="73" t="n">
        <v>-4982</v>
      </c>
      <c r="AA25" s="73" t="n">
        <v>-6250</v>
      </c>
      <c r="AB25" s="73" t="n">
        <v>-6120</v>
      </c>
      <c r="AC25" s="73" t="n">
        <v>-6350</v>
      </c>
      <c r="AD25" s="73" t="n">
        <v>-6374</v>
      </c>
    </row>
    <row r="26">
      <c r="B26" s="73" t="inlineStr">
        <is>
          <t>Furniture n fittings</t>
        </is>
      </c>
      <c r="C26" s="73" t="n">
        <v>805</v>
      </c>
      <c r="D26" s="73" t="n">
        <v>413</v>
      </c>
      <c r="E26" s="73" t="n">
        <v>459</v>
      </c>
      <c r="F26" s="73" t="n">
        <v>497</v>
      </c>
      <c r="G26" s="73" t="n">
        <v>644</v>
      </c>
      <c r="H26" s="73" t="n">
        <v>810</v>
      </c>
      <c r="I26" s="73" t="n">
        <v>833</v>
      </c>
      <c r="J26" s="73" t="n">
        <v>907</v>
      </c>
      <c r="K26" s="73" t="n">
        <v>1000</v>
      </c>
      <c r="L26" s="73" t="n">
        <v>1068</v>
      </c>
      <c r="M26" s="73" t="n">
        <v>282</v>
      </c>
      <c r="N26" s="73" t="n">
        <v>304</v>
      </c>
      <c r="R26" t="inlineStr">
        <is>
          <t>Cash from Investing Activity -</t>
        </is>
      </c>
      <c r="S26" s="73" t="n">
        <v>-5275</v>
      </c>
      <c r="T26" s="73" t="n">
        <v>-3921</v>
      </c>
      <c r="U26" s="73" t="n">
        <v>-3251</v>
      </c>
      <c r="V26" s="73" t="n">
        <v>-7114</v>
      </c>
      <c r="W26" s="73" t="n">
        <v>-5546</v>
      </c>
      <c r="X26" s="73" t="n">
        <v>-6174</v>
      </c>
      <c r="Y26" s="73" t="n">
        <v>5740</v>
      </c>
      <c r="Z26" s="73" t="n">
        <v>-2238</v>
      </c>
      <c r="AA26" s="73" t="n">
        <v>-5732</v>
      </c>
      <c r="AB26" s="73" t="n">
        <v>1563</v>
      </c>
      <c r="AC26" t="n">
        <v>-564</v>
      </c>
      <c r="AD26" s="73" t="n">
        <v>-2321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-3300</v>
      </c>
      <c r="T27" s="73" t="n">
        <v>-2348</v>
      </c>
      <c r="U27" s="73" t="n">
        <v>-3122</v>
      </c>
      <c r="V27" s="73" t="n">
        <v>-2878</v>
      </c>
      <c r="W27" s="73" t="n">
        <v>-3169</v>
      </c>
      <c r="X27" s="73" t="n">
        <v>-2441</v>
      </c>
      <c r="Y27" s="73" t="n">
        <v>-1837</v>
      </c>
      <c r="Z27" s="73" t="n">
        <v>-2142</v>
      </c>
      <c r="AA27" s="73" t="n">
        <v>-2743</v>
      </c>
      <c r="AB27" s="73" t="n">
        <v>-3563</v>
      </c>
      <c r="AC27" s="73" t="n">
        <v>-2279</v>
      </c>
      <c r="AD27" s="73" t="n">
        <v>-2183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73" t="n"/>
      <c r="R28" t="inlineStr">
        <is>
          <t>Fixed assets sold</t>
        </is>
      </c>
      <c r="S28" s="73" t="n">
        <v>9</v>
      </c>
      <c r="T28" s="73" t="n">
        <v>8</v>
      </c>
      <c r="U28" s="73" t="n">
        <v>50</v>
      </c>
      <c r="V28" s="73" t="n">
        <v>80</v>
      </c>
      <c r="W28" s="73" t="n">
        <v>28</v>
      </c>
      <c r="X28" s="73" t="n">
        <v>27</v>
      </c>
      <c r="Y28" s="73" t="n">
        <v>3</v>
      </c>
      <c r="Z28" s="73" t="n">
        <v>133</v>
      </c>
      <c r="AA28" s="73" t="n">
        <v>49</v>
      </c>
      <c r="AB28" t="n">
        <v>107</v>
      </c>
      <c r="AC28" s="73" t="n">
        <v>175</v>
      </c>
      <c r="AD28" s="73" t="n">
        <v>50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73" t="n">
        <v>2734</v>
      </c>
      <c r="J29" s="73" t="n">
        <v>2744</v>
      </c>
      <c r="K29" s="73" t="n">
        <v>3490</v>
      </c>
      <c r="L29" s="73" t="n">
        <v>3505</v>
      </c>
      <c r="M29" s="73" t="n">
        <v>3622</v>
      </c>
      <c r="N29" s="73" t="n">
        <v>4248</v>
      </c>
      <c r="R29" t="inlineStr">
        <is>
          <t>Investments purchased</t>
        </is>
      </c>
      <c r="S29" s="73" t="n">
        <v>-98742</v>
      </c>
      <c r="T29" s="73" t="n">
        <v>-154081</v>
      </c>
      <c r="U29" s="73" t="n">
        <v>-85683</v>
      </c>
      <c r="V29" s="73" t="n">
        <v>-98330</v>
      </c>
      <c r="W29" s="73" t="n">
        <v>-94187</v>
      </c>
      <c r="X29" s="73" t="n">
        <v>-79835</v>
      </c>
      <c r="Y29" s="73" t="n">
        <v>-57553</v>
      </c>
      <c r="Z29" s="73" t="n">
        <v>-69776</v>
      </c>
      <c r="AA29" s="73" t="n">
        <v>-80932</v>
      </c>
      <c r="AB29" s="73" t="n">
        <v>-75107</v>
      </c>
      <c r="AC29" s="73" t="n">
        <v>-66373</v>
      </c>
      <c r="AD29" s="73" t="n">
        <v>-68173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73" t="n">
        <v>1041</v>
      </c>
      <c r="O30" s="73" t="n"/>
      <c r="R30" t="inlineStr">
        <is>
          <t>Investments sold</t>
        </is>
      </c>
      <c r="S30" s="73" t="n">
        <v>99658</v>
      </c>
      <c r="T30" s="73" t="n">
        <v>150651</v>
      </c>
      <c r="U30" s="73" t="n">
        <v>81034</v>
      </c>
      <c r="V30" s="73" t="n">
        <v>95017</v>
      </c>
      <c r="W30" s="73" t="n">
        <v>92454</v>
      </c>
      <c r="X30" s="73" t="n">
        <v>75835</v>
      </c>
      <c r="Y30" s="73" t="n">
        <v>62797</v>
      </c>
      <c r="Z30" s="73" t="n">
        <v>70992</v>
      </c>
      <c r="AA30" s="73" t="n">
        <v>77230</v>
      </c>
      <c r="AB30" s="73" t="n">
        <v>77830</v>
      </c>
      <c r="AC30" s="73" t="n">
        <v>67311</v>
      </c>
      <c r="AD30" s="73" t="n">
        <v>65737</v>
      </c>
    </row>
    <row r="31">
      <c r="B31" t="inlineStr">
        <is>
          <t>Gross Block</t>
        </is>
      </c>
      <c r="C31" s="73" t="n">
        <v>23361</v>
      </c>
      <c r="D31" s="73" t="n">
        <v>16176</v>
      </c>
      <c r="E31" s="73" t="n">
        <v>18094</v>
      </c>
      <c r="F31" s="73" t="n">
        <v>19920</v>
      </c>
      <c r="G31" s="73" t="n">
        <v>24090</v>
      </c>
      <c r="H31" s="73" t="n">
        <v>27965</v>
      </c>
      <c r="I31" s="73" t="n">
        <v>31088</v>
      </c>
      <c r="J31" s="73" t="n">
        <v>33435</v>
      </c>
      <c r="K31" s="73" t="n">
        <v>36608</v>
      </c>
      <c r="L31" s="73" t="n">
        <v>40189</v>
      </c>
      <c r="M31" s="73" t="n">
        <v>33638</v>
      </c>
      <c r="N31" s="73" t="n">
        <v>35672</v>
      </c>
      <c r="O31" s="73" t="n"/>
      <c r="R31" t="inlineStr">
        <is>
          <t>Interest received</t>
        </is>
      </c>
      <c r="S31" t="n">
        <v>559</v>
      </c>
      <c r="T31" t="n">
        <v>741</v>
      </c>
      <c r="U31" s="73" t="n">
        <v>756</v>
      </c>
      <c r="V31" s="73" t="n">
        <v>736</v>
      </c>
      <c r="W31" s="73" t="n">
        <v>1184</v>
      </c>
      <c r="X31" s="73" t="n">
        <v>1513</v>
      </c>
      <c r="Y31" s="73" t="n">
        <v>1275</v>
      </c>
      <c r="Z31" s="73" t="n">
        <v>1035</v>
      </c>
      <c r="AA31" s="73" t="n">
        <v>1324</v>
      </c>
      <c r="AB31" s="73" t="n">
        <v>1138</v>
      </c>
      <c r="AC31" s="73" t="n">
        <v>1072</v>
      </c>
      <c r="AD31" s="73" t="n">
        <v>917</v>
      </c>
    </row>
    <row r="32">
      <c r="B32" s="73" t="inlineStr">
        <is>
          <t>Accumulated Depreciation</t>
        </is>
      </c>
      <c r="C32" s="73" t="n">
        <v>8057</v>
      </c>
      <c r="D32" s="73" t="n">
        <v>1069</v>
      </c>
      <c r="E32" s="73" t="n">
        <v>2201</v>
      </c>
      <c r="F32" s="73" t="n">
        <v>3396</v>
      </c>
      <c r="G32" s="73" t="n">
        <v>4716</v>
      </c>
      <c r="H32" s="73" t="n">
        <v>6252</v>
      </c>
      <c r="I32" s="73" t="n">
        <v>7790</v>
      </c>
      <c r="J32" s="73" t="n">
        <v>9204</v>
      </c>
      <c r="K32" s="73" t="n">
        <v>10757</v>
      </c>
      <c r="L32" s="73" t="n">
        <v>12368</v>
      </c>
      <c r="M32" s="73" t="n">
        <v>11683</v>
      </c>
      <c r="N32" s="73" t="n">
        <v>13230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</row>
    <row r="33">
      <c r="B33" t="inlineStr">
        <is>
          <t>Net Block</t>
        </is>
      </c>
      <c r="C33" s="73">
        <f>C31-C32</f>
        <v/>
      </c>
      <c r="D33" s="73">
        <f>D31-D32</f>
        <v/>
      </c>
      <c r="E33" s="73">
        <f>E31-E32</f>
        <v/>
      </c>
      <c r="F33" s="73">
        <f>F31-F32</f>
        <v/>
      </c>
      <c r="G33" s="73">
        <f>G31-G32</f>
        <v/>
      </c>
      <c r="H33" s="73">
        <f>H31-H32</f>
        <v/>
      </c>
      <c r="I33" s="73">
        <f>I31-I32</f>
        <v/>
      </c>
      <c r="J33" s="73">
        <f>J31-J32</f>
        <v/>
      </c>
      <c r="K33" s="73">
        <f>K31-K32</f>
        <v/>
      </c>
      <c r="L33" s="73">
        <f>L31-L32</f>
        <v/>
      </c>
      <c r="M33" s="73">
        <f>M31-M32</f>
        <v/>
      </c>
      <c r="N33" s="73">
        <f>N31-N32</f>
        <v/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-2</v>
      </c>
      <c r="Z34" s="73" t="n">
        <v>-2</v>
      </c>
      <c r="AA34" s="73" t="n">
        <v>-2</v>
      </c>
      <c r="AB34" s="73" t="n">
        <v>-65</v>
      </c>
      <c r="AC34" s="73" t="n">
        <v>-30</v>
      </c>
      <c r="AD34" s="73" t="n">
        <v>-183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6943</v>
      </c>
      <c r="D36" s="73" t="n">
        <v>11748</v>
      </c>
      <c r="E36" s="73" t="n">
        <v>17581</v>
      </c>
      <c r="F36" s="73" t="n">
        <v>22053</v>
      </c>
      <c r="G36" s="73" t="n">
        <v>25043</v>
      </c>
      <c r="H36" s="73" t="n">
        <v>28663</v>
      </c>
      <c r="I36" s="73" t="n">
        <v>24871</v>
      </c>
      <c r="J36" s="73" t="n">
        <v>24841</v>
      </c>
      <c r="K36" s="73" t="n">
        <v>29415</v>
      </c>
      <c r="L36" s="73" t="n">
        <v>31114</v>
      </c>
      <c r="M36" s="73" t="n">
        <v>34720</v>
      </c>
      <c r="N36" s="73" t="n">
        <v>38128</v>
      </c>
      <c r="O36" s="73" t="n"/>
      <c r="R36" t="inlineStr">
        <is>
          <t>Other investing items</t>
        </is>
      </c>
      <c r="S36" s="73" t="n">
        <v>-3728</v>
      </c>
      <c r="T36" s="73" t="n">
        <v>1052</v>
      </c>
      <c r="U36" s="73" t="n">
        <v>3579</v>
      </c>
      <c r="V36" s="73" t="n">
        <v>-1769</v>
      </c>
      <c r="W36" s="73" t="n">
        <v>-1887</v>
      </c>
      <c r="X36" s="73" t="n">
        <v>-1290</v>
      </c>
      <c r="Y36" s="73" t="n">
        <v>1051</v>
      </c>
      <c r="Z36" s="73" t="n">
        <v>-2494</v>
      </c>
      <c r="AA36" t="n">
        <v>-733</v>
      </c>
      <c r="AB36" s="73" t="n">
        <v>1187</v>
      </c>
      <c r="AC36" t="n">
        <v>-478</v>
      </c>
      <c r="AD36" s="73" t="n">
        <v>1469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21006</v>
      </c>
      <c r="D38" s="73" t="n">
        <v>22237</v>
      </c>
      <c r="E38" s="73" t="n">
        <v>18694</v>
      </c>
      <c r="F38" s="73" t="n">
        <v>20156</v>
      </c>
      <c r="G38" s="73" t="n">
        <v>23185</v>
      </c>
      <c r="H38" s="73" t="n">
        <v>23678</v>
      </c>
      <c r="I38" s="73" t="n">
        <v>21580</v>
      </c>
      <c r="J38" s="73" t="n">
        <v>24898</v>
      </c>
      <c r="K38" s="73" t="n">
        <v>27561</v>
      </c>
      <c r="L38" s="73" t="n">
        <v>29959</v>
      </c>
      <c r="M38" s="73" t="n">
        <v>30237</v>
      </c>
      <c r="N38" s="73" t="n">
        <v>31464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7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90</v>
      </c>
      <c r="AD39" s="73" t="n">
        <v>2120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-20</v>
      </c>
      <c r="T40" t="n">
        <v>-13</v>
      </c>
      <c r="U40" t="n">
        <v>-13</v>
      </c>
      <c r="V40" s="73" t="n">
        <v>-8</v>
      </c>
      <c r="W40" t="n">
        <v>-18</v>
      </c>
      <c r="X40" t="n">
        <v>-3</v>
      </c>
      <c r="Y40" s="73" t="n">
        <v>-2</v>
      </c>
      <c r="Z40" t="n">
        <v>-1</v>
      </c>
      <c r="AA40" s="73" t="n">
        <v>-1</v>
      </c>
      <c r="AB40" s="73" t="n">
        <v>-2</v>
      </c>
      <c r="AC40" s="73" t="n">
        <v>-54</v>
      </c>
      <c r="AD40" s="73" t="n">
        <v>-105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-16</v>
      </c>
      <c r="T41" s="73" t="n">
        <v>-28</v>
      </c>
      <c r="U41" s="73" t="n">
        <v>-25</v>
      </c>
      <c r="V41" s="73" t="n">
        <v>-49</v>
      </c>
      <c r="W41" s="73" t="n">
        <v>-98</v>
      </c>
      <c r="X41" s="73" t="n">
        <v>-44</v>
      </c>
      <c r="Y41" s="73" t="n">
        <v>-41</v>
      </c>
      <c r="Z41" s="73" t="n">
        <v>-40</v>
      </c>
      <c r="AA41" s="73" t="n">
        <v>-41</v>
      </c>
      <c r="AB41" s="73" t="n">
        <v>-46</v>
      </c>
      <c r="AC41" s="73" t="n">
        <v>-50</v>
      </c>
      <c r="AD41" s="73" t="n">
        <v>-82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Name</t>
        </is>
      </c>
      <c r="M56" t="inlineStr">
        <is>
          <t>CMP Rs.</t>
        </is>
      </c>
      <c r="N56" t="inlineStr">
        <is>
          <t>No. Eq. Shares Cr.</t>
        </is>
      </c>
      <c r="AR56" t="n">
        <v>486179.04</v>
      </c>
      <c r="AS56">
        <f>AZ56-BA56</f>
        <v/>
      </c>
      <c r="AT56" t="n">
        <v>484409.04</v>
      </c>
      <c r="AU56" t="n">
        <v>66052</v>
      </c>
      <c r="AV56">
        <f>AT56/AX56</f>
        <v/>
      </c>
      <c r="AW56" t="n">
        <v>14971</v>
      </c>
      <c r="AX56" t="n">
        <v>30.12</v>
      </c>
      <c r="AZ56" t="n">
        <v>1478</v>
      </c>
      <c r="BA56" t="n">
        <v>3248</v>
      </c>
    </row>
    <row r="57">
      <c r="K57" t="n">
        <v>1</v>
      </c>
      <c r="L57" t="inlineStr">
        <is>
          <t>Hind. Unilever</t>
        </is>
      </c>
      <c r="M57" t="n">
        <v>2070</v>
      </c>
      <c r="N57" t="n">
        <v>234.96</v>
      </c>
      <c r="AR57" t="n">
        <v>350880.25</v>
      </c>
      <c r="AS57">
        <f>AZ57-BA57</f>
        <v/>
      </c>
      <c r="AT57" t="n">
        <v>350270.52</v>
      </c>
      <c r="AU57" t="n">
        <v>76487.98</v>
      </c>
      <c r="AV57">
        <f>AT57/AX57</f>
        <v/>
      </c>
      <c r="AW57" t="n">
        <v>20183.53</v>
      </c>
      <c r="AX57" t="n">
        <v>12.3</v>
      </c>
      <c r="AZ57" t="n">
        <v>2399.06</v>
      </c>
      <c r="BA57" t="n">
        <v>3008.79</v>
      </c>
    </row>
    <row r="58">
      <c r="K58" t="n">
        <v>2</v>
      </c>
      <c r="L58" t="inlineStr">
        <is>
          <t>ITC</t>
        </is>
      </c>
      <c r="M58" t="n">
        <v>279.4</v>
      </c>
      <c r="N58" t="n">
        <v>1252.95</v>
      </c>
      <c r="AR58" t="n">
        <v>288186.08</v>
      </c>
      <c r="AS58">
        <f>AZ58-BA58</f>
        <v/>
      </c>
      <c r="AT58" t="n">
        <v>287289.37</v>
      </c>
      <c r="AU58" t="n">
        <v>24436.62</v>
      </c>
      <c r="AV58">
        <f>AT58/AX58</f>
        <v/>
      </c>
      <c r="AW58" t="n">
        <v>3860.49</v>
      </c>
      <c r="AX58" t="n">
        <v>49.51</v>
      </c>
      <c r="AZ58" t="n">
        <v>444.16</v>
      </c>
      <c r="BA58" t="n">
        <v>1340.87</v>
      </c>
    </row>
    <row r="59">
      <c r="K59" t="n">
        <v>3</v>
      </c>
      <c r="L59" t="inlineStr">
        <is>
          <t>Nestle India</t>
        </is>
      </c>
      <c r="M59" t="n">
        <v>1490</v>
      </c>
      <c r="N59" t="n">
        <v>192.83</v>
      </c>
      <c r="AR59" t="n">
        <v>147482.67</v>
      </c>
      <c r="AS59">
        <f>AZ59-BA59</f>
        <v/>
      </c>
      <c r="AT59" t="n">
        <v>147992.36</v>
      </c>
      <c r="AU59" t="n">
        <v>24126.49</v>
      </c>
      <c r="AV59">
        <f>AT59/AX59</f>
        <v/>
      </c>
      <c r="AW59" t="n">
        <v>3409.28</v>
      </c>
      <c r="AX59" t="n">
        <v>24.5</v>
      </c>
      <c r="AZ59" t="n">
        <v>2508.18</v>
      </c>
      <c r="BA59" t="n">
        <v>1998.49</v>
      </c>
    </row>
    <row r="60">
      <c r="K60" t="n">
        <v>4</v>
      </c>
      <c r="L60" t="inlineStr">
        <is>
          <t>Varun Beverages</t>
        </is>
      </c>
      <c r="M60" t="n">
        <v>437</v>
      </c>
      <c r="N60" t="n">
        <v>338.25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2026-09-25T11:28:41Z</dcterms:modified>
  <cp:lastModifiedBy>Loveish</cp:lastModifiedBy>
  <cp:lastPrinted>2012-12-06T18:14:13Z</cp:lastPrinted>
</cp:coreProperties>
</file>