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drawings/drawing4.xml" ContentType="application/vnd.openxmlformats-officedocument.drawing+xml"/>
  <Override PartName="/xl/worksheets/sheet19.xml" ContentType="application/vnd.openxmlformats-officedocument.spreadsheetml.worksheet+xml"/>
  <Override PartName="/xl/drawings/drawing5.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Control" sheetId="2" state="visible" r:id="rId2"/>
    <sheet xmlns:r="http://schemas.openxmlformats.org/officeDocument/2006/relationships" name="Checks" sheetId="3" state="visible" r:id="rId3"/>
    <sheet xmlns:r="http://schemas.openxmlformats.org/officeDocument/2006/relationships" name="Profit &amp; Loss" sheetId="4" state="visible" r:id="rId4"/>
    <sheet xmlns:r="http://schemas.openxmlformats.org/officeDocument/2006/relationships" name="Quarters" sheetId="5" state="visible" r:id="rId5"/>
    <sheet xmlns:r="http://schemas.openxmlformats.org/officeDocument/2006/relationships" name="Balance Sheet" sheetId="6" state="visible" r:id="rId6"/>
    <sheet xmlns:r="http://schemas.openxmlformats.org/officeDocument/2006/relationships" name="Cash Flow" sheetId="7" state="visible" r:id="rId7"/>
    <sheet xmlns:r="http://schemas.openxmlformats.org/officeDocument/2006/relationships" name="Customization" sheetId="8" state="visible" r:id="rId8"/>
    <sheet xmlns:r="http://schemas.openxmlformats.org/officeDocument/2006/relationships" name="Common Size Statement" sheetId="9" state="visible" r:id="rId9"/>
    <sheet xmlns:r="http://schemas.openxmlformats.org/officeDocument/2006/relationships" name="Data Sheet" sheetId="10" state="visible" r:id="rId10"/>
    <sheet xmlns:r="http://schemas.openxmlformats.org/officeDocument/2006/relationships" name="Cash Flow Statement" sheetId="11" state="visible" r:id="rId11"/>
    <sheet xmlns:r="http://schemas.openxmlformats.org/officeDocument/2006/relationships" name="Historical FS" sheetId="12" state="visible" r:id="rId12"/>
    <sheet xmlns:r="http://schemas.openxmlformats.org/officeDocument/2006/relationships" name="Ratio Analysis" sheetId="13" state="visible" r:id="rId13"/>
    <sheet xmlns:r="http://schemas.openxmlformats.org/officeDocument/2006/relationships" name="Forecasting" sheetId="14" state="visible" r:id="rId14"/>
    <sheet xmlns:r="http://schemas.openxmlformats.org/officeDocument/2006/relationships" name="Rm" sheetId="15" state="visible" r:id="rId15"/>
    <sheet xmlns:r="http://schemas.openxmlformats.org/officeDocument/2006/relationships" name="Beta-Regression" sheetId="16" state="visible" r:id="rId16"/>
    <sheet xmlns:r="http://schemas.openxmlformats.org/officeDocument/2006/relationships" name="WACC" sheetId="17" state="visible" r:id="rId17"/>
    <sheet xmlns:r="http://schemas.openxmlformats.org/officeDocument/2006/relationships" name="Intrinsic Valuation" sheetId="18" state="visible" r:id="rId18"/>
    <sheet xmlns:r="http://schemas.openxmlformats.org/officeDocument/2006/relationships" name="DCF" sheetId="19" state="visible" r:id="rId19"/>
    <sheet xmlns:r="http://schemas.openxmlformats.org/officeDocument/2006/relationships" name="Raw Data" sheetId="20" state="visible" r:id="rId20"/>
    <sheet xmlns:r="http://schemas.openxmlformats.org/officeDocument/2006/relationships" name="Comp_Valuation" sheetId="21" state="visible" r:id="rId21"/>
    <sheet xmlns:r="http://schemas.openxmlformats.org/officeDocument/2006/relationships" name="Dupont Analysis" sheetId="22" state="visible" r:id="rId22"/>
    <sheet xmlns:r="http://schemas.openxmlformats.org/officeDocument/2006/relationships" name="Altman's Z Score" sheetId="23" state="visible" r:id="rId23"/>
    <sheet xmlns:r="http://schemas.openxmlformats.org/officeDocument/2006/relationships" name="Raw FS" sheetId="24" state="visible" r:id="rId24"/>
    <sheet xmlns:r="http://schemas.openxmlformats.org/officeDocument/2006/relationships" name="List of Stocks" sheetId="25" state="visible" r:id="rId25"/>
  </sheets>
  <definedNames>
    <definedName name="UPDATE">'Data Sheet'!$E$1</definedName>
    <definedName name="UPDATE" localSheetId="24">#REF!</definedName>
    <definedName name="_xlnm._FilterDatabase" localSheetId="24" hidden="1">'List of Stocks'!$B$2:$E$5442</definedName>
  </definedNames>
  <calcPr calcId="191029" fullCalcOnLoad="1"/>
</workbook>
</file>

<file path=xl/styles.xml><?xml version="1.0" encoding="utf-8"?>
<styleSheet xmlns="http://schemas.openxmlformats.org/spreadsheetml/2006/main">
  <numFmts count="17">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 numFmtId="177" formatCode="&quot;₹&quot;\ #,##0.00;\(&quot;₹&quot;\ #,##0.00\);\-"/>
    <numFmt numFmtId="178" formatCode="YYYY-MM-DD"/>
    <numFmt numFmtId="179" formatCode="+0.0%;-0.0%;0.0%"/>
    <numFmt numFmtId="180" formatCode="+0.00%;-0.00%;0.00%"/>
  </numFmts>
  <fonts count="4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
      <name val="Calibri"/>
      <b val="1"/>
      <color rgb="00FFFFFF"/>
      <sz val="16"/>
    </font>
    <font>
      <name val="Calibri"/>
      <b val="1"/>
      <color rgb="0064748B"/>
      <sz val="9"/>
    </font>
    <font>
      <name val="Calibri"/>
      <b val="1"/>
      <color rgb="000F172A"/>
      <sz val="12"/>
    </font>
    <font>
      <name val="Calibri"/>
      <b val="1"/>
      <color rgb="001E293B"/>
      <sz val="11"/>
    </font>
    <font>
      <name val="Calibri"/>
      <b val="1"/>
      <sz val="10"/>
    </font>
    <font>
      <name val="Calibri"/>
      <sz val="10"/>
    </font>
    <font>
      <name val="Calibri"/>
      <color rgb="0064748B"/>
      <sz val="10"/>
    </font>
    <font>
      <name val="Calibri"/>
      <b val="1"/>
      <color rgb="00FFFFFF"/>
      <sz val="10"/>
    </font>
    <font>
      <name val="Calibri"/>
      <b val="1"/>
      <sz val="11"/>
    </font>
    <font>
      <name val="Calibri"/>
      <sz val="11"/>
    </font>
    <font>
      <name val="Calibri"/>
      <b val="1"/>
      <color rgb="001F497D"/>
      <sz val="13"/>
    </font>
    <font>
      <name val="Calibri"/>
      <i val="1"/>
      <color rgb="00595959"/>
      <sz val="10"/>
    </font>
    <font>
      <name val="Calibri"/>
      <b val="1"/>
      <color rgb="001F497D"/>
      <sz val="11"/>
    </font>
    <font>
      <name val="Calibri"/>
      <b val="1"/>
      <color rgb="00002060"/>
      <sz val="11"/>
    </font>
    <font>
      <name val="Calibri"/>
      <b val="1"/>
      <color rgb="00FFFFFF"/>
      <sz val="11"/>
    </font>
    <font>
      <name val="Calibri"/>
      <b val="1"/>
      <color rgb="00375623"/>
      <sz val="12"/>
    </font>
  </fonts>
  <fills count="23">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
      <patternFill patternType="solid">
        <fgColor rgb="001E293B"/>
        <bgColor rgb="001E293B"/>
      </patternFill>
    </fill>
    <fill>
      <patternFill patternType="solid">
        <fgColor rgb="00F8FAFC"/>
        <bgColor rgb="00F8FAFC"/>
      </patternFill>
    </fill>
    <fill>
      <patternFill patternType="solid">
        <fgColor rgb="00DCE6F1"/>
        <bgColor rgb="00DCE6F1"/>
      </patternFill>
    </fill>
    <fill>
      <patternFill patternType="solid">
        <fgColor rgb="00D9E1F2"/>
        <bgColor rgb="00D9E1F2"/>
      </patternFill>
    </fill>
    <fill>
      <patternFill patternType="solid">
        <fgColor rgb="00F2F2F2"/>
        <bgColor rgb="00F2F2F2"/>
      </patternFill>
    </fill>
    <fill>
      <patternFill patternType="solid">
        <fgColor rgb="001F497D"/>
        <bgColor rgb="001F497D"/>
      </patternFill>
    </fill>
    <fill>
      <patternFill patternType="solid">
        <fgColor rgb="00E2EFDA"/>
        <bgColor rgb="00E2EFDA"/>
      </patternFill>
    </fill>
  </fills>
  <borders count="18">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
      <left/>
      <right/>
      <top/>
      <bottom/>
    </border>
    <border>
      <top style="thin"/>
      <bottom style="medium"/>
    </border>
    <border>
      <left style="thin">
        <color rgb="00D9D9D9"/>
      </left>
      <right style="thin">
        <color rgb="00D9D9D9"/>
      </right>
      <top style="thin">
        <color rgb="00D9D9D9"/>
      </top>
      <bottom style="thin">
        <color rgb="00D9D9D9"/>
      </bottom>
    </border>
    <border>
      <top style="medium">
        <color rgb="00375623"/>
      </top>
      <bottom style="medium">
        <color rgb="00375623"/>
      </bottom>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81">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0" fontId="3" fillId="0" borderId="13" pivotButton="0" quotePrefix="0" xfId="0"/>
    <xf numFmtId="172" fontId="3" fillId="0" borderId="13" pivotButton="0" quotePrefix="0" xfId="0"/>
    <xf numFmtId="170" fontId="3" fillId="0" borderId="13" pivotButton="0" quotePrefix="0" xfId="0"/>
    <xf numFmtId="0" fontId="3" fillId="10" borderId="0" pivotButton="0" quotePrefix="0" xfId="0"/>
    <xf numFmtId="170" fontId="3" fillId="10" borderId="0" pivotButton="0" quotePrefix="0" xfId="0"/>
    <xf numFmtId="171" fontId="3" fillId="10" borderId="0" pivotButton="0" quotePrefix="0" xfId="0"/>
    <xf numFmtId="164" fontId="3" fillId="0" borderId="13" pivotButton="0" quotePrefix="0" xfId="0"/>
    <xf numFmtId="164" fontId="13" fillId="8" borderId="0" pivotButton="0" quotePrefix="0" xfId="0"/>
    <xf numFmtId="0" fontId="24" fillId="16" borderId="0" applyAlignment="1" pivotButton="0" quotePrefix="0" xfId="0">
      <alignment horizontal="center" vertical="center"/>
    </xf>
    <xf numFmtId="0" fontId="25" fillId="17" borderId="0" applyAlignment="1" pivotButton="0" quotePrefix="0" xfId="0">
      <alignment horizontal="center" vertical="center"/>
    </xf>
    <xf numFmtId="174" fontId="26" fillId="17" borderId="0" applyAlignment="1" pivotButton="0" quotePrefix="0" xfId="0">
      <alignment horizontal="center" vertical="center"/>
    </xf>
    <xf numFmtId="175" fontId="26" fillId="17" borderId="0" applyAlignment="1" pivotButton="0" quotePrefix="0" xfId="0">
      <alignment horizontal="center" vertical="center"/>
    </xf>
    <xf numFmtId="10" fontId="26" fillId="17" borderId="0" applyAlignment="1" pivotButton="0" quotePrefix="0" xfId="0">
      <alignment horizontal="center" vertical="center"/>
    </xf>
    <xf numFmtId="2" fontId="26" fillId="17" borderId="0" applyAlignment="1" pivotButton="0" quotePrefix="0" xfId="0">
      <alignment horizontal="center" vertical="center"/>
    </xf>
    <xf numFmtId="0" fontId="27" fillId="0" borderId="0" pivotButton="0" quotePrefix="0" xfId="0"/>
    <xf numFmtId="0" fontId="28" fillId="0" borderId="0" pivotButton="0" quotePrefix="0" xfId="0"/>
    <xf numFmtId="10" fontId="29" fillId="0" borderId="0" pivotButton="0" quotePrefix="0" xfId="0"/>
    <xf numFmtId="0" fontId="30" fillId="0" borderId="0" pivotButton="0" quotePrefix="0" xfId="0"/>
    <xf numFmtId="2" fontId="29" fillId="0" borderId="0" pivotButton="0" quotePrefix="0" xfId="0"/>
    <xf numFmtId="0" fontId="28" fillId="14" borderId="0" applyAlignment="1" pivotButton="0" quotePrefix="0" xfId="0">
      <alignment horizontal="center"/>
    </xf>
    <xf numFmtId="10" fontId="29" fillId="14" borderId="0" applyAlignment="1" pivotButton="0" quotePrefix="0" xfId="0">
      <alignment horizontal="center"/>
    </xf>
    <xf numFmtId="0" fontId="30" fillId="14" borderId="0" applyAlignment="1" pivotButton="0" quotePrefix="0" xfId="0">
      <alignment horizontal="center"/>
    </xf>
    <xf numFmtId="4" fontId="28" fillId="0" borderId="0" pivotButton="0" quotePrefix="0" xfId="0"/>
    <xf numFmtId="10" fontId="30" fillId="0" borderId="0" pivotButton="0" quotePrefix="0" xfId="0"/>
    <xf numFmtId="174" fontId="29" fillId="0" borderId="0" pivotButton="0" quotePrefix="0" xfId="0"/>
    <xf numFmtId="4" fontId="29" fillId="0" borderId="0" pivotButton="0" quotePrefix="0" xfId="0"/>
    <xf numFmtId="0" fontId="27" fillId="0" borderId="0" applyAlignment="1" pivotButton="0" quotePrefix="0" xfId="0">
      <alignment horizontal="center"/>
    </xf>
    <xf numFmtId="0" fontId="31" fillId="16" borderId="0" applyAlignment="1" pivotButton="0" quotePrefix="0" xfId="0">
      <alignment horizontal="center"/>
    </xf>
    <xf numFmtId="0" fontId="1" fillId="0" borderId="0" applyAlignment="1" pivotButton="0" quotePrefix="0" xfId="0">
      <alignment horizontal="center"/>
    </xf>
    <xf numFmtId="4" fontId="27" fillId="0" borderId="0" pivotButton="0" quotePrefix="0" xfId="0"/>
    <xf numFmtId="174" fontId="28" fillId="0" borderId="0" pivotButton="0" quotePrefix="0" xfId="0"/>
    <xf numFmtId="175" fontId="28" fillId="0" borderId="0" pivotButton="0" quotePrefix="0" xfId="0"/>
    <xf numFmtId="175" fontId="29" fillId="0" borderId="0" pivotButton="0" quotePrefix="0" xfId="0"/>
    <xf numFmtId="0" fontId="32" fillId="0" borderId="0" pivotButton="0" quotePrefix="0" xfId="0"/>
    <xf numFmtId="177" fontId="32" fillId="0" borderId="0" pivotButton="0" quotePrefix="0" xfId="0"/>
    <xf numFmtId="0" fontId="33" fillId="0" borderId="0" pivotButton="0" quotePrefix="0" xfId="0"/>
    <xf numFmtId="4" fontId="33" fillId="0" borderId="0" pivotButton="0" quotePrefix="0" xfId="0"/>
    <xf numFmtId="0" fontId="33" fillId="0" borderId="14" pivotButton="0" quotePrefix="0" xfId="0"/>
    <xf numFmtId="0" fontId="32" fillId="0" borderId="14" pivotButton="0" quotePrefix="0" xfId="0"/>
    <xf numFmtId="177" fontId="32" fillId="0" borderId="15" pivotButton="0" quotePrefix="0" xfId="0"/>
    <xf numFmtId="177" fontId="33" fillId="0" borderId="14" pivotButton="0" quotePrefix="0" xfId="0"/>
    <xf numFmtId="175" fontId="33" fillId="0" borderId="14" pivotButton="0" quotePrefix="0" xfId="0"/>
    <xf numFmtId="0" fontId="0" fillId="0" borderId="14" pivotButton="0" quotePrefix="0" xfId="0"/>
    <xf numFmtId="0" fontId="39" fillId="22" borderId="0" pivotButton="0" quotePrefix="0" xfId="0"/>
    <xf numFmtId="0" fontId="34" fillId="0" borderId="0" pivotButton="0" quotePrefix="0" xfId="0"/>
    <xf numFmtId="0" fontId="35" fillId="0" borderId="0" pivotButton="0" quotePrefix="0" xfId="0"/>
    <xf numFmtId="0" fontId="36" fillId="18" borderId="0" pivotButton="0" quotePrefix="0" xfId="0"/>
    <xf numFmtId="0" fontId="0" fillId="18" borderId="0" pivotButton="0" quotePrefix="0" xfId="0"/>
    <xf numFmtId="0" fontId="38" fillId="21" borderId="0" applyAlignment="1" pivotButton="0" quotePrefix="0" xfId="0">
      <alignment horizontal="center"/>
    </xf>
    <xf numFmtId="178" fontId="37" fillId="19" borderId="16" applyAlignment="1" pivotButton="0" quotePrefix="0" xfId="0">
      <alignment horizontal="right"/>
    </xf>
    <xf numFmtId="0" fontId="33" fillId="0" borderId="16" pivotButton="0" quotePrefix="0" xfId="0"/>
    <xf numFmtId="175" fontId="0" fillId="0" borderId="16" pivotButton="0" quotePrefix="0" xfId="0"/>
    <xf numFmtId="2" fontId="0" fillId="0" borderId="16" pivotButton="0" quotePrefix="0" xfId="0"/>
    <xf numFmtId="179" fontId="0" fillId="0" borderId="16" pivotButton="0" quotePrefix="0" xfId="0"/>
    <xf numFmtId="180" fontId="0" fillId="0" borderId="16" pivotButton="0" quotePrefix="0" xfId="0"/>
    <xf numFmtId="49" fontId="37" fillId="19" borderId="16" applyAlignment="1" pivotButton="0" quotePrefix="0" xfId="0">
      <alignment horizontal="right"/>
    </xf>
    <xf numFmtId="3" fontId="37" fillId="19" borderId="16" applyAlignment="1" pivotButton="0" quotePrefix="0" xfId="0">
      <alignment horizontal="right"/>
    </xf>
    <xf numFmtId="0" fontId="36" fillId="0" borderId="0" pivotButton="0" quotePrefix="0" xfId="0"/>
    <xf numFmtId="2" fontId="32" fillId="0" borderId="0" pivotButton="0" quotePrefix="0" xfId="0"/>
    <xf numFmtId="179" fontId="32" fillId="0" borderId="0" pivotButton="0" quotePrefix="0" xfId="0"/>
    <xf numFmtId="180" fontId="32" fillId="0" borderId="0" pivotButton="0" quotePrefix="0" xfId="0"/>
    <xf numFmtId="1" fontId="37" fillId="19" borderId="16" applyAlignment="1" pivotButton="0" quotePrefix="0" xfId="0">
      <alignment horizontal="right"/>
    </xf>
    <xf numFmtId="175" fontId="37" fillId="19" borderId="16" applyAlignment="1" pivotButton="0" quotePrefix="0" xfId="0">
      <alignment horizontal="right"/>
    </xf>
    <xf numFmtId="1" fontId="32" fillId="20" borderId="16" pivotButton="0" quotePrefix="0" xfId="0"/>
    <xf numFmtId="178" fontId="32" fillId="20" borderId="16" pivotButton="0" quotePrefix="0" xfId="0"/>
    <xf numFmtId="177" fontId="32" fillId="20" borderId="16" pivotButton="0" quotePrefix="0" xfId="0"/>
    <xf numFmtId="0" fontId="39" fillId="22" borderId="17" applyAlignment="1" pivotButton="0" quotePrefix="0" xfId="0">
      <alignment horizontal="center"/>
    </xf>
    <xf numFmtId="0" fontId="38" fillId="21" borderId="0" applyAlignment="1" pivotButton="0" quotePrefix="0" xfId="0">
      <alignment horizontal="left"/>
    </xf>
    <xf numFmtId="0" fontId="32" fillId="0" borderId="16" pivotButton="0" quotePrefix="0" xfId="0"/>
    <xf numFmtId="3" fontId="33" fillId="0" borderId="16" applyAlignment="1" pivotButton="0" quotePrefix="0" xfId="0">
      <alignment horizontal="right"/>
    </xf>
    <xf numFmtId="0" fontId="35" fillId="0" borderId="16" applyAlignment="1" pivotButton="0" quotePrefix="0" xfId="0">
      <alignment horizontal="center"/>
    </xf>
    <xf numFmtId="0" fontId="32" fillId="0" borderId="16" applyAlignment="1" pivotButton="0" quotePrefix="0" xfId="0">
      <alignment horizontal="center"/>
    </xf>
    <xf numFmtId="175" fontId="33" fillId="0" borderId="16" applyAlignment="1" pivotButton="0" quotePrefix="0" xfId="0">
      <alignment horizontal="right"/>
    </xf>
    <xf numFmtId="0" fontId="35" fillId="6" borderId="0" pivotButton="0" quotePrefix="0" xfId="0"/>
    <xf numFmtId="175" fontId="38" fillId="21" borderId="0" applyAlignment="1" pivotButton="0" quotePrefix="0" xfId="0">
      <alignment horizontal="center"/>
    </xf>
    <xf numFmtId="177" fontId="0" fillId="0" borderId="16" applyAlignment="1" pivotButton="0" quotePrefix="0" xfId="0">
      <alignment horizontal="right"/>
    </xf>
    <xf numFmtId="0" fontId="32" fillId="0" borderId="4" pivotButton="0" quotePrefix="0" xfId="0"/>
    <xf numFmtId="177" fontId="0" fillId="0" borderId="0" pivotButton="0" quotePrefix="0" xfId="0"/>
    <xf numFmtId="175" fontId="37" fillId="19" borderId="16" pivotButton="0" quotePrefix="0" xfId="0"/>
    <xf numFmtId="175" fontId="32"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worksheet" Target="worksheets/sheet24.xml" Id="rId24"/><Relationship Type="http://schemas.openxmlformats.org/officeDocument/2006/relationships/worksheet" Target="worksheets/sheet25.xml" Id="rId25"/><Relationship Type="http://schemas.openxmlformats.org/officeDocument/2006/relationships/styles" Target="styles.xml" Id="rId26"/><Relationship Type="http://schemas.openxmlformats.org/officeDocument/2006/relationships/theme" Target="theme/theme1.xml" Id="rId27"/></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5.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6.xml.rels><Relationships xmlns="http://schemas.openxmlformats.org/package/2006/relationships"><Relationship Type="http://schemas.openxmlformats.org/officeDocument/2006/relationships/hyperlink" Target="http://www.screener.in/" TargetMode="External" Id="rId1"/></Relationships>
</file>

<file path=xl/worksheets/_rels/sheet7.xml.rels><Relationships xmlns="http://schemas.openxmlformats.org/package/2006/relationships"><Relationship Type="http://schemas.openxmlformats.org/officeDocument/2006/relationships/hyperlink" Target="http://www.screener.in/" TargetMode="External" Id="rId1"/></Relationships>
</file>

<file path=xl/worksheets/_rels/sheet8.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5.xml.rels><Relationships xmlns="http://schemas.openxmlformats.org/package/2006/relationships"><Relationship Type="http://schemas.openxmlformats.org/officeDocument/2006/relationships/drawing" Target="../drawings/drawing1.xml" Id="rId1"/></Relationships>
</file>

<file path=xl/worksheets/_rels/sheet16.xml.rels><Relationships xmlns="http://schemas.openxmlformats.org/package/2006/relationships"><Relationship Type="http://schemas.openxmlformats.org/officeDocument/2006/relationships/drawing" Target="../drawings/drawing2.xml" Id="rId1"/></Relationships>
</file>

<file path=xl/worksheets/_rels/sheet17.xml.rels><Relationships xmlns="http://schemas.openxmlformats.org/package/2006/relationships"><Relationship Type="http://schemas.openxmlformats.org/officeDocument/2006/relationships/drawing" Target="../drawings/drawing3.xml" Id="rId1"/></Relationships>
</file>

<file path=xl/worksheets/_rels/sheet18.xml.rels><Relationships xmlns="http://schemas.openxmlformats.org/package/2006/relationships"><Relationship Type="http://schemas.openxmlformats.org/officeDocument/2006/relationships/drawing" Target="../drawings/drawing4.xml" Id="rId1"/></Relationships>
</file>

<file path=xl/worksheets/_rels/sheet19.xml.rels><Relationships xmlns="http://schemas.openxmlformats.org/package/2006/relationships"><Relationship Type="http://schemas.openxmlformats.org/officeDocument/2006/relationships/drawing" Target="../drawings/drawing5.xml" Id="rId1"/></Relationships>
</file>

<file path=xl/worksheets/_rels/sheet21.xml.rels><Relationships xmlns="http://schemas.openxmlformats.org/package/2006/relationships"><Relationship Type="http://schemas.openxmlformats.org/officeDocument/2006/relationships/drawing" Target="../drawings/drawing6.xml" Id="rId1"/></Relationships>
</file>

<file path=xl/worksheets/_rels/sheet22.xml.rels><Relationships xmlns="http://schemas.openxmlformats.org/package/2006/relationships"><Relationship Type="http://schemas.openxmlformats.org/officeDocument/2006/relationships/drawing" Target="../drawings/drawing7.xml" Id="rId1"/></Relationships>
</file>

<file path=xl/worksheets/_rels/sheet23.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O80"/>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209">
        <f>'Data Sheet'!B1&amp;" - Institutional Equity Valuation Model"</f>
        <v/>
      </c>
    </row>
    <row r="2">
      <c r="A2" s="234" t="n"/>
      <c r="B2" s="244" t="n"/>
    </row>
    <row r="3">
      <c r="A3" s="234" t="inlineStr">
        <is>
          <t>MODEL AUDIT STATUS:</t>
        </is>
      </c>
      <c r="B3" s="244">
        <f>Checks!C3</f>
        <v/>
      </c>
    </row>
    <row r="4">
      <c r="A4" s="210" t="inlineStr">
        <is>
          <t>Current Price</t>
        </is>
      </c>
      <c r="B4" s="210" t="inlineStr">
        <is>
          <t>Intrinsic Value</t>
        </is>
      </c>
      <c r="C4" s="210" t="inlineStr">
        <is>
          <t>Upside / (Downside)</t>
        </is>
      </c>
      <c r="D4" s="210" t="inlineStr">
        <is>
          <t>Margin of Safety</t>
        </is>
      </c>
      <c r="E4" s="210" t="inlineStr">
        <is>
          <t>Verdict</t>
        </is>
      </c>
      <c r="F4" s="210" t="inlineStr">
        <is>
          <t>WACC</t>
        </is>
      </c>
      <c r="G4" s="210" t="inlineStr">
        <is>
          <t>Altman Z-Score</t>
        </is>
      </c>
      <c r="H4" s="210" t="inlineStr">
        <is>
          <t>DuPont ROE</t>
        </is>
      </c>
      <c r="I4" t="inlineStr">
        <is>
          <t>Verdict Confidence</t>
        </is>
      </c>
    </row>
    <row r="5" ht="15.6" customHeight="1" s="176">
      <c r="A5" s="211">
        <f>DCF!D45</f>
        <v/>
      </c>
      <c r="B5" s="211">
        <f>DCF!D43</f>
        <v/>
      </c>
      <c r="C5" s="212">
        <f>IFERROR((B5-A5)/A5,"n/a")</f>
        <v/>
      </c>
      <c r="D5" s="212">
        <f>IFERROR((B5-A5)/B5,"n/a")</f>
        <v/>
      </c>
      <c r="E5" s="213">
        <f>IF(NOT(ISNUMBER(C5)),"n/a - check price link",IF(C5&gt;0.15,"UNDERVALUED / BUY",IF(C5&lt;-0.15,"OVERVALUED / SELL","FAIRLY VALUED / HOLD")))</f>
        <v/>
      </c>
      <c r="F5" s="213">
        <f>DCF!D20</f>
        <v/>
      </c>
      <c r="G5" s="214">
        <f>'Altman''s Z Score'!I89</f>
        <v/>
      </c>
      <c r="H5" s="213">
        <f>'Dupont Analysis'!I78</f>
        <v/>
      </c>
      <c r="I5">
        <f>IF(NOT(ISNUMBER(C5)),"n/a",IF(ABS(C5)&gt;0.5,"REVIEW: DCF &gt;50% from price","OK"))</f>
        <v/>
      </c>
    </row>
    <row r="6"/>
    <row r="7" ht="15.6" customHeight="1" s="176">
      <c r="A7" s="167" t="n"/>
      <c r="B7" s="215" t="inlineStr">
        <is>
          <t>KEY VALUATION PARAMETERS &amp; LIVE MODEL INPUTS</t>
        </is>
      </c>
    </row>
    <row r="8">
      <c r="A8" s="37" t="n"/>
      <c r="B8" s="216" t="inlineStr">
        <is>
          <t>Discount Rate (WACC)</t>
        </is>
      </c>
      <c r="C8" s="217">
        <f>WACC!K46</f>
        <v/>
      </c>
      <c r="D8" s="218" t="inlineStr">
        <is>
          <t>% (WACC)</t>
        </is>
      </c>
    </row>
    <row r="9">
      <c r="A9" s="37" t="n"/>
      <c r="B9" s="216" t="inlineStr">
        <is>
          <t>Cost of Equity (Ke)</t>
        </is>
      </c>
      <c r="C9" s="217">
        <f>WACC!K29</f>
        <v/>
      </c>
      <c r="D9" s="218" t="inlineStr">
        <is>
          <t>% (CAPM)</t>
        </is>
      </c>
    </row>
    <row r="10">
      <c r="A10" s="37" t="n"/>
      <c r="B10" s="216" t="inlineStr">
        <is>
          <t>Risk-Free Rate (Rf)</t>
        </is>
      </c>
      <c r="C10" s="217">
        <f>WACC!K26</f>
        <v/>
      </c>
      <c r="D10" s="218" t="inlineStr">
        <is>
          <t>% (Control input; India 10Y G-Sec proxy)</t>
        </is>
      </c>
    </row>
    <row r="11">
      <c r="A11" s="37" t="n"/>
      <c r="B11" s="216" t="inlineStr">
        <is>
          <t>Equity Risk Premium (ERP)</t>
        </is>
      </c>
      <c r="C11" s="217">
        <f>WACC!K27</f>
        <v/>
      </c>
      <c r="D11" s="218" t="inlineStr">
        <is>
          <t>% (Damodaran)</t>
        </is>
      </c>
    </row>
    <row r="12">
      <c r="B12" s="216" t="inlineStr">
        <is>
          <t>Levered Beta</t>
        </is>
      </c>
      <c r="C12" s="219">
        <f>WACC!K28</f>
        <v/>
      </c>
      <c r="D12" s="218" t="inlineStr">
        <is>
          <t>Peer-median relevered beta</t>
        </is>
      </c>
    </row>
    <row r="13">
      <c r="A13" s="37" t="n"/>
      <c r="B13" s="216" t="inlineStr">
        <is>
          <t>Terminal Growth Rate</t>
        </is>
      </c>
      <c r="C13" s="217">
        <f>DCF!D19</f>
        <v/>
      </c>
      <c r="D13" s="218" t="inlineStr">
        <is>
          <t>%</t>
        </is>
      </c>
    </row>
    <row r="14">
      <c r="A14" s="171" t="n"/>
      <c r="B14" s="220" t="inlineStr">
        <is>
          <t>Terminal ROIC (After-Tax)</t>
        </is>
      </c>
      <c r="C14" s="221">
        <f>DCF!D22</f>
        <v/>
      </c>
      <c r="D14" s="222" t="inlineStr">
        <is>
          <t>% (NOPAT/IC)</t>
        </is>
      </c>
      <c r="E14" s="171" t="n"/>
      <c r="F14" s="171" t="n"/>
      <c r="G14" s="171" t="n"/>
    </row>
    <row r="15">
      <c r="A15" s="180" t="n"/>
      <c r="B15" s="223" t="inlineStr">
        <is>
          <t>Terminal Reinvestment Rate</t>
        </is>
      </c>
      <c r="C15" s="217">
        <f>DCF!D21</f>
        <v/>
      </c>
      <c r="D15" s="224" t="inlineStr">
        <is>
          <t>% (g/ROIC)</t>
        </is>
      </c>
      <c r="E15" s="172" t="n"/>
      <c r="F15" s="173" t="n"/>
      <c r="G15" s="172" t="n"/>
    </row>
    <row r="16">
      <c r="A16" s="180" t="n"/>
      <c r="B16" s="223" t="inlineStr">
        <is>
          <t>Cash &amp; Liquid Investments</t>
        </is>
      </c>
      <c r="C16" s="226">
        <f>DCF!D37</f>
        <v/>
      </c>
      <c r="D16" s="224" t="inlineStr">
        <is>
          <t>₹ Cr</t>
        </is>
      </c>
      <c r="E16" s="172" t="n"/>
      <c r="F16" s="173" t="n"/>
      <c r="G16" s="172" t="n"/>
    </row>
    <row r="17">
      <c r="A17" s="180" t="n"/>
      <c r="B17" s="223" t="inlineStr">
        <is>
          <t>Total Debt &amp; Borrowings</t>
        </is>
      </c>
      <c r="C17" s="226">
        <f>DCF!D38</f>
        <v/>
      </c>
      <c r="D17" s="224" t="inlineStr">
        <is>
          <t>₹ Cr</t>
        </is>
      </c>
      <c r="E17" s="172" t="n"/>
      <c r="F17" s="173" t="n"/>
      <c r="G17" s="172" t="n"/>
    </row>
    <row r="18">
      <c r="A18" s="180" t="n"/>
      <c r="B18" s="223" t="inlineStr">
        <is>
          <t>Shares Outstanding</t>
        </is>
      </c>
      <c r="C18" s="226">
        <f>DCF!D41</f>
        <v/>
      </c>
      <c r="D18" s="224" t="inlineStr">
        <is>
          <t>Cr shares</t>
        </is>
      </c>
      <c r="E18" s="172" t="n"/>
      <c r="F18" s="173" t="n"/>
      <c r="G18" s="172" t="n"/>
    </row>
    <row r="19">
      <c r="A19" s="227" t="inlineStr">
        <is>
          <t>5-Year Discounted Cash Flow (DCF) Schedule (Amounts in ₹ Cr)</t>
        </is>
      </c>
      <c r="B19" s="172" t="n"/>
      <c r="C19" s="172" t="n"/>
      <c r="D19" s="46" t="n"/>
      <c r="E19" s="172" t="n"/>
      <c r="F19" s="173" t="n"/>
      <c r="G19" s="172" t="n"/>
    </row>
    <row r="20">
      <c r="A20" s="228" t="inlineStr">
        <is>
          <t>Year</t>
        </is>
      </c>
      <c r="B20" s="228" t="inlineStr">
        <is>
          <t>EBIT</t>
        </is>
      </c>
      <c r="C20" s="228" t="inlineStr">
        <is>
          <t>NOPAT</t>
        </is>
      </c>
      <c r="D20" s="228" t="inlineStr">
        <is>
          <t>Reinvest Rate</t>
        </is>
      </c>
      <c r="E20" s="228" t="inlineStr">
        <is>
          <t>FCFF</t>
        </is>
      </c>
      <c r="F20" s="228" t="inlineStr">
        <is>
          <t>Discount Factor</t>
        </is>
      </c>
      <c r="G20" s="228" t="inlineStr">
        <is>
          <t>PV of FCFF</t>
        </is>
      </c>
    </row>
    <row r="21">
      <c r="A21" s="229" t="inlineStr">
        <is>
          <t>Year 1</t>
        </is>
      </c>
      <c r="B21" s="172">
        <f>DCF!I8</f>
        <v/>
      </c>
      <c r="C21" s="172">
        <f>DCF!I10</f>
        <v/>
      </c>
      <c r="D21" s="46">
        <f>DCF!I11</f>
        <v/>
      </c>
      <c r="E21" s="172">
        <f>DCF!I12</f>
        <v/>
      </c>
      <c r="F21" s="173">
        <f>DCF!I14</f>
        <v/>
      </c>
      <c r="G21" s="172">
        <f>DCF!I16</f>
        <v/>
      </c>
    </row>
    <row r="22">
      <c r="A22" s="229" t="inlineStr">
        <is>
          <t>Year 2</t>
        </is>
      </c>
      <c r="B22" s="172">
        <f>DCF!J8</f>
        <v/>
      </c>
      <c r="C22" s="172">
        <f>DCF!J10</f>
        <v/>
      </c>
      <c r="D22" s="46">
        <f>DCF!J11</f>
        <v/>
      </c>
      <c r="E22" s="172">
        <f>DCF!J12</f>
        <v/>
      </c>
      <c r="F22" s="173">
        <f>DCF!J14</f>
        <v/>
      </c>
      <c r="G22" s="172">
        <f>DCF!J16</f>
        <v/>
      </c>
    </row>
    <row r="23">
      <c r="A23" s="229" t="inlineStr">
        <is>
          <t>Year 3</t>
        </is>
      </c>
      <c r="B23" s="172">
        <f>DCF!K8</f>
        <v/>
      </c>
      <c r="C23" s="172">
        <f>DCF!K10</f>
        <v/>
      </c>
      <c r="D23" s="46">
        <f>DCF!K11</f>
        <v/>
      </c>
      <c r="E23" s="172">
        <f>DCF!K12</f>
        <v/>
      </c>
      <c r="F23" s="173">
        <f>DCF!K14</f>
        <v/>
      </c>
      <c r="G23" s="172">
        <f>DCF!K16</f>
        <v/>
      </c>
    </row>
    <row r="24">
      <c r="A24" s="229" t="inlineStr">
        <is>
          <t>Year 4</t>
        </is>
      </c>
      <c r="B24" s="172">
        <f>DCF!L8</f>
        <v/>
      </c>
      <c r="C24" s="172">
        <f>DCF!L10</f>
        <v/>
      </c>
      <c r="D24" s="46">
        <f>DCF!L11</f>
        <v/>
      </c>
      <c r="E24" s="172">
        <f>DCF!L12</f>
        <v/>
      </c>
      <c r="F24" s="173">
        <f>DCF!L14</f>
        <v/>
      </c>
      <c r="G24" s="172">
        <f>DCF!L16</f>
        <v/>
      </c>
    </row>
    <row r="25">
      <c r="A25" s="229" t="inlineStr">
        <is>
          <t>Year 5</t>
        </is>
      </c>
      <c r="B25" s="172">
        <f>DCF!M8</f>
        <v/>
      </c>
      <c r="C25" s="172">
        <f>DCF!M10</f>
        <v/>
      </c>
      <c r="D25" s="46">
        <f>DCF!M11</f>
        <v/>
      </c>
      <c r="E25" s="172">
        <f>DCF!M12</f>
        <v/>
      </c>
      <c r="F25" s="173">
        <f>DCF!M14</f>
        <v/>
      </c>
      <c r="G25" s="172">
        <f>DCF!M16</f>
        <v/>
      </c>
    </row>
    <row r="26">
      <c r="A26" s="37" t="n"/>
      <c r="B26" s="172" t="n"/>
    </row>
    <row r="27">
      <c r="A27" s="37" t="n"/>
      <c r="B27" s="172" t="n"/>
    </row>
    <row r="28">
      <c r="A28" s="37" t="n"/>
      <c r="B28" s="230" t="inlineStr">
        <is>
          <t>Enterprise to Equity Value Bridge</t>
        </is>
      </c>
    </row>
    <row r="29">
      <c r="A29" s="37" t="n"/>
      <c r="B29" s="223" t="inlineStr">
        <is>
          <t>PV of 5-Year FCFFs</t>
        </is>
      </c>
      <c r="C29" s="225">
        <f>DCF!D33</f>
        <v/>
      </c>
      <c r="D29" s="218" t="inlineStr">
        <is>
          <t>₹ Cr</t>
        </is>
      </c>
    </row>
    <row r="30">
      <c r="A30" s="37" t="n"/>
      <c r="B30" s="231" t="inlineStr">
        <is>
          <t>Terminal Value</t>
        </is>
      </c>
      <c r="C30" s="225">
        <f>DCF!D29</f>
        <v/>
      </c>
      <c r="D30" s="218" t="inlineStr">
        <is>
          <t>₹ Cr</t>
        </is>
      </c>
    </row>
    <row r="31">
      <c r="A31" s="37" t="n"/>
      <c r="B31" s="231" t="inlineStr">
        <is>
          <t>PV of Terminal Value</t>
        </is>
      </c>
      <c r="C31" s="225">
        <f>DCF!D34</f>
        <v/>
      </c>
      <c r="D31" s="218" t="inlineStr">
        <is>
          <t>₹ Cr</t>
        </is>
      </c>
    </row>
    <row r="32">
      <c r="A32" s="37" t="n"/>
      <c r="B32" s="232" t="inlineStr">
        <is>
          <t>Enterprise Value (Operating Assets)</t>
        </is>
      </c>
      <c r="C32" s="225">
        <f>DCF!D35</f>
        <v/>
      </c>
      <c r="D32" s="218" t="inlineStr">
        <is>
          <t>₹ Cr</t>
        </is>
      </c>
    </row>
    <row r="33">
      <c r="B33" s="216" t="inlineStr">
        <is>
          <t>Add: Estimated Cash &amp; Liquid Assets</t>
        </is>
      </c>
      <c r="C33" s="225">
        <f>DCF!D37</f>
        <v/>
      </c>
      <c r="D33" s="218" t="inlineStr">
        <is>
          <t>₹ Cr</t>
        </is>
      </c>
    </row>
    <row r="34">
      <c r="B34" s="216" t="inlineStr">
        <is>
          <t>Less: Total Debt &amp; Borrowings</t>
        </is>
      </c>
      <c r="C34" s="225">
        <f>DCF!D38</f>
        <v/>
      </c>
      <c r="D34" s="218" t="inlineStr">
        <is>
          <t>₹ Cr</t>
        </is>
      </c>
    </row>
    <row r="35">
      <c r="B35" s="216" t="inlineStr">
        <is>
          <t>Equity Value (after minority interest)</t>
        </is>
      </c>
      <c r="C35" s="225">
        <f>DCF!D40</f>
        <v/>
      </c>
      <c r="D35" s="218" t="inlineStr">
        <is>
          <t>₹ Cr</t>
        </is>
      </c>
    </row>
    <row r="36">
      <c r="B36" s="216" t="inlineStr">
        <is>
          <t>Shares Outstanding</t>
        </is>
      </c>
      <c r="C36" s="226">
        <f>DCF!D41</f>
        <v/>
      </c>
      <c r="D36" s="218" t="inlineStr">
        <is>
          <t>Cr shares</t>
        </is>
      </c>
    </row>
    <row r="37">
      <c r="B37" s="216" t="inlineStr">
        <is>
          <t>Intrinsic Value per Share</t>
        </is>
      </c>
      <c r="C37" s="225">
        <f>DCF!D43</f>
        <v/>
      </c>
      <c r="D37" s="218" t="inlineStr">
        <is>
          <t>₹</t>
        </is>
      </c>
    </row>
    <row r="38">
      <c r="B38" s="216" t="inlineStr">
        <is>
          <t>Current Market Price</t>
        </is>
      </c>
      <c r="C38" s="225">
        <f>DCF!D45</f>
        <v/>
      </c>
      <c r="D38" s="218" t="inlineStr">
        <is>
          <t>₹</t>
        </is>
      </c>
    </row>
    <row r="39">
      <c r="B39" s="216" t="inlineStr">
        <is>
          <t>Upside / (Downside)</t>
        </is>
      </c>
      <c r="C39" s="233">
        <f>IFERROR((C37-C38)/C38,"n/a")</f>
        <v/>
      </c>
      <c r="D39" s="218" t="inlineStr">
        <is>
          <t>%</t>
        </is>
      </c>
    </row>
    <row r="40">
      <c r="B40" s="216" t="inlineStr">
        <is>
          <t>Margin of Safety (Standard)</t>
        </is>
      </c>
      <c r="C40" s="233">
        <f>IFERROR((C37-C38)/C37,"n/a")</f>
        <v/>
      </c>
      <c r="D40" s="218" t="inlineStr">
        <is>
          <t>%</t>
        </is>
      </c>
    </row>
    <row r="41">
      <c r="B41" t="inlineStr">
        <is>
          <t>Intrinsic Value rolled to Valuation Date (info only)</t>
        </is>
      </c>
      <c r="C41" s="278">
        <f>IFERROR(C37*(1+DCF!D20)^((Control!C6-DCF!H6)/365),"n/a")</f>
        <v/>
      </c>
      <c r="D41" t="inlineStr">
        <is>
          <t>₹</t>
        </is>
      </c>
    </row>
    <row r="42">
      <c r="B42" t="inlineStr">
        <is>
          <t>Alt 10-Year DCF Value (info only; set on Control rows 33-36)</t>
        </is>
      </c>
      <c r="C42" s="278">
        <f>DCF!D81</f>
        <v/>
      </c>
      <c r="D42" t="inlineStr">
        <is>
          <t>₹</t>
        </is>
      </c>
    </row>
    <row r="43">
      <c r="B43" s="215" t="inlineStr">
        <is>
          <t>Pillar 4: Relative Multiples Implied Valuation &amp; Synthesis</t>
        </is>
      </c>
    </row>
    <row r="44">
      <c r="B44" s="216" t="inlineStr">
        <is>
          <t>Peer P/E Implied Price</t>
        </is>
      </c>
      <c r="C44" s="225">
        <f>IF(ISNUMBER(Comp_Valuation!Q25), Comp_Valuation!Q25*INDEX('Data Sheet'!$B30:$K30,Control!$C$26)/'Data Sheet'!B6, 'Data Sheet'!B8)</f>
        <v/>
      </c>
      <c r="D44" s="218" t="inlineStr">
        <is>
          <t>₹</t>
        </is>
      </c>
    </row>
    <row r="45">
      <c r="B45" s="216" t="inlineStr">
        <is>
          <t>Peer EV/EBITDA Implied Price</t>
        </is>
      </c>
      <c r="C45" s="225">
        <f>IF(ISNUMBER(Comp_Valuation!P25), (Comp_Valuation!P25*INDEX('Data Sheet'!$B32:$K32,Control!$C$26)+DCF!D37-DCF!D38-DCF!D39)/'Data Sheet'!B6, 'Data Sheet'!B8)</f>
        <v/>
      </c>
      <c r="D45" s="218" t="inlineStr">
        <is>
          <t>₹</t>
        </is>
      </c>
    </row>
    <row r="46">
      <c r="B46" s="216" t="inlineStr">
        <is>
          <t>DCF Model Intrinsic Price</t>
        </is>
      </c>
      <c r="C46" s="225">
        <f>DCF!D43</f>
        <v/>
      </c>
      <c r="D46" s="218" t="inlineStr">
        <is>
          <t>₹</t>
        </is>
      </c>
    </row>
    <row r="47">
      <c r="B47" s="216" t="inlineStr">
        <is>
          <t>Valuation Synthesis (Equal Weight Blended)</t>
        </is>
      </c>
      <c r="C47" s="225">
        <f>AVERAGE(C44:C46)</f>
        <v/>
      </c>
      <c r="D47" s="218" t="inlineStr">
        <is>
          <t>₹</t>
        </is>
      </c>
    </row>
    <row r="48"/>
    <row r="49"/>
    <row r="50"/>
    <row r="51"/>
    <row r="52"/>
    <row r="53"/>
    <row r="54"/>
    <row r="55"/>
    <row r="56"/>
    <row r="57"/>
    <row r="58"/>
    <row r="59"/>
    <row r="60"/>
    <row r="61"/>
    <row r="62"/>
    <row r="63"/>
    <row r="64"/>
    <row r="65"/>
    <row r="66"/>
    <row r="67"/>
    <row r="68"/>
    <row r="69"/>
    <row r="70"/>
    <row r="71"/>
    <row r="72"/>
    <row r="73"/>
    <row r="74"/>
    <row r="75"/>
    <row r="76"/>
    <row r="77"/>
    <row r="78"/>
    <row r="79"/>
    <row r="80"/>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style="176" min="1" max="1"/>
    <col width="38" customWidth="1" style="176" min="2" max="2"/>
    <col width="22" customWidth="1" style="176" min="3" max="3"/>
    <col width="4" customWidth="1" style="176" min="4" max="4"/>
    <col width="20" customWidth="1" style="176" min="5" max="5"/>
    <col width="16" customWidth="1" style="176" min="6" max="6"/>
    <col width="16" customWidth="1" style="176" min="7" max="7"/>
    <col width="18" customWidth="1" style="176" min="8" max="8"/>
    <col width="4" customWidth="1" style="176" min="9" max="9"/>
    <col width="18" customWidth="1" style="176" min="10" max="10"/>
    <col width="16" customWidth="1" style="176" min="11" max="11"/>
    <col width="16" customWidth="1" style="176" min="12" max="12"/>
    <col width="16" customWidth="1" style="176" min="13" max="13"/>
  </cols>
  <sheetData>
    <row r="2">
      <c r="B2" s="245" t="inlineStr">
        <is>
          <t>INSTITUTIONAL MODEL CONTROL PANEL &amp; ASSUMPTIONS</t>
        </is>
      </c>
    </row>
    <row r="3">
      <c r="B3" s="246" t="inlineStr">
        <is>
          <t>Single Source of Truth for Global Valuation Inputs, Scenarios &amp; Route Configuration</t>
        </is>
      </c>
    </row>
    <row r="5">
      <c r="B5" s="247" t="inlineStr">
        <is>
          <t>1. MODEL METADATA &amp; REPORTING SETTINGS</t>
        </is>
      </c>
      <c r="C5" s="248" t="n"/>
      <c r="E5" s="249" t="inlineStr">
        <is>
          <t>COUNTRY</t>
        </is>
      </c>
      <c r="F5" s="249" t="inlineStr">
        <is>
          <t>RISK-FREE (Rf)</t>
        </is>
      </c>
      <c r="G5" s="249" t="inlineStr">
        <is>
          <t>ERP</t>
        </is>
      </c>
      <c r="H5" s="249" t="inlineStr">
        <is>
          <t>MARGINAL TAX</t>
        </is>
      </c>
      <c r="J5" s="249" t="inlineStr">
        <is>
          <t>SCENARIO</t>
        </is>
      </c>
      <c r="K5" s="249" t="inlineStr">
        <is>
          <t>GROWTH MULT</t>
        </is>
      </c>
      <c r="L5" s="249" t="inlineStr">
        <is>
          <t>MARGIN ADJ (NOT WIRED)</t>
        </is>
      </c>
      <c r="M5" s="249" t="inlineStr">
        <is>
          <t>WACC SPREAD</t>
        </is>
      </c>
    </row>
    <row r="6">
      <c r="B6" s="236" t="inlineStr">
        <is>
          <t>Valuation Date</t>
        </is>
      </c>
      <c r="C6" s="250">
        <f>TODAY()</f>
        <v/>
      </c>
      <c r="E6" s="251" t="inlineStr">
        <is>
          <t>India</t>
        </is>
      </c>
      <c r="F6" s="252" t="n">
        <v>0.068</v>
      </c>
      <c r="G6" s="252" t="n">
        <v>0.065</v>
      </c>
      <c r="H6" s="252" t="n">
        <v>0.2517</v>
      </c>
      <c r="J6" s="251" t="inlineStr">
        <is>
          <t>1 - Bear Case</t>
        </is>
      </c>
      <c r="K6" s="253" t="n">
        <v>0.7</v>
      </c>
      <c r="L6" s="254" t="n">
        <v>-0.02</v>
      </c>
      <c r="M6" s="255" t="n">
        <v>0.01</v>
      </c>
    </row>
    <row r="7">
      <c r="B7" s="236" t="inlineStr">
        <is>
          <t>Reporting Currency</t>
        </is>
      </c>
      <c r="C7" s="256" t="inlineStr">
        <is>
          <t>INR</t>
        </is>
      </c>
      <c r="E7" s="251" t="inlineStr">
        <is>
          <t>United States</t>
        </is>
      </c>
      <c r="F7" s="252" t="n">
        <v>0.042</v>
      </c>
      <c r="G7" s="252" t="n">
        <v>0.05</v>
      </c>
      <c r="H7" s="252" t="n">
        <v>0.21</v>
      </c>
      <c r="J7" s="251" t="inlineStr">
        <is>
          <t>2 - Base Case</t>
        </is>
      </c>
      <c r="K7" s="253" t="n">
        <v>1</v>
      </c>
      <c r="L7" s="254" t="n">
        <v>0</v>
      </c>
      <c r="M7" s="255" t="n">
        <v>0</v>
      </c>
    </row>
    <row r="8">
      <c r="B8" s="236" t="inlineStr">
        <is>
          <t>Financial Reporting Unit</t>
        </is>
      </c>
      <c r="C8" s="256" t="inlineStr">
        <is>
          <t>Crores</t>
        </is>
      </c>
      <c r="E8" s="251" t="inlineStr">
        <is>
          <t>United Kingdom</t>
        </is>
      </c>
      <c r="F8" s="252" t="n">
        <v>0.044</v>
      </c>
      <c r="G8" s="252" t="n">
        <v>0.055</v>
      </c>
      <c r="H8" s="252" t="n">
        <v>0.25</v>
      </c>
      <c r="J8" s="251" t="inlineStr">
        <is>
          <t>3 - Bull Case</t>
        </is>
      </c>
      <c r="K8" s="253" t="n">
        <v>1.3</v>
      </c>
      <c r="L8" s="254" t="n">
        <v>0.02</v>
      </c>
      <c r="M8" s="255" t="n">
        <v>-0.005</v>
      </c>
    </row>
    <row r="9">
      <c r="B9" s="236" t="inlineStr">
        <is>
          <t>Unit Scale Factor</t>
        </is>
      </c>
      <c r="C9" s="257" t="n">
        <v>10000000</v>
      </c>
      <c r="E9" s="251" t="inlineStr">
        <is>
          <t>Germany</t>
        </is>
      </c>
      <c r="F9" s="252" t="n">
        <v>0.025</v>
      </c>
      <c r="G9" s="252" t="n">
        <v>0.05</v>
      </c>
      <c r="H9" s="252" t="n">
        <v>0.3</v>
      </c>
    </row>
    <row r="10">
      <c r="B10" s="236" t="inlineStr">
        <is>
          <t>Target Country</t>
        </is>
      </c>
      <c r="C10" s="256" t="inlineStr">
        <is>
          <t>India</t>
        </is>
      </c>
      <c r="E10" s="251" t="inlineStr">
        <is>
          <t>Japan</t>
        </is>
      </c>
      <c r="F10" s="252" t="n">
        <v>0.011</v>
      </c>
      <c r="G10" s="252" t="n">
        <v>0.055</v>
      </c>
      <c r="H10" s="252" t="n">
        <v>0.3062</v>
      </c>
      <c r="J10" s="258" t="inlineStr">
        <is>
          <t>ACTIVE MULTIPLIERS:</t>
        </is>
      </c>
      <c r="K10" s="259">
        <f>CHOOSE(C14, K6, K7, K8)</f>
        <v/>
      </c>
      <c r="L10" s="260">
        <f>CHOOSE(C14, L6, L7, L8)</f>
        <v/>
      </c>
      <c r="M10" s="261">
        <f>CHOOSE(C14, M6, M7, M8)</f>
        <v/>
      </c>
    </row>
    <row r="11">
      <c r="B11" s="236" t="inlineStr">
        <is>
          <t>Target Sector / Industry</t>
        </is>
      </c>
      <c r="C11" s="256" t="inlineStr">
        <is>
          <t>Corporate / Non-Financial</t>
        </is>
      </c>
      <c r="E11" s="251" t="inlineStr">
        <is>
          <t>Singapore</t>
        </is>
      </c>
      <c r="F11" s="252" t="n">
        <v>0.03</v>
      </c>
      <c r="G11" s="252" t="n">
        <v>0.05</v>
      </c>
      <c r="H11" s="252" t="n">
        <v>0.17</v>
      </c>
    </row>
    <row r="12">
      <c r="B12" s="236" t="inlineStr">
        <is>
          <t>Valuation Framework Switch</t>
        </is>
      </c>
      <c r="C12" s="256" t="inlineStr">
        <is>
          <t>FCFF DCF</t>
        </is>
      </c>
      <c r="E12" s="251" t="inlineStr">
        <is>
          <t>UAE</t>
        </is>
      </c>
      <c r="F12" s="252" t="n">
        <v>0.045</v>
      </c>
      <c r="G12" s="252" t="n">
        <v>0.055</v>
      </c>
      <c r="H12" s="252" t="n">
        <v>0.09</v>
      </c>
    </row>
    <row r="13">
      <c r="B13" s="236" t="inlineStr">
        <is>
          <t>Benchmark Market Index</t>
        </is>
      </c>
      <c r="C13" s="256" t="inlineStr">
        <is>
          <t>NIFTY 50</t>
        </is>
      </c>
    </row>
    <row r="14">
      <c r="B14" s="236" t="inlineStr">
        <is>
          <t>Active Valuation Scenario</t>
        </is>
      </c>
      <c r="C14" s="262" t="n">
        <v>2</v>
      </c>
    </row>
    <row r="16">
      <c r="B16" s="247" t="inlineStr">
        <is>
          <t>2. COST OF CAPITAL &amp; DCF ASSUMPTIONS</t>
        </is>
      </c>
      <c r="C16" s="248" t="n"/>
    </row>
    <row r="17">
      <c r="B17" s="236" t="inlineStr">
        <is>
          <t>Risk-Free Rate (Rf)</t>
        </is>
      </c>
      <c r="C17" s="263">
        <f>VLOOKUP(C10, E6:H12, 2, FALSE())</f>
        <v/>
      </c>
    </row>
    <row r="18">
      <c r="B18" s="236" t="inlineStr">
        <is>
          <t>Equity Risk Premium (ERP)</t>
        </is>
      </c>
      <c r="C18" s="263">
        <f>VLOOKUP(C10, E6:H12, 3, FALSE())</f>
        <v/>
      </c>
    </row>
    <row r="19">
      <c r="B19" s="236" t="inlineStr">
        <is>
          <t>Marginal Corporate Tax Rate</t>
        </is>
      </c>
      <c r="C19" s="263">
        <f>VLOOKUP(C10, E6:H12, 4, FALSE())</f>
        <v/>
      </c>
    </row>
    <row r="20">
      <c r="B20" s="236" t="inlineStr">
        <is>
          <t>Effective Dynamic Tax Rate</t>
        </is>
      </c>
      <c r="C20" s="263">
        <f>MEDIAN(MAX(0.15, MIN(0.35, INDEX('Data Sheet'!$B29:$K29, C26)/MAX(1, INDEX('Data Sheet'!$B28:$K28, C26)))), C19)</f>
        <v/>
      </c>
    </row>
    <row r="21">
      <c r="B21" s="236" t="inlineStr">
        <is>
          <t>Terminal Growth Rate (g)</t>
        </is>
      </c>
      <c r="C21" s="263" t="n">
        <v>0.04</v>
      </c>
    </row>
    <row r="22">
      <c r="B22" s="236" t="inlineStr">
        <is>
          <t>Reinvestment Rate Ceiling</t>
        </is>
      </c>
      <c r="C22" s="263" t="n">
        <v>0.85</v>
      </c>
    </row>
    <row r="23">
      <c r="B23" s="236" t="inlineStr">
        <is>
          <t>Investments Fair-Value Haircut</t>
        </is>
      </c>
      <c r="C23" s="263" t="n">
        <v>0.1</v>
      </c>
    </row>
    <row r="24">
      <c r="B24" s="236" t="inlineStr">
        <is>
          <t>Minority Interest Method</t>
        </is>
      </c>
      <c r="C24" s="256" t="inlineStr">
        <is>
          <t>Book Value</t>
        </is>
      </c>
    </row>
    <row r="25">
      <c r="B25" s="247" t="inlineStr">
        <is>
          <t>3. DYNAMIC STATEMENT PERIOD SELECTOR</t>
        </is>
      </c>
      <c r="C25" s="248" t="n"/>
    </row>
    <row r="26">
      <c r="B26" s="236" t="inlineStr">
        <is>
          <t>Latest Historical Period Column Index</t>
        </is>
      </c>
      <c r="C26" s="264">
        <f>MATCH(MAX('Data Sheet'!$B56:$K56), 'Data Sheet'!$B56:$K56, 0)</f>
        <v/>
      </c>
    </row>
    <row r="27">
      <c r="B27" s="236" t="inlineStr">
        <is>
          <t>Latest Statement Header Date</t>
        </is>
      </c>
      <c r="C27" s="265">
        <f>INDEX('Data Sheet'!$B56:$K56, C26)</f>
        <v/>
      </c>
    </row>
    <row r="28">
      <c r="B28" s="236" t="inlineStr">
        <is>
          <t>Latest Stock Price (Data Sheet)</t>
        </is>
      </c>
      <c r="C28" s="266">
        <f>'Data Sheet'!B8</f>
        <v/>
      </c>
    </row>
    <row r="29">
      <c r="B29" s="236" t="inlineStr">
        <is>
          <t>Default Credit Spread over Rf (used when debt is negligible)</t>
        </is>
      </c>
      <c r="C29" s="263" t="n">
        <v>0.015</v>
      </c>
    </row>
    <row r="30">
      <c r="B30" s="236" t="inlineStr">
        <is>
          <t>Max Credit Spread Cap (calc outside Rf..Rf+cap is rejected)</t>
        </is>
      </c>
      <c r="C30" s="263" t="n">
        <v>0.05</v>
      </c>
    </row>
    <row r="32">
      <c r="B32" s="247" t="inlineStr">
        <is>
          <t>4. OPTIONAL ALTERNATE 10-YEAR DCF (parallel view - base DCF unchanged)</t>
        </is>
      </c>
      <c r="C32" s="248" t="n"/>
    </row>
    <row r="33">
      <c r="B33" s="236" t="inlineStr">
        <is>
          <t>Year-1 EBIT Growth Override (blank = use model)</t>
        </is>
      </c>
      <c r="C33" s="279" t="n"/>
    </row>
    <row r="34">
      <c r="B34" s="236" t="inlineStr">
        <is>
          <t>Exit EV/EBIT Multiple (x)</t>
        </is>
      </c>
      <c r="C34" s="262" t="n">
        <v>18</v>
      </c>
    </row>
    <row r="35">
      <c r="B35" s="236" t="inlineStr">
        <is>
          <t>Terminal Method (Gordon Growth / Exit Multiple)</t>
        </is>
      </c>
      <c r="C35" s="256" t="inlineStr">
        <is>
          <t>Gordon Growth</t>
        </is>
      </c>
    </row>
    <row r="36">
      <c r="B36" s="236" t="inlineStr">
        <is>
          <t>Incremental ROIC Override (blank = model ROIC)</t>
        </is>
      </c>
      <c r="C36" s="27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21"/>
  <sheetViews>
    <sheetView showGridLines="1" workbookViewId="0">
      <selection activeCell="A1" sqref="A1"/>
    </sheetView>
  </sheetViews>
  <sheetFormatPr baseColWidth="8" defaultRowHeight="15"/>
  <cols>
    <col width="4" customWidth="1" style="176" min="1" max="1"/>
    <col width="38" customWidth="1" style="176" min="2" max="2"/>
    <col width="48" customWidth="1" style="176" min="3" max="3"/>
    <col width="22" customWidth="1" style="176" min="4" max="4"/>
    <col width="16" customWidth="1" style="176" min="5" max="5"/>
    <col width="16" customWidth="1" style="176" min="6" max="6"/>
  </cols>
  <sheetData>
    <row r="2">
      <c r="B2" s="245" t="inlineStr">
        <is>
          <t>MODEL AUDIT &amp; INTEGRITY CHECK PANEL</t>
        </is>
      </c>
    </row>
    <row r="3">
      <c r="B3" s="234" t="inlineStr">
        <is>
          <t>OVERALL MODEL STATUS:</t>
        </is>
      </c>
      <c r="C3" s="267">
        <f>IF(AND(F6="PASS", F7="PASS", F8="PASS", F9="PASS", F10="PASS", F11="PASS", F12="PASS", F13="PASS", F14="PASS", F15="PASS"), "MODEL STATUS: OK", "MODEL STATUS: CHECK REQUIRED")</f>
        <v/>
      </c>
    </row>
    <row r="5">
      <c r="B5" s="268" t="inlineStr">
        <is>
          <t>CHECK ITEM</t>
        </is>
      </c>
      <c r="C5" s="268" t="inlineStr">
        <is>
          <t>VALIDATION LOGIC &amp; FORMULA</t>
        </is>
      </c>
      <c r="D5" s="249" t="inlineStr">
        <is>
          <t>CURRENT VALUE / VARIANCE</t>
        </is>
      </c>
      <c r="E5" s="249" t="inlineStr">
        <is>
          <t>THRESHOLD</t>
        </is>
      </c>
      <c r="F5" s="249" t="inlineStr">
        <is>
          <t>STATUS</t>
        </is>
      </c>
    </row>
    <row r="6">
      <c r="B6" s="269" t="inlineStr">
        <is>
          <t>1. Balance Sheet Identity</t>
        </is>
      </c>
      <c r="C6" s="251" t="inlineStr">
        <is>
          <t>Total liabilities side ties to its components and to total assets</t>
        </is>
      </c>
      <c r="D6" s="270">
        <f>MAX(ABS(INDEX('Data Sheet'!$B61:$K61,Control!$C$26)-(INDEX('Data Sheet'!$B57:$K57,Control!$C$26)+INDEX('Data Sheet'!$B58:$K58,Control!$C$26)+INDEX('Data Sheet'!$B59:$K59,Control!$C$26)+INDEX('Data Sheet'!$B60:$K60,Control!$C$26))),ABS(INDEX('Data Sheet'!$B61:$K61,Control!$C$26)-INDEX('Data Sheet'!$B66:$K66,Control!$C$26)))</f>
        <v/>
      </c>
      <c r="E6" s="271" t="inlineStr">
        <is>
          <t>&lt; ₹ 5.0 Cr</t>
        </is>
      </c>
      <c r="F6" s="272">
        <f>IF(D6&lt;5, "PASS", "CHECK")</f>
        <v/>
      </c>
    </row>
    <row r="7">
      <c r="B7" s="269" t="inlineStr">
        <is>
          <t>2. PBT Mathematical Tie</t>
        </is>
      </c>
      <c r="C7" s="251" t="inlineStr">
        <is>
          <t>Sales less all expenses plus other income less depreciation and interest ties to PBT</t>
        </is>
      </c>
      <c r="D7" s="273">
        <f>ABS(INDEX('Data Sheet'!$B17:$K17,Control!$C$26)-SUM(INDEX('Data Sheet'!$B$18:$K$24,0,Control!$C$26))+INDEX('Data Sheet'!$B25:$K25,Control!$C$26)-INDEX('Data Sheet'!$B26:$K26,Control!$C$26)-INDEX('Data Sheet'!$B27:$K27,Control!$C$26)-INDEX('Data Sheet'!$B28:$K28,Control!$C$26))/MAX(1,INDEX('Data Sheet'!$B28:$K28,Control!$C$26))</f>
        <v/>
      </c>
      <c r="E7" s="271" t="inlineStr">
        <is>
          <t>&lt; 1.5%</t>
        </is>
      </c>
      <c r="F7" s="272">
        <f>IF(D7&lt;0.015, "PASS", "CHECK")</f>
        <v/>
      </c>
    </row>
    <row r="8">
      <c r="B8" s="269" t="inlineStr">
        <is>
          <t>3. Debt Schedule Concordance</t>
        </is>
      </c>
      <c r="C8" s="251" t="inlineStr">
        <is>
          <t>Data Sheet Borrowings ties to the independently pasted Raw FS borrowings (latest year)</t>
        </is>
      </c>
      <c r="D8" s="270">
        <f>ABS(INDEX('Data Sheet'!$B59:$K59,Control!$C$26)-LOOKUP(2,1/ISNUMBER('Raw FS'!$C7:$N7),'Raw FS'!$C7:$N7))</f>
        <v/>
      </c>
      <c r="E8" s="271" t="inlineStr">
        <is>
          <t>&lt; ₹ 5.0 Cr</t>
        </is>
      </c>
      <c r="F8" s="272">
        <f>IF(D8&lt;5, "PASS", "CHECK")</f>
        <v/>
      </c>
    </row>
    <row r="9">
      <c r="B9" s="269" t="inlineStr">
        <is>
          <t>4. P&amp;L Expenses Agreement</t>
        </is>
      </c>
      <c r="C9" s="251" t="inlineStr">
        <is>
          <t>Data Sheet total expenses (rows 18-24) tie to Raw FS total expenses</t>
        </is>
      </c>
      <c r="D9" s="270">
        <f>ABS(SUM(INDEX('Data Sheet'!$B$18:$K$24,0,Control!$C$26))-'Raw FS'!AD5)</f>
        <v/>
      </c>
      <c r="E9" s="271" t="inlineStr">
        <is>
          <t>&lt; ₹ 10.0 Cr</t>
        </is>
      </c>
      <c r="F9" s="272">
        <f>IF(D9&lt;10, "PASS", "CHECK")</f>
        <v/>
      </c>
    </row>
    <row r="10">
      <c r="B10" s="269" t="inlineStr">
        <is>
          <t>5. Formula Error Counter</t>
        </is>
      </c>
      <c r="C10" s="251" t="inlineStr">
        <is>
          <t>Zero formula errors on Summary, DCF, WACC, Intrinsic Valuation, Comps and Beta tabs</t>
        </is>
      </c>
      <c r="D10" s="270">
        <f>SUMPRODUCT(--ISERROR('AI Valuation Summary'!A4:H47))+SUMPRODUCT(--ISERROR(DCF!A1:M55))+SUMPRODUCT(--ISERROR(WACC!A1:K46))+SUMPRODUCT(--ISERROR('Intrinsic Valuation'!A1:L65))+SUMPRODUCT(--ISERROR(Comp_Valuation!A1:Q39))+SUMPRODUCT(--ISERROR('Beta-Regression'!A1:O302))</f>
        <v/>
      </c>
      <c r="E10" s="271" t="inlineStr">
        <is>
          <t>0 Errors</t>
        </is>
      </c>
      <c r="F10" s="272">
        <f>IF(D10=0, "PASS", "CHECK")</f>
        <v/>
      </c>
    </row>
    <row r="11">
      <c r="B11" s="269" t="inlineStr">
        <is>
          <t>6. Terminal Value EV Share</t>
        </is>
      </c>
      <c r="C11" s="251" t="inlineStr">
        <is>
          <t>Terminal Value percentage of Enterprise Value is sustainable</t>
        </is>
      </c>
      <c r="D11" s="273">
        <f>DCF!D34 / MAX(1, DCF!D35)</f>
        <v/>
      </c>
      <c r="E11" s="271" t="inlineStr">
        <is>
          <t>&lt; 75.0%</t>
        </is>
      </c>
      <c r="F11" s="272">
        <f>IF(D11&lt;0.75, "PASS", "CHECK")</f>
        <v/>
      </c>
    </row>
    <row r="12">
      <c r="B12" s="269" t="inlineStr">
        <is>
          <t>7. Growth vs WACC Boundary</t>
        </is>
      </c>
      <c r="C12" s="251" t="inlineStr">
        <is>
          <t>Terminal growth rate is less than WACC and within Risk-Free rate</t>
        </is>
      </c>
      <c r="D12" s="273">
        <f>DCF!D20 - DCF!D19</f>
        <v/>
      </c>
      <c r="E12" s="271" t="inlineStr">
        <is>
          <t>&gt; 0.5%</t>
        </is>
      </c>
      <c r="F12" s="272">
        <f>IF(AND(D12&gt;0.005, DCF!D19&lt;=Control!$C$17), "PASS", "CHECK")</f>
        <v/>
      </c>
    </row>
    <row r="13">
      <c r="B13" s="269" t="inlineStr">
        <is>
          <t>8. Trading Price Freshness</t>
        </is>
      </c>
      <c r="C13" s="251" t="inlineStr">
        <is>
          <t>Market trading price quote is within acceptable institutional window</t>
        </is>
      </c>
      <c r="D13" s="270">
        <f>TODAY()-SUMPRODUCT(MAX(IFERROR(DATEVALUE('Raw Data'!G6:G252),IF(ISNUMBER('Raw Data'!G6:G252),'Raw Data'!G6:G252,0))))</f>
        <v/>
      </c>
      <c r="E13" s="271" t="inlineStr">
        <is>
          <t>&lt;= 45 Days</t>
        </is>
      </c>
      <c r="F13" s="272">
        <f>IF(D13&lt;=45, "PASS", "CHECK")</f>
        <v/>
      </c>
    </row>
    <row r="14">
      <c r="B14" s="269" t="inlineStr">
        <is>
          <t>9. Peer Group Sample Size</t>
        </is>
      </c>
      <c r="C14" s="251" t="inlineStr">
        <is>
          <t>Comparable peer valuation set contains minimum robust observations</t>
        </is>
      </c>
      <c r="D14" s="270">
        <f>COUNTA(Comp_Valuation!C12:C26)</f>
        <v/>
      </c>
      <c r="E14" s="271" t="inlineStr">
        <is>
          <t>&gt;= 4 Peers</t>
        </is>
      </c>
      <c r="F14" s="272">
        <f>IF(D14&gt;=4, "PASS", "CHECK")</f>
        <v/>
      </c>
    </row>
    <row r="15">
      <c r="B15" s="269" t="inlineStr">
        <is>
          <t>10. DCF Bridge Mathematical Tie</t>
        </is>
      </c>
      <c r="C15" s="251" t="inlineStr">
        <is>
          <t>Equity Value equals EV + Cash + Investments - Debt - Minority Interest</t>
        </is>
      </c>
      <c r="D15" s="270">
        <f>ABS(DCF!D40 - (DCF!D35 + DCF!D37 - DCF!D38 - DCF!D39))</f>
        <v/>
      </c>
      <c r="E15" s="271" t="inlineStr">
        <is>
          <t>&lt; ₹ 0.01</t>
        </is>
      </c>
      <c r="F15" s="272">
        <f>IF(D15&lt;0.01, "PASS", "CHECK")</f>
        <v/>
      </c>
    </row>
    <row r="17">
      <c r="B17" s="247" t="inlineStr">
        <is>
          <t>ADVISORY CHECKS (informational - NOT included in overall status)</t>
        </is>
      </c>
      <c r="C17" s="248" t="n"/>
      <c r="D17" s="248" t="n"/>
      <c r="E17" s="248" t="n"/>
      <c r="F17" s="248" t="n"/>
    </row>
    <row r="18">
      <c r="B18" s="269" t="inlineStr">
        <is>
          <t>A1. DCF vs Market Divergence</t>
        </is>
      </c>
      <c r="C18" s="251" t="inlineStr">
        <is>
          <t>Absolute gap between DCF value per share and market price</t>
        </is>
      </c>
      <c r="D18" s="273">
        <f>ABS(DCF!D46)</f>
        <v/>
      </c>
      <c r="E18" s="271" t="inlineStr">
        <is>
          <t>&lt; 50%</t>
        </is>
      </c>
      <c r="F18" s="272">
        <f>IF(D18&lt;0.5,"PASS","REVIEW")</f>
        <v/>
      </c>
    </row>
    <row r="19">
      <c r="B19" s="269" t="inlineStr">
        <is>
          <t>A2. WACC Sanity Range</t>
        </is>
      </c>
      <c r="C19" s="251" t="inlineStr">
        <is>
          <t>WACC sits inside a plausible band for the target market</t>
        </is>
      </c>
      <c r="D19" s="273">
        <f>DCF!D20</f>
        <v/>
      </c>
      <c r="E19" s="271" t="inlineStr">
        <is>
          <t>8% - 16%</t>
        </is>
      </c>
      <c r="F19" s="272">
        <f>IF(AND(D19&gt;=0.08,D19&lt;=0.16),"PASS","REVIEW")</f>
        <v/>
      </c>
    </row>
    <row r="20">
      <c r="B20" s="269" t="inlineStr">
        <is>
          <t>A3. Market Cap Tie</t>
        </is>
      </c>
      <c r="C20" s="251" t="inlineStr">
        <is>
          <t>Market cap used in WACC weights ties to Price x Shares on Data Sheet</t>
        </is>
      </c>
      <c r="D20" s="273">
        <f>ABS(WACC!C35/'Data Sheet'!B9-1)</f>
        <v/>
      </c>
      <c r="E20" s="271" t="inlineStr">
        <is>
          <t>&lt; 2%</t>
        </is>
      </c>
      <c r="F20" s="272">
        <f>IF(D20&lt;0.02,"PASS","REVIEW")</f>
        <v/>
      </c>
    </row>
    <row r="21">
      <c r="B21" s="269" t="inlineStr">
        <is>
          <t>A4. Reinvestment History Spike</t>
        </is>
      </c>
      <c r="C21" s="251" t="inlineStr">
        <is>
          <t>Largest historical reinvestment rate (blank-year / acquisition spikes distort median)</t>
        </is>
      </c>
      <c r="D21" s="273">
        <f>MAX('Intrinsic Valuation'!I52:L52)</f>
        <v/>
      </c>
      <c r="E21" s="271" t="inlineStr">
        <is>
          <t>&lt;= 100%</t>
        </is>
      </c>
      <c r="F21" s="272">
        <f>IF(D21&lt;=1,"PASS","REVIEW")</f>
        <v/>
      </c>
    </row>
  </sheetData>
  <pageMargins left="0.75" right="0.75" top="1" bottom="1" header="0.5" footer="0.5"/>
</worksheet>
</file>

<file path=xl/worksheets/sheet4.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5.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6.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7.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8.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ADANI ENTERPRISES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1</v>
      </c>
    </row>
    <row r="8">
      <c r="A8" s="193" t="inlineStr">
        <is>
          <t>Current Price</t>
        </is>
      </c>
      <c r="B8" t="n">
        <v>2595</v>
      </c>
    </row>
    <row r="9">
      <c r="A9" s="193" t="inlineStr">
        <is>
          <t>Market Capitalization</t>
        </is>
      </c>
      <c r="B9" t="n">
        <v>334755</v>
      </c>
    </row>
    <row r="15">
      <c r="A15" s="187"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88">
      <c r="A17" s="188" t="inlineStr">
        <is>
          <t>Sales</t>
        </is>
      </c>
      <c r="B17" t="n">
        <v>36533</v>
      </c>
      <c r="C17" t="n">
        <v>35924</v>
      </c>
      <c r="D17" t="n">
        <v>40379</v>
      </c>
      <c r="E17" t="n">
        <v>43403</v>
      </c>
      <c r="F17" t="n">
        <v>39537</v>
      </c>
      <c r="G17" t="n">
        <v>69420</v>
      </c>
      <c r="H17" t="n">
        <v>127540</v>
      </c>
      <c r="I17" t="n">
        <v>96421</v>
      </c>
      <c r="J17" t="n">
        <v>97895</v>
      </c>
      <c r="K17" t="n">
        <v>100469</v>
      </c>
    </row>
    <row r="18" customFormat="1" s="188">
      <c r="A18" s="193" t="inlineStr">
        <is>
          <t>Raw Material Cost</t>
        </is>
      </c>
      <c r="B18" t="n">
        <v>30945</v>
      </c>
      <c r="C18" t="n">
        <v>30771</v>
      </c>
      <c r="D18" t="n">
        <v>33821</v>
      </c>
      <c r="E18" t="n">
        <v>34350</v>
      </c>
      <c r="F18" t="n">
        <v>29791</v>
      </c>
      <c r="G18" t="n">
        <v>57651</v>
      </c>
      <c r="H18" t="n">
        <v>93814</v>
      </c>
      <c r="I18" t="n">
        <v>51508</v>
      </c>
      <c r="J18" t="n">
        <v>49525</v>
      </c>
      <c r="K18" t="n">
        <v>56933</v>
      </c>
    </row>
    <row r="19" customFormat="1" s="188">
      <c r="A19" s="193" t="inlineStr">
        <is>
          <t>Change in Inventory</t>
        </is>
      </c>
      <c r="B19" t="n">
        <v>-36</v>
      </c>
      <c r="C19" t="n">
        <v>773</v>
      </c>
      <c r="D19" t="n">
        <v>500</v>
      </c>
      <c r="E19" t="n">
        <v>-310</v>
      </c>
      <c r="F19" t="n">
        <v>-457</v>
      </c>
      <c r="G19" t="n">
        <v>3934</v>
      </c>
      <c r="H19" t="n">
        <v>327</v>
      </c>
      <c r="I19" t="n">
        <v>1116</v>
      </c>
      <c r="J19" t="n">
        <v>-1845</v>
      </c>
      <c r="K19" t="n">
        <v>2825</v>
      </c>
    </row>
    <row r="20" customFormat="1" s="188">
      <c r="A20" s="193" t="inlineStr">
        <is>
          <t>Power and Fuel</t>
        </is>
      </c>
      <c r="B20" t="n">
        <v>182.67</v>
      </c>
      <c r="C20" t="n">
        <v>215.54</v>
      </c>
      <c r="D20" t="n">
        <v>242.27</v>
      </c>
      <c r="E20" t="n">
        <v>303.82</v>
      </c>
      <c r="F20" t="n">
        <v>434.91</v>
      </c>
      <c r="G20" t="n">
        <v>763.62</v>
      </c>
      <c r="H20" t="n">
        <v>1402.94</v>
      </c>
      <c r="I20" t="n">
        <v>2314.1</v>
      </c>
      <c r="J20" t="n">
        <v>1860.01</v>
      </c>
      <c r="K20" t="n">
        <v>1808.44</v>
      </c>
    </row>
    <row r="21" customFormat="1" s="188">
      <c r="A21" s="193" t="inlineStr">
        <is>
          <t>Other Mfr. Exp</t>
        </is>
      </c>
      <c r="B21" t="n">
        <v>1643.98</v>
      </c>
      <c r="C21" t="n">
        <v>1939.9</v>
      </c>
      <c r="D21" t="n">
        <v>2180.47</v>
      </c>
      <c r="E21" t="n">
        <v>2734.39</v>
      </c>
      <c r="F21" t="n">
        <v>3914.16</v>
      </c>
      <c r="G21" t="n">
        <v>6872.58</v>
      </c>
      <c r="H21" t="n">
        <v>12626.46</v>
      </c>
      <c r="I21" t="n">
        <v>20826.94</v>
      </c>
      <c r="J21" t="n">
        <v>16740.04</v>
      </c>
      <c r="K21" t="n">
        <v>16275.98</v>
      </c>
    </row>
    <row r="22" customFormat="1" s="188">
      <c r="A22" s="193" t="inlineStr">
        <is>
          <t>Employee Cost</t>
        </is>
      </c>
      <c r="B22" t="n">
        <v>365.33</v>
      </c>
      <c r="C22" t="n">
        <v>718.48</v>
      </c>
      <c r="D22" t="n">
        <v>807.58</v>
      </c>
      <c r="E22" t="n">
        <v>868.0599999999999</v>
      </c>
      <c r="F22" t="n">
        <v>790.74</v>
      </c>
      <c r="G22" t="n">
        <v>1388.4</v>
      </c>
      <c r="H22" t="n">
        <v>1275.4</v>
      </c>
      <c r="I22" t="n">
        <v>1928.42</v>
      </c>
      <c r="J22" t="n">
        <v>2936.85</v>
      </c>
      <c r="K22" t="n">
        <v>4018.76</v>
      </c>
    </row>
    <row r="23" customFormat="1" s="188">
      <c r="A23" s="193" t="inlineStr">
        <is>
          <t>Selling and admin</t>
        </is>
      </c>
      <c r="B23" t="n">
        <v>876.79</v>
      </c>
      <c r="C23" t="n">
        <v>862.1799999999999</v>
      </c>
      <c r="D23" t="n">
        <v>453.89</v>
      </c>
      <c r="E23" t="n">
        <v>2083.34</v>
      </c>
      <c r="F23" t="n">
        <v>1265.18</v>
      </c>
      <c r="G23" t="n">
        <v>2221.44</v>
      </c>
      <c r="H23" t="n">
        <v>7142.24</v>
      </c>
      <c r="I23" t="n">
        <v>5422.12</v>
      </c>
      <c r="J23" t="n">
        <v>7831.6</v>
      </c>
      <c r="K23" t="n">
        <v>2406.5</v>
      </c>
    </row>
    <row r="24" customFormat="1" s="188">
      <c r="A24" s="193" t="inlineStr">
        <is>
          <t>Other Expenses</t>
        </is>
      </c>
      <c r="B24" t="n">
        <v>653.23</v>
      </c>
      <c r="C24" t="n">
        <v>215.54</v>
      </c>
      <c r="D24" t="n">
        <v>403.79</v>
      </c>
      <c r="E24" t="n">
        <v>1078.39</v>
      </c>
      <c r="F24" t="n">
        <v>1292.01</v>
      </c>
      <c r="G24" t="n">
        <v>555.36</v>
      </c>
      <c r="H24" t="n">
        <v>2133.96</v>
      </c>
      <c r="I24" t="n">
        <v>1928.42</v>
      </c>
      <c r="J24" t="n">
        <v>6594.5</v>
      </c>
      <c r="K24" t="n">
        <v>2210.32</v>
      </c>
    </row>
    <row r="25" customFormat="1" s="188">
      <c r="A25" s="188" t="inlineStr">
        <is>
          <t>Other Income</t>
        </is>
      </c>
      <c r="B25" t="n">
        <v>749</v>
      </c>
      <c r="C25" t="n">
        <v>363</v>
      </c>
      <c r="D25" t="n">
        <v>504</v>
      </c>
      <c r="E25" t="n">
        <v>872</v>
      </c>
      <c r="F25" t="n">
        <v>494</v>
      </c>
      <c r="G25" t="n">
        <v>1012</v>
      </c>
      <c r="H25" t="n">
        <v>834</v>
      </c>
      <c r="I25" t="n">
        <v>1146</v>
      </c>
      <c r="J25" t="n">
        <v>6403</v>
      </c>
      <c r="K25" t="n">
        <v>11688</v>
      </c>
    </row>
    <row r="26" customFormat="1" s="188">
      <c r="A26" s="188" t="inlineStr">
        <is>
          <t>Depreciation</t>
        </is>
      </c>
      <c r="B26" t="n">
        <v>315</v>
      </c>
      <c r="C26" t="n">
        <v>664</v>
      </c>
      <c r="D26" t="n">
        <v>390</v>
      </c>
      <c r="E26" t="n">
        <v>472</v>
      </c>
      <c r="F26" t="n">
        <v>537</v>
      </c>
      <c r="G26" t="n">
        <v>1248</v>
      </c>
      <c r="H26" t="n">
        <v>2436</v>
      </c>
      <c r="I26" t="n">
        <v>3042</v>
      </c>
      <c r="J26" t="n">
        <v>4211</v>
      </c>
      <c r="K26" t="n">
        <v>6135</v>
      </c>
    </row>
    <row r="27" customFormat="1" s="188">
      <c r="A27" s="188" t="inlineStr">
        <is>
          <t>Interest</t>
        </is>
      </c>
      <c r="B27" t="n">
        <v>1257</v>
      </c>
      <c r="C27" t="n">
        <v>1250</v>
      </c>
      <c r="D27" t="n">
        <v>1625</v>
      </c>
      <c r="E27" t="n">
        <v>1572</v>
      </c>
      <c r="F27" t="n">
        <v>1377</v>
      </c>
      <c r="G27" t="n">
        <v>2526</v>
      </c>
      <c r="H27" t="n">
        <v>3969</v>
      </c>
      <c r="I27" t="n">
        <v>4555</v>
      </c>
      <c r="J27" t="n">
        <v>5978</v>
      </c>
      <c r="K27" t="n">
        <v>6019</v>
      </c>
    </row>
    <row r="28" customFormat="1" s="188">
      <c r="A28" s="188" t="inlineStr">
        <is>
          <t>Profit before tax</t>
        </is>
      </c>
      <c r="B28" t="n">
        <v>1079</v>
      </c>
      <c r="C28" t="n">
        <v>487</v>
      </c>
      <c r="D28" t="n">
        <v>459</v>
      </c>
      <c r="E28" t="n">
        <v>1122</v>
      </c>
      <c r="F28" t="n">
        <v>1086</v>
      </c>
      <c r="G28" t="n">
        <v>952</v>
      </c>
      <c r="H28" t="n">
        <v>3247</v>
      </c>
      <c r="I28" t="n">
        <v>4926</v>
      </c>
      <c r="J28" t="n">
        <v>10466</v>
      </c>
      <c r="K28" t="n">
        <v>13525</v>
      </c>
    </row>
    <row r="29" customFormat="1" s="188">
      <c r="A29" s="188" t="inlineStr">
        <is>
          <t>Tax</t>
        </is>
      </c>
      <c r="B29" t="n">
        <v>154</v>
      </c>
      <c r="C29" t="n">
        <v>121.75</v>
      </c>
      <c r="D29" t="n">
        <v>114.75</v>
      </c>
      <c r="E29" t="n">
        <v>82</v>
      </c>
      <c r="F29" t="n">
        <v>271.5</v>
      </c>
      <c r="G29" t="n">
        <v>164</v>
      </c>
      <c r="H29" t="n">
        <v>825</v>
      </c>
      <c r="I29" t="n">
        <v>1591</v>
      </c>
      <c r="J29" t="n">
        <v>2461</v>
      </c>
      <c r="K29" t="n">
        <v>3574</v>
      </c>
    </row>
    <row r="30" customFormat="1" s="188">
      <c r="A30" s="188" t="inlineStr">
        <is>
          <t>Net profit</t>
        </is>
      </c>
      <c r="B30" t="n">
        <v>925</v>
      </c>
      <c r="C30" t="n">
        <v>365.25</v>
      </c>
      <c r="D30" t="n">
        <v>344.25</v>
      </c>
      <c r="E30" t="n">
        <v>1040</v>
      </c>
      <c r="F30" t="n">
        <v>814.5</v>
      </c>
      <c r="G30" t="n">
        <v>788</v>
      </c>
      <c r="H30" t="n">
        <v>2422</v>
      </c>
      <c r="I30" t="n">
        <v>3335</v>
      </c>
      <c r="J30" t="n">
        <v>8005</v>
      </c>
      <c r="K30" t="n">
        <v>9951</v>
      </c>
    </row>
    <row r="31" customFormat="1" s="188">
      <c r="A31" s="188" t="inlineStr">
        <is>
          <t>Dividend Amount</t>
        </is>
      </c>
      <c r="B31" t="n">
        <v>37</v>
      </c>
      <c r="C31" t="n">
        <v>35.64</v>
      </c>
      <c r="D31" t="n">
        <v>30.36</v>
      </c>
      <c r="E31" t="n">
        <v>104</v>
      </c>
      <c r="F31" t="n">
        <v>125.52</v>
      </c>
      <c r="G31" t="n">
        <v>110.32</v>
      </c>
      <c r="H31" t="n">
        <v>145.32</v>
      </c>
      <c r="I31" t="n">
        <v>166.75</v>
      </c>
      <c r="J31" t="n">
        <v>160.1</v>
      </c>
      <c r="K31" t="n">
        <v>199.02</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t="n">
        <v>0</v>
      </c>
      <c r="C33" s="193" t="n">
        <v>0</v>
      </c>
      <c r="D33" s="193" t="n">
        <v>0</v>
      </c>
      <c r="E33" s="193" t="n">
        <v>0</v>
      </c>
      <c r="F33" s="193" t="n">
        <v>0</v>
      </c>
      <c r="G33" s="193" t="n">
        <v>0</v>
      </c>
      <c r="H33" s="193" t="n">
        <v>0</v>
      </c>
      <c r="I33" s="193" t="n">
        <v>0</v>
      </c>
      <c r="J33" s="193" t="n">
        <v>0</v>
      </c>
      <c r="K33" s="193" t="n">
        <v>0</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88">
      <c r="A42" s="188" t="inlineStr">
        <is>
          <t>Sales</t>
        </is>
      </c>
      <c r="B42" t="n">
        <v>29180</v>
      </c>
      <c r="C42" t="n">
        <v>25472</v>
      </c>
      <c r="D42" t="n">
        <v>22608</v>
      </c>
      <c r="E42" t="n">
        <v>22848</v>
      </c>
      <c r="F42" t="n">
        <v>26966</v>
      </c>
      <c r="G42" t="n">
        <v>21961</v>
      </c>
      <c r="H42" t="n">
        <v>21249</v>
      </c>
      <c r="I42" t="n">
        <v>24820</v>
      </c>
      <c r="J42" t="n">
        <v>32439</v>
      </c>
      <c r="K42" t="n">
        <v>32924</v>
      </c>
    </row>
    <row r="43" customFormat="1" s="188">
      <c r="A43" s="188" t="inlineStr">
        <is>
          <t>Expenses</t>
        </is>
      </c>
      <c r="B43" t="n">
        <v>25985</v>
      </c>
      <c r="C43" t="n">
        <v>21767</v>
      </c>
      <c r="D43" t="n">
        <v>18842</v>
      </c>
      <c r="E43" t="n">
        <v>19778</v>
      </c>
      <c r="F43" t="n">
        <v>23256</v>
      </c>
      <c r="G43" t="n">
        <v>18651</v>
      </c>
      <c r="H43" t="n">
        <v>17942</v>
      </c>
      <c r="I43" t="n">
        <v>21178</v>
      </c>
      <c r="J43" t="n">
        <v>28709</v>
      </c>
      <c r="K43" t="n">
        <v>27905</v>
      </c>
    </row>
    <row r="44" customFormat="1" s="188">
      <c r="A44" s="188" t="inlineStr">
        <is>
          <t>Other Income</t>
        </is>
      </c>
      <c r="B44" t="n">
        <v>-176</v>
      </c>
      <c r="C44" t="n">
        <v>591</v>
      </c>
      <c r="D44" t="n">
        <v>583</v>
      </c>
      <c r="E44" t="n">
        <v>648</v>
      </c>
      <c r="F44" t="n">
        <v>4582</v>
      </c>
      <c r="G44" t="n">
        <v>475</v>
      </c>
      <c r="H44" t="n">
        <v>4179</v>
      </c>
      <c r="I44" t="n">
        <v>6288</v>
      </c>
      <c r="J44" t="n">
        <v>748</v>
      </c>
      <c r="K44" t="n">
        <v>-2022</v>
      </c>
    </row>
    <row r="45" customFormat="1" s="188">
      <c r="A45" s="188" t="inlineStr">
        <is>
          <t>Depreciation</t>
        </is>
      </c>
      <c r="B45" t="n">
        <v>811</v>
      </c>
      <c r="C45" t="n">
        <v>934</v>
      </c>
      <c r="D45" t="n">
        <v>1035</v>
      </c>
      <c r="E45" t="n">
        <v>1006</v>
      </c>
      <c r="F45" t="n">
        <v>1236</v>
      </c>
      <c r="G45" t="n">
        <v>1284</v>
      </c>
      <c r="H45" t="n">
        <v>1377</v>
      </c>
      <c r="I45" t="n">
        <v>1372</v>
      </c>
      <c r="J45" t="n">
        <v>2103</v>
      </c>
      <c r="K45" t="n">
        <v>1926</v>
      </c>
    </row>
    <row r="46" customFormat="1" s="188">
      <c r="A46" s="188" t="inlineStr">
        <is>
          <t>Interest</t>
        </is>
      </c>
      <c r="B46" t="n">
        <v>1513</v>
      </c>
      <c r="C46" t="n">
        <v>1130</v>
      </c>
      <c r="D46" t="n">
        <v>910</v>
      </c>
      <c r="E46" t="n">
        <v>2141</v>
      </c>
      <c r="F46" t="n">
        <v>1796</v>
      </c>
      <c r="G46" t="n">
        <v>1035</v>
      </c>
      <c r="H46" t="n">
        <v>1711</v>
      </c>
      <c r="I46" t="n">
        <v>1626</v>
      </c>
      <c r="J46" t="n">
        <v>1646</v>
      </c>
      <c r="K46" t="n">
        <v>2421</v>
      </c>
    </row>
    <row r="47" customFormat="1" s="188">
      <c r="A47" s="188" t="inlineStr">
        <is>
          <t>Profit before tax</t>
        </is>
      </c>
      <c r="B47" t="n">
        <v>696</v>
      </c>
      <c r="C47" t="n">
        <v>2232</v>
      </c>
      <c r="D47" t="n">
        <v>2403</v>
      </c>
      <c r="E47" t="n">
        <v>572</v>
      </c>
      <c r="F47" t="n">
        <v>5259</v>
      </c>
      <c r="G47" t="n">
        <v>1466</v>
      </c>
      <c r="H47" t="n">
        <v>4398</v>
      </c>
      <c r="I47" t="n">
        <v>6932</v>
      </c>
      <c r="J47" t="n">
        <v>729</v>
      </c>
      <c r="K47" t="n">
        <v>-1349</v>
      </c>
    </row>
    <row r="48" customFormat="1" s="188">
      <c r="A48" s="188" t="inlineStr">
        <is>
          <t>Tax</t>
        </is>
      </c>
      <c r="B48" t="n">
        <v>174</v>
      </c>
      <c r="C48" t="n">
        <v>460</v>
      </c>
      <c r="D48" t="n">
        <v>414</v>
      </c>
      <c r="E48" t="n">
        <v>143</v>
      </c>
      <c r="F48" t="n">
        <v>1244</v>
      </c>
      <c r="G48" t="n">
        <v>490</v>
      </c>
      <c r="H48" t="n">
        <v>984</v>
      </c>
      <c r="I48" t="n">
        <v>1205</v>
      </c>
      <c r="J48" t="n">
        <v>182.25</v>
      </c>
      <c r="K48" t="n">
        <v>0</v>
      </c>
    </row>
    <row r="49" customFormat="1" s="188">
      <c r="A49" s="188" t="inlineStr">
        <is>
          <t>Net profit</t>
        </is>
      </c>
      <c r="B49" t="n">
        <v>522</v>
      </c>
      <c r="C49" t="n">
        <v>1772</v>
      </c>
      <c r="D49" t="n">
        <v>1989</v>
      </c>
      <c r="E49" t="n">
        <v>429</v>
      </c>
      <c r="F49" t="n">
        <v>4015</v>
      </c>
      <c r="G49" t="n">
        <v>976</v>
      </c>
      <c r="H49" t="n">
        <v>3414</v>
      </c>
      <c r="I49" t="n">
        <v>5727</v>
      </c>
      <c r="J49" t="n">
        <v>546.75</v>
      </c>
      <c r="K49" t="n">
        <v>-1349</v>
      </c>
    </row>
    <row r="50">
      <c r="A50" s="188" t="inlineStr">
        <is>
          <t>Operating Profit</t>
        </is>
      </c>
      <c r="B50" t="n">
        <v>3195</v>
      </c>
      <c r="C50" t="n">
        <v>3706</v>
      </c>
      <c r="D50" t="n">
        <v>3766</v>
      </c>
      <c r="E50" t="n">
        <v>3070</v>
      </c>
      <c r="F50" t="n">
        <v>3710</v>
      </c>
      <c r="G50" t="n">
        <v>3310</v>
      </c>
      <c r="H50" t="n">
        <v>3307</v>
      </c>
      <c r="I50" t="n">
        <v>3642</v>
      </c>
      <c r="J50" t="n">
        <v>3731</v>
      </c>
      <c r="K50" t="n">
        <v>5019</v>
      </c>
    </row>
    <row r="51">
      <c r="A51" s="188" t="n"/>
    </row>
    <row r="52">
      <c r="A52" s="188" t="n"/>
    </row>
    <row r="53">
      <c r="A53" s="188" t="n"/>
    </row>
    <row r="54">
      <c r="A54" s="188" t="n"/>
    </row>
    <row r="55">
      <c r="A55" s="187"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88" t="inlineStr">
        <is>
          <t>Equity Share Capital</t>
        </is>
      </c>
      <c r="B57" t="n">
        <v>110</v>
      </c>
      <c r="C57" t="n">
        <v>110</v>
      </c>
      <c r="D57" t="n">
        <v>110</v>
      </c>
      <c r="E57" t="n">
        <v>110</v>
      </c>
      <c r="F57" t="n">
        <v>110</v>
      </c>
      <c r="G57" t="n">
        <v>110</v>
      </c>
      <c r="H57" t="n">
        <v>114</v>
      </c>
      <c r="I57" t="n">
        <v>114</v>
      </c>
      <c r="J57" t="n">
        <v>115</v>
      </c>
      <c r="K57" t="n">
        <v>129</v>
      </c>
    </row>
    <row r="58">
      <c r="A58" s="188" t="inlineStr">
        <is>
          <t>Reserves</t>
        </is>
      </c>
      <c r="B58" t="n">
        <v>14026</v>
      </c>
      <c r="C58" t="n">
        <v>14979</v>
      </c>
      <c r="D58" t="n">
        <v>14646</v>
      </c>
      <c r="E58" t="n">
        <v>16837</v>
      </c>
      <c r="F58" t="n">
        <v>17049</v>
      </c>
      <c r="G58" t="n">
        <v>22147</v>
      </c>
      <c r="H58" t="n">
        <v>32937</v>
      </c>
      <c r="I58" t="n">
        <v>38962</v>
      </c>
      <c r="J58" t="n">
        <v>50199</v>
      </c>
      <c r="K58" t="n">
        <v>80797</v>
      </c>
    </row>
    <row r="59">
      <c r="A59" s="188" t="inlineStr">
        <is>
          <t>Borrowings</t>
        </is>
      </c>
      <c r="B59" t="n">
        <v>20846</v>
      </c>
      <c r="C59" t="n">
        <v>17637</v>
      </c>
      <c r="D59" t="n">
        <v>11243</v>
      </c>
      <c r="E59" t="n">
        <v>12419</v>
      </c>
      <c r="F59" t="n">
        <v>16227</v>
      </c>
      <c r="G59" t="n">
        <v>41604</v>
      </c>
      <c r="H59" t="n">
        <v>53200</v>
      </c>
      <c r="I59" t="n">
        <v>65310</v>
      </c>
      <c r="J59" t="n">
        <v>91473</v>
      </c>
      <c r="K59" t="n">
        <v>106622</v>
      </c>
    </row>
    <row r="60">
      <c r="A60" s="188" t="inlineStr">
        <is>
          <t>Other Liabilities</t>
        </is>
      </c>
      <c r="B60" t="n">
        <v>12630</v>
      </c>
      <c r="C60" t="n">
        <v>23679</v>
      </c>
      <c r="D60" t="n">
        <v>16537</v>
      </c>
      <c r="E60" t="n">
        <v>17509</v>
      </c>
      <c r="F60" t="n">
        <v>18231</v>
      </c>
      <c r="G60" t="n">
        <v>37726</v>
      </c>
      <c r="H60" t="n">
        <v>55027</v>
      </c>
      <c r="I60" t="n">
        <v>56200</v>
      </c>
      <c r="J60" t="n">
        <v>56056</v>
      </c>
      <c r="K60" t="n">
        <v>73321</v>
      </c>
    </row>
    <row r="61" customFormat="1" s="187">
      <c r="A61" s="187" t="inlineStr">
        <is>
          <t>Total</t>
        </is>
      </c>
      <c r="B61" t="n">
        <v>47611</v>
      </c>
      <c r="C61" t="n">
        <v>56405</v>
      </c>
      <c r="D61" t="n">
        <v>42536</v>
      </c>
      <c r="E61" t="n">
        <v>46875</v>
      </c>
      <c r="F61" t="n">
        <v>51617</v>
      </c>
      <c r="G61" t="n">
        <v>101586</v>
      </c>
      <c r="H61" t="n">
        <v>141278</v>
      </c>
      <c r="I61" t="n">
        <v>160586</v>
      </c>
      <c r="J61" t="n">
        <v>197843</v>
      </c>
      <c r="K61" t="n">
        <v>260868</v>
      </c>
    </row>
    <row r="62">
      <c r="A62" s="188" t="inlineStr">
        <is>
          <t>Net Block</t>
        </is>
      </c>
      <c r="B62" t="n">
        <v>13668</v>
      </c>
      <c r="C62" t="n">
        <v>10555</v>
      </c>
      <c r="D62" t="n">
        <v>9020</v>
      </c>
      <c r="E62" t="n">
        <v>10476</v>
      </c>
      <c r="F62" t="n">
        <v>10838</v>
      </c>
      <c r="G62" t="n">
        <v>30123</v>
      </c>
      <c r="H62" t="n">
        <v>56881</v>
      </c>
      <c r="I62" t="n">
        <v>65978</v>
      </c>
      <c r="J62" t="n">
        <v>77260</v>
      </c>
      <c r="K62" t="n">
        <v>115174</v>
      </c>
    </row>
    <row r="63">
      <c r="A63" s="188" t="inlineStr">
        <is>
          <t>Capital Work in Progress</t>
        </is>
      </c>
      <c r="B63" t="n">
        <v>7731</v>
      </c>
      <c r="C63" t="n">
        <v>5526</v>
      </c>
      <c r="D63" t="n">
        <v>5765</v>
      </c>
      <c r="E63" t="n">
        <v>7347</v>
      </c>
      <c r="F63" t="n">
        <v>8825</v>
      </c>
      <c r="G63" t="n">
        <v>23544</v>
      </c>
      <c r="H63" t="n">
        <v>24025</v>
      </c>
      <c r="I63" t="n">
        <v>35180</v>
      </c>
      <c r="J63" t="n">
        <v>51516</v>
      </c>
      <c r="K63" t="n">
        <v>51753</v>
      </c>
    </row>
    <row r="64">
      <c r="A64" s="188" t="inlineStr">
        <is>
          <t>Investments</t>
        </is>
      </c>
      <c r="B64" t="n">
        <v>1042</v>
      </c>
      <c r="C64" t="n">
        <v>1461</v>
      </c>
      <c r="D64" t="n">
        <v>1511</v>
      </c>
      <c r="E64" t="n">
        <v>1952</v>
      </c>
      <c r="F64" t="n">
        <v>5503</v>
      </c>
      <c r="G64" t="n">
        <v>4292</v>
      </c>
      <c r="H64" t="n">
        <v>6310</v>
      </c>
      <c r="I64" t="n">
        <v>8701</v>
      </c>
      <c r="J64" t="n">
        <v>9887</v>
      </c>
      <c r="K64" t="n">
        <v>9428</v>
      </c>
    </row>
    <row r="65">
      <c r="A65" s="188" t="inlineStr">
        <is>
          <t>Other Assets</t>
        </is>
      </c>
      <c r="B65" t="n">
        <v>25170</v>
      </c>
      <c r="C65" t="n">
        <v>38864</v>
      </c>
      <c r="D65" t="n">
        <v>26240</v>
      </c>
      <c r="E65" t="n">
        <v>27099</v>
      </c>
      <c r="F65" t="n">
        <v>26451</v>
      </c>
      <c r="G65" t="n">
        <v>43627</v>
      </c>
      <c r="H65" t="n">
        <v>54062</v>
      </c>
      <c r="I65" t="n">
        <v>50728</v>
      </c>
      <c r="J65" t="n">
        <v>59180</v>
      </c>
      <c r="K65" t="n">
        <v>84513</v>
      </c>
    </row>
    <row r="66" customFormat="1" s="187">
      <c r="A66" s="187" t="inlineStr">
        <is>
          <t>Total</t>
        </is>
      </c>
      <c r="B66" t="n">
        <v>47611</v>
      </c>
      <c r="C66" t="n">
        <v>56405</v>
      </c>
      <c r="D66" t="n">
        <v>42536</v>
      </c>
      <c r="E66" t="n">
        <v>46875</v>
      </c>
      <c r="F66" t="n">
        <v>51617</v>
      </c>
      <c r="G66" t="n">
        <v>101586</v>
      </c>
      <c r="H66" t="n">
        <v>141278</v>
      </c>
      <c r="I66" t="n">
        <v>160586</v>
      </c>
      <c r="J66" t="n">
        <v>197843</v>
      </c>
      <c r="K66" t="n">
        <v>260868</v>
      </c>
    </row>
    <row r="67" customFormat="1" s="188">
      <c r="A67" s="188" t="inlineStr">
        <is>
          <t>Receivables</t>
        </is>
      </c>
      <c r="B67" t="n">
        <v>12742</v>
      </c>
      <c r="C67" t="n">
        <v>12099</v>
      </c>
      <c r="D67" t="n">
        <v>14307</v>
      </c>
      <c r="E67" t="n">
        <v>13147</v>
      </c>
      <c r="F67" t="n">
        <v>11983</v>
      </c>
      <c r="G67" t="n">
        <v>13712</v>
      </c>
      <c r="H67" t="n">
        <v>12553</v>
      </c>
      <c r="I67" t="n">
        <v>9793</v>
      </c>
      <c r="J67" t="n">
        <v>9616</v>
      </c>
      <c r="K67" t="n">
        <v>12543</v>
      </c>
    </row>
    <row r="68">
      <c r="A68" s="188" t="inlineStr">
        <is>
          <t>Inventory</t>
        </is>
      </c>
      <c r="B68" t="n">
        <v>1652</v>
      </c>
      <c r="C68" t="n">
        <v>2343</v>
      </c>
      <c r="D68" t="n">
        <v>2669</v>
      </c>
      <c r="E68" t="n">
        <v>2562</v>
      </c>
      <c r="F68" t="n">
        <v>1757</v>
      </c>
      <c r="G68" t="n">
        <v>6788</v>
      </c>
      <c r="H68" t="n">
        <v>6918</v>
      </c>
      <c r="I68" t="n">
        <v>9487</v>
      </c>
      <c r="J68" t="n">
        <v>10287</v>
      </c>
      <c r="K68" t="n">
        <v>18713</v>
      </c>
    </row>
    <row r="69">
      <c r="A69" s="193" t="inlineStr">
        <is>
          <t>Cash &amp; Bank</t>
        </is>
      </c>
      <c r="B69" t="n">
        <v>1715</v>
      </c>
      <c r="C69" t="n">
        <v>1884</v>
      </c>
      <c r="D69" t="n">
        <v>1709</v>
      </c>
      <c r="E69" t="n">
        <v>3377</v>
      </c>
      <c r="F69" t="n">
        <v>1811</v>
      </c>
      <c r="G69" t="n">
        <v>3916</v>
      </c>
      <c r="H69" t="n">
        <v>5374</v>
      </c>
      <c r="I69" t="n">
        <v>7068</v>
      </c>
      <c r="J69" t="n">
        <v>6962</v>
      </c>
      <c r="K69" t="n">
        <v>11809</v>
      </c>
    </row>
    <row r="70">
      <c r="A70" s="193" t="inlineStr">
        <is>
          <t>No. of Equity Shares</t>
        </is>
      </c>
      <c r="B70" t="n">
        <v>1100000000</v>
      </c>
      <c r="C70" t="n">
        <v>1100000000</v>
      </c>
      <c r="D70" t="n">
        <v>1100000000</v>
      </c>
      <c r="E70" t="n">
        <v>1100000000</v>
      </c>
      <c r="F70" t="n">
        <v>1100000000</v>
      </c>
      <c r="G70" t="n">
        <v>1100000000</v>
      </c>
      <c r="H70" t="n">
        <v>1140000000</v>
      </c>
      <c r="I70" t="n">
        <v>1140000000</v>
      </c>
      <c r="J70" t="n">
        <v>1150000000</v>
      </c>
      <c r="K70" t="n">
        <v>1290000000</v>
      </c>
    </row>
    <row r="71">
      <c r="A71" s="193" t="inlineStr">
        <is>
          <t>New Bonus Shares</t>
        </is>
      </c>
      <c r="B71" t="n">
        <v>0</v>
      </c>
      <c r="C71" t="n">
        <v>0</v>
      </c>
      <c r="D71" t="n">
        <v>0</v>
      </c>
      <c r="E71" t="n">
        <v>0</v>
      </c>
      <c r="F71" t="n">
        <v>0</v>
      </c>
      <c r="G71" t="n">
        <v>0</v>
      </c>
      <c r="H71" t="n">
        <v>0</v>
      </c>
      <c r="I71" t="n">
        <v>0</v>
      </c>
      <c r="J71" t="n">
        <v>0</v>
      </c>
      <c r="K71" t="n">
        <v>0</v>
      </c>
    </row>
    <row r="72">
      <c r="A72" s="193" t="inlineStr">
        <is>
          <t>Face value</t>
        </is>
      </c>
      <c r="B72" t="n">
        <v>1</v>
      </c>
      <c r="C72" t="n">
        <v>1</v>
      </c>
      <c r="D72" t="n">
        <v>1</v>
      </c>
      <c r="E72" t="n">
        <v>1</v>
      </c>
      <c r="F72" t="n">
        <v>1</v>
      </c>
      <c r="G72" t="n">
        <v>1</v>
      </c>
      <c r="H72" t="n">
        <v>1</v>
      </c>
      <c r="I72" t="n">
        <v>1</v>
      </c>
      <c r="J72" t="n">
        <v>1</v>
      </c>
      <c r="K72" t="n">
        <v>1</v>
      </c>
    </row>
    <row r="73">
      <c r="A73" t="inlineStr">
        <is>
          <t>Minority Interest</t>
        </is>
      </c>
      <c r="B73" t="n">
        <v>0</v>
      </c>
      <c r="C73" t="n">
        <v>0</v>
      </c>
      <c r="D73" t="n">
        <v>0</v>
      </c>
      <c r="E73" t="n">
        <v>0</v>
      </c>
      <c r="F73" t="n">
        <v>0</v>
      </c>
      <c r="G73" t="n">
        <v>0</v>
      </c>
      <c r="H73" t="n">
        <v>0</v>
      </c>
      <c r="I73" t="n">
        <v>0</v>
      </c>
      <c r="J73" t="n">
        <v>0</v>
      </c>
      <c r="K73" t="n">
        <v>0</v>
      </c>
    </row>
    <row r="74">
      <c r="A74" s="188" t="inlineStr">
        <is>
          <t>Other Assets</t>
        </is>
      </c>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n"/>
      <c r="B75" s="193" t="n">
        <v>0</v>
      </c>
      <c r="C75" s="193" t="n">
        <v>0</v>
      </c>
      <c r="D75" s="193" t="n">
        <v>0</v>
      </c>
      <c r="E75" s="193" t="n">
        <v>0</v>
      </c>
      <c r="F75" s="193" t="n">
        <v>0</v>
      </c>
      <c r="G75" s="193" t="n">
        <v>0</v>
      </c>
      <c r="H75" s="193" t="n">
        <v>0</v>
      </c>
      <c r="I75" s="193" t="n">
        <v>0</v>
      </c>
      <c r="J75" s="193" t="n">
        <v>0</v>
      </c>
      <c r="K75" s="193" t="n">
        <v>0</v>
      </c>
    </row>
    <row r="76">
      <c r="A76" s="188" t="n"/>
    </row>
    <row r="77">
      <c r="A77" s="188" t="n"/>
    </row>
    <row r="78">
      <c r="A78" s="188" t="n"/>
    </row>
    <row r="79">
      <c r="A79" s="188" t="n"/>
    </row>
    <row r="80">
      <c r="A80" s="187"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87">
      <c r="A82" s="188" t="inlineStr">
        <is>
          <t>Cash from Operating Activity</t>
        </is>
      </c>
      <c r="B82" t="n">
        <v>774</v>
      </c>
      <c r="C82" t="n">
        <v>2942</v>
      </c>
      <c r="D82" t="n">
        <v>3236</v>
      </c>
      <c r="E82" t="n">
        <v>2454</v>
      </c>
      <c r="F82" t="n">
        <v>4043</v>
      </c>
      <c r="G82" t="n">
        <v>1385</v>
      </c>
      <c r="H82" t="n">
        <v>17626</v>
      </c>
      <c r="I82" t="n">
        <v>10312</v>
      </c>
      <c r="J82" t="n">
        <v>4513</v>
      </c>
      <c r="K82" t="n">
        <v>2357</v>
      </c>
    </row>
    <row r="83" customFormat="1" s="188">
      <c r="A83" s="188" t="inlineStr">
        <is>
          <t>Cash from Investing Activity</t>
        </is>
      </c>
      <c r="B83" t="n">
        <v>-1460</v>
      </c>
      <c r="C83" t="n">
        <v>-7649</v>
      </c>
      <c r="D83" t="n">
        <v>2487</v>
      </c>
      <c r="E83" t="n">
        <v>-1082</v>
      </c>
      <c r="F83" t="n">
        <v>-8611</v>
      </c>
      <c r="G83" t="n">
        <v>-17041</v>
      </c>
      <c r="H83" t="n">
        <v>-15459</v>
      </c>
      <c r="I83" t="n">
        <v>-18767</v>
      </c>
      <c r="J83" t="n">
        <v>-26417</v>
      </c>
      <c r="K83" t="n">
        <v>-27680</v>
      </c>
    </row>
    <row r="84" customFormat="1" s="188">
      <c r="A84" s="188" t="inlineStr">
        <is>
          <t>Cash from Financing Activity</t>
        </is>
      </c>
      <c r="B84" t="n">
        <v>716</v>
      </c>
      <c r="C84" t="n">
        <v>5120</v>
      </c>
      <c r="D84" t="n">
        <v>-6158</v>
      </c>
      <c r="E84" t="n">
        <v>-221</v>
      </c>
      <c r="F84" t="n">
        <v>3109</v>
      </c>
      <c r="G84" t="n">
        <v>15901</v>
      </c>
      <c r="H84" t="n">
        <v>-1198</v>
      </c>
      <c r="I84" t="n">
        <v>8879</v>
      </c>
      <c r="J84" t="n">
        <v>22655</v>
      </c>
      <c r="K84" t="n">
        <v>28484</v>
      </c>
    </row>
    <row r="85" customFormat="1" s="187">
      <c r="A85" s="188" t="inlineStr">
        <is>
          <t>Net Cash Flow</t>
        </is>
      </c>
      <c r="B85" t="n">
        <v>30</v>
      </c>
      <c r="C85" t="n">
        <v>413</v>
      </c>
      <c r="D85" t="n">
        <v>-436</v>
      </c>
      <c r="E85" t="n">
        <v>1151</v>
      </c>
      <c r="F85" t="n">
        <v>-1459</v>
      </c>
      <c r="G85" t="n">
        <v>246</v>
      </c>
      <c r="H85" t="n">
        <v>970</v>
      </c>
      <c r="I85" t="n">
        <v>424</v>
      </c>
      <c r="J85" t="n">
        <v>751</v>
      </c>
      <c r="K85" t="n">
        <v>3161</v>
      </c>
    </row>
    <row r="86">
      <c r="A86" s="188" t="n"/>
    </row>
    <row r="87">
      <c r="A87" s="188" t="n"/>
    </row>
    <row r="88">
      <c r="A88" s="188" t="n"/>
    </row>
    <row r="89">
      <c r="A89" s="188" t="n"/>
    </row>
    <row r="90" customFormat="1" s="187">
      <c r="A90" s="187" t="inlineStr">
        <is>
          <t>PRICE:</t>
        </is>
      </c>
      <c r="B90" t="n">
        <v>61.34</v>
      </c>
      <c r="C90" t="n">
        <v>129</v>
      </c>
      <c r="D90" t="n">
        <v>129.77</v>
      </c>
      <c r="E90" t="n">
        <v>211.98</v>
      </c>
      <c r="F90" t="n">
        <v>808.21</v>
      </c>
      <c r="G90" t="n">
        <v>1565.72</v>
      </c>
      <c r="H90" t="n">
        <v>1822.15</v>
      </c>
      <c r="I90" t="n">
        <v>3231.54</v>
      </c>
      <c r="J90" t="n">
        <v>2032.04</v>
      </c>
      <c r="K90" t="n">
        <v>2595</v>
      </c>
    </row>
    <row r="92" customFormat="1" s="187">
      <c r="A92" s="187" t="inlineStr">
        <is>
          <t>DERIVED:</t>
        </is>
      </c>
    </row>
    <row r="93">
      <c r="A93" s="193" t="inlineStr">
        <is>
          <t>Adjusted Equity Shares in Cr</t>
        </is>
      </c>
      <c r="B93" s="198" t="n">
        <v>129</v>
      </c>
      <c r="C93" s="198" t="n">
        <v>129</v>
      </c>
      <c r="D93" s="198" t="n">
        <v>129</v>
      </c>
      <c r="E93" s="198" t="n">
        <v>129</v>
      </c>
      <c r="F93" s="198" t="n">
        <v>129</v>
      </c>
      <c r="G93" s="198" t="n">
        <v>129</v>
      </c>
      <c r="H93" s="198" t="n">
        <v>129</v>
      </c>
      <c r="I93" s="198" t="n">
        <v>129</v>
      </c>
      <c r="J93" s="198" t="n">
        <v>129</v>
      </c>
      <c r="K93" s="198" t="n">
        <v>129</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ADANI ENTERPRISES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8532</v>
      </c>
      <c r="D6" s="73" t="n">
        <v>5112</v>
      </c>
      <c r="E6" s="73" t="n">
        <v>774</v>
      </c>
      <c r="F6" s="73" t="n">
        <v>2942</v>
      </c>
      <c r="G6" s="73" t="n">
        <v>3236</v>
      </c>
      <c r="H6" s="73" t="n">
        <v>2454</v>
      </c>
      <c r="I6" s="73" t="n">
        <v>4043</v>
      </c>
      <c r="J6" s="73" t="n">
        <v>1385</v>
      </c>
      <c r="K6" s="73" t="n">
        <v>17626</v>
      </c>
      <c r="L6" s="73" t="n">
        <v>10312</v>
      </c>
      <c r="M6" s="73" t="n">
        <v>4513</v>
      </c>
      <c r="N6" s="73" t="n">
        <v>2357</v>
      </c>
    </row>
    <row r="7">
      <c r="B7" t="inlineStr">
        <is>
          <t>Profit from operations</t>
        </is>
      </c>
      <c r="C7" s="73" t="n">
        <v>12601</v>
      </c>
      <c r="D7" s="73" t="n">
        <v>1775</v>
      </c>
      <c r="E7" s="73" t="n">
        <v>2344</v>
      </c>
      <c r="F7" s="73" t="n">
        <v>3462</v>
      </c>
      <c r="G7" s="73" t="n">
        <v>2129</v>
      </c>
      <c r="H7" s="73" t="n">
        <v>3182</v>
      </c>
      <c r="I7" s="73" t="n">
        <v>2355</v>
      </c>
      <c r="J7" s="73" t="n">
        <v>4122</v>
      </c>
      <c r="K7" s="73" t="n">
        <v>9191</v>
      </c>
      <c r="L7" s="73" t="n">
        <v>12049</v>
      </c>
      <c r="M7" s="73" t="n">
        <v>15445</v>
      </c>
      <c r="N7" s="73" t="n">
        <v>15148</v>
      </c>
    </row>
    <row r="8">
      <c r="B8" t="inlineStr">
        <is>
          <t>Receivables</t>
        </is>
      </c>
      <c r="C8" t="n">
        <v>-5251</v>
      </c>
      <c r="D8" t="n">
        <v>2818</v>
      </c>
      <c r="E8" t="n">
        <v>-3965</v>
      </c>
      <c r="F8" t="n">
        <v>-532</v>
      </c>
      <c r="G8" t="n">
        <v>-2109</v>
      </c>
      <c r="H8" s="73" t="n">
        <v>455</v>
      </c>
      <c r="I8" t="n">
        <v>-248</v>
      </c>
      <c r="J8" t="n">
        <v>-2939</v>
      </c>
      <c r="K8" t="n">
        <v>-2064</v>
      </c>
      <c r="L8" t="n">
        <v>1320</v>
      </c>
      <c r="M8" s="73" t="n">
        <v>-1454</v>
      </c>
      <c r="N8" t="n">
        <v>-5299</v>
      </c>
    </row>
    <row r="9">
      <c r="B9" t="inlineStr">
        <is>
          <t>Inventory</t>
        </is>
      </c>
      <c r="C9" t="n">
        <v>-165</v>
      </c>
      <c r="D9" t="n">
        <v>-133</v>
      </c>
      <c r="E9" t="n">
        <v>-352</v>
      </c>
      <c r="F9" t="n">
        <v>-713</v>
      </c>
      <c r="G9" t="n">
        <v>-369</v>
      </c>
      <c r="H9" t="n">
        <v>173</v>
      </c>
      <c r="I9" s="73" t="n">
        <v>343</v>
      </c>
      <c r="J9" t="n">
        <v>-5024</v>
      </c>
      <c r="K9" s="73" t="n">
        <v>-130</v>
      </c>
      <c r="L9" s="73" t="n">
        <v>-2569</v>
      </c>
      <c r="M9" s="73" t="n">
        <v>-767</v>
      </c>
      <c r="N9" s="73" t="n">
        <v>-8340</v>
      </c>
    </row>
    <row r="10">
      <c r="B10" t="inlineStr">
        <is>
          <t>Payables</t>
        </is>
      </c>
      <c r="C10" t="n">
        <v>2549</v>
      </c>
      <c r="D10" t="n">
        <v>81</v>
      </c>
      <c r="E10" t="n">
        <v>3395</v>
      </c>
      <c r="F10" s="73" t="n">
        <v>288</v>
      </c>
      <c r="G10" t="n">
        <v>4110</v>
      </c>
      <c r="H10" t="n">
        <v>-870</v>
      </c>
      <c r="I10" s="73" t="n">
        <v>1985</v>
      </c>
      <c r="J10" s="73" t="n">
        <v>7188</v>
      </c>
      <c r="K10" s="73" t="n">
        <v>12806</v>
      </c>
      <c r="L10" t="n">
        <v>-2846</v>
      </c>
      <c r="M10" s="73" t="n">
        <v>-2955</v>
      </c>
      <c r="N10" t="n">
        <v>6335</v>
      </c>
    </row>
    <row r="11">
      <c r="B11" t="inlineStr">
        <is>
          <t>Working capital changes</t>
        </is>
      </c>
      <c r="C11" t="n">
        <v>-3235</v>
      </c>
      <c r="D11" t="n">
        <v>3568</v>
      </c>
      <c r="E11" t="n">
        <v>-1350</v>
      </c>
      <c r="F11" s="73" t="n">
        <v>-270</v>
      </c>
      <c r="G11" t="n">
        <v>1409</v>
      </c>
      <c r="H11" t="n">
        <v>-461</v>
      </c>
      <c r="I11" t="n">
        <v>1800</v>
      </c>
      <c r="J11" t="n">
        <v>-2532</v>
      </c>
      <c r="K11" t="n">
        <v>9345</v>
      </c>
      <c r="L11" s="73" t="n">
        <v>-29</v>
      </c>
      <c r="M11" s="73" t="n">
        <v>-8837</v>
      </c>
      <c r="N11" s="73" t="n">
        <v>-10079</v>
      </c>
    </row>
    <row r="12">
      <c r="B12" t="inlineStr">
        <is>
          <t>Direct taxes</t>
        </is>
      </c>
      <c r="C12" s="73" t="n">
        <v>-834</v>
      </c>
      <c r="D12" s="73" t="n">
        <v>-231</v>
      </c>
      <c r="E12" s="73" t="n">
        <v>-220</v>
      </c>
      <c r="F12" s="73" t="n">
        <v>-250</v>
      </c>
      <c r="G12" s="73" t="n">
        <v>-211</v>
      </c>
      <c r="H12" s="73" t="n">
        <v>-267</v>
      </c>
      <c r="I12" s="73" t="n">
        <v>-112</v>
      </c>
      <c r="J12" s="73" t="n">
        <v>-205</v>
      </c>
      <c r="K12" s="73" t="n">
        <v>-910</v>
      </c>
      <c r="L12" s="73" t="n">
        <v>-1708</v>
      </c>
      <c r="M12" s="73" t="n">
        <v>-2095</v>
      </c>
      <c r="N12" s="73" t="n">
        <v>-2712</v>
      </c>
    </row>
    <row r="13">
      <c r="B13" t="inlineStr">
        <is>
          <t>Cash from Investing Activity -</t>
        </is>
      </c>
      <c r="C13" s="73" t="n">
        <v>-11465</v>
      </c>
      <c r="D13" s="73" t="n">
        <v>-1825</v>
      </c>
      <c r="E13" s="73" t="n">
        <v>-1460</v>
      </c>
      <c r="F13" s="73" t="n">
        <v>-7649</v>
      </c>
      <c r="G13" s="73" t="n">
        <v>2487</v>
      </c>
      <c r="H13" s="73" t="n">
        <v>-1082</v>
      </c>
      <c r="I13" s="73" t="n">
        <v>-8611</v>
      </c>
      <c r="J13" s="73" t="n">
        <v>-17041</v>
      </c>
      <c r="K13" s="73" t="n">
        <v>-15459</v>
      </c>
      <c r="L13" s="73" t="n">
        <v>-18767</v>
      </c>
      <c r="M13" t="n">
        <v>-26417</v>
      </c>
      <c r="N13" s="73" t="n">
        <v>-27680</v>
      </c>
    </row>
    <row r="14">
      <c r="B14" t="inlineStr">
        <is>
          <t>Fixed assets purchased</t>
        </is>
      </c>
      <c r="C14" s="73" t="n">
        <v>-9557</v>
      </c>
      <c r="D14" s="73" t="n">
        <v>-5920</v>
      </c>
      <c r="E14" s="73" t="n">
        <v>-4167</v>
      </c>
      <c r="F14" s="73" t="n">
        <v>-7305</v>
      </c>
      <c r="G14" s="73" t="n">
        <v>-1772</v>
      </c>
      <c r="H14" s="73" t="n">
        <v>-2901</v>
      </c>
      <c r="I14" s="73" t="n">
        <v>-4139</v>
      </c>
      <c r="J14" s="73" t="n">
        <v>-11647</v>
      </c>
      <c r="K14" s="73" t="n">
        <v>-14725</v>
      </c>
      <c r="L14" s="73" t="n">
        <v>-22366</v>
      </c>
      <c r="M14" s="73" t="n">
        <v>-29879</v>
      </c>
      <c r="N14" s="73" t="n">
        <v>-33369</v>
      </c>
    </row>
    <row r="15">
      <c r="B15" t="inlineStr">
        <is>
          <t>Fixed assets sold</t>
        </is>
      </c>
      <c r="C15" t="n">
        <v>405</v>
      </c>
      <c r="D15" t="n">
        <v>30</v>
      </c>
      <c r="E15" t="n">
        <v>20</v>
      </c>
      <c r="F15" t="n">
        <v>11</v>
      </c>
      <c r="G15" t="n">
        <v>7</v>
      </c>
      <c r="H15" t="n">
        <v>180</v>
      </c>
      <c r="I15" t="n">
        <v>780</v>
      </c>
      <c r="J15" t="n">
        <v>2</v>
      </c>
      <c r="K15" t="n">
        <v>70</v>
      </c>
      <c r="L15" t="n">
        <v>120</v>
      </c>
      <c r="M15" t="n">
        <v>364</v>
      </c>
      <c r="N15" t="n">
        <v>19</v>
      </c>
    </row>
    <row r="16">
      <c r="B16" t="inlineStr">
        <is>
          <t>Investments purchased</t>
        </is>
      </c>
      <c r="C16" s="73" t="n">
        <v>-401</v>
      </c>
      <c r="D16" s="73" t="n">
        <v>8</v>
      </c>
      <c r="E16" s="73" t="n">
        <v>-52</v>
      </c>
      <c r="F16" s="73" t="n">
        <v>0</v>
      </c>
      <c r="G16" s="73" t="n">
        <v>0</v>
      </c>
      <c r="H16" s="73" t="n">
        <v>-40</v>
      </c>
      <c r="I16" s="73" t="n">
        <v>0</v>
      </c>
      <c r="J16" s="73" t="n">
        <v>-32</v>
      </c>
      <c r="K16" s="73" t="n">
        <v>-260</v>
      </c>
      <c r="L16" s="73" t="n">
        <v>-1191</v>
      </c>
      <c r="M16" s="73" t="n">
        <v>-1347</v>
      </c>
      <c r="N16" s="73" t="n">
        <v>-1489</v>
      </c>
    </row>
    <row r="17">
      <c r="B17" t="inlineStr">
        <is>
          <t>Investments sold</t>
        </is>
      </c>
      <c r="C17" s="73" t="n">
        <v>0</v>
      </c>
      <c r="D17" s="73" t="n">
        <v>0</v>
      </c>
      <c r="E17" s="73" t="n">
        <v>0</v>
      </c>
      <c r="F17" s="73" t="n">
        <v>6</v>
      </c>
      <c r="G17" s="73" t="n">
        <v>243</v>
      </c>
      <c r="H17" s="73" t="n">
        <v>0</v>
      </c>
      <c r="I17" s="73" t="n">
        <v>222</v>
      </c>
      <c r="J17" s="73" t="n">
        <v>89</v>
      </c>
      <c r="K17" s="73" t="n">
        <v>28</v>
      </c>
      <c r="L17" s="73" t="n">
        <v>159</v>
      </c>
      <c r="M17" s="73" t="n">
        <v>4751</v>
      </c>
      <c r="N17" s="73" t="n">
        <v>10799</v>
      </c>
    </row>
    <row r="18">
      <c r="B18" t="inlineStr">
        <is>
          <t>Interest received</t>
        </is>
      </c>
      <c r="C18" t="n">
        <v>872</v>
      </c>
      <c r="D18" t="n">
        <v>754</v>
      </c>
      <c r="E18" t="n">
        <v>651</v>
      </c>
      <c r="F18" t="n">
        <v>547</v>
      </c>
      <c r="G18" s="73" t="n">
        <v>476</v>
      </c>
      <c r="H18" s="73" t="n">
        <v>459</v>
      </c>
      <c r="I18" s="73" t="n">
        <v>322</v>
      </c>
      <c r="J18" s="73" t="n">
        <v>821</v>
      </c>
      <c r="K18" s="73" t="n">
        <v>608</v>
      </c>
      <c r="L18" s="73" t="n">
        <v>1127</v>
      </c>
      <c r="M18" s="73" t="n">
        <v>1184</v>
      </c>
      <c r="N18" t="n">
        <v>1042</v>
      </c>
    </row>
    <row r="19">
      <c r="B19" t="inlineStr">
        <is>
          <t>Dividends received</t>
        </is>
      </c>
      <c r="C19" t="n">
        <v>15</v>
      </c>
      <c r="D19" t="n">
        <v>177</v>
      </c>
      <c r="E19" t="n">
        <v>4</v>
      </c>
      <c r="F19" t="n">
        <v>4</v>
      </c>
      <c r="G19" t="n">
        <v>3</v>
      </c>
      <c r="H19" t="n">
        <v>0</v>
      </c>
      <c r="I19" t="n">
        <v>0</v>
      </c>
      <c r="J19" t="n">
        <v>0</v>
      </c>
      <c r="K19" t="n">
        <v>0</v>
      </c>
      <c r="L19" t="n">
        <v>11</v>
      </c>
      <c r="M19" t="n">
        <v>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-40</v>
      </c>
      <c r="E21" t="n">
        <v>-73</v>
      </c>
      <c r="F21" t="n">
        <v>-80</v>
      </c>
      <c r="G21" t="n">
        <v>-324</v>
      </c>
      <c r="H21" t="n">
        <v>-253</v>
      </c>
      <c r="I21" t="n">
        <v>-3488</v>
      </c>
      <c r="J21" t="n">
        <v>-363</v>
      </c>
      <c r="K21" t="n">
        <v>-1372</v>
      </c>
      <c r="L21" t="n">
        <v>-1070</v>
      </c>
      <c r="M21" t="n">
        <v>-1139</v>
      </c>
      <c r="N21" t="n">
        <v>-2262</v>
      </c>
    </row>
    <row r="22">
      <c r="B22" t="inlineStr">
        <is>
          <t>Redemp n Canc of Shares</t>
        </is>
      </c>
      <c r="C22" t="n">
        <v>0</v>
      </c>
      <c r="D22" t="n">
        <v>45</v>
      </c>
      <c r="E22" t="n">
        <v>0</v>
      </c>
      <c r="F22" t="n">
        <v>0</v>
      </c>
      <c r="G22" t="n">
        <v>1270</v>
      </c>
      <c r="H22" t="n">
        <v>0</v>
      </c>
      <c r="I22" t="n">
        <v>0</v>
      </c>
      <c r="J22" t="n">
        <v>0</v>
      </c>
      <c r="K22" t="n">
        <v>0</v>
      </c>
      <c r="L22" t="n">
        <v>0</v>
      </c>
      <c r="M22" t="n">
        <v>0</v>
      </c>
      <c r="N22" t="n">
        <v>0</v>
      </c>
    </row>
    <row r="23">
      <c r="B23" t="inlineStr">
        <is>
          <t>Other investing items</t>
        </is>
      </c>
      <c r="C23" s="73" t="n">
        <v>-558</v>
      </c>
      <c r="D23" s="73" t="n">
        <v>3173</v>
      </c>
      <c r="E23" s="73" t="n">
        <v>2157</v>
      </c>
      <c r="F23" s="73" t="n">
        <v>-832</v>
      </c>
      <c r="G23" s="73" t="n">
        <v>2584</v>
      </c>
      <c r="H23" s="73" t="n">
        <v>1474</v>
      </c>
      <c r="I23" s="73" t="n">
        <v>-2308</v>
      </c>
      <c r="J23" s="73" t="n">
        <v>-4426</v>
      </c>
      <c r="K23" t="n">
        <v>1105</v>
      </c>
      <c r="L23" s="73" t="n">
        <v>4458</v>
      </c>
      <c r="M23" t="n">
        <v>-208</v>
      </c>
      <c r="N23" s="73" t="n">
        <v>-1708</v>
      </c>
    </row>
    <row r="24">
      <c r="B24" t="inlineStr">
        <is>
          <t>Cash from Financing Activity -</t>
        </is>
      </c>
      <c r="C24" s="73" t="n">
        <v>3445</v>
      </c>
      <c r="D24" s="73" t="n">
        <v>-3448</v>
      </c>
      <c r="E24" s="73" t="n">
        <v>716</v>
      </c>
      <c r="F24" s="73" t="n">
        <v>5120</v>
      </c>
      <c r="G24" s="73" t="n">
        <v>-6158</v>
      </c>
      <c r="H24" s="73" t="n">
        <v>-221</v>
      </c>
      <c r="I24" s="73" t="n">
        <v>3109</v>
      </c>
      <c r="J24" s="73" t="n">
        <v>15901</v>
      </c>
      <c r="K24" s="73" t="n">
        <v>-1198</v>
      </c>
      <c r="L24" s="73" t="n">
        <v>8879</v>
      </c>
      <c r="M24" s="73" t="n">
        <v>22655</v>
      </c>
      <c r="N24" s="73" t="n">
        <v>28484</v>
      </c>
    </row>
    <row r="25">
      <c r="B25" t="inlineStr">
        <is>
          <t>Proceeds from shares</t>
        </is>
      </c>
      <c r="C25" t="n">
        <v>0</v>
      </c>
      <c r="D25" t="n">
        <v>0</v>
      </c>
      <c r="E25" s="73" t="n">
        <v>0</v>
      </c>
      <c r="F25" t="n">
        <v>0</v>
      </c>
      <c r="G25" t="n">
        <v>0</v>
      </c>
      <c r="H25" t="n">
        <v>0</v>
      </c>
      <c r="I25" t="n">
        <v>0</v>
      </c>
      <c r="J25" t="n">
        <v>0</v>
      </c>
      <c r="K25" s="73" t="n">
        <v>7700</v>
      </c>
      <c r="L25" s="73" t="n">
        <v>0</v>
      </c>
      <c r="M25" t="n">
        <v>4168</v>
      </c>
      <c r="N25" t="n">
        <v>24854</v>
      </c>
    </row>
    <row r="26">
      <c r="B26" t="inlineStr">
        <is>
          <t>Proceeds from borrowings</t>
        </is>
      </c>
      <c r="C26" t="n">
        <v>30297</v>
      </c>
      <c r="D26" t="n">
        <v>4772</v>
      </c>
      <c r="E26" t="n">
        <v>4266</v>
      </c>
      <c r="F26" t="n">
        <v>15069</v>
      </c>
      <c r="G26" t="n">
        <v>3031</v>
      </c>
      <c r="H26" t="n">
        <v>4435</v>
      </c>
      <c r="I26" t="n">
        <v>7520</v>
      </c>
      <c r="J26" t="n">
        <v>18364</v>
      </c>
      <c r="K26" t="n">
        <v>30339</v>
      </c>
      <c r="L26" t="n">
        <v>22522</v>
      </c>
      <c r="M26" t="n">
        <v>34819</v>
      </c>
      <c r="N26" s="73" t="n">
        <v>40870</v>
      </c>
    </row>
    <row r="27">
      <c r="B27" t="inlineStr">
        <is>
          <t>Repayment of borrowings</t>
        </is>
      </c>
      <c r="C27" t="n">
        <v>-18760</v>
      </c>
      <c r="D27" t="n">
        <v>-6518</v>
      </c>
      <c r="E27" t="n">
        <v>-2547</v>
      </c>
      <c r="F27" t="n">
        <v>-8484</v>
      </c>
      <c r="G27" t="n">
        <v>-7636</v>
      </c>
      <c r="H27" t="n">
        <v>-3255</v>
      </c>
      <c r="I27" t="n">
        <v>-3047</v>
      </c>
      <c r="J27" t="n">
        <v>-270</v>
      </c>
      <c r="K27" t="n">
        <v>-34403</v>
      </c>
      <c r="L27" t="n">
        <v>-10717</v>
      </c>
      <c r="M27" t="n">
        <v>-9910</v>
      </c>
      <c r="N27" t="n">
        <v>-33623</v>
      </c>
    </row>
    <row r="28">
      <c r="B28" t="inlineStr">
        <is>
          <t>Interest paid fin</t>
        </is>
      </c>
      <c r="C28" t="n">
        <v>-7941</v>
      </c>
      <c r="D28" t="n">
        <v>-1494</v>
      </c>
      <c r="E28" t="n">
        <v>-1581</v>
      </c>
      <c r="F28" t="n">
        <v>-1726</v>
      </c>
      <c r="G28" t="n">
        <v>-1606</v>
      </c>
      <c r="H28" t="n">
        <v>-1532</v>
      </c>
      <c r="I28" t="n">
        <v>-1212</v>
      </c>
      <c r="J28" t="n">
        <v>-2601</v>
      </c>
      <c r="K28" t="n">
        <v>-3342</v>
      </c>
      <c r="L28" t="n">
        <v>-4055</v>
      </c>
      <c r="M28" t="n">
        <v>-5599</v>
      </c>
      <c r="N28" t="n">
        <v>-5102</v>
      </c>
    </row>
    <row r="29">
      <c r="B29" t="inlineStr">
        <is>
          <t>Dividends paid</t>
        </is>
      </c>
      <c r="C29" s="73" t="n">
        <v>-146</v>
      </c>
      <c r="D29" s="73" t="n">
        <v>-208</v>
      </c>
      <c r="E29" s="73" t="n">
        <v>0</v>
      </c>
      <c r="F29" s="73" t="n">
        <v>-53</v>
      </c>
      <c r="G29" s="73" t="n">
        <v>-53</v>
      </c>
      <c r="H29" s="73" t="n">
        <v>-186</v>
      </c>
      <c r="I29" s="73" t="n">
        <v>0</v>
      </c>
      <c r="J29" s="73" t="n">
        <v>-110</v>
      </c>
      <c r="K29" s="73" t="n">
        <v>-114</v>
      </c>
      <c r="L29" s="73" t="n">
        <v>-137</v>
      </c>
      <c r="M29" s="73" t="n">
        <v>-148</v>
      </c>
      <c r="N29" s="73" t="n">
        <v>-640</v>
      </c>
    </row>
    <row r="30">
      <c r="B30" t="inlineStr">
        <is>
          <t>Financial liabilities</t>
        </is>
      </c>
      <c r="C30" t="n">
        <v>0</v>
      </c>
      <c r="D30" t="n">
        <v>0</v>
      </c>
      <c r="E30" t="n">
        <v>0</v>
      </c>
      <c r="F30" t="n">
        <v>0</v>
      </c>
      <c r="G30" t="n">
        <v>0</v>
      </c>
      <c r="H30" t="n">
        <v>-40</v>
      </c>
      <c r="I30" t="n">
        <v>-18</v>
      </c>
      <c r="J30" t="n">
        <v>-107</v>
      </c>
      <c r="K30" t="n">
        <v>-746</v>
      </c>
      <c r="L30" t="n">
        <v>-1495</v>
      </c>
      <c r="M30" t="n">
        <v>-1435</v>
      </c>
      <c r="N30" t="n">
        <v>-1713</v>
      </c>
    </row>
    <row r="31">
      <c r="B31" t="inlineStr">
        <is>
          <t>Other financing items</t>
        </is>
      </c>
      <c r="C31" t="n">
        <v>-5</v>
      </c>
      <c r="D31" t="n">
        <v>0</v>
      </c>
      <c r="E31" s="73" t="n">
        <v>577</v>
      </c>
      <c r="F31" s="73" t="n">
        <v>313</v>
      </c>
      <c r="G31" s="73" t="n">
        <v>105</v>
      </c>
      <c r="H31" s="73" t="n">
        <v>357</v>
      </c>
      <c r="I31" t="n">
        <v>-135</v>
      </c>
      <c r="J31" t="n">
        <v>626</v>
      </c>
      <c r="K31" t="n">
        <v>-631</v>
      </c>
      <c r="L31" t="n">
        <v>2761</v>
      </c>
      <c r="M31" t="n">
        <v>761</v>
      </c>
      <c r="N31" t="n">
        <v>3839</v>
      </c>
    </row>
    <row r="32">
      <c r="B32" t="inlineStr">
        <is>
          <t>Net Cash Flow</t>
        </is>
      </c>
      <c r="C32" t="n">
        <v>512</v>
      </c>
      <c r="D32" t="n">
        <v>-161</v>
      </c>
      <c r="E32" t="n">
        <v>30</v>
      </c>
      <c r="F32" t="n">
        <v>413</v>
      </c>
      <c r="G32" t="n">
        <v>-436</v>
      </c>
      <c r="H32" t="n">
        <v>1151</v>
      </c>
      <c r="I32" t="n">
        <v>-1459</v>
      </c>
      <c r="J32" t="n">
        <v>246</v>
      </c>
      <c r="K32" t="n">
        <v>970</v>
      </c>
      <c r="L32" t="n">
        <v>424</v>
      </c>
      <c r="M32" t="n">
        <v>751</v>
      </c>
      <c r="N32" t="n">
        <v>3161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s="195">
        <f>'Data Sheet'!L74</f>
        <v/>
      </c>
      <c r="N60" s="195">
        <f>'Data Sheet'!M74</f>
        <v/>
      </c>
      <c r="O60" s="195">
        <f>'Data Sheet'!N74</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FS'!C51:C53),0)</f>
        <v/>
      </c>
      <c r="D21" s="46">
        <f>IFERROR('Historical FS'!D25/SUM('Historical FS'!D51:D53),0)</f>
        <v/>
      </c>
      <c r="E21" s="46">
        <f>IFERROR('Historical FS'!E25/SUM('Historical FS'!E51:E53),0)</f>
        <v/>
      </c>
      <c r="F21" s="46">
        <f>IFERROR('Historical FS'!F25/SUM('Historical FS'!F51:F53),0)</f>
        <v/>
      </c>
      <c r="G21" s="46">
        <f>IFERROR('Historical FS'!G25/SUM('Historical FS'!G51:G53),0)</f>
        <v/>
      </c>
      <c r="H21" s="46">
        <f>IFERROR('Historical FS'!H25/SUM('Historical FS'!H51:H53),0)</f>
        <v/>
      </c>
      <c r="I21" s="46">
        <f>IFERROR('Historical FS'!I25/SUM('Historical FS'!I51:I53),0)</f>
        <v/>
      </c>
      <c r="J21" s="46">
        <f>IFERROR('Historical FS'!J25/SUM('Historical FS'!J51:J53),0)</f>
        <v/>
      </c>
      <c r="K21" s="46">
        <f>IFERROR('Historical FS'!K25/SUM('Historical FS'!K51:K53),0)</f>
        <v/>
      </c>
      <c r="L21" s="46">
        <f>IFERROR('Historical FS'!L25/SUM('Historical FS'!L51:L53),0)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FS'!C51:C52),0)</f>
        <v/>
      </c>
      <c r="D23" s="46">
        <f>IFERROR('Historical FS'!D37/SUM('Historical FS'!D51:D52),0)</f>
        <v/>
      </c>
      <c r="E23" s="46">
        <f>IFERROR('Historical FS'!E37/SUM('Historical FS'!E51:E52),0)</f>
        <v/>
      </c>
      <c r="F23" s="46">
        <f>IFERROR('Historical FS'!F37/SUM('Historical FS'!F51:F52),0)</f>
        <v/>
      </c>
      <c r="G23" s="46">
        <f>IFERROR('Historical FS'!G37/SUM('Historical FS'!G51:G52),0)</f>
        <v/>
      </c>
      <c r="H23" s="46">
        <f>IFERROR('Historical FS'!H37/SUM('Historical FS'!H51:H52),0)</f>
        <v/>
      </c>
      <c r="I23" s="46">
        <f>IFERROR('Historical FS'!I37/SUM('Historical FS'!I51:I52),0)</f>
        <v/>
      </c>
      <c r="J23" s="46">
        <f>IFERROR('Historical FS'!J37/SUM('Historical FS'!J51:J52),0)</f>
        <v/>
      </c>
      <c r="K23" s="46">
        <f>IFERROR('Historical FS'!K37/SUM('Historical FS'!K51:K52),0)</f>
        <v/>
      </c>
      <c r="L23" s="46">
        <f>IFERROR('Historical FS'!L37/SUM('Historical FS'!L51:L52),0)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FS'!C51:C52),0)</f>
        <v/>
      </c>
      <c r="D31" s="158">
        <f>IFERROR('Historical FS'!D7/SUM('Historical FS'!D51:D52),0)</f>
        <v/>
      </c>
      <c r="E31" s="158">
        <f>IFERROR('Historical FS'!E7/SUM('Historical FS'!E51:E52),0)</f>
        <v/>
      </c>
      <c r="F31" s="158">
        <f>IFERROR('Historical FS'!F7/SUM('Historical FS'!F51:F52),0)</f>
        <v/>
      </c>
      <c r="G31" s="158">
        <f>IFERROR('Historical FS'!G7/SUM('Historical FS'!G51:G52),0)</f>
        <v/>
      </c>
      <c r="H31" s="158">
        <f>IFERROR('Historical FS'!H7/SUM('Historical FS'!H51:H52),0)</f>
        <v/>
      </c>
      <c r="I31" s="158">
        <f>IFERROR('Historical FS'!I7/SUM('Historical FS'!I51:I52),0)</f>
        <v/>
      </c>
      <c r="J31" s="158">
        <f>IFERROR('Historical FS'!J7/SUM('Historical FS'!J51:J52),0)</f>
        <v/>
      </c>
      <c r="K31" s="158">
        <f>IFERROR('Historical FS'!K7/SUM('Historical FS'!K51:K52),0)</f>
        <v/>
      </c>
      <c r="L31" s="158">
        <f>IFERROR('Historical FS'!L7/SUM('Historical FS'!L51:L52),0)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f>Control!C13&amp;" Daily Returns"</f>
        <v/>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IF(ISNUMBER(O11), O11, 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IF(COUNT(D11:D252)&lt;120, "Insufficient History (&lt; 120 Days)", SLOPE(D11:D252, H11:H252))</f>
        <v/>
      </c>
    </row>
    <row r="12">
      <c r="B12" s="34">
        <f>'Raw Data'!G8</f>
        <v/>
      </c>
      <c r="C12">
        <f>'Raw Data'!H8</f>
        <v/>
      </c>
      <c r="D12" s="36">
        <f>C11/C12-1</f>
        <v/>
      </c>
      <c r="F12" s="34">
        <f>'Raw Data'!G8</f>
        <v/>
      </c>
      <c r="G12">
        <f>'Raw Data'!J8</f>
        <v/>
      </c>
      <c r="H12" s="36">
        <f>G11/G12-1</f>
        <v/>
      </c>
      <c r="J12" t="inlineStr">
        <is>
          <t>Market Beta</t>
        </is>
      </c>
      <c r="L12" s="47" t="n">
        <v>1</v>
      </c>
      <c r="N12" t="inlineStr">
        <is>
          <t>Beta 2</t>
        </is>
      </c>
      <c r="O12">
        <f>IF(COUNT(D11:D252)&lt;120, "N/A", _xlfn.COVARIANCE.S(D11:D252, H11:H252)/_xlfn.VAR.S(H11:H252))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1.34</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0.82</v>
      </c>
      <c r="K15" s="47">
        <f>J15/(1+(1-G15)*H15)</f>
        <v/>
      </c>
    </row>
    <row r="16">
      <c r="B16" s="119">
        <f>'Raw Data'!O26</f>
        <v/>
      </c>
      <c r="C16" s="119" t="n"/>
      <c r="D16" s="119">
        <f>'Raw Data'!Q26</f>
        <v/>
      </c>
      <c r="E16" s="124">
        <f>'Raw Data'!R26</f>
        <v/>
      </c>
      <c r="F16" s="124">
        <f>'Raw Data'!S26</f>
        <v/>
      </c>
      <c r="G16" s="120">
        <f>'Raw Data'!T26</f>
        <v/>
      </c>
      <c r="H16" s="36">
        <f>E16/F16</f>
        <v/>
      </c>
      <c r="I16" s="36">
        <f>E16/SUM(E16:F16)</f>
        <v/>
      </c>
      <c r="J16">
        <f>'Beta-Regression'!O11</f>
        <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1.42</v>
      </c>
      <c r="K17" s="47">
        <f>J17/(1+(1-G17)*H17)</f>
        <v/>
      </c>
    </row>
    <row r="18">
      <c r="B18" s="119">
        <f>'Raw Data'!O28</f>
        <v/>
      </c>
      <c r="C18" s="119" t="n"/>
      <c r="D18" s="119">
        <f>'Raw Data'!Q28</f>
        <v/>
      </c>
      <c r="E18" s="124">
        <f>'Raw Data'!R28</f>
        <v/>
      </c>
      <c r="F18" s="124">
        <f>'Raw Data'!S28</f>
        <v/>
      </c>
      <c r="G18" s="120">
        <f>'Raw Data'!T28</f>
        <v/>
      </c>
      <c r="H18" s="36">
        <f>E18/F18</f>
        <v/>
      </c>
      <c r="I18" s="36">
        <f>E18/SUM(E18:F18)</f>
        <v/>
      </c>
      <c r="J18" t="n">
        <v>1.45</v>
      </c>
      <c r="K18" s="47">
        <f>J18/(1+(1-G18)*H18)</f>
        <v/>
      </c>
    </row>
    <row r="20">
      <c r="F20" s="122" t="inlineStr">
        <is>
          <t>Average</t>
        </is>
      </c>
      <c r="G20" s="69">
        <f>AVERAGE(G14:G15,G17:G18)</f>
        <v/>
      </c>
      <c r="H20" s="69">
        <f>AVERAGE(H14:H15,H17:H18)</f>
        <v/>
      </c>
      <c r="I20" s="69">
        <f>AVERAGE(I14:I15,I17:I18)</f>
        <v/>
      </c>
      <c r="J20" s="69">
        <f>AVERAGE(J14:J15,J17:J18)</f>
        <v/>
      </c>
      <c r="K20" s="69">
        <f>AVERAGE(K14:K15,K17:K18)</f>
        <v/>
      </c>
    </row>
    <row r="21">
      <c r="F21" s="68" t="inlineStr">
        <is>
          <t>Median</t>
        </is>
      </c>
      <c r="G21" s="70">
        <f>MEDIAN(G14:G15,G17:G18)</f>
        <v/>
      </c>
      <c r="H21" s="70">
        <f>MEDIAN(H14:H15,H17:H18)</f>
        <v/>
      </c>
      <c r="I21" s="70">
        <f>MEDIAN(I14:I15,I17:I18)</f>
        <v/>
      </c>
      <c r="J21" s="70">
        <f>MEDIAN(J14:J15,J17:J18)</f>
        <v/>
      </c>
      <c r="K21" s="70">
        <f>MEDIAN(K14:K15,K17:K18)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f>IF(AVERAGE(INDEX('Data Sheet'!$B59:$K59, Control!$C$26-1), INDEX('Data Sheet'!$B59:$K59, Control!$C$26))&lt;=0, Control!$C$17+Control!$C$29, IF(OR((INDEX('Data Sheet'!$B27:$K27, Control!$C$26)/AVERAGE(INDEX('Data Sheet'!$B59:$K59, Control!$C$26-1), INDEX('Data Sheet'!$B59:$K59, Control!$C$26)))&lt;Control!$C$17, (INDEX('Data Sheet'!$B27:$K27, Control!$C$26)/AVERAGE(INDEX('Data Sheet'!$B59:$K59, Control!$C$26-1), INDEX('Data Sheet'!$B59:$K59, Control!$C$26)))&gt;Control!$C$17+Control!$C$30), Control!$C$17+Control!$C$29, INDEX('Data Sheet'!$B27:$K27, Control!$C$26)/AVERAGE(INDEX('Data Sheet'!$B59:$K59, Control!$C$26-1), INDEX('Data Sheet'!$B59:$K59, Control!$C$26))))</f>
        <v/>
      </c>
      <c r="G26" t="inlineStr">
        <is>
          <t>Risk Free Rate (RBI 10Y G-Sec)</t>
        </is>
      </c>
      <c r="K26" s="121">
        <f>Control!C17</f>
        <v/>
      </c>
    </row>
    <row r="27">
      <c r="B27" t="inlineStr">
        <is>
          <t>Tax Rate</t>
        </is>
      </c>
      <c r="E27" s="46">
        <f>Control!C20</f>
        <v/>
      </c>
      <c r="G27" t="inlineStr">
        <is>
          <t>Equity Risk Premium (Damodaran)</t>
        </is>
      </c>
      <c r="K27" s="121">
        <f>Control!C18</f>
        <v/>
      </c>
    </row>
    <row r="28">
      <c r="B28" s="67" t="inlineStr">
        <is>
          <t>Post-Tax Cost of Debt</t>
        </is>
      </c>
      <c r="C28" s="64" t="n"/>
      <c r="D28" s="64" t="n"/>
      <c r="E28" s="66">
        <f>E26*(1-E27)</f>
        <v/>
      </c>
      <c r="G28" t="inlineStr">
        <is>
          <t>Levered Beta (peer-median unlevered, relevered at target D/E)</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C34/C36</f>
        <v/>
      </c>
      <c r="G34" t="inlineStr">
        <is>
          <t>Target Debt/Equity</t>
        </is>
      </c>
      <c r="K34" s="46">
        <f>E38</f>
        <v/>
      </c>
    </row>
    <row r="35">
      <c r="B35" t="inlineStr">
        <is>
          <t>Market Capitalization</t>
        </is>
      </c>
      <c r="C35" s="107">
        <f>F16</f>
        <v/>
      </c>
      <c r="D35" s="36">
        <f>C35/C$36</f>
        <v/>
      </c>
      <c r="E35" s="46">
        <f>C35/C36</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C34/C35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(K40*K41)+(K43*K44)+Control!$M$10</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L71"/>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FS'!Z6-'Raw FS'!Z10</f>
        <v/>
      </c>
      <c r="I38" s="146">
        <f>'Raw FS'!AA6-'Raw FS'!AA10</f>
        <v/>
      </c>
      <c r="J38" s="146">
        <f>'Raw FS'!AB6-'Raw FS'!AB10</f>
        <v/>
      </c>
      <c r="K38" s="146">
        <f>'Raw FS'!AC6-'Raw FS'!AC10</f>
        <v/>
      </c>
      <c r="L38" s="146">
        <f>'Raw FS'!AD6-'Raw FS'!AD10</f>
        <v/>
      </c>
    </row>
    <row r="39" ht="7.8" customHeight="1" s="176" thickBot="1"/>
    <row r="40" ht="15" customHeight="1" s="176" thickBot="1">
      <c r="B40" s="141" t="inlineStr">
        <is>
          <t>ROIC (After-Tax NOPAT / Invested Capital)</t>
        </is>
      </c>
      <c r="C40" s="141" t="n"/>
      <c r="D40" s="141" t="n"/>
      <c r="E40" s="141" t="n"/>
      <c r="F40" s="141" t="n"/>
      <c r="G40" s="141" t="n"/>
      <c r="H40" s="144">
        <f>H38*(1-'Raw Data'!$T$24)/H37</f>
        <v/>
      </c>
      <c r="I40" s="144">
        <f>I38*(1-'Raw Data'!$T$24)/I37</f>
        <v/>
      </c>
      <c r="J40" s="144">
        <f>J38*(1-'Raw Data'!$T$24)/J37</f>
        <v/>
      </c>
      <c r="K40" s="144">
        <f>K38*(1-'Raw Data'!$T$24)/K37</f>
        <v/>
      </c>
      <c r="L40" s="144">
        <f>L38*(1-'Raw Data'!$T$24)/L37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FS'!Z27:Z28)-'Raw FS'!Z10</f>
        <v/>
      </c>
      <c r="I44" s="130">
        <f>-SUM('Raw FS'!AA27:AA28)-'Raw FS'!AA10</f>
        <v/>
      </c>
      <c r="J44" s="130">
        <f>-SUM('Raw FS'!AB27:AB28)-'Raw FS'!AB10</f>
        <v/>
      </c>
      <c r="K44" s="130">
        <f>-SUM('Raw FS'!AC27:AC28)-'Raw FS'!AC10</f>
        <v/>
      </c>
      <c r="L44" s="130">
        <f>-SUM('Raw FS'!AD27:AD28)-'Raw FS'!AD10</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'Raw Data'!T24</f>
        <v/>
      </c>
      <c r="I48" s="81">
        <f>'Raw Data'!T24</f>
        <v/>
      </c>
      <c r="J48" s="81">
        <f>'Raw Data'!T24</f>
        <v/>
      </c>
      <c r="K48" s="81">
        <f>'Raw Data'!T24</f>
        <v/>
      </c>
      <c r="L48" s="81">
        <f>'Raw Data'!T24</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Total Reinvestment (Δ Invested Capital)</t>
        </is>
      </c>
      <c r="H51" s="180">
        <f>H37-G37</f>
        <v/>
      </c>
      <c r="I51" s="107">
        <f>I37-H37</f>
        <v/>
      </c>
      <c r="J51" s="107">
        <f>J37-I37</f>
        <v/>
      </c>
      <c r="K51" s="107">
        <f>K37-J37</f>
        <v/>
      </c>
      <c r="L51" s="107">
        <f>L37-K37</f>
        <v/>
      </c>
    </row>
    <row r="52" ht="15" customHeight="1" s="176" thickBot="1">
      <c r="B52" s="127" t="inlineStr">
        <is>
          <t>Reinvestment Rate</t>
        </is>
      </c>
      <c r="C52" s="127" t="n"/>
      <c r="D52" s="127" t="n"/>
      <c r="E52" s="127" t="n"/>
      <c r="F52" s="127" t="n"/>
      <c r="G52" s="127" t="n"/>
      <c r="H52" s="147">
        <f>H51/H49</f>
        <v/>
      </c>
      <c r="I52" s="143">
        <f>I51/I49</f>
        <v/>
      </c>
      <c r="J52" s="143">
        <f>J51/J49</f>
        <v/>
      </c>
      <c r="K52" s="143">
        <f>K51/K49</f>
        <v/>
      </c>
      <c r="L52" s="143">
        <f>L51/L49</f>
        <v/>
      </c>
    </row>
    <row r="54">
      <c r="J54" s="37" t="inlineStr">
        <is>
          <t>4 Year Average</t>
        </is>
      </c>
      <c r="K54" s="37" t="n"/>
      <c r="L54" s="114">
        <f>AVERAGE(I52:L52)</f>
        <v/>
      </c>
    </row>
    <row r="55">
      <c r="J55" s="234" t="inlineStr">
        <is>
          <t>4 Col Median (I:L)</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f>H52</f>
        <v/>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f>H59*H60</f>
        <v/>
      </c>
      <c r="I62" s="135">
        <f>I52*I40</f>
        <v/>
      </c>
      <c r="J62" s="135">
        <f>J52*J40</f>
        <v/>
      </c>
      <c r="K62" s="135">
        <f>K52*K40</f>
        <v/>
      </c>
      <c r="L62" s="135">
        <f>L52*L40</f>
        <v/>
      </c>
    </row>
    <row r="64">
      <c r="J64" s="37" t="inlineStr">
        <is>
          <t>4 Year Average</t>
        </is>
      </c>
      <c r="K64" s="37" t="n"/>
      <c r="L64" s="114">
        <f>AVERAGE(I62:L62)</f>
        <v/>
      </c>
    </row>
    <row r="65">
      <c r="J65" s="234" t="inlineStr">
        <is>
          <t>4 Col Median (I:L)</t>
        </is>
      </c>
      <c r="K65" s="37" t="n"/>
      <c r="L65" s="114">
        <f>MEDIAN(I62:L62)</f>
        <v/>
      </c>
    </row>
    <row r="67">
      <c r="B67" t="inlineStr">
        <is>
          <t>ORGANIC REINVESTMENT CROSS-CHECK (info only - not wired to DCF)</t>
        </is>
      </c>
    </row>
    <row r="68">
      <c r="B68" t="inlineStr">
        <is>
          <t>Organic Reinvestment (Net Capex + Change in WC)</t>
        </is>
      </c>
      <c r="I68" s="278">
        <f>I44+I45</f>
        <v/>
      </c>
      <c r="J68" s="278">
        <f>J44+J45</f>
        <v/>
      </c>
      <c r="K68" s="278">
        <f>K44+K45</f>
        <v/>
      </c>
      <c r="L68" s="278">
        <f>L44+L45</f>
        <v/>
      </c>
    </row>
    <row r="69">
      <c r="B69" t="inlineStr">
        <is>
          <t>Organic Reinvestment Rate (on NOPAT)</t>
        </is>
      </c>
      <c r="I69" s="280">
        <f>I68/I49</f>
        <v/>
      </c>
      <c r="J69" s="280">
        <f>J68/J49</f>
        <v/>
      </c>
      <c r="K69" s="280">
        <f>K68/K49</f>
        <v/>
      </c>
      <c r="L69" s="280">
        <f>L68/L49</f>
        <v/>
      </c>
    </row>
    <row r="70">
      <c r="B70" t="inlineStr">
        <is>
          <t>Organic 4-Year Median</t>
        </is>
      </c>
      <c r="L70" s="280">
        <f>MEDIAN(I69:L69)</f>
        <v/>
      </c>
    </row>
    <row r="71">
      <c r="B71" t="inlineStr">
        <is>
          <t>Currently used in DCF (L55 - median of I:L; acquisition-year spikes can distort it)</t>
        </is>
      </c>
      <c r="L71" s="280">
        <f>L55</f>
        <v/>
      </c>
    </row>
  </sheetData>
  <pageMargins left="0.7" right="0.7" top="0.75" bottom="0.75" header="0.3" footer="0.3"/>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M83"/>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274">
        <f>IF(Control!$C$12="Residual Income", "FINANCIAL INSTITUTION: Refer to Residual Income Schedule", IF(OR(INDEX('Data Sheet'!$B26:$K26, Control!$C$26)&lt;=0, 'Intrinsic Valuation'!L40&lt;=0), "NOTICE: Negative EBIT / ROIC. Standard FCFF DCF Not Applicable. Use Relative Valuation.", "ACTIVE FCFF DCF MODEL"))</f>
        <v/>
      </c>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EDATE(H6, 12)</f>
        <v/>
      </c>
      <c r="J6" s="78">
        <f>EDATE(I6, 12)</f>
        <v/>
      </c>
      <c r="K6" s="78">
        <f>EDATE(J6, 12)</f>
        <v/>
      </c>
      <c r="L6" s="78">
        <f>EDATE(K6, 12)</f>
        <v/>
      </c>
      <c r="M6" s="78">
        <f>EDATE(L6, 12)</f>
        <v/>
      </c>
    </row>
    <row r="7" ht="6.6" customHeight="1" s="176"/>
    <row r="8">
      <c r="B8" s="72" t="inlineStr">
        <is>
          <t>EBIT</t>
        </is>
      </c>
      <c r="C8" s="72" t="n"/>
      <c r="D8" s="72" t="n"/>
      <c r="E8" s="72" t="n"/>
      <c r="F8" s="72" t="n"/>
      <c r="G8" s="72" t="n"/>
      <c r="H8" s="130">
        <f>'Intrinsic Valuation'!L38</f>
        <v/>
      </c>
      <c r="I8" s="130">
        <f>H8*(1+I11*'Intrinsic Valuation'!$L$40*Control!$K$10)</f>
        <v/>
      </c>
      <c r="J8" s="130">
        <f>I8*(1+J11*'Intrinsic Valuation'!$L$40*Control!$K$10)</f>
        <v/>
      </c>
      <c r="K8" s="130">
        <f>J8*(1+K11*'Intrinsic Valuation'!$L$40*Control!$K$10)</f>
        <v/>
      </c>
      <c r="L8" s="130">
        <f>K8*(1+L11*'Intrinsic Valuation'!$L$40*Control!$K$10)</f>
        <v/>
      </c>
      <c r="M8" s="130">
        <f>L8*(1+M11*'Intrinsic Valuation'!$L$40*Control!$K$10)</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MIN(Control!$C$22, MAX(0, 'Intrinsic Valuation'!$L$55))</f>
        <v/>
      </c>
      <c r="J11" s="81">
        <f>MIN(Control!$C$22, $I$11+($M$11-$I$11)/4*1)</f>
        <v/>
      </c>
      <c r="K11" s="81">
        <f>MIN(Control!$C$22, $I$11+($M$11-$I$11)/4*2)</f>
        <v/>
      </c>
      <c r="L11" s="81">
        <f>MIN(Control!$C$22, $I$11+($M$11-$I$11)/4*3)</f>
        <v/>
      </c>
      <c r="M11" s="81">
        <f>MIN(Control!$C$22, D21)</f>
        <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t="n">
        <v>1.5</v>
      </c>
      <c r="K13" s="72" t="n">
        <v>2.5</v>
      </c>
      <c r="L13" s="72" t="n">
        <v>3.5</v>
      </c>
      <c r="M13" s="72" t="n">
        <v>4.5</v>
      </c>
    </row>
    <row r="14">
      <c r="B14" s="72" t="inlineStr">
        <is>
          <t>Discounting Factor</t>
        </is>
      </c>
      <c r="C14" s="72" t="n"/>
      <c r="D14" s="72" t="n"/>
      <c r="E14" s="72" t="n"/>
      <c r="F14" s="72" t="n"/>
      <c r="G14" s="72" t="n"/>
      <c r="H14" s="72" t="n"/>
      <c r="I14" s="72">
        <f>(1+$D$20)^(-I13)</f>
        <v/>
      </c>
      <c r="J14" s="72">
        <f>(1+$D$20)^(-J13)</f>
        <v/>
      </c>
      <c r="K14" s="72">
        <f>(1+$D$20)^(-K13)</f>
        <v/>
      </c>
      <c r="L14" s="72">
        <f>(1+$D$20)^(-L13)</f>
        <v/>
      </c>
      <c r="M14" s="72">
        <f>(1+$D$20)^(-M13)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f>'Intrinsic Valuation'!L64</f>
        <v/>
      </c>
    </row>
    <row r="19">
      <c r="B19" s="79" t="inlineStr">
        <is>
          <t>Terminal Growth Rate</t>
        </is>
      </c>
      <c r="C19" s="79" t="n"/>
      <c r="D19" s="80">
        <f>Control!C21</f>
        <v/>
      </c>
    </row>
    <row r="20">
      <c r="B20" s="79" t="inlineStr">
        <is>
          <t>WACC</t>
        </is>
      </c>
      <c r="C20" s="79" t="n"/>
      <c r="D20" s="80">
        <f>WACC!K46</f>
        <v/>
      </c>
    </row>
    <row r="21">
      <c r="B21" s="79" t="inlineStr">
        <is>
          <t>Terminal Reinvestment Rate</t>
        </is>
      </c>
      <c r="C21" s="79" t="n"/>
      <c r="D21" s="80">
        <f>D19/D22</f>
        <v/>
      </c>
    </row>
    <row r="22">
      <c r="B22" t="inlineStr">
        <is>
          <t>Terminal ROIC (Stable)</t>
        </is>
      </c>
      <c r="D22" s="46">
        <f>MAX('Intrinsic Valuation'!L40,D20)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D33+D34</f>
        <v/>
      </c>
    </row>
    <row r="36"/>
    <row r="37">
      <c r="B37" t="inlineStr">
        <is>
          <t>Add: Cash &amp; Liquid Investments</t>
        </is>
      </c>
      <c r="D37" s="107">
        <f>INDEX('Data Sheet'!$B69:$K69, Control!$C$26) + INDEX('Data Sheet'!$B64:$K64, Control!$C$26)*(1-Control!$C$23)</f>
        <v/>
      </c>
    </row>
    <row r="38">
      <c r="B38" t="inlineStr">
        <is>
          <t>Less: Debt</t>
        </is>
      </c>
      <c r="D38" s="107">
        <f>INDEX('Data Sheet'!$B59:$K59, Control!$C$26)</f>
        <v/>
      </c>
    </row>
    <row r="39">
      <c r="B39" s="234" t="inlineStr">
        <is>
          <t>Less: Minority Interest</t>
        </is>
      </c>
      <c r="C39" s="37" t="n"/>
      <c r="D39" s="235">
        <f>IF(Control!$C$24="Market Multiple", INDEX('Data Sheet'!$B73:$K73, Control!$C$26)*1.2, INDEX('Data Sheet'!$B73:$K73, Control!$C$26))</f>
        <v/>
      </c>
    </row>
    <row r="40">
      <c r="B40" s="234" t="inlineStr">
        <is>
          <t>Equity Value</t>
        </is>
      </c>
      <c r="D40" s="235">
        <f>D35+D37-D38-D39</f>
        <v/>
      </c>
    </row>
    <row r="41">
      <c r="B41" s="236" t="inlineStr">
        <is>
          <t>No. of Shares</t>
        </is>
      </c>
      <c r="D41" s="237">
        <f>INDEX('Data Sheet'!$B70:$K70, Control!$C$26)/Control!$C$9</f>
        <v/>
      </c>
    </row>
    <row r="42" ht="15" customHeight="1" s="176" thickBot="1">
      <c r="B42" s="238" t="n"/>
      <c r="C42" s="238" t="n"/>
      <c r="D42" s="238" t="n"/>
    </row>
    <row r="43">
      <c r="B43" s="239" t="inlineStr">
        <is>
          <t>Equity Value per Share</t>
        </is>
      </c>
      <c r="D43" s="240">
        <f>D40/D41</f>
        <v/>
      </c>
    </row>
    <row r="44">
      <c r="B44" s="238" t="n"/>
      <c r="C44" s="238" t="n"/>
      <c r="D44" s="238" t="n"/>
    </row>
    <row r="45">
      <c r="B45" s="238" t="inlineStr">
        <is>
          <t>Share Price</t>
        </is>
      </c>
      <c r="D45" s="241">
        <f>'Data Sheet'!B8</f>
        <v/>
      </c>
    </row>
    <row r="46">
      <c r="B46" s="238" t="inlineStr">
        <is>
          <t>Upside / (Downside)</t>
        </is>
      </c>
      <c r="D46" s="242">
        <f>D43/D45-1</f>
        <v/>
      </c>
    </row>
    <row r="47">
      <c r="B47" s="243" t="n"/>
      <c r="C47" s="243" t="n"/>
      <c r="D47" s="243" t="n"/>
    </row>
    <row r="48"/>
    <row r="49">
      <c r="B49" s="258" t="inlineStr">
        <is>
          <t>2D SENSITIVITY ANALYSIS: IMPLIED SHARE PRICE (INR)</t>
        </is>
      </c>
    </row>
    <row r="50">
      <c r="B50" s="246" t="inlineStr">
        <is>
          <t>WACC \ Terminal Growth (g)</t>
        </is>
      </c>
      <c r="E50" s="275">
        <f>D19+(-0.01)</f>
        <v/>
      </c>
      <c r="F50" s="275">
        <f>D19+(-0.005)</f>
        <v/>
      </c>
      <c r="G50" s="275">
        <f>D19+(0)</f>
        <v/>
      </c>
      <c r="H50" s="275">
        <f>D19+(0.005)</f>
        <v/>
      </c>
      <c r="I50" s="275">
        <f>D19+(0.01)</f>
        <v/>
      </c>
    </row>
    <row r="51">
      <c r="B51" s="275">
        <f>D20+(-0.01)</f>
        <v/>
      </c>
      <c r="E51" s="276">
        <f>IF($B51&lt;=E$50,"n/a",MAX(0,(SUMPRODUCT($I$12:$M$12,(1+$B51)^(-$I$13:$M$13))+($M$10*(1+E$50)*(1-MIN(Control!$C$22,E$50/$D$22)))/($B51-E$50)*(1+$B51)^(-$M$13)+$D$37-$D$38-$D$39)/$D$41))</f>
        <v/>
      </c>
      <c r="F51" s="276">
        <f>IF($B51&lt;=F$50,"n/a",MAX(0,(SUMPRODUCT($I$12:$M$12,(1+$B51)^(-$I$13:$M$13))+($M$10*(1+F$50)*(1-MIN(Control!$C$22,F$50/$D$22)))/($B51-F$50)*(1+$B51)^(-$M$13)+$D$37-$D$38-$D$39)/$D$41))</f>
        <v/>
      </c>
      <c r="G51" s="276">
        <f>IF($B51&lt;=G$50,"n/a",MAX(0,(SUMPRODUCT($I$12:$M$12,(1+$B51)^(-$I$13:$M$13))+($M$10*(1+G$50)*(1-MIN(Control!$C$22,G$50/$D$22)))/($B51-G$50)*(1+$B51)^(-$M$13)+$D$37-$D$38-$D$39)/$D$41))</f>
        <v/>
      </c>
      <c r="H51" s="276">
        <f>IF($B51&lt;=H$50,"n/a",MAX(0,(SUMPRODUCT($I$12:$M$12,(1+$B51)^(-$I$13:$M$13))+($M$10*(1+H$50)*(1-MIN(Control!$C$22,H$50/$D$22)))/($B51-H$50)*(1+$B51)^(-$M$13)+$D$37-$D$38-$D$39)/$D$41))</f>
        <v/>
      </c>
      <c r="I51" s="276">
        <f>IF($B51&lt;=I$50,"n/a",MAX(0,(SUMPRODUCT($I$12:$M$12,(1+$B51)^(-$I$13:$M$13))+($M$10*(1+I$50)*(1-MIN(Control!$C$22,I$50/$D$22)))/($B51-I$50)*(1+$B51)^(-$M$13)+$D$37-$D$38-$D$39)/$D$41))</f>
        <v/>
      </c>
    </row>
    <row r="52">
      <c r="B52" s="275">
        <f>D20+(-0.005)</f>
        <v/>
      </c>
      <c r="E52" s="276">
        <f>IF($B52&lt;=E$50,"n/a",MAX(0,(SUMPRODUCT($I$12:$M$12,(1+$B52)^(-$I$13:$M$13))+($M$10*(1+E$50)*(1-MIN(Control!$C$22,E$50/$D$22)))/($B52-E$50)*(1+$B52)^(-$M$13)+$D$37-$D$38-$D$39)/$D$41))</f>
        <v/>
      </c>
      <c r="F52" s="276">
        <f>IF($B52&lt;=F$50,"n/a",MAX(0,(SUMPRODUCT($I$12:$M$12,(1+$B52)^(-$I$13:$M$13))+($M$10*(1+F$50)*(1-MIN(Control!$C$22,F$50/$D$22)))/($B52-F$50)*(1+$B52)^(-$M$13)+$D$37-$D$38-$D$39)/$D$41))</f>
        <v/>
      </c>
      <c r="G52" s="276">
        <f>IF($B52&lt;=G$50,"n/a",MAX(0,(SUMPRODUCT($I$12:$M$12,(1+$B52)^(-$I$13:$M$13))+($M$10*(1+G$50)*(1-MIN(Control!$C$22,G$50/$D$22)))/($B52-G$50)*(1+$B52)^(-$M$13)+$D$37-$D$38-$D$39)/$D$41))</f>
        <v/>
      </c>
      <c r="H52" s="276">
        <f>IF($B52&lt;=H$50,"n/a",MAX(0,(SUMPRODUCT($I$12:$M$12,(1+$B52)^(-$I$13:$M$13))+($M$10*(1+H$50)*(1-MIN(Control!$C$22,H$50/$D$22)))/($B52-H$50)*(1+$B52)^(-$M$13)+$D$37-$D$38-$D$39)/$D$41))</f>
        <v/>
      </c>
      <c r="I52" s="276">
        <f>IF($B52&lt;=I$50,"n/a",MAX(0,(SUMPRODUCT($I$12:$M$12,(1+$B52)^(-$I$13:$M$13))+($M$10*(1+I$50)*(1-MIN(Control!$C$22,I$50/$D$22)))/($B52-I$50)*(1+$B52)^(-$M$13)+$D$37-$D$38-$D$39)/$D$41))</f>
        <v/>
      </c>
    </row>
    <row r="53">
      <c r="B53" s="275">
        <f>D20+(0)</f>
        <v/>
      </c>
      <c r="E53" s="276">
        <f>IF($B53&lt;=E$50,"n/a",MAX(0,(SUMPRODUCT($I$12:$M$12,(1+$B53)^(-$I$13:$M$13))+($M$10*(1+E$50)*(1-MIN(Control!$C$22,E$50/$D$22)))/($B53-E$50)*(1+$B53)^(-$M$13)+$D$37-$D$38-$D$39)/$D$41))</f>
        <v/>
      </c>
      <c r="F53" s="276">
        <f>IF($B53&lt;=F$50,"n/a",MAX(0,(SUMPRODUCT($I$12:$M$12,(1+$B53)^(-$I$13:$M$13))+($M$10*(1+F$50)*(1-MIN(Control!$C$22,F$50/$D$22)))/($B53-F$50)*(1+$B53)^(-$M$13)+$D$37-$D$38-$D$39)/$D$41))</f>
        <v/>
      </c>
      <c r="G53" s="276">
        <f>IF($B53&lt;=G$50,"n/a",MAX(0,(SUMPRODUCT($I$12:$M$12,(1+$B53)^(-$I$13:$M$13))+($M$10*(1+G$50)*(1-MIN(Control!$C$22,G$50/$D$22)))/($B53-G$50)*(1+$B53)^(-$M$13)+$D$37-$D$38-$D$39)/$D$41))</f>
        <v/>
      </c>
      <c r="H53" s="276">
        <f>IF($B53&lt;=H$50,"n/a",MAX(0,(SUMPRODUCT($I$12:$M$12,(1+$B53)^(-$I$13:$M$13))+($M$10*(1+H$50)*(1-MIN(Control!$C$22,H$50/$D$22)))/($B53-H$50)*(1+$B53)^(-$M$13)+$D$37-$D$38-$D$39)/$D$41))</f>
        <v/>
      </c>
      <c r="I53" s="276">
        <f>IF($B53&lt;=I$50,"n/a",MAX(0,(SUMPRODUCT($I$12:$M$12,(1+$B53)^(-$I$13:$M$13))+($M$10*(1+I$50)*(1-MIN(Control!$C$22,I$50/$D$22)))/($B53-I$50)*(1+$B53)^(-$M$13)+$D$37-$D$38-$D$39)/$D$41))</f>
        <v/>
      </c>
    </row>
    <row r="54">
      <c r="B54" s="275">
        <f>D20+(0.005)</f>
        <v/>
      </c>
      <c r="E54" s="276">
        <f>IF($B54&lt;=E$50,"n/a",MAX(0,(SUMPRODUCT($I$12:$M$12,(1+$B54)^(-$I$13:$M$13))+($M$10*(1+E$50)*(1-MIN(Control!$C$22,E$50/$D$22)))/($B54-E$50)*(1+$B54)^(-$M$13)+$D$37-$D$38-$D$39)/$D$41))</f>
        <v/>
      </c>
      <c r="F54" s="276">
        <f>IF($B54&lt;=F$50,"n/a",MAX(0,(SUMPRODUCT($I$12:$M$12,(1+$B54)^(-$I$13:$M$13))+($M$10*(1+F$50)*(1-MIN(Control!$C$22,F$50/$D$22)))/($B54-F$50)*(1+$B54)^(-$M$13)+$D$37-$D$38-$D$39)/$D$41))</f>
        <v/>
      </c>
      <c r="G54" s="276">
        <f>IF($B54&lt;=G$50,"n/a",MAX(0,(SUMPRODUCT($I$12:$M$12,(1+$B54)^(-$I$13:$M$13))+($M$10*(1+G$50)*(1-MIN(Control!$C$22,G$50/$D$22)))/($B54-G$50)*(1+$B54)^(-$M$13)+$D$37-$D$38-$D$39)/$D$41))</f>
        <v/>
      </c>
      <c r="H54" s="276">
        <f>IF($B54&lt;=H$50,"n/a",MAX(0,(SUMPRODUCT($I$12:$M$12,(1+$B54)^(-$I$13:$M$13))+($M$10*(1+H$50)*(1-MIN(Control!$C$22,H$50/$D$22)))/($B54-H$50)*(1+$B54)^(-$M$13)+$D$37-$D$38-$D$39)/$D$41))</f>
        <v/>
      </c>
      <c r="I54" s="276">
        <f>IF($B54&lt;=I$50,"n/a",MAX(0,(SUMPRODUCT($I$12:$M$12,(1+$B54)^(-$I$13:$M$13))+($M$10*(1+I$50)*(1-MIN(Control!$C$22,I$50/$D$22)))/($B54-I$50)*(1+$B54)^(-$M$13)+$D$37-$D$38-$D$39)/$D$41))</f>
        <v/>
      </c>
    </row>
    <row r="55">
      <c r="B55" s="275">
        <f>D20+(0.01)</f>
        <v/>
      </c>
      <c r="E55" s="276">
        <f>IF($B55&lt;=E$50,"n/a",MAX(0,(SUMPRODUCT($I$12:$M$12,(1+$B55)^(-$I$13:$M$13))+($M$10*(1+E$50)*(1-MIN(Control!$C$22,E$50/$D$22)))/($B55-E$50)*(1+$B55)^(-$M$13)+$D$37-$D$38-$D$39)/$D$41))</f>
        <v/>
      </c>
      <c r="F55" s="276">
        <f>IF($B55&lt;=F$50,"n/a",MAX(0,(SUMPRODUCT($I$12:$M$12,(1+$B55)^(-$I$13:$M$13))+($M$10*(1+F$50)*(1-MIN(Control!$C$22,F$50/$D$22)))/($B55-F$50)*(1+$B55)^(-$M$13)+$D$37-$D$38-$D$39)/$D$41))</f>
        <v/>
      </c>
      <c r="G55" s="276">
        <f>IF($B55&lt;=G$50,"n/a",MAX(0,(SUMPRODUCT($I$12:$M$12,(1+$B55)^(-$I$13:$M$13))+($M$10*(1+G$50)*(1-MIN(Control!$C$22,G$50/$D$22)))/($B55-G$50)*(1+$B55)^(-$M$13)+$D$37-$D$38-$D$39)/$D$41))</f>
        <v/>
      </c>
      <c r="H55" s="276">
        <f>IF($B55&lt;=H$50,"n/a",MAX(0,(SUMPRODUCT($I$12:$M$12,(1+$B55)^(-$I$13:$M$13))+($M$10*(1+H$50)*(1-MIN(Control!$C$22,H$50/$D$22)))/($B55-H$50)*(1+$B55)^(-$M$13)+$D$37-$D$38-$D$39)/$D$41))</f>
        <v/>
      </c>
      <c r="I55" s="276">
        <f>IF($B55&lt;=I$50,"n/a",MAX(0,(SUMPRODUCT($I$12:$M$12,(1+$B55)^(-$I$13:$M$13))+($M$10*(1+I$50)*(1-MIN(Control!$C$22,I$50/$D$22)))/($B55-I$50)*(1+$B55)^(-$M$13)+$D$37-$D$38-$D$39)/$D$41))</f>
        <v/>
      </c>
    </row>
    <row r="58">
      <c r="B58" s="258" t="inlineStr">
        <is>
          <t>ALTERNATE 10-YEAR DCF (parallel view - does not feed the Summary verdict; inputs on Control rows 33-36)</t>
        </is>
      </c>
    </row>
    <row r="60">
      <c r="B60" t="inlineStr">
        <is>
          <t>Year-1 EBIT growth</t>
        </is>
      </c>
      <c r="D60" s="165">
        <f>IF(ISNUMBER(Control!$C$33),Control!$C$33,$I$8/$H$8-1)</f>
        <v/>
      </c>
    </row>
    <row r="61">
      <c r="B61" t="inlineStr">
        <is>
          <t>Starting incremental ROIC</t>
        </is>
      </c>
      <c r="D61" s="165">
        <f>IF(ISNUMBER(Control!$C$36),Control!$C$36,'Intrinsic Valuation'!$L$40)</f>
        <v/>
      </c>
    </row>
    <row r="64">
      <c r="B64" t="inlineStr">
        <is>
          <t>Year</t>
        </is>
      </c>
      <c r="D64" s="180" t="n">
        <v>1</v>
      </c>
      <c r="E64" s="180" t="n">
        <v>2</v>
      </c>
      <c r="F64" s="180" t="n">
        <v>3</v>
      </c>
      <c r="G64" s="180" t="n">
        <v>4</v>
      </c>
      <c r="H64" s="180" t="n">
        <v>5</v>
      </c>
      <c r="I64" s="180" t="n">
        <v>6</v>
      </c>
      <c r="J64" s="180" t="n">
        <v>7</v>
      </c>
      <c r="K64" s="180" t="n">
        <v>8</v>
      </c>
      <c r="L64" s="180" t="n">
        <v>9</v>
      </c>
      <c r="M64" s="180" t="n">
        <v>10</v>
      </c>
    </row>
    <row r="65">
      <c r="B65" t="inlineStr">
        <is>
          <t>EBIT growth (fades to terminal g)</t>
        </is>
      </c>
      <c r="D65" s="165">
        <f>$D$60+($D$19-$D$60)*(D64-1)/9</f>
        <v/>
      </c>
      <c r="E65" s="165">
        <f>$D$60+($D$19-$D$60)*(E64-1)/9</f>
        <v/>
      </c>
      <c r="F65" s="165">
        <f>$D$60+($D$19-$D$60)*(F64-1)/9</f>
        <v/>
      </c>
      <c r="G65" s="165">
        <f>$D$60+($D$19-$D$60)*(G64-1)/9</f>
        <v/>
      </c>
      <c r="H65" s="165">
        <f>$D$60+($D$19-$D$60)*(H64-1)/9</f>
        <v/>
      </c>
      <c r="I65" s="165">
        <f>$D$60+($D$19-$D$60)*(I64-1)/9</f>
        <v/>
      </c>
      <c r="J65" s="165">
        <f>$D$60+($D$19-$D$60)*(J64-1)/9</f>
        <v/>
      </c>
      <c r="K65" s="165">
        <f>$D$60+($D$19-$D$60)*(K64-1)/9</f>
        <v/>
      </c>
      <c r="L65" s="165">
        <f>$D$60+($D$19-$D$60)*(L64-1)/9</f>
        <v/>
      </c>
      <c r="M65" s="165">
        <f>$D$60+($D$19-$D$60)*(M64-1)/9</f>
        <v/>
      </c>
    </row>
    <row r="66">
      <c r="B66" t="inlineStr">
        <is>
          <t>ROIC (converges to terminal ROIC)</t>
        </is>
      </c>
      <c r="D66" s="165">
        <f>$D$61+($D$22-$D$61)*(D64-1)/9</f>
        <v/>
      </c>
      <c r="E66" s="165">
        <f>$D$61+($D$22-$D$61)*(E64-1)/9</f>
        <v/>
      </c>
      <c r="F66" s="165">
        <f>$D$61+($D$22-$D$61)*(F64-1)/9</f>
        <v/>
      </c>
      <c r="G66" s="165">
        <f>$D$61+($D$22-$D$61)*(G64-1)/9</f>
        <v/>
      </c>
      <c r="H66" s="165">
        <f>$D$61+($D$22-$D$61)*(H64-1)/9</f>
        <v/>
      </c>
      <c r="I66" s="165">
        <f>$D$61+($D$22-$D$61)*(I64-1)/9</f>
        <v/>
      </c>
      <c r="J66" s="165">
        <f>$D$61+($D$22-$D$61)*(J64-1)/9</f>
        <v/>
      </c>
      <c r="K66" s="165">
        <f>$D$61+($D$22-$D$61)*(K64-1)/9</f>
        <v/>
      </c>
      <c r="L66" s="165">
        <f>$D$61+($D$22-$D$61)*(L64-1)/9</f>
        <v/>
      </c>
      <c r="M66" s="165">
        <f>$D$61+($D$22-$D$61)*(M64-1)/9</f>
        <v/>
      </c>
    </row>
    <row r="67">
      <c r="B67" t="inlineStr">
        <is>
          <t>Reinvestment rate (g / ROIC, capped)</t>
        </is>
      </c>
      <c r="D67" s="165">
        <f>MIN(Control!$C$22,MAX(0,D65/D66))</f>
        <v/>
      </c>
      <c r="E67" s="165">
        <f>MIN(Control!$C$22,MAX(0,E65/E66))</f>
        <v/>
      </c>
      <c r="F67" s="165">
        <f>MIN(Control!$C$22,MAX(0,F65/F66))</f>
        <v/>
      </c>
      <c r="G67" s="165">
        <f>MIN(Control!$C$22,MAX(0,G65/G66))</f>
        <v/>
      </c>
      <c r="H67" s="165">
        <f>MIN(Control!$C$22,MAX(0,H65/H66))</f>
        <v/>
      </c>
      <c r="I67" s="165">
        <f>MIN(Control!$C$22,MAX(0,I65/I66))</f>
        <v/>
      </c>
      <c r="J67" s="165">
        <f>MIN(Control!$C$22,MAX(0,J65/J66))</f>
        <v/>
      </c>
      <c r="K67" s="165">
        <f>MIN(Control!$C$22,MAX(0,K65/K66))</f>
        <v/>
      </c>
      <c r="L67" s="165">
        <f>MIN(Control!$C$22,MAX(0,L65/L66))</f>
        <v/>
      </c>
      <c r="M67" s="165">
        <f>MIN(Control!$C$22,MAX(0,M65/M66))</f>
        <v/>
      </c>
    </row>
    <row r="68">
      <c r="B68" t="inlineStr">
        <is>
          <t>EBIT</t>
        </is>
      </c>
      <c r="D68" s="278">
        <f>$H$8*(1+D65)</f>
        <v/>
      </c>
      <c r="E68" s="278">
        <f>D68*(1+E65)</f>
        <v/>
      </c>
      <c r="F68" s="278">
        <f>E68*(1+F65)</f>
        <v/>
      </c>
      <c r="G68" s="278">
        <f>F68*(1+G65)</f>
        <v/>
      </c>
      <c r="H68" s="278">
        <f>G68*(1+H65)</f>
        <v/>
      </c>
      <c r="I68" s="278">
        <f>H68*(1+I65)</f>
        <v/>
      </c>
      <c r="J68" s="278">
        <f>I68*(1+J65)</f>
        <v/>
      </c>
      <c r="K68" s="278">
        <f>J68*(1+K65)</f>
        <v/>
      </c>
      <c r="L68" s="278">
        <f>K68*(1+L65)</f>
        <v/>
      </c>
      <c r="M68" s="278">
        <f>L68*(1+M65)</f>
        <v/>
      </c>
    </row>
    <row r="69">
      <c r="B69" t="inlineStr">
        <is>
          <t>NOPAT</t>
        </is>
      </c>
      <c r="D69" s="278">
        <f>D68*(1-$H$9)</f>
        <v/>
      </c>
      <c r="E69" s="278">
        <f>E68*(1-$H$9)</f>
        <v/>
      </c>
      <c r="F69" s="278">
        <f>F68*(1-$H$9)</f>
        <v/>
      </c>
      <c r="G69" s="278">
        <f>G68*(1-$H$9)</f>
        <v/>
      </c>
      <c r="H69" s="278">
        <f>H68*(1-$H$9)</f>
        <v/>
      </c>
      <c r="I69" s="278">
        <f>I68*(1-$H$9)</f>
        <v/>
      </c>
      <c r="J69" s="278">
        <f>J68*(1-$H$9)</f>
        <v/>
      </c>
      <c r="K69" s="278">
        <f>K68*(1-$H$9)</f>
        <v/>
      </c>
      <c r="L69" s="278">
        <f>L68*(1-$H$9)</f>
        <v/>
      </c>
      <c r="M69" s="278">
        <f>M68*(1-$H$9)</f>
        <v/>
      </c>
    </row>
    <row r="70">
      <c r="B70" t="inlineStr">
        <is>
          <t>FCFF</t>
        </is>
      </c>
      <c r="D70" s="278">
        <f>D69*(1-D67)</f>
        <v/>
      </c>
      <c r="E70" s="278">
        <f>E69*(1-E67)</f>
        <v/>
      </c>
      <c r="F70" s="278">
        <f>F69*(1-F67)</f>
        <v/>
      </c>
      <c r="G70" s="278">
        <f>G69*(1-G67)</f>
        <v/>
      </c>
      <c r="H70" s="278">
        <f>H69*(1-H67)</f>
        <v/>
      </c>
      <c r="I70" s="278">
        <f>I69*(1-I67)</f>
        <v/>
      </c>
      <c r="J70" s="278">
        <f>J69*(1-J67)</f>
        <v/>
      </c>
      <c r="K70" s="278">
        <f>K69*(1-K67)</f>
        <v/>
      </c>
      <c r="L70" s="278">
        <f>L69*(1-L67)</f>
        <v/>
      </c>
      <c r="M70" s="278">
        <f>M69*(1-M67)</f>
        <v/>
      </c>
    </row>
    <row r="71">
      <c r="B71" t="inlineStr">
        <is>
          <t>Discounting factor (mid-year)</t>
        </is>
      </c>
      <c r="D71" s="173">
        <f>(1+$D$20)^(-(D64-0.5))</f>
        <v/>
      </c>
      <c r="E71" s="173">
        <f>(1+$D$20)^(-(E64-0.5))</f>
        <v/>
      </c>
      <c r="F71" s="173">
        <f>(1+$D$20)^(-(F64-0.5))</f>
        <v/>
      </c>
      <c r="G71" s="173">
        <f>(1+$D$20)^(-(G64-0.5))</f>
        <v/>
      </c>
      <c r="H71" s="173">
        <f>(1+$D$20)^(-(H64-0.5))</f>
        <v/>
      </c>
      <c r="I71" s="173">
        <f>(1+$D$20)^(-(I64-0.5))</f>
        <v/>
      </c>
      <c r="J71" s="173">
        <f>(1+$D$20)^(-(J64-0.5))</f>
        <v/>
      </c>
      <c r="K71" s="173">
        <f>(1+$D$20)^(-(K64-0.5))</f>
        <v/>
      </c>
      <c r="L71" s="173">
        <f>(1+$D$20)^(-(L64-0.5))</f>
        <v/>
      </c>
      <c r="M71" s="173">
        <f>(1+$D$20)^(-(M64-0.5))</f>
        <v/>
      </c>
    </row>
    <row r="72">
      <c r="B72" t="inlineStr">
        <is>
          <t>PV of FCFF</t>
        </is>
      </c>
      <c r="D72" s="278">
        <f>D70*D71</f>
        <v/>
      </c>
      <c r="E72" s="278">
        <f>E70*E71</f>
        <v/>
      </c>
      <c r="F72" s="278">
        <f>F70*F71</f>
        <v/>
      </c>
      <c r="G72" s="278">
        <f>G70*G71</f>
        <v/>
      </c>
      <c r="H72" s="278">
        <f>H70*H71</f>
        <v/>
      </c>
      <c r="I72" s="278">
        <f>I70*I71</f>
        <v/>
      </c>
      <c r="J72" s="278">
        <f>J70*J71</f>
        <v/>
      </c>
      <c r="K72" s="278">
        <f>K70*K71</f>
        <v/>
      </c>
      <c r="L72" s="278">
        <f>L70*L71</f>
        <v/>
      </c>
      <c r="M72" s="278">
        <f>M70*M71</f>
        <v/>
      </c>
    </row>
    <row r="74">
      <c r="B74" t="inlineStr">
        <is>
          <t>Terminal value - Gordon Growth</t>
        </is>
      </c>
      <c r="D74" s="278">
        <f>M69*(1+$D$19)*(1-MIN(Control!$C$22,$D$19/$D$22))/($D$20-$D$19)</f>
        <v/>
      </c>
    </row>
    <row r="75">
      <c r="B75" t="inlineStr">
        <is>
          <t>Terminal value - Exit Multiple (x Year-10 EBIT)</t>
        </is>
      </c>
      <c r="D75" s="278">
        <f>Control!$C$34*M68</f>
        <v/>
      </c>
    </row>
    <row r="76">
      <c r="B76" t="inlineStr">
        <is>
          <t>Terminal method used</t>
        </is>
      </c>
      <c r="D76">
        <f>Control!$C$35</f>
        <v/>
      </c>
    </row>
    <row r="77">
      <c r="B77" t="inlineStr">
        <is>
          <t>PV of terminal value</t>
        </is>
      </c>
      <c r="D77" s="278">
        <f>IF(D76="Exit Multiple",D75*(1+$D$20)^(-10),D74*M71)</f>
        <v/>
      </c>
    </row>
    <row r="78">
      <c r="B78" t="inlineStr">
        <is>
          <t>PV of 10-year FCFF</t>
        </is>
      </c>
      <c r="D78" s="278">
        <f>SUM(D72:M72)</f>
        <v/>
      </c>
    </row>
    <row r="79">
      <c r="B79" t="inlineStr">
        <is>
          <t>Enterprise value</t>
        </is>
      </c>
      <c r="D79" s="278">
        <f>D77+D78</f>
        <v/>
      </c>
    </row>
    <row r="80">
      <c r="B80" t="inlineStr">
        <is>
          <t>Equity value</t>
        </is>
      </c>
      <c r="D80" s="278">
        <f>D79+$D$37-$D$38-$D$39</f>
        <v/>
      </c>
    </row>
    <row r="81">
      <c r="B81" s="234" t="inlineStr">
        <is>
          <t>Alt DCF value per share</t>
        </is>
      </c>
      <c r="D81" s="235">
        <f>D80/$D$41</f>
        <v/>
      </c>
    </row>
    <row r="82">
      <c r="B82" t="inlineStr">
        <is>
          <t>Upside / (Downside) vs price</t>
        </is>
      </c>
      <c r="D82" s="165">
        <f>D81/$D$45-1</f>
        <v/>
      </c>
    </row>
    <row r="83">
      <c r="B83" t="inlineStr">
        <is>
          <t>Terminal value % of EV</t>
        </is>
      </c>
      <c r="D83" s="165">
        <f>D77/D79</f>
        <v/>
      </c>
    </row>
  </sheetData>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inlineStr">
        <is>
          <t>2026-10-08</t>
        </is>
      </c>
      <c r="H6" t="n">
        <v>2590</v>
      </c>
      <c r="J6" t="n">
        <v>22186.5</v>
      </c>
    </row>
    <row r="7">
      <c r="B7" t="n">
        <v>2024</v>
      </c>
      <c r="C7" s="46" t="n">
        <v>0.08749999999999999</v>
      </c>
      <c r="G7" s="34" t="inlineStr">
        <is>
          <t>2026-10-07</t>
        </is>
      </c>
      <c r="H7" t="n">
        <v>2743</v>
      </c>
      <c r="J7" t="n">
        <v>22603.05</v>
      </c>
    </row>
    <row r="8">
      <c r="B8" t="n">
        <v>2023</v>
      </c>
      <c r="C8" s="46" t="n">
        <v>0.1942</v>
      </c>
      <c r="G8" s="34" t="inlineStr">
        <is>
          <t>2026-10-06</t>
        </is>
      </c>
      <c r="H8" t="n">
        <v>2849.9</v>
      </c>
      <c r="J8" t="n">
        <v>22776.1</v>
      </c>
    </row>
    <row r="9">
      <c r="B9" t="n">
        <v>2022</v>
      </c>
      <c r="C9" s="46" t="n">
        <v>0.0432</v>
      </c>
      <c r="G9" s="34" t="inlineStr">
        <is>
          <t>2026-10-05</t>
        </is>
      </c>
      <c r="H9" t="n">
        <v>2864</v>
      </c>
      <c r="J9" t="n">
        <v>22555.75</v>
      </c>
    </row>
    <row r="10">
      <c r="B10" t="n">
        <v>2021</v>
      </c>
      <c r="C10" s="46" t="n">
        <v>0.2412</v>
      </c>
      <c r="G10" s="34" t="inlineStr">
        <is>
          <t>2026-10-01</t>
        </is>
      </c>
      <c r="H10" t="n">
        <v>2816.8</v>
      </c>
      <c r="J10" t="n">
        <v>22421.95</v>
      </c>
    </row>
    <row r="11">
      <c r="B11" t="n">
        <v>2020</v>
      </c>
      <c r="C11" s="46" t="n">
        <v>0.149</v>
      </c>
      <c r="G11" s="34" t="inlineStr">
        <is>
          <t>2026-09-30</t>
        </is>
      </c>
      <c r="H11" t="n">
        <v>2903.4</v>
      </c>
      <c r="J11" t="n">
        <v>22620.45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2026-09-29</t>
        </is>
      </c>
      <c r="H12" t="n">
        <v>2972.9</v>
      </c>
      <c r="J12" t="n">
        <v>22716.2</v>
      </c>
      <c r="N12" t="n">
        <v>1</v>
      </c>
      <c r="O12" t="inlineStr">
        <is>
          <t>JSW Steel</t>
        </is>
      </c>
      <c r="P12" t="n">
        <v>1176.8</v>
      </c>
      <c r="Q12">
        <f>IF(P12&gt;0, R12/P12, 0)</f>
        <v/>
      </c>
      <c r="R12" t="n">
        <v>287781</v>
      </c>
      <c r="S12" t="n">
        <v>79000</v>
      </c>
      <c r="T12" t="n">
        <v>12500</v>
      </c>
      <c r="U12">
        <f>R12+S12-T12</f>
        <v/>
      </c>
      <c r="V12" t="n">
        <v>189456</v>
      </c>
      <c r="W12">
        <f>IF(X12&gt;0, U12/X12, "N/A")</f>
        <v/>
      </c>
      <c r="X12" t="n">
        <v>12020.93</v>
      </c>
    </row>
    <row r="13">
      <c r="B13" t="n">
        <v>2018</v>
      </c>
      <c r="C13" s="46" t="n">
        <v>0.0315</v>
      </c>
      <c r="G13" s="34" t="inlineStr">
        <is>
          <t>2026-09-28</t>
        </is>
      </c>
      <c r="H13" t="n">
        <v>2831.1</v>
      </c>
      <c r="J13" t="n">
        <v>22780.25</v>
      </c>
      <c r="N13" t="n">
        <v>2</v>
      </c>
      <c r="O13" t="inlineStr">
        <is>
          <t>Hindustan Zinc</t>
        </is>
      </c>
      <c r="P13" t="n">
        <v>531.3</v>
      </c>
      <c r="Q13">
        <f>IF(P13&gt;0, R13/P13, 0)</f>
        <v/>
      </c>
      <c r="R13" t="n">
        <v>224491.1</v>
      </c>
      <c r="S13" t="n">
        <v>8728</v>
      </c>
      <c r="T13" t="n">
        <v>14468</v>
      </c>
      <c r="U13">
        <f>R13+S13-T13</f>
        <v/>
      </c>
      <c r="V13" t="n">
        <v>54748</v>
      </c>
      <c r="W13">
        <f>IF(X13&gt;0, U13/X13, "N/A")</f>
        <v/>
      </c>
      <c r="X13" t="n">
        <v>16866.35</v>
      </c>
    </row>
    <row r="14">
      <c r="B14" t="n">
        <v>2017</v>
      </c>
      <c r="C14" s="46" t="n">
        <v>0.2865</v>
      </c>
      <c r="G14" s="34" t="inlineStr">
        <is>
          <t>2026-09-25</t>
        </is>
      </c>
      <c r="H14" t="n">
        <v>2916.5</v>
      </c>
      <c r="J14" t="n">
        <v>23140.5</v>
      </c>
      <c r="N14" t="n">
        <v>3</v>
      </c>
      <c r="O14">
        <f>'Data Sheet'!B1</f>
        <v/>
      </c>
      <c r="P14" t="n">
        <v>2595</v>
      </c>
      <c r="Q14">
        <f>IF(P14&gt;0, R14/P14, 0)</f>
        <v/>
      </c>
      <c r="R14" t="n">
        <v>351215</v>
      </c>
      <c r="S14" t="n">
        <v>106622</v>
      </c>
      <c r="T14" t="n">
        <v>0</v>
      </c>
      <c r="U14">
        <f>R14+S14-T14</f>
        <v/>
      </c>
      <c r="V14" t="n">
        <v>0</v>
      </c>
      <c r="W14">
        <f>IF(X14&gt;0, U14/X14, "N/A")</f>
        <v/>
      </c>
      <c r="X14" t="n">
        <v>0</v>
      </c>
    </row>
    <row r="15">
      <c r="B15" t="n">
        <v>2016</v>
      </c>
      <c r="C15" s="46" t="n">
        <v>0.0301</v>
      </c>
      <c r="G15" s="34" t="inlineStr">
        <is>
          <t>2026-09-24</t>
        </is>
      </c>
      <c r="H15" t="n">
        <v>2900</v>
      </c>
      <c r="J15" t="n">
        <v>23063.1</v>
      </c>
      <c r="N15" t="n">
        <v>4</v>
      </c>
      <c r="O15" t="inlineStr">
        <is>
          <t>Tata Steel</t>
        </is>
      </c>
      <c r="P15" t="n">
        <v>171.45</v>
      </c>
      <c r="Q15">
        <f>IF(P15&gt;0, R15/P15, 0)</f>
        <v/>
      </c>
      <c r="R15" t="n">
        <v>214030.1</v>
      </c>
      <c r="S15" t="n">
        <v>87000</v>
      </c>
      <c r="T15" t="n">
        <v>10058</v>
      </c>
      <c r="U15">
        <f>R15+S15-T15</f>
        <v/>
      </c>
      <c r="V15" t="n">
        <v>243177.2</v>
      </c>
      <c r="W15">
        <f>IF(X15&gt;0, U15/X15, "N/A")</f>
        <v/>
      </c>
      <c r="X15" t="n">
        <v>11844.5</v>
      </c>
    </row>
    <row r="16">
      <c r="B16" t="n">
        <v>2015</v>
      </c>
      <c r="C16" s="46" t="n">
        <v>-0.0406</v>
      </c>
      <c r="G16" s="34" t="inlineStr">
        <is>
          <t>2026-09-23</t>
        </is>
      </c>
      <c r="H16" t="n">
        <v>2993.2</v>
      </c>
      <c r="J16" t="n">
        <v>23446.8</v>
      </c>
      <c r="N16" t="n">
        <v>5</v>
      </c>
      <c r="O16" t="inlineStr">
        <is>
          <t>Hindalco Inds.</t>
        </is>
      </c>
      <c r="P16" t="n">
        <v>890.65</v>
      </c>
      <c r="Q16">
        <f>IF(P16&gt;0, R16/P16, 0)</f>
        <v/>
      </c>
      <c r="R16" t="n">
        <v>200149.3</v>
      </c>
      <c r="S16" t="n">
        <v>52000</v>
      </c>
      <c r="T16" t="n">
        <v>18000</v>
      </c>
      <c r="U16">
        <f>R16+S16-T16</f>
        <v/>
      </c>
      <c r="V16" t="n">
        <v>339300</v>
      </c>
      <c r="W16">
        <f>IF(X16&gt;0, U16/X16, "N/A")</f>
        <v/>
      </c>
      <c r="X16" t="n">
        <v>20697.96</v>
      </c>
    </row>
    <row r="17">
      <c r="B17" t="n">
        <v>2014</v>
      </c>
      <c r="C17" s="46" t="n">
        <v>0.3139</v>
      </c>
      <c r="G17" s="34" t="inlineStr">
        <is>
          <t>2026-09-22</t>
        </is>
      </c>
      <c r="H17" t="n">
        <v>2997</v>
      </c>
      <c r="J17" t="n">
        <v>23329</v>
      </c>
      <c r="N17" t="n">
        <v>6</v>
      </c>
      <c r="O17" t="inlineStr">
        <is>
          <t>Vedanta Aluminium Metal</t>
        </is>
      </c>
      <c r="P17" t="n">
        <v>374.2</v>
      </c>
      <c r="Q17">
        <f>IF(P17&gt;0, R17/P17, 0)</f>
        <v/>
      </c>
      <c r="R17" t="n">
        <v>146326.8</v>
      </c>
      <c r="S17" t="n">
        <v>0.1</v>
      </c>
      <c r="T17" t="n">
        <v>0</v>
      </c>
      <c r="U17">
        <f>R17+S17-T17</f>
        <v/>
      </c>
      <c r="V17" t="n">
        <v>85572</v>
      </c>
      <c r="W17">
        <f>IF(X17&gt;0, U17/X17, "N/A")</f>
        <v/>
      </c>
      <c r="X17" t="n">
        <v>15819.11</v>
      </c>
    </row>
    <row r="18">
      <c r="B18" t="n">
        <v>2013</v>
      </c>
      <c r="C18" s="46" t="n">
        <v>0.06759999999999999</v>
      </c>
      <c r="G18" s="34" t="inlineStr">
        <is>
          <t>2026-09-21</t>
        </is>
      </c>
      <c r="H18" t="n">
        <v>2975</v>
      </c>
      <c r="J18" t="n">
        <v>23414.3</v>
      </c>
      <c r="N18" t="n">
        <v>7</v>
      </c>
      <c r="O18" t="inlineStr">
        <is>
          <t>Jindal Steel</t>
        </is>
      </c>
      <c r="P18" t="n">
        <v>1010.8</v>
      </c>
      <c r="Q18">
        <f>IF(P18&gt;0, R18/P18, 0)</f>
        <v/>
      </c>
      <c r="R18" t="n">
        <v>103110.5</v>
      </c>
      <c r="S18" t="n">
        <v>22610</v>
      </c>
      <c r="T18" t="n">
        <v>3168</v>
      </c>
      <c r="U18">
        <f>R18+S18-T18</f>
        <v/>
      </c>
      <c r="V18" t="n">
        <v>61928.5</v>
      </c>
      <c r="W18">
        <f>IF(X18&gt;0, U18/X18, "N/A")</f>
        <v/>
      </c>
      <c r="X18" t="n">
        <v>3088.07</v>
      </c>
    </row>
    <row r="19">
      <c r="B19" t="n">
        <v>2012</v>
      </c>
      <c r="C19" s="46" t="n">
        <v>0.277</v>
      </c>
      <c r="G19" s="34" t="inlineStr">
        <is>
          <t>2026-09-18</t>
        </is>
      </c>
      <c r="H19" t="n">
        <v>3020</v>
      </c>
      <c r="J19" t="n">
        <v>23346.4</v>
      </c>
      <c r="N19" t="n">
        <v>8</v>
      </c>
      <c r="O19" t="inlineStr">
        <is>
          <t>Lloyds Metals</t>
        </is>
      </c>
      <c r="P19" t="n">
        <v>1815.05</v>
      </c>
      <c r="Q19">
        <f>IF(P19&gt;0, R19/P19, 0)</f>
        <v/>
      </c>
      <c r="R19" t="n">
        <v>102196.2</v>
      </c>
      <c r="S19" t="n">
        <v>20716</v>
      </c>
      <c r="T19" t="n">
        <v>666</v>
      </c>
      <c r="U19">
        <f>R19+S19-T19</f>
        <v/>
      </c>
      <c r="V19" t="n">
        <v>29417.6</v>
      </c>
      <c r="W19">
        <f>IF(X19&gt;0, U19/X19, "N/A")</f>
        <v/>
      </c>
      <c r="X19" t="n">
        <v>4766.61</v>
      </c>
    </row>
    <row r="20">
      <c r="B20" t="n">
        <v>2011</v>
      </c>
      <c r="C20" s="46" t="n">
        <v>-0.2462</v>
      </c>
      <c r="G20" s="34" t="inlineStr">
        <is>
          <t>2026-09-17</t>
        </is>
      </c>
      <c r="H20" t="n">
        <v>2923.2</v>
      </c>
      <c r="J20" t="n">
        <v>23270.6</v>
      </c>
      <c r="N20" t="n">
        <v>9</v>
      </c>
      <c r="O20" t="inlineStr">
        <is>
          <t>Vedanta</t>
        </is>
      </c>
      <c r="P20" t="n">
        <v>254.65</v>
      </c>
      <c r="Q20">
        <f>IF(P20&gt;0, R20/P20, 0)</f>
        <v/>
      </c>
      <c r="R20" t="n">
        <v>99578</v>
      </c>
      <c r="S20" t="n">
        <v>32947</v>
      </c>
      <c r="T20" t="n">
        <v>15418</v>
      </c>
      <c r="U20">
        <f>R20+S20-T20</f>
        <v/>
      </c>
      <c r="V20" t="n">
        <v>96820</v>
      </c>
      <c r="W20">
        <f>IF(X20&gt;0, U20/X20, "N/A")</f>
        <v/>
      </c>
      <c r="X20" t="n">
        <v>10942.64</v>
      </c>
    </row>
    <row r="21">
      <c r="B21" t="n">
        <v>2010</v>
      </c>
      <c r="C21" s="46" t="n">
        <v>0.1795</v>
      </c>
      <c r="G21" s="34" t="inlineStr">
        <is>
          <t>2026-09-16</t>
        </is>
      </c>
      <c r="H21" t="n">
        <v>2920</v>
      </c>
      <c r="J21" t="n">
        <v>23217.6</v>
      </c>
      <c r="N21" t="n">
        <v>10</v>
      </c>
      <c r="O21" t="inlineStr">
        <is>
          <t>Hero Motocorp</t>
        </is>
      </c>
      <c r="P21" t="n">
        <v>5285.5</v>
      </c>
      <c r="Q21">
        <f>IF(P21&gt;0, R21/P21, 0)</f>
        <v/>
      </c>
      <c r="R21" t="n">
        <v>105784.63</v>
      </c>
      <c r="S21" t="n">
        <v>26446.16</v>
      </c>
      <c r="T21" t="n">
        <v>5289.23</v>
      </c>
      <c r="U21" t="n">
        <v>126941.56</v>
      </c>
      <c r="W21">
        <f>IF(X21&gt;0, U21/X21, "N/A")</f>
        <v/>
      </c>
    </row>
    <row r="22">
      <c r="B22" t="n">
        <v>2009</v>
      </c>
      <c r="C22" s="46" t="n">
        <v>0.7576000000000001</v>
      </c>
      <c r="G22" s="34" t="inlineStr">
        <is>
          <t>2026-09-15</t>
        </is>
      </c>
      <c r="H22" t="n">
        <v>2928.6</v>
      </c>
      <c r="J22" t="n">
        <v>23118.6</v>
      </c>
      <c r="W22">
        <f>IF(X22&gt;0, U22/X22, "N/A")</f>
        <v/>
      </c>
    </row>
    <row r="23">
      <c r="B23" t="n">
        <v>2008</v>
      </c>
      <c r="C23" s="46" t="n">
        <v>-0.5179</v>
      </c>
      <c r="G23" s="34" t="inlineStr">
        <is>
          <t>2026-09-11</t>
        </is>
      </c>
      <c r="H23" t="n">
        <v>3060</v>
      </c>
      <c r="J23" t="n">
        <v>23398.1</v>
      </c>
      <c r="W23">
        <f>IF(X23&gt;0, U23/X23, "N/A")</f>
        <v/>
      </c>
    </row>
    <row r="24">
      <c r="B24" t="n">
        <v>2007</v>
      </c>
      <c r="C24" s="46" t="n">
        <v>0.5477</v>
      </c>
      <c r="G24" s="34" t="inlineStr">
        <is>
          <t>2026-09-10</t>
        </is>
      </c>
      <c r="H24" t="n">
        <v>3077.2</v>
      </c>
      <c r="J24" t="n">
        <v>23477.8</v>
      </c>
      <c r="O24" t="inlineStr">
        <is>
          <t>JSW Steel</t>
        </is>
      </c>
      <c r="Q24" t="inlineStr">
        <is>
          <t>India</t>
        </is>
      </c>
      <c r="R24" t="n">
        <v>79000</v>
      </c>
      <c r="S24" t="n">
        <v>287781</v>
      </c>
      <c r="T24" s="46">
        <f>Control!C19</f>
        <v/>
      </c>
      <c r="W24">
        <f>IF(X24&gt;0, U24/X24, "N/A")</f>
        <v/>
      </c>
    </row>
    <row r="25">
      <c r="B25" t="n">
        <v>2006</v>
      </c>
      <c r="C25" s="46" t="n">
        <v>0.3983</v>
      </c>
      <c r="G25" s="34" t="inlineStr">
        <is>
          <t>2026-09-09</t>
        </is>
      </c>
      <c r="H25" t="n">
        <v>3104.7</v>
      </c>
      <c r="J25" t="n">
        <v>23431.5</v>
      </c>
      <c r="O25" t="inlineStr">
        <is>
          <t>Hindustan Zinc</t>
        </is>
      </c>
      <c r="Q25">
        <f>Q24</f>
        <v/>
      </c>
      <c r="R25" t="n">
        <v>8728</v>
      </c>
      <c r="S25" t="n">
        <v>224491.1</v>
      </c>
      <c r="T25" s="46">
        <f>T24</f>
        <v/>
      </c>
      <c r="W25">
        <f>IF(X25&gt;0, U25/X25, "N/A")</f>
        <v/>
      </c>
    </row>
    <row r="26">
      <c r="B26" t="n">
        <v>2005</v>
      </c>
      <c r="C26" s="46" t="n">
        <v>0.3634</v>
      </c>
      <c r="G26" s="34" t="inlineStr">
        <is>
          <t>2026-09-08</t>
        </is>
      </c>
      <c r="H26" t="n">
        <v>2953.1</v>
      </c>
      <c r="J26" t="n">
        <v>23635.1</v>
      </c>
      <c r="O26">
        <f>'Data Sheet'!B1</f>
        <v/>
      </c>
      <c r="Q26">
        <f>Q25</f>
        <v/>
      </c>
      <c r="R26" t="n">
        <v>106622</v>
      </c>
      <c r="S26" t="n">
        <v>351215</v>
      </c>
      <c r="T26" s="46">
        <f>T25</f>
        <v/>
      </c>
      <c r="W26">
        <f>IF(X26&gt;0, U26/X26, "N/A")</f>
        <v/>
      </c>
    </row>
    <row r="27">
      <c r="B27" t="n">
        <v>2004</v>
      </c>
      <c r="C27" s="46" t="n">
        <v>0.1068</v>
      </c>
      <c r="G27" s="34" t="inlineStr">
        <is>
          <t>2026-09-07</t>
        </is>
      </c>
      <c r="H27" t="n">
        <v>2950</v>
      </c>
      <c r="J27" t="n">
        <v>23779.15</v>
      </c>
      <c r="O27" t="inlineStr">
        <is>
          <t>Tata Steel</t>
        </is>
      </c>
      <c r="Q27">
        <f>Q26</f>
        <v/>
      </c>
      <c r="R27" t="n">
        <v>87000</v>
      </c>
      <c r="S27" t="n">
        <v>214030.1</v>
      </c>
      <c r="T27" s="46">
        <f>T26</f>
        <v/>
      </c>
    </row>
    <row r="28">
      <c r="B28" t="n">
        <v>2003</v>
      </c>
      <c r="C28" s="46" t="n">
        <v>0.719</v>
      </c>
      <c r="G28" s="34" t="inlineStr">
        <is>
          <t>2026-09-04</t>
        </is>
      </c>
      <c r="H28" t="n">
        <v>2938</v>
      </c>
      <c r="J28" t="n">
        <v>23897.7</v>
      </c>
      <c r="O28" t="inlineStr">
        <is>
          <t>Hindalco Inds.</t>
        </is>
      </c>
      <c r="Q28">
        <f>Q27</f>
        <v/>
      </c>
      <c r="R28" t="n">
        <v>52000</v>
      </c>
      <c r="S28" t="n">
        <v>200149.3</v>
      </c>
      <c r="T28" s="46">
        <f>T27</f>
        <v/>
      </c>
    </row>
    <row r="29">
      <c r="B29" t="n">
        <v>2002</v>
      </c>
      <c r="C29" s="46" t="n">
        <v>0.0325</v>
      </c>
      <c r="G29" s="34" t="inlineStr">
        <is>
          <t>2026-09-03</t>
        </is>
      </c>
      <c r="H29" t="n">
        <v>2901</v>
      </c>
      <c r="J29" t="n">
        <v>23873.45</v>
      </c>
    </row>
    <row r="30">
      <c r="G30" s="34" t="inlineStr">
        <is>
          <t>2026-09-02</t>
        </is>
      </c>
      <c r="H30" t="n">
        <v>2891.8</v>
      </c>
      <c r="J30" t="n">
        <v>23914.45</v>
      </c>
    </row>
    <row r="31">
      <c r="G31" s="34" t="inlineStr">
        <is>
          <t>2026-09-01</t>
        </is>
      </c>
      <c r="H31" t="n">
        <v>2863.9</v>
      </c>
      <c r="J31" t="n">
        <v>24055.8</v>
      </c>
    </row>
    <row r="32">
      <c r="G32" s="34" t="inlineStr">
        <is>
          <t>2026-08-31</t>
        </is>
      </c>
      <c r="H32" t="n">
        <v>2859.1</v>
      </c>
      <c r="J32" t="n">
        <v>24080.4</v>
      </c>
    </row>
    <row r="33">
      <c r="G33" s="34" t="inlineStr">
        <is>
          <t>2026-08-28</t>
        </is>
      </c>
      <c r="H33" t="n">
        <v>3168.5</v>
      </c>
      <c r="J33" t="n">
        <v>24175.65</v>
      </c>
    </row>
    <row r="34">
      <c r="G34" s="34" t="inlineStr">
        <is>
          <t>2026-08-27</t>
        </is>
      </c>
      <c r="H34" t="n">
        <v>3169</v>
      </c>
      <c r="J34" t="n">
        <v>24090.85</v>
      </c>
    </row>
    <row r="35">
      <c r="G35" s="34" t="inlineStr">
        <is>
          <t>2026-08-26</t>
        </is>
      </c>
      <c r="H35" t="n">
        <v>3112</v>
      </c>
      <c r="J35" t="n">
        <v>24207.75</v>
      </c>
    </row>
    <row r="36">
      <c r="G36" s="34" t="inlineStr">
        <is>
          <t>2026-08-25</t>
        </is>
      </c>
      <c r="H36" t="n">
        <v>3110</v>
      </c>
      <c r="J36" t="n">
        <v>24334.55</v>
      </c>
    </row>
    <row r="37">
      <c r="G37" s="34" t="inlineStr">
        <is>
          <t>2026-08-24</t>
        </is>
      </c>
      <c r="H37" t="n">
        <v>2998.6</v>
      </c>
      <c r="J37" t="n">
        <v>24219.05</v>
      </c>
    </row>
    <row r="38">
      <c r="G38" s="34" t="inlineStr">
        <is>
          <t>2026-08-21</t>
        </is>
      </c>
      <c r="H38" t="n">
        <v>2997</v>
      </c>
      <c r="J38" t="n">
        <v>24252</v>
      </c>
    </row>
    <row r="39">
      <c r="G39" s="34" t="inlineStr">
        <is>
          <t>2026-08-20</t>
        </is>
      </c>
      <c r="H39" t="n">
        <v>2994.9</v>
      </c>
      <c r="J39" t="n">
        <v>24231.85</v>
      </c>
    </row>
    <row r="40">
      <c r="G40" s="34" t="inlineStr">
        <is>
          <t>2026-08-19</t>
        </is>
      </c>
      <c r="H40" t="n">
        <v>2990.3</v>
      </c>
      <c r="J40" t="n">
        <v>24078.3</v>
      </c>
    </row>
    <row r="41">
      <c r="G41" s="34" t="inlineStr">
        <is>
          <t>2026-08-18</t>
        </is>
      </c>
      <c r="H41" t="n">
        <v>3002.5</v>
      </c>
      <c r="J41" t="n">
        <v>24154.9</v>
      </c>
    </row>
    <row r="42">
      <c r="G42" s="34" t="inlineStr">
        <is>
          <t>2026-08-17</t>
        </is>
      </c>
      <c r="H42" t="n">
        <v>3007.3</v>
      </c>
      <c r="J42" t="n">
        <v>24287.65</v>
      </c>
    </row>
    <row r="43">
      <c r="G43" s="34" t="inlineStr">
        <is>
          <t>2026-08-14</t>
        </is>
      </c>
      <c r="H43" t="n">
        <v>3035.1</v>
      </c>
      <c r="J43" t="n">
        <v>24366</v>
      </c>
    </row>
    <row r="44">
      <c r="G44" s="34" t="inlineStr">
        <is>
          <t>2026-08-13</t>
        </is>
      </c>
      <c r="H44" t="n">
        <v>2964.9</v>
      </c>
      <c r="J44" t="n">
        <v>24395.85</v>
      </c>
    </row>
    <row r="45">
      <c r="G45" s="34" t="inlineStr">
        <is>
          <t>2026-08-12</t>
        </is>
      </c>
      <c r="H45" t="n">
        <v>2985.7</v>
      </c>
      <c r="J45" t="n">
        <v>24435.95</v>
      </c>
    </row>
    <row r="46">
      <c r="G46" s="34" t="inlineStr">
        <is>
          <t>2026-08-11</t>
        </is>
      </c>
      <c r="H46" t="n">
        <v>2995.5</v>
      </c>
      <c r="J46" t="n">
        <v>24471.7</v>
      </c>
    </row>
    <row r="47">
      <c r="G47" s="34" t="inlineStr">
        <is>
          <t>2026-08-10</t>
        </is>
      </c>
      <c r="H47" t="n">
        <v>3010</v>
      </c>
      <c r="J47" t="n">
        <v>24583.8</v>
      </c>
    </row>
    <row r="48">
      <c r="G48" s="34" t="inlineStr">
        <is>
          <t>2026-08-07</t>
        </is>
      </c>
      <c r="H48" t="n">
        <v>3020</v>
      </c>
      <c r="J48" t="n">
        <v>24570.65</v>
      </c>
    </row>
    <row r="49">
      <c r="G49" s="34" t="inlineStr">
        <is>
          <t>2026-08-06</t>
        </is>
      </c>
      <c r="H49" t="n">
        <v>3026</v>
      </c>
      <c r="J49" t="n">
        <v>24636</v>
      </c>
    </row>
    <row r="50">
      <c r="G50" s="34" t="inlineStr">
        <is>
          <t>2026-08-05</t>
        </is>
      </c>
      <c r="H50" t="n">
        <v>3050</v>
      </c>
      <c r="J50" t="n">
        <v>24624.65</v>
      </c>
    </row>
    <row r="51">
      <c r="G51" s="34" t="inlineStr">
        <is>
          <t>2026-08-04</t>
        </is>
      </c>
      <c r="H51" t="n">
        <v>3050</v>
      </c>
      <c r="J51" t="n">
        <v>24614.9</v>
      </c>
    </row>
    <row r="52">
      <c r="G52" s="34" t="inlineStr">
        <is>
          <t>2026-08-03</t>
        </is>
      </c>
      <c r="H52" t="n">
        <v>3068</v>
      </c>
      <c r="J52" t="n">
        <v>24774.3</v>
      </c>
    </row>
    <row r="53">
      <c r="G53" s="34" t="inlineStr">
        <is>
          <t>2026-07-31</t>
        </is>
      </c>
      <c r="H53" t="n">
        <v>3009.5</v>
      </c>
      <c r="J53" t="n">
        <v>24383.6</v>
      </c>
    </row>
    <row r="54">
      <c r="G54" s="34" t="inlineStr">
        <is>
          <t>2026-07-30</t>
        </is>
      </c>
      <c r="H54" t="n">
        <v>3049.1</v>
      </c>
      <c r="J54" t="n">
        <v>24317.15</v>
      </c>
    </row>
    <row r="55">
      <c r="G55" s="34" t="inlineStr">
        <is>
          <t>2026-07-29</t>
        </is>
      </c>
      <c r="H55" t="n">
        <v>3024.5</v>
      </c>
      <c r="J55" t="n">
        <v>24250.2</v>
      </c>
    </row>
    <row r="56">
      <c r="G56" s="34" t="inlineStr">
        <is>
          <t>2026-07-28</t>
        </is>
      </c>
      <c r="H56" t="n">
        <v>3002.3</v>
      </c>
      <c r="J56" t="n">
        <v>23985.35</v>
      </c>
    </row>
    <row r="57">
      <c r="G57" s="34" t="inlineStr">
        <is>
          <t>2026-07-27</t>
        </is>
      </c>
      <c r="H57" t="n">
        <v>3036.6</v>
      </c>
      <c r="J57" t="n">
        <v>23995.95</v>
      </c>
    </row>
    <row r="58">
      <c r="G58" s="34" t="inlineStr">
        <is>
          <t>2026-07-24</t>
        </is>
      </c>
      <c r="H58" t="n">
        <v>3026.4</v>
      </c>
      <c r="J58" t="n">
        <v>23767.45</v>
      </c>
    </row>
    <row r="59">
      <c r="G59" s="34" t="inlineStr">
        <is>
          <t>2026-07-23</t>
        </is>
      </c>
      <c r="H59" t="n">
        <v>3010</v>
      </c>
      <c r="J59" t="n">
        <v>23869.6</v>
      </c>
    </row>
    <row r="60">
      <c r="G60" s="34" t="inlineStr">
        <is>
          <t>2026-07-22</t>
        </is>
      </c>
      <c r="H60" t="n">
        <v>3147.7</v>
      </c>
      <c r="J60" t="n">
        <v>23996.25</v>
      </c>
    </row>
    <row r="61">
      <c r="G61" s="34" t="inlineStr">
        <is>
          <t>2026-07-21</t>
        </is>
      </c>
      <c r="H61" t="n">
        <v>3182.7</v>
      </c>
      <c r="J61" t="n">
        <v>24187.7</v>
      </c>
    </row>
    <row r="62">
      <c r="G62" s="34" t="inlineStr">
        <is>
          <t>2026-07-20</t>
        </is>
      </c>
      <c r="H62" t="n">
        <v>3183.3</v>
      </c>
      <c r="J62" t="n">
        <v>24238.5</v>
      </c>
    </row>
    <row r="63">
      <c r="G63" s="34" t="inlineStr">
        <is>
          <t>2026-07-17</t>
        </is>
      </c>
      <c r="H63" t="n">
        <v>3160.7</v>
      </c>
      <c r="J63" t="n">
        <v>24334.3</v>
      </c>
    </row>
    <row r="64">
      <c r="G64" s="34" t="inlineStr">
        <is>
          <t>2026-07-16</t>
        </is>
      </c>
      <c r="H64" t="n">
        <v>3151.4</v>
      </c>
      <c r="J64" t="n">
        <v>24072.75</v>
      </c>
    </row>
    <row r="65">
      <c r="G65" s="34" t="inlineStr">
        <is>
          <t>2026-07-15</t>
        </is>
      </c>
      <c r="H65" t="n">
        <v>3150.6</v>
      </c>
      <c r="J65" t="n">
        <v>24078.5</v>
      </c>
    </row>
    <row r="66">
      <c r="G66" s="34" t="inlineStr">
        <is>
          <t>2026-07-14</t>
        </is>
      </c>
      <c r="H66" t="n">
        <v>3188.9</v>
      </c>
      <c r="J66" t="n">
        <v>24052.05</v>
      </c>
    </row>
    <row r="67">
      <c r="G67" s="34" t="inlineStr">
        <is>
          <t>2026-07-13</t>
        </is>
      </c>
      <c r="H67" t="n">
        <v>3177.5</v>
      </c>
      <c r="J67" t="n">
        <v>24211</v>
      </c>
    </row>
    <row r="68">
      <c r="G68" s="34" t="inlineStr">
        <is>
          <t>2026-07-10</t>
        </is>
      </c>
      <c r="H68" t="n">
        <v>3157.3</v>
      </c>
      <c r="J68" t="n">
        <v>24206.9</v>
      </c>
    </row>
    <row r="69">
      <c r="G69" s="34" t="inlineStr">
        <is>
          <t>2026-07-09</t>
        </is>
      </c>
      <c r="H69" t="n">
        <v>3083.6</v>
      </c>
      <c r="J69" t="n">
        <v>23962.8</v>
      </c>
    </row>
    <row r="70">
      <c r="G70" s="34" t="inlineStr">
        <is>
          <t>2026-07-08</t>
        </is>
      </c>
      <c r="H70" t="n">
        <v>3046.9</v>
      </c>
      <c r="J70" t="n">
        <v>23882.05</v>
      </c>
    </row>
    <row r="71">
      <c r="G71" s="34" t="inlineStr">
        <is>
          <t>2026-07-07</t>
        </is>
      </c>
      <c r="H71" t="n">
        <v>3107.2</v>
      </c>
      <c r="J71" t="n">
        <v>24398.7</v>
      </c>
    </row>
    <row r="72">
      <c r="G72" s="34" t="inlineStr">
        <is>
          <t>2026-07-06</t>
        </is>
      </c>
      <c r="H72" t="n">
        <v>3206.6</v>
      </c>
      <c r="J72" t="n">
        <v>24430.35</v>
      </c>
    </row>
    <row r="73">
      <c r="G73" s="34" t="inlineStr">
        <is>
          <t>2026-07-03</t>
        </is>
      </c>
      <c r="H73" t="n">
        <v>3212.1</v>
      </c>
      <c r="J73" t="n">
        <v>24270.85</v>
      </c>
    </row>
    <row r="74">
      <c r="G74" s="34" t="inlineStr">
        <is>
          <t>2026-07-02</t>
        </is>
      </c>
      <c r="H74" t="n">
        <v>3177.5</v>
      </c>
      <c r="J74" t="n">
        <v>24175.7</v>
      </c>
    </row>
    <row r="75">
      <c r="G75" s="34" t="inlineStr">
        <is>
          <t>2026-07-01</t>
        </is>
      </c>
      <c r="H75" t="n">
        <v>3143.6</v>
      </c>
      <c r="J75" t="n">
        <v>24005.85</v>
      </c>
    </row>
    <row r="76">
      <c r="G76" s="34" t="inlineStr">
        <is>
          <t>2026-06-30</t>
        </is>
      </c>
      <c r="H76" t="n">
        <v>3036</v>
      </c>
      <c r="J76" t="n">
        <v>23865.75</v>
      </c>
    </row>
    <row r="77">
      <c r="G77" s="34" t="inlineStr">
        <is>
          <t>2026-06-29</t>
        </is>
      </c>
      <c r="H77" t="n">
        <v>2962.5</v>
      </c>
      <c r="J77" t="n">
        <v>23946.25</v>
      </c>
    </row>
    <row r="78">
      <c r="G78" s="34" t="inlineStr">
        <is>
          <t>2026-06-25</t>
        </is>
      </c>
      <c r="H78" t="n">
        <v>3038</v>
      </c>
      <c r="J78" t="n">
        <v>24056</v>
      </c>
    </row>
    <row r="79">
      <c r="G79" s="34" t="inlineStr">
        <is>
          <t>2026-06-24</t>
        </is>
      </c>
      <c r="H79" t="n">
        <v>3069.7</v>
      </c>
      <c r="J79" t="n">
        <v>24021.65</v>
      </c>
    </row>
    <row r="80">
      <c r="G80" s="34" t="inlineStr">
        <is>
          <t>2026-06-23</t>
        </is>
      </c>
      <c r="H80" t="n">
        <v>2962.9</v>
      </c>
      <c r="J80" t="n">
        <v>23824.1</v>
      </c>
    </row>
    <row r="81">
      <c r="G81" s="34" t="inlineStr">
        <is>
          <t>2026-06-22</t>
        </is>
      </c>
      <c r="H81" t="n">
        <v>3059.6</v>
      </c>
      <c r="J81" t="n">
        <v>24102.9</v>
      </c>
    </row>
    <row r="82">
      <c r="G82" s="34" t="inlineStr">
        <is>
          <t>2026-06-19</t>
        </is>
      </c>
      <c r="H82" t="n">
        <v>3038.4</v>
      </c>
      <c r="J82" t="n">
        <v>24013.1</v>
      </c>
    </row>
    <row r="83">
      <c r="G83" s="34" t="inlineStr">
        <is>
          <t>2026-06-18</t>
        </is>
      </c>
      <c r="H83" t="n">
        <v>3013.4</v>
      </c>
      <c r="J83" t="n">
        <v>24168</v>
      </c>
    </row>
    <row r="84">
      <c r="G84" s="34" t="inlineStr">
        <is>
          <t>2026-06-17</t>
        </is>
      </c>
      <c r="H84" t="n">
        <v>2951.9</v>
      </c>
      <c r="J84" t="n">
        <v>24085.7</v>
      </c>
    </row>
    <row r="85">
      <c r="G85" s="34" t="inlineStr">
        <is>
          <t>2026-06-16</t>
        </is>
      </c>
      <c r="H85" t="n">
        <v>2943.6</v>
      </c>
      <c r="J85" t="n">
        <v>23989.15</v>
      </c>
    </row>
    <row r="86">
      <c r="G86" s="34" t="inlineStr">
        <is>
          <t>2026-06-15</t>
        </is>
      </c>
      <c r="H86" t="n">
        <v>2942.5</v>
      </c>
      <c r="J86" t="n">
        <v>23853.9</v>
      </c>
    </row>
    <row r="87">
      <c r="G87" s="34" t="inlineStr">
        <is>
          <t>2026-06-12</t>
        </is>
      </c>
      <c r="H87" t="n">
        <v>2921.6</v>
      </c>
      <c r="J87" t="n">
        <v>23622.9</v>
      </c>
    </row>
    <row r="88">
      <c r="G88" s="34" t="inlineStr">
        <is>
          <t>2026-06-11</t>
        </is>
      </c>
      <c r="H88" t="n">
        <v>2908.8</v>
      </c>
      <c r="J88" t="n">
        <v>23161.6</v>
      </c>
    </row>
    <row r="89">
      <c r="G89" s="34" t="inlineStr">
        <is>
          <t>2026-06-10</t>
        </is>
      </c>
      <c r="H89" t="n">
        <v>2931.1</v>
      </c>
      <c r="J89" t="n">
        <v>23214.95</v>
      </c>
    </row>
    <row r="90">
      <c r="G90" s="34" t="inlineStr">
        <is>
          <t>2026-06-09</t>
        </is>
      </c>
      <c r="H90" t="n">
        <v>2979.9</v>
      </c>
      <c r="J90" t="n">
        <v>23242.1</v>
      </c>
    </row>
    <row r="91">
      <c r="G91" s="34" t="inlineStr">
        <is>
          <t>2026-06-08</t>
        </is>
      </c>
      <c r="H91" t="n">
        <v>2970</v>
      </c>
      <c r="J91" t="n">
        <v>23123</v>
      </c>
    </row>
    <row r="92">
      <c r="G92" s="34" t="inlineStr">
        <is>
          <t>2026-06-05</t>
        </is>
      </c>
      <c r="H92" t="n">
        <v>3048.2</v>
      </c>
      <c r="J92" t="n">
        <v>23366.7</v>
      </c>
    </row>
    <row r="93">
      <c r="G93" s="34" t="inlineStr">
        <is>
          <t>2026-06-04</t>
        </is>
      </c>
      <c r="H93" t="n">
        <v>2972.8</v>
      </c>
      <c r="J93" t="n">
        <v>23416.55</v>
      </c>
    </row>
    <row r="94">
      <c r="G94" s="34" t="inlineStr">
        <is>
          <t>2026-06-03</t>
        </is>
      </c>
      <c r="H94" t="n">
        <v>2925.6</v>
      </c>
      <c r="J94" t="n">
        <v>23405.6</v>
      </c>
    </row>
    <row r="95">
      <c r="G95" s="34" t="inlineStr">
        <is>
          <t>2026-06-02</t>
        </is>
      </c>
      <c r="H95" t="n">
        <v>2968.1</v>
      </c>
      <c r="J95" t="n">
        <v>23483.55</v>
      </c>
    </row>
    <row r="96">
      <c r="G96" s="34" t="inlineStr">
        <is>
          <t>2026-06-01</t>
        </is>
      </c>
      <c r="H96" t="n">
        <v>2909.4</v>
      </c>
      <c r="J96" t="n">
        <v>23382.6</v>
      </c>
    </row>
    <row r="97">
      <c r="G97" s="34" t="inlineStr">
        <is>
          <t>2026-05-29</t>
        </is>
      </c>
      <c r="H97" t="n">
        <v>2937.4</v>
      </c>
      <c r="J97" t="n">
        <v>23547.75</v>
      </c>
    </row>
    <row r="98">
      <c r="G98" s="34" t="inlineStr">
        <is>
          <t>2026-05-27</t>
        </is>
      </c>
      <c r="H98" t="n">
        <v>2973.1</v>
      </c>
      <c r="J98" t="n">
        <v>23907.15</v>
      </c>
    </row>
    <row r="99">
      <c r="G99" s="34" t="inlineStr">
        <is>
          <t>2026-05-26</t>
        </is>
      </c>
      <c r="H99" t="n">
        <v>2969.3</v>
      </c>
      <c r="J99" t="n">
        <v>23913.7</v>
      </c>
    </row>
    <row r="100">
      <c r="G100" s="34" t="inlineStr">
        <is>
          <t>2026-05-25</t>
        </is>
      </c>
      <c r="H100" t="n">
        <v>2849.7</v>
      </c>
      <c r="J100" t="n">
        <v>24031.7</v>
      </c>
    </row>
    <row r="101">
      <c r="G101" s="34" t="inlineStr">
        <is>
          <t>2026-05-22</t>
        </is>
      </c>
      <c r="H101" t="n">
        <v>2717.3</v>
      </c>
      <c r="J101" t="n">
        <v>23719.3</v>
      </c>
    </row>
    <row r="102">
      <c r="G102" s="34" t="inlineStr">
        <is>
          <t>2026-05-21</t>
        </is>
      </c>
      <c r="H102" t="n">
        <v>2697.6</v>
      </c>
      <c r="J102" t="n">
        <v>23654.7</v>
      </c>
    </row>
    <row r="103">
      <c r="G103" s="34" t="inlineStr">
        <is>
          <t>2026-05-20</t>
        </is>
      </c>
      <c r="H103" t="n">
        <v>2704.8</v>
      </c>
      <c r="J103" t="n">
        <v>23659</v>
      </c>
    </row>
    <row r="104">
      <c r="G104" s="34" t="inlineStr">
        <is>
          <t>2026-05-19</t>
        </is>
      </c>
      <c r="H104" t="n">
        <v>2725</v>
      </c>
      <c r="J104" t="n">
        <v>23618</v>
      </c>
    </row>
    <row r="105">
      <c r="G105" s="34" t="inlineStr">
        <is>
          <t>2026-05-18</t>
        </is>
      </c>
      <c r="H105" t="n">
        <v>2689.8</v>
      </c>
      <c r="J105" t="n">
        <v>23649.95</v>
      </c>
    </row>
    <row r="106">
      <c r="G106" s="34" t="inlineStr">
        <is>
          <t>2026-05-15</t>
        </is>
      </c>
      <c r="H106" t="n">
        <v>2716</v>
      </c>
      <c r="J106" t="n">
        <v>23643.5</v>
      </c>
    </row>
    <row r="107">
      <c r="G107" s="34" t="inlineStr">
        <is>
          <t>2026-05-14</t>
        </is>
      </c>
      <c r="H107" t="n">
        <v>2712.9</v>
      </c>
      <c r="J107" t="n">
        <v>23689.6</v>
      </c>
    </row>
    <row r="108">
      <c r="G108" s="34" t="inlineStr">
        <is>
          <t>2026-05-13</t>
        </is>
      </c>
      <c r="H108" t="n">
        <v>2498</v>
      </c>
      <c r="J108" t="n">
        <v>23412.6</v>
      </c>
    </row>
    <row r="109">
      <c r="G109" s="34" t="inlineStr">
        <is>
          <t>2026-05-12</t>
        </is>
      </c>
      <c r="H109" t="n">
        <v>2405.2</v>
      </c>
      <c r="J109" t="n">
        <v>23379.55</v>
      </c>
    </row>
    <row r="110">
      <c r="G110" s="34" t="inlineStr">
        <is>
          <t>2026-05-11</t>
        </is>
      </c>
      <c r="H110" t="n">
        <v>2500.2</v>
      </c>
      <c r="J110" t="n">
        <v>23815.85</v>
      </c>
    </row>
    <row r="111">
      <c r="G111" s="34" t="inlineStr">
        <is>
          <t>2026-05-08</t>
        </is>
      </c>
      <c r="H111" t="n">
        <v>2505.9</v>
      </c>
      <c r="J111" t="n">
        <v>24176.15</v>
      </c>
    </row>
    <row r="112">
      <c r="G112" s="34" t="inlineStr">
        <is>
          <t>2026-05-07</t>
        </is>
      </c>
      <c r="H112" t="n">
        <v>2513.7</v>
      </c>
      <c r="J112" t="n">
        <v>24326.65</v>
      </c>
    </row>
    <row r="113">
      <c r="G113" s="34" t="inlineStr">
        <is>
          <t>2026-05-06</t>
        </is>
      </c>
      <c r="H113" t="n">
        <v>2540.3</v>
      </c>
      <c r="J113" t="n">
        <v>24330.95</v>
      </c>
    </row>
    <row r="114">
      <c r="G114" s="34" t="inlineStr">
        <is>
          <t>2026-05-05</t>
        </is>
      </c>
      <c r="H114" t="n">
        <v>2462</v>
      </c>
      <c r="J114" t="n">
        <v>24032.8</v>
      </c>
    </row>
    <row r="115">
      <c r="G115" s="34" t="inlineStr">
        <is>
          <t>2026-05-04</t>
        </is>
      </c>
      <c r="H115" t="n">
        <v>2485.7</v>
      </c>
      <c r="J115" t="n">
        <v>24119.3</v>
      </c>
    </row>
    <row r="116">
      <c r="G116" s="34" t="inlineStr">
        <is>
          <t>2026-04-30</t>
        </is>
      </c>
      <c r="H116" t="n">
        <v>2408.4</v>
      </c>
      <c r="J116" t="n">
        <v>23997.55</v>
      </c>
    </row>
    <row r="117">
      <c r="G117" s="34" t="inlineStr">
        <is>
          <t>2026-04-29</t>
        </is>
      </c>
      <c r="H117" t="n">
        <v>2425.9</v>
      </c>
      <c r="J117" t="n">
        <v>24177.65</v>
      </c>
    </row>
    <row r="118">
      <c r="G118" s="34" t="inlineStr">
        <is>
          <t>2026-04-28</t>
        </is>
      </c>
      <c r="H118" t="n">
        <v>2412.4</v>
      </c>
      <c r="J118" t="n">
        <v>23995.7</v>
      </c>
    </row>
    <row r="119">
      <c r="G119" s="34" t="inlineStr">
        <is>
          <t>2026-04-27</t>
        </is>
      </c>
      <c r="H119" t="n">
        <v>2321.8</v>
      </c>
      <c r="J119" t="n">
        <v>24092.7</v>
      </c>
    </row>
    <row r="120">
      <c r="G120" s="34" t="inlineStr">
        <is>
          <t>2026-04-24</t>
        </is>
      </c>
      <c r="H120" t="n">
        <v>2287.6</v>
      </c>
      <c r="J120" t="n">
        <v>23897.95</v>
      </c>
    </row>
    <row r="121">
      <c r="G121" s="34" t="inlineStr">
        <is>
          <t>2026-04-23</t>
        </is>
      </c>
      <c r="H121" t="n">
        <v>2300</v>
      </c>
      <c r="J121" t="n">
        <v>24173.05</v>
      </c>
    </row>
    <row r="122">
      <c r="G122" s="34" t="inlineStr">
        <is>
          <t>2026-04-22</t>
        </is>
      </c>
      <c r="H122" t="n">
        <v>2260.8</v>
      </c>
      <c r="J122" t="n">
        <v>24378.1</v>
      </c>
    </row>
    <row r="123">
      <c r="G123" s="34" t="inlineStr">
        <is>
          <t>2026-04-21</t>
        </is>
      </c>
      <c r="H123" t="n">
        <v>2226</v>
      </c>
      <c r="J123" t="n">
        <v>24576.6</v>
      </c>
    </row>
    <row r="124">
      <c r="G124" s="34" t="inlineStr">
        <is>
          <t>2026-04-20</t>
        </is>
      </c>
      <c r="H124" t="n">
        <v>2229.6</v>
      </c>
      <c r="J124" t="n">
        <v>24364.85</v>
      </c>
    </row>
    <row r="125">
      <c r="G125" s="34" t="inlineStr">
        <is>
          <t>2026-04-17</t>
        </is>
      </c>
      <c r="H125" t="n">
        <v>2218.3</v>
      </c>
      <c r="J125" t="n">
        <v>24353.55</v>
      </c>
    </row>
    <row r="126">
      <c r="G126" s="34" t="inlineStr">
        <is>
          <t>2026-04-16</t>
        </is>
      </c>
      <c r="H126" t="n">
        <v>2203.7</v>
      </c>
      <c r="J126" t="n">
        <v>24196.75</v>
      </c>
    </row>
    <row r="127">
      <c r="G127" s="34" t="inlineStr">
        <is>
          <t>2026-04-15</t>
        </is>
      </c>
      <c r="H127" t="n">
        <v>2144.4</v>
      </c>
      <c r="J127" t="n">
        <v>24231.3</v>
      </c>
    </row>
    <row r="128">
      <c r="G128" s="34" t="inlineStr">
        <is>
          <t>2026-04-13</t>
        </is>
      </c>
      <c r="H128" t="n">
        <v>2129</v>
      </c>
      <c r="J128" t="n">
        <v>23842.65</v>
      </c>
    </row>
    <row r="129">
      <c r="G129" s="34" t="inlineStr">
        <is>
          <t>2026-04-10</t>
        </is>
      </c>
      <c r="H129" t="n">
        <v>2086.8</v>
      </c>
      <c r="J129" t="n">
        <v>24050.6</v>
      </c>
    </row>
    <row r="130">
      <c r="G130" s="34" t="inlineStr">
        <is>
          <t>2026-04-09</t>
        </is>
      </c>
      <c r="H130" t="n">
        <v>2040.5</v>
      </c>
      <c r="J130" t="n">
        <v>23775.1</v>
      </c>
    </row>
    <row r="131">
      <c r="G131" s="34" t="inlineStr">
        <is>
          <t>2026-04-08</t>
        </is>
      </c>
      <c r="H131" t="n">
        <v>2043.8</v>
      </c>
      <c r="J131" t="n">
        <v>23997.35</v>
      </c>
    </row>
    <row r="132">
      <c r="G132" s="34" t="inlineStr">
        <is>
          <t>2026-04-07</t>
        </is>
      </c>
      <c r="H132" t="n">
        <v>1882.1</v>
      </c>
      <c r="J132" t="n">
        <v>23123.65</v>
      </c>
    </row>
    <row r="133">
      <c r="G133" s="34" t="inlineStr">
        <is>
          <t>2026-04-06</t>
        </is>
      </c>
      <c r="H133" t="n">
        <v>1902.2</v>
      </c>
      <c r="J133" t="n">
        <v>22968.25</v>
      </c>
    </row>
    <row r="134">
      <c r="G134" s="34" t="inlineStr">
        <is>
          <t>2026-04-02</t>
        </is>
      </c>
      <c r="H134" t="n">
        <v>1834.2</v>
      </c>
      <c r="J134" t="n">
        <v>22713.1</v>
      </c>
    </row>
    <row r="135">
      <c r="G135" s="34" t="inlineStr">
        <is>
          <t>2026-04-01</t>
        </is>
      </c>
      <c r="H135" t="n">
        <v>1842.5</v>
      </c>
      <c r="J135" t="n">
        <v>22679.4</v>
      </c>
    </row>
    <row r="136">
      <c r="G136" s="34" t="inlineStr">
        <is>
          <t>2026-03-30</t>
        </is>
      </c>
      <c r="H136" t="n">
        <v>1758.8</v>
      </c>
      <c r="J136" t="n">
        <v>22331.4</v>
      </c>
    </row>
    <row r="137">
      <c r="G137" s="34" t="inlineStr">
        <is>
          <t>2026-03-27</t>
        </is>
      </c>
      <c r="H137" t="n">
        <v>1823</v>
      </c>
      <c r="J137" t="n">
        <v>22819.6</v>
      </c>
    </row>
    <row r="138">
      <c r="G138" s="34" t="inlineStr">
        <is>
          <t>2026-03-25</t>
        </is>
      </c>
      <c r="H138" t="n">
        <v>1886.6</v>
      </c>
      <c r="J138" t="n">
        <v>23306.45</v>
      </c>
    </row>
    <row r="139">
      <c r="G139" s="34" t="inlineStr">
        <is>
          <t>2026-03-24</t>
        </is>
      </c>
      <c r="H139" t="n">
        <v>1817.9</v>
      </c>
      <c r="J139" t="n">
        <v>22912.4</v>
      </c>
    </row>
    <row r="140">
      <c r="G140" s="34" t="inlineStr">
        <is>
          <t>2026-03-23</t>
        </is>
      </c>
      <c r="H140" t="n">
        <v>1833</v>
      </c>
      <c r="J140" t="n">
        <v>22512.65</v>
      </c>
    </row>
    <row r="141">
      <c r="G141" s="34" t="inlineStr">
        <is>
          <t>2026-03-20</t>
        </is>
      </c>
      <c r="H141" t="n">
        <v>1927.1</v>
      </c>
      <c r="J141" t="n">
        <v>23114.5</v>
      </c>
    </row>
    <row r="142">
      <c r="G142" s="34" t="inlineStr">
        <is>
          <t>2026-03-19</t>
        </is>
      </c>
      <c r="H142" t="n">
        <v>1936.8</v>
      </c>
      <c r="J142" t="n">
        <v>23002.15</v>
      </c>
    </row>
    <row r="143">
      <c r="G143" s="34" t="inlineStr">
        <is>
          <t>2026-03-18</t>
        </is>
      </c>
      <c r="H143" t="n">
        <v>2007.2</v>
      </c>
      <c r="J143" t="n">
        <v>23777.8</v>
      </c>
    </row>
    <row r="144">
      <c r="G144" s="34" t="inlineStr">
        <is>
          <t>2026-03-17</t>
        </is>
      </c>
      <c r="H144" t="n">
        <v>1975.4</v>
      </c>
      <c r="J144" t="n">
        <v>23581.15</v>
      </c>
    </row>
    <row r="145">
      <c r="G145" s="34" t="inlineStr">
        <is>
          <t>2026-03-16</t>
        </is>
      </c>
      <c r="H145" t="n">
        <v>1978</v>
      </c>
      <c r="J145" t="n">
        <v>23408.8</v>
      </c>
    </row>
    <row r="146">
      <c r="G146" s="34" t="inlineStr">
        <is>
          <t>2026-03-13</t>
        </is>
      </c>
      <c r="H146" t="n">
        <v>1961.1</v>
      </c>
      <c r="J146" t="n">
        <v>23151.1</v>
      </c>
    </row>
    <row r="147">
      <c r="G147" s="34" t="inlineStr">
        <is>
          <t>2026-03-12</t>
        </is>
      </c>
      <c r="H147" t="n">
        <v>2002</v>
      </c>
      <c r="J147" t="n">
        <v>23639.15</v>
      </c>
    </row>
    <row r="148">
      <c r="G148" s="34" t="inlineStr">
        <is>
          <t>2026-03-11</t>
        </is>
      </c>
      <c r="H148" t="n">
        <v>1974.7</v>
      </c>
      <c r="J148" t="n">
        <v>23866.85</v>
      </c>
    </row>
    <row r="149">
      <c r="G149" s="34" t="inlineStr">
        <is>
          <t>2026-03-10</t>
        </is>
      </c>
      <c r="H149" t="n">
        <v>1996.5</v>
      </c>
      <c r="J149" t="n">
        <v>24261.6</v>
      </c>
    </row>
    <row r="150">
      <c r="G150" s="34" t="inlineStr">
        <is>
          <t>2026-03-09</t>
        </is>
      </c>
      <c r="H150" t="n">
        <v>1999.2</v>
      </c>
      <c r="J150" t="n">
        <v>24028.05</v>
      </c>
    </row>
    <row r="151">
      <c r="G151" s="34" t="inlineStr">
        <is>
          <t>2026-03-06</t>
        </is>
      </c>
      <c r="H151" t="n">
        <v>2039.9</v>
      </c>
      <c r="J151" t="n">
        <v>24450.45</v>
      </c>
    </row>
    <row r="152">
      <c r="G152" s="34" t="inlineStr">
        <is>
          <t>2026-03-05</t>
        </is>
      </c>
      <c r="H152" t="n">
        <v>2089.2</v>
      </c>
      <c r="J152" t="n">
        <v>24765.9</v>
      </c>
    </row>
    <row r="153">
      <c r="G153" s="34" t="inlineStr">
        <is>
          <t>2026-03-04</t>
        </is>
      </c>
      <c r="H153" t="n">
        <v>2076.5</v>
      </c>
      <c r="J153" t="n">
        <v>24480.5</v>
      </c>
    </row>
    <row r="154">
      <c r="G154" s="34" t="inlineStr">
        <is>
          <t>2026-03-02</t>
        </is>
      </c>
      <c r="H154" t="n">
        <v>2124.6</v>
      </c>
      <c r="J154" t="n">
        <v>24865.7</v>
      </c>
    </row>
    <row r="155">
      <c r="G155" s="34" t="inlineStr">
        <is>
          <t>2026-02-27</t>
        </is>
      </c>
      <c r="H155" t="n">
        <v>2161.8</v>
      </c>
      <c r="J155" t="n">
        <v>25178.65</v>
      </c>
    </row>
    <row r="156">
      <c r="G156" s="34" t="inlineStr">
        <is>
          <t>2026-02-26</t>
        </is>
      </c>
      <c r="H156" t="n">
        <v>2216.4</v>
      </c>
      <c r="J156" t="n">
        <v>25496.55</v>
      </c>
    </row>
    <row r="157">
      <c r="G157" s="34" t="inlineStr">
        <is>
          <t>2026-02-25</t>
        </is>
      </c>
      <c r="H157" t="n">
        <v>2231.7</v>
      </c>
      <c r="J157" t="n">
        <v>25482.5</v>
      </c>
    </row>
    <row r="158">
      <c r="G158" s="34" t="inlineStr">
        <is>
          <t>2026-02-24</t>
        </is>
      </c>
      <c r="H158" t="n">
        <v>2183</v>
      </c>
      <c r="J158" t="n">
        <v>25424.65</v>
      </c>
    </row>
    <row r="159">
      <c r="G159" s="34" t="inlineStr">
        <is>
          <t>2026-02-23</t>
        </is>
      </c>
      <c r="H159" t="n">
        <v>2191</v>
      </c>
      <c r="J159" t="n">
        <v>25713</v>
      </c>
    </row>
    <row r="160">
      <c r="G160" s="34" t="inlineStr">
        <is>
          <t>2026-02-20</t>
        </is>
      </c>
      <c r="H160" t="n">
        <v>2160.8</v>
      </c>
      <c r="J160" t="n">
        <v>25571.25</v>
      </c>
    </row>
    <row r="161">
      <c r="G161" s="34" t="inlineStr">
        <is>
          <t>2026-02-19</t>
        </is>
      </c>
      <c r="H161" t="n">
        <v>2156.7</v>
      </c>
      <c r="J161" t="n">
        <v>25454.35</v>
      </c>
    </row>
    <row r="162">
      <c r="G162" s="34" t="inlineStr">
        <is>
          <t>2026-02-18</t>
        </is>
      </c>
      <c r="H162" t="n">
        <v>2211.2</v>
      </c>
      <c r="J162" t="n">
        <v>25819.35</v>
      </c>
    </row>
    <row r="163">
      <c r="G163" s="34" t="inlineStr">
        <is>
          <t>2026-02-17</t>
        </is>
      </c>
      <c r="H163" t="n">
        <v>2242.9</v>
      </c>
      <c r="J163" t="n">
        <v>25725.4</v>
      </c>
    </row>
    <row r="164">
      <c r="G164" s="34" t="inlineStr">
        <is>
          <t>2026-02-16</t>
        </is>
      </c>
      <c r="H164" t="n">
        <v>2184.6</v>
      </c>
      <c r="J164" t="n">
        <v>25682.75</v>
      </c>
    </row>
    <row r="165">
      <c r="G165" s="34" t="inlineStr">
        <is>
          <t>2026-02-13</t>
        </is>
      </c>
      <c r="H165" t="n">
        <v>2136.6</v>
      </c>
      <c r="J165" t="n">
        <v>25471.1</v>
      </c>
    </row>
    <row r="166">
      <c r="G166" s="34" t="inlineStr">
        <is>
          <t>2026-02-12</t>
        </is>
      </c>
      <c r="H166" t="n">
        <v>2211.8</v>
      </c>
      <c r="J166" t="n">
        <v>25807.2</v>
      </c>
    </row>
    <row r="167">
      <c r="G167" s="34" t="inlineStr">
        <is>
          <t>2026-02-11</t>
        </is>
      </c>
      <c r="H167" t="n">
        <v>2234.4</v>
      </c>
      <c r="J167" t="n">
        <v>25953.85</v>
      </c>
    </row>
    <row r="168">
      <c r="G168" s="34" t="inlineStr">
        <is>
          <t>2026-02-10</t>
        </is>
      </c>
      <c r="H168" t="n">
        <v>2228.4</v>
      </c>
      <c r="J168" t="n">
        <v>25935.15</v>
      </c>
    </row>
    <row r="169">
      <c r="G169" s="34" t="inlineStr">
        <is>
          <t>2026-02-09</t>
        </is>
      </c>
      <c r="H169" t="n">
        <v>2250.1</v>
      </c>
      <c r="J169" t="n">
        <v>25867.3</v>
      </c>
    </row>
    <row r="170">
      <c r="G170" s="34" t="inlineStr">
        <is>
          <t>2026-02-06</t>
        </is>
      </c>
      <c r="H170" t="n">
        <v>2226.4</v>
      </c>
      <c r="J170" t="n">
        <v>25693.7</v>
      </c>
    </row>
    <row r="171">
      <c r="G171" s="34" t="inlineStr">
        <is>
          <t>2026-02-05</t>
        </is>
      </c>
      <c r="H171" t="n">
        <v>2236.6</v>
      </c>
      <c r="J171" t="n">
        <v>25642.8</v>
      </c>
    </row>
    <row r="172">
      <c r="G172" s="34" t="inlineStr">
        <is>
          <t>2026-02-04</t>
        </is>
      </c>
      <c r="H172" t="n">
        <v>2228.2</v>
      </c>
      <c r="J172" t="n">
        <v>25776</v>
      </c>
    </row>
    <row r="173">
      <c r="G173" s="34" t="inlineStr">
        <is>
          <t>2026-02-03</t>
        </is>
      </c>
      <c r="H173" t="n">
        <v>2202.6</v>
      </c>
      <c r="J173" t="n">
        <v>25727.55</v>
      </c>
    </row>
    <row r="174">
      <c r="G174" s="34" t="inlineStr">
        <is>
          <t>2026-02-02</t>
        </is>
      </c>
      <c r="H174" t="n">
        <v>1995.4</v>
      </c>
      <c r="J174" t="n">
        <v>25088.4</v>
      </c>
    </row>
    <row r="175">
      <c r="G175" s="34" t="inlineStr">
        <is>
          <t>2026-02-01</t>
        </is>
      </c>
      <c r="H175" t="n">
        <v>1942.8</v>
      </c>
      <c r="J175" t="n">
        <v>25320.65</v>
      </c>
    </row>
    <row r="176">
      <c r="G176" s="34" t="inlineStr">
        <is>
          <t>2026-01-30</t>
        </is>
      </c>
      <c r="H176" t="n">
        <v>2020.4</v>
      </c>
      <c r="J176" t="n">
        <v>25320.65</v>
      </c>
    </row>
    <row r="177">
      <c r="G177" s="34" t="inlineStr">
        <is>
          <t>2026-01-29</t>
        </is>
      </c>
      <c r="H177" t="n">
        <v>2019.2</v>
      </c>
      <c r="J177" t="n">
        <v>25418.9</v>
      </c>
    </row>
    <row r="178">
      <c r="G178" s="34" t="inlineStr">
        <is>
          <t>2026-01-28</t>
        </is>
      </c>
      <c r="H178" t="n">
        <v>1994.7</v>
      </c>
      <c r="J178" t="n">
        <v>25342.75</v>
      </c>
    </row>
    <row r="179">
      <c r="G179" s="34" t="inlineStr">
        <is>
          <t>2026-01-27</t>
        </is>
      </c>
      <c r="H179" t="n">
        <v>1959.5</v>
      </c>
      <c r="J179" t="n">
        <v>25175.4</v>
      </c>
    </row>
    <row r="180">
      <c r="G180" s="34" t="inlineStr">
        <is>
          <t>2026-01-23</t>
        </is>
      </c>
      <c r="H180" t="n">
        <v>1864.2</v>
      </c>
      <c r="J180" t="n">
        <v>25048.65</v>
      </c>
    </row>
    <row r="181">
      <c r="G181" s="34" t="inlineStr">
        <is>
          <t>2026-01-22</t>
        </is>
      </c>
      <c r="H181" t="n">
        <v>2086.4</v>
      </c>
      <c r="J181" t="n">
        <v>25289.9</v>
      </c>
    </row>
    <row r="182">
      <c r="G182" s="34" t="inlineStr">
        <is>
          <t>2026-01-21</t>
        </is>
      </c>
      <c r="H182" t="n">
        <v>2032.2</v>
      </c>
      <c r="J182" t="n">
        <v>25157.5</v>
      </c>
    </row>
    <row r="183">
      <c r="G183" s="34" t="inlineStr">
        <is>
          <t>2026-01-20</t>
        </is>
      </c>
      <c r="H183" t="n">
        <v>2055.1</v>
      </c>
      <c r="J183" t="n">
        <v>25232.5</v>
      </c>
    </row>
    <row r="184">
      <c r="G184" s="34" t="inlineStr">
        <is>
          <t>2026-01-19</t>
        </is>
      </c>
      <c r="H184" t="n">
        <v>2134.6</v>
      </c>
      <c r="J184" t="n">
        <v>25585.5</v>
      </c>
    </row>
    <row r="185">
      <c r="G185" s="34" t="inlineStr">
        <is>
          <t>2026-01-16</t>
        </is>
      </c>
      <c r="H185" t="n">
        <v>2157.3</v>
      </c>
      <c r="J185" t="n">
        <v>25694.35</v>
      </c>
    </row>
    <row r="186">
      <c r="G186" s="34" t="inlineStr">
        <is>
          <t>2026-01-14</t>
        </is>
      </c>
      <c r="H186" t="n">
        <v>2153.3</v>
      </c>
      <c r="J186" t="n">
        <v>25665.6</v>
      </c>
    </row>
    <row r="187">
      <c r="G187" s="34" t="inlineStr">
        <is>
          <t>2026-01-13</t>
        </is>
      </c>
      <c r="H187" t="n">
        <v>2158.5</v>
      </c>
      <c r="J187" t="n">
        <v>25732.3</v>
      </c>
    </row>
    <row r="188">
      <c r="G188" s="34" t="inlineStr">
        <is>
          <t>2026-01-12</t>
        </is>
      </c>
      <c r="H188" t="n">
        <v>2171.6</v>
      </c>
      <c r="J188" t="n">
        <v>25790.25</v>
      </c>
    </row>
    <row r="189">
      <c r="G189" s="34" t="inlineStr">
        <is>
          <t>2026-01-09</t>
        </is>
      </c>
      <c r="H189" t="n">
        <v>2153.7</v>
      </c>
      <c r="J189" t="n">
        <v>25683.3</v>
      </c>
    </row>
    <row r="190">
      <c r="G190" s="34" t="inlineStr">
        <is>
          <t>2026-01-08</t>
        </is>
      </c>
      <c r="H190" t="n">
        <v>2214</v>
      </c>
      <c r="J190" t="n">
        <v>25876.85</v>
      </c>
    </row>
    <row r="191">
      <c r="G191" s="34" t="inlineStr">
        <is>
          <t>2026-01-07</t>
        </is>
      </c>
      <c r="H191" t="n">
        <v>2274.1</v>
      </c>
      <c r="J191" t="n">
        <v>26140.75</v>
      </c>
    </row>
    <row r="192">
      <c r="G192" s="34" t="inlineStr">
        <is>
          <t>2026-01-06</t>
        </is>
      </c>
      <c r="H192" t="n">
        <v>2259.1</v>
      </c>
      <c r="J192" t="n">
        <v>26178.7</v>
      </c>
    </row>
    <row r="193">
      <c r="G193" s="34" t="inlineStr">
        <is>
          <t>2026-01-05</t>
        </is>
      </c>
      <c r="H193" t="n">
        <v>2279.5</v>
      </c>
      <c r="J193" t="n">
        <v>26250.3</v>
      </c>
    </row>
    <row r="194">
      <c r="G194" s="34" t="inlineStr">
        <is>
          <t>2026-01-02</t>
        </is>
      </c>
      <c r="H194" t="n">
        <v>2279.8</v>
      </c>
      <c r="J194" t="n">
        <v>26328.55</v>
      </c>
    </row>
    <row r="195">
      <c r="G195" s="34" t="inlineStr">
        <is>
          <t>2026-01-01</t>
        </is>
      </c>
      <c r="H195" t="n">
        <v>2260</v>
      </c>
      <c r="J195" t="n">
        <v>26146.55</v>
      </c>
    </row>
    <row r="196">
      <c r="G196" s="34" t="inlineStr">
        <is>
          <t>2025-12-31</t>
        </is>
      </c>
      <c r="H196" t="n">
        <v>2239.7</v>
      </c>
      <c r="J196" t="n">
        <v>26129.6</v>
      </c>
    </row>
    <row r="197">
      <c r="G197" s="34" t="inlineStr">
        <is>
          <t>2025-12-30</t>
        </is>
      </c>
      <c r="H197" t="n">
        <v>2214.7</v>
      </c>
      <c r="J197" t="n">
        <v>25938.85</v>
      </c>
    </row>
    <row r="198">
      <c r="G198" s="34" t="inlineStr">
        <is>
          <t>2025-12-29</t>
        </is>
      </c>
      <c r="H198" t="n">
        <v>2203.2</v>
      </c>
      <c r="J198" t="n">
        <v>25942.1</v>
      </c>
    </row>
    <row r="199">
      <c r="G199" s="34" t="inlineStr">
        <is>
          <t>2025-12-26</t>
        </is>
      </c>
      <c r="H199" t="n">
        <v>2229.9</v>
      </c>
      <c r="J199" t="n">
        <v>26042.3</v>
      </c>
    </row>
    <row r="200">
      <c r="G200" s="34" t="inlineStr">
        <is>
          <t>2025-12-24</t>
        </is>
      </c>
      <c r="H200" t="n">
        <v>2222.7</v>
      </c>
      <c r="J200" t="n">
        <v>26142.1</v>
      </c>
    </row>
    <row r="201">
      <c r="G201" s="34" t="inlineStr">
        <is>
          <t>2025-12-23</t>
        </is>
      </c>
      <c r="H201" t="n">
        <v>2248.8</v>
      </c>
      <c r="J201" t="n">
        <v>26177.15</v>
      </c>
    </row>
    <row r="202">
      <c r="G202" s="34" t="inlineStr">
        <is>
          <t>2025-12-22</t>
        </is>
      </c>
      <c r="H202" t="n">
        <v>2263.5</v>
      </c>
      <c r="J202" t="n">
        <v>26172.4</v>
      </c>
    </row>
    <row r="203">
      <c r="G203" s="34" t="inlineStr">
        <is>
          <t>2025-12-19</t>
        </is>
      </c>
      <c r="H203" t="n">
        <v>2239</v>
      </c>
      <c r="J203" t="n">
        <v>25966.4</v>
      </c>
    </row>
    <row r="204">
      <c r="G204" s="34" t="inlineStr">
        <is>
          <t>2025-12-18</t>
        </is>
      </c>
      <c r="H204" t="n">
        <v>2229.3</v>
      </c>
      <c r="J204" t="n">
        <v>25815.55</v>
      </c>
    </row>
    <row r="205">
      <c r="G205" s="34" t="inlineStr">
        <is>
          <t>2025-12-17</t>
        </is>
      </c>
      <c r="H205" t="n">
        <v>2232.5</v>
      </c>
      <c r="J205" t="n">
        <v>25818.55</v>
      </c>
    </row>
    <row r="206">
      <c r="G206" s="34" t="inlineStr">
        <is>
          <t>2025-12-16</t>
        </is>
      </c>
      <c r="H206" t="n">
        <v>2247.9</v>
      </c>
      <c r="J206" t="n">
        <v>25860.1</v>
      </c>
    </row>
    <row r="207">
      <c r="G207" s="34" t="inlineStr">
        <is>
          <t>2025-12-15</t>
        </is>
      </c>
      <c r="H207" t="n">
        <v>2278.9</v>
      </c>
      <c r="J207" t="n">
        <v>26027.3</v>
      </c>
    </row>
    <row r="208">
      <c r="G208" s="34" t="inlineStr">
        <is>
          <t>2025-12-12</t>
        </is>
      </c>
      <c r="H208" t="n">
        <v>2282.4</v>
      </c>
      <c r="J208" t="n">
        <v>26046.95</v>
      </c>
    </row>
    <row r="209">
      <c r="G209" s="34" t="inlineStr">
        <is>
          <t>2025-12-11</t>
        </is>
      </c>
      <c r="H209" t="n">
        <v>2277.7</v>
      </c>
      <c r="J209" t="n">
        <v>25898.55</v>
      </c>
    </row>
    <row r="210">
      <c r="G210" s="34" t="inlineStr">
        <is>
          <t>2025-12-10</t>
        </is>
      </c>
      <c r="H210" t="n">
        <v>2211.6</v>
      </c>
      <c r="J210" t="n">
        <v>25758</v>
      </c>
    </row>
    <row r="211">
      <c r="G211" s="34" t="inlineStr">
        <is>
          <t>2025-12-09</t>
        </is>
      </c>
      <c r="H211" t="n">
        <v>2245.2</v>
      </c>
      <c r="J211" t="n">
        <v>25839.65</v>
      </c>
    </row>
    <row r="212">
      <c r="G212" s="34" t="inlineStr">
        <is>
          <t>2025-12-08</t>
        </is>
      </c>
      <c r="H212" t="n">
        <v>2216.2</v>
      </c>
      <c r="J212" t="n">
        <v>25960.55</v>
      </c>
    </row>
    <row r="213">
      <c r="G213" s="34" t="inlineStr">
        <is>
          <t>2025-12-05</t>
        </is>
      </c>
      <c r="H213" t="n">
        <v>2265.4</v>
      </c>
      <c r="J213" t="n">
        <v>26186.45</v>
      </c>
    </row>
    <row r="214">
      <c r="G214" s="34" t="inlineStr">
        <is>
          <t>2025-12-04</t>
        </is>
      </c>
      <c r="H214" t="n">
        <v>2217.9</v>
      </c>
      <c r="J214" t="n">
        <v>26033.75</v>
      </c>
    </row>
    <row r="215">
      <c r="G215" s="34" t="inlineStr">
        <is>
          <t>2025-12-03</t>
        </is>
      </c>
      <c r="H215" t="n">
        <v>2189.8</v>
      </c>
      <c r="J215" t="n">
        <v>25986</v>
      </c>
    </row>
    <row r="216">
      <c r="G216" s="34" t="inlineStr">
        <is>
          <t>2025-12-02</t>
        </is>
      </c>
      <c r="H216" t="n">
        <v>2239.6</v>
      </c>
      <c r="J216" t="n">
        <v>26032.2</v>
      </c>
    </row>
    <row r="217">
      <c r="G217" s="34" t="inlineStr">
        <is>
          <t>2025-12-01</t>
        </is>
      </c>
      <c r="H217" t="n">
        <v>2262</v>
      </c>
      <c r="J217" t="n">
        <v>26175.75</v>
      </c>
    </row>
    <row r="218">
      <c r="G218" s="34" t="inlineStr">
        <is>
          <t>2025-11-28</t>
        </is>
      </c>
      <c r="H218" t="n">
        <v>2280.2</v>
      </c>
      <c r="J218" t="n">
        <v>26202.95</v>
      </c>
    </row>
    <row r="219">
      <c r="G219" s="34" t="inlineStr">
        <is>
          <t>2025-11-27</t>
        </is>
      </c>
      <c r="H219" t="n">
        <v>2255</v>
      </c>
      <c r="J219" t="n">
        <v>26215.55</v>
      </c>
    </row>
    <row r="220">
      <c r="G220" s="34" t="inlineStr">
        <is>
          <t>2025-11-26</t>
        </is>
      </c>
      <c r="H220" t="n">
        <v>2315</v>
      </c>
      <c r="J220" t="n">
        <v>26205.3</v>
      </c>
    </row>
    <row r="221">
      <c r="G221" s="34" t="inlineStr">
        <is>
          <t>2025-11-25</t>
        </is>
      </c>
      <c r="H221" t="n">
        <v>2332.9</v>
      </c>
      <c r="J221" t="n">
        <v>25884.8</v>
      </c>
    </row>
    <row r="222">
      <c r="G222" s="34" t="inlineStr">
        <is>
          <t>2025-11-24</t>
        </is>
      </c>
      <c r="H222" t="n">
        <v>2399.2</v>
      </c>
      <c r="J222" t="n">
        <v>25959.5</v>
      </c>
    </row>
    <row r="223">
      <c r="G223" s="34" t="inlineStr">
        <is>
          <t>2025-11-21</t>
        </is>
      </c>
      <c r="H223" t="n">
        <v>2422.3</v>
      </c>
      <c r="J223" t="n">
        <v>26068.15</v>
      </c>
    </row>
    <row r="224">
      <c r="G224" s="34" t="inlineStr">
        <is>
          <t>2025-11-20</t>
        </is>
      </c>
      <c r="H224" t="n">
        <v>2446.1</v>
      </c>
      <c r="J224" t="n">
        <v>26192.15</v>
      </c>
    </row>
    <row r="225">
      <c r="G225" s="34" t="inlineStr">
        <is>
          <t>2025-11-19</t>
        </is>
      </c>
      <c r="H225" t="n">
        <v>2433.1</v>
      </c>
      <c r="J225" t="n">
        <v>26052.65</v>
      </c>
    </row>
    <row r="226">
      <c r="G226" s="34" t="inlineStr">
        <is>
          <t>2025-11-18</t>
        </is>
      </c>
      <c r="H226" t="n">
        <v>2436.8</v>
      </c>
      <c r="J226" t="n">
        <v>25910.05</v>
      </c>
    </row>
    <row r="227">
      <c r="G227" s="34" t="inlineStr">
        <is>
          <t>2025-11-17</t>
        </is>
      </c>
      <c r="H227" t="n">
        <v>2462</v>
      </c>
      <c r="J227" t="n">
        <v>26013.45</v>
      </c>
    </row>
    <row r="228">
      <c r="G228" s="34" t="inlineStr">
        <is>
          <t>2025-11-14</t>
        </is>
      </c>
      <c r="H228" t="n">
        <v>2440</v>
      </c>
      <c r="J228" t="n">
        <v>25910.05</v>
      </c>
    </row>
    <row r="229">
      <c r="G229" s="34" t="inlineStr">
        <is>
          <t>2025-11-13</t>
        </is>
      </c>
      <c r="H229" t="n">
        <v>2412.27</v>
      </c>
      <c r="J229" t="n">
        <v>25879.15</v>
      </c>
    </row>
    <row r="230">
      <c r="G230" s="34" t="inlineStr">
        <is>
          <t>2025-11-12</t>
        </is>
      </c>
      <c r="H230" t="n">
        <v>2408.69</v>
      </c>
      <c r="J230" t="n">
        <v>25875.8</v>
      </c>
    </row>
    <row r="231">
      <c r="G231" s="34" t="inlineStr">
        <is>
          <t>2025-11-11</t>
        </is>
      </c>
      <c r="H231" t="n">
        <v>2294.58</v>
      </c>
      <c r="J231" t="n">
        <v>25694.95</v>
      </c>
    </row>
    <row r="232">
      <c r="G232" s="34" t="inlineStr">
        <is>
          <t>2025-11-10</t>
        </is>
      </c>
      <c r="H232" t="n">
        <v>2298.36</v>
      </c>
      <c r="J232" t="n">
        <v>25574.35</v>
      </c>
    </row>
    <row r="233">
      <c r="G233" s="34" t="inlineStr">
        <is>
          <t>2025-11-07</t>
        </is>
      </c>
      <c r="H233" t="n">
        <v>2297.1</v>
      </c>
      <c r="J233" t="n">
        <v>25492.3</v>
      </c>
    </row>
    <row r="234">
      <c r="G234" s="34" t="inlineStr">
        <is>
          <t>2025-11-06</t>
        </is>
      </c>
      <c r="H234" t="n">
        <v>2243.68</v>
      </c>
      <c r="J234" t="n">
        <v>25509.7</v>
      </c>
    </row>
    <row r="235">
      <c r="G235" s="34" t="inlineStr">
        <is>
          <t>2025-11-04</t>
        </is>
      </c>
      <c r="H235" t="n">
        <v>2345.96</v>
      </c>
      <c r="J235" t="n">
        <v>25597.65</v>
      </c>
    </row>
    <row r="236">
      <c r="G236" s="34" t="inlineStr">
        <is>
          <t>2025-11-03</t>
        </is>
      </c>
      <c r="H236" t="n">
        <v>2391.72</v>
      </c>
      <c r="J236" t="n">
        <v>25763.35</v>
      </c>
    </row>
    <row r="237">
      <c r="G237" s="34" t="inlineStr">
        <is>
          <t>2025-10-31</t>
        </is>
      </c>
      <c r="H237" t="n">
        <v>2405.29</v>
      </c>
      <c r="J237" t="n">
        <v>25722.1</v>
      </c>
    </row>
    <row r="238">
      <c r="G238" s="34" t="inlineStr">
        <is>
          <t>2025-10-30</t>
        </is>
      </c>
      <c r="H238" t="n">
        <v>2449.79</v>
      </c>
      <c r="J238" t="n">
        <v>25877.85</v>
      </c>
    </row>
    <row r="239">
      <c r="G239" s="34" t="inlineStr">
        <is>
          <t>2025-10-29</t>
        </is>
      </c>
      <c r="H239" t="n">
        <v>2459.97</v>
      </c>
      <c r="J239" t="n">
        <v>26053.9</v>
      </c>
    </row>
    <row r="240">
      <c r="G240" s="34" t="inlineStr">
        <is>
          <t>2025-10-28</t>
        </is>
      </c>
      <c r="H240" t="n">
        <v>2418.28</v>
      </c>
      <c r="J240" t="n">
        <v>25936.2</v>
      </c>
    </row>
    <row r="241">
      <c r="G241" s="34" t="inlineStr">
        <is>
          <t>2025-10-27</t>
        </is>
      </c>
      <c r="H241" t="n">
        <v>2416.73</v>
      </c>
      <c r="J241" t="n">
        <v>25966.05</v>
      </c>
    </row>
    <row r="242">
      <c r="G242" s="34" t="inlineStr">
        <is>
          <t>2025-10-24</t>
        </is>
      </c>
      <c r="H242" t="n">
        <v>2427.78</v>
      </c>
      <c r="J242" t="n">
        <v>25795.15</v>
      </c>
    </row>
    <row r="243">
      <c r="G243" s="34" t="inlineStr">
        <is>
          <t>2025-10-23</t>
        </is>
      </c>
      <c r="H243" t="n">
        <v>2468.12</v>
      </c>
      <c r="J243" t="n">
        <v>25891.4</v>
      </c>
    </row>
    <row r="244">
      <c r="G244" s="34" t="inlineStr">
        <is>
          <t>2025-10-21</t>
        </is>
      </c>
      <c r="H244" t="n">
        <v>2472.09</v>
      </c>
      <c r="J244" t="n">
        <v>25868.6</v>
      </c>
    </row>
    <row r="245">
      <c r="G245" s="34" t="inlineStr">
        <is>
          <t>2025-10-20</t>
        </is>
      </c>
      <c r="H245" t="n">
        <v>2470.34</v>
      </c>
      <c r="J245" t="n">
        <v>25843.15</v>
      </c>
    </row>
    <row r="246">
      <c r="G246" s="34" t="inlineStr">
        <is>
          <t>2025-10-17</t>
        </is>
      </c>
      <c r="H246" t="n">
        <v>2471.61</v>
      </c>
      <c r="J246" t="n">
        <v>25709.85</v>
      </c>
    </row>
    <row r="247">
      <c r="G247" s="34" t="inlineStr">
        <is>
          <t>2025-10-16</t>
        </is>
      </c>
      <c r="H247" t="n">
        <v>2479.55</v>
      </c>
      <c r="J247" t="n">
        <v>25585.3</v>
      </c>
    </row>
    <row r="248">
      <c r="G248" s="34" t="inlineStr">
        <is>
          <t>2025-10-15</t>
        </is>
      </c>
      <c r="H248" t="n">
        <v>2455.51</v>
      </c>
      <c r="J248" t="n">
        <v>25323.55</v>
      </c>
    </row>
    <row r="249">
      <c r="G249" s="161" t="inlineStr">
        <is>
          <t>2025-10-14</t>
        </is>
      </c>
      <c r="H249" t="n">
        <v>2440.19</v>
      </c>
      <c r="J249" t="n">
        <v>25145.5</v>
      </c>
    </row>
    <row r="250">
      <c r="G250" s="161" t="inlineStr">
        <is>
          <t>2025-10-13</t>
        </is>
      </c>
      <c r="H250" t="n">
        <v>2450.28</v>
      </c>
      <c r="J250" t="n">
        <v>25227.35</v>
      </c>
    </row>
    <row r="251">
      <c r="G251" s="161" t="inlineStr">
        <is>
          <t>2025-10-10</t>
        </is>
      </c>
      <c r="H251" t="n">
        <v>2473.06</v>
      </c>
      <c r="J251" t="n">
        <v>25285.35</v>
      </c>
    </row>
    <row r="252">
      <c r="G252" s="161" t="inlineStr">
        <is>
          <t>2025-10-09</t>
        </is>
      </c>
      <c r="H252" t="n">
        <v>2464.82</v>
      </c>
      <c r="J252" t="n">
        <v>25181.8</v>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8" customWidth="1" style="176" min="2" max="2"/>
    <col width="18" customWidth="1" style="176" min="3" max="3"/>
    <col width="18" bestFit="1" customWidth="1" style="176" min="4" max="4"/>
    <col width="18" customWidth="1" style="176" min="5" max="5"/>
    <col width="18" bestFit="1" customWidth="1" style="176" min="6" max="6"/>
    <col width="18" bestFit="1" customWidth="1" style="176" min="7" max="7"/>
    <col width="18" customWidth="1" style="176" min="8" max="8"/>
    <col width="18" customWidth="1" style="176" min="9" max="9"/>
    <col width="18" customWidth="1" style="176" min="10" max="10"/>
    <col width="18" bestFit="1" customWidth="1" style="176" min="11" max="13"/>
    <col width="18" customWidth="1" style="176" min="12" max="12"/>
    <col width="18" customWidth="1" style="176" min="13" max="13"/>
    <col width="18" customWidth="1" style="176" min="15" max="16"/>
    <col width="18" customWidth="1" style="176" min="16" max="16"/>
    <col width="18"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5" t="inlineStr">
        <is>
          <t>EV/Revenue</t>
        </is>
      </c>
      <c r="J10" s="85" t="inlineStr">
        <is>
          <t>EV/EBITDA</t>
        </is>
      </c>
      <c r="K10" s="84" t="inlineStr">
        <is>
          <t>Revenue</t>
        </is>
      </c>
      <c r="L10" s="84" t="inlineStr">
        <is>
          <t>EBITDA</t>
        </is>
      </c>
      <c r="M10" s="84" t="inlineStr">
        <is>
          <t>Net Income</t>
        </is>
      </c>
      <c r="N10" s="84" t="n"/>
      <c r="O10" s="85" t="inlineStr">
        <is>
          <t>EV/Revenue</t>
        </is>
      </c>
      <c r="P10" s="85" t="inlineStr">
        <is>
          <t>EV/EBITDA</t>
        </is>
      </c>
      <c r="Q10" s="85" t="inlineStr">
        <is>
          <t>P/E</t>
        </is>
      </c>
    </row>
    <row r="11" ht="4.8" customHeight="1" s="176">
      <c r="B11" s="246">
        <f>IF(COUNTA(C12:C26)&gt;=4, "Peers &gt;= 4 (Valid Sample)", "WARNING: Insufficient Peers (&lt; 4)")</f>
        <v/>
      </c>
    </row>
    <row r="12">
      <c r="B12" s="201">
        <f>'Raw FS'!L57</f>
        <v/>
      </c>
      <c r="C12" s="201" t="inlineStr">
        <is>
          <t>JSWSTEEL</t>
        </is>
      </c>
      <c r="D12" s="202">
        <f>'Raw FS'!M57</f>
        <v/>
      </c>
      <c r="E12" s="202">
        <f>'Raw FS'!N57</f>
        <v/>
      </c>
      <c r="F12" s="202">
        <f>D12*E12</f>
        <v/>
      </c>
      <c r="G12" s="202">
        <f>'Raw FS'!AS57</f>
        <v/>
      </c>
      <c r="H12" s="202">
        <f>'Raw FS'!AT57</f>
        <v/>
      </c>
      <c r="I12" s="201">
        <f>IF(OR(ISBLANK(K12), K12&lt;=0), "N/A", IFERROR($H12/K12, "N/A"))</f>
        <v/>
      </c>
      <c r="J12" s="201">
        <f>IF(OR(ISBLANK(L12), L12&lt;=0), "N/A", IFERROR($H12/L12, "N/A"))</f>
        <v/>
      </c>
      <c r="K12" s="202">
        <f>'Raw FS'!AU57</f>
        <v/>
      </c>
      <c r="L12" s="202">
        <f>'Raw FS'!AV57</f>
        <v/>
      </c>
      <c r="M12" s="202">
        <f>'Raw FS'!AW57</f>
        <v/>
      </c>
      <c r="N12" s="150" t="n"/>
      <c r="O12" s="203">
        <f>IF(OR(ISBLANK(K12), K12&lt;=0), "N/A", IFERROR($H12/K12, "N/A"))</f>
        <v/>
      </c>
      <c r="P12" s="203">
        <f>IF(OR(ISBLANK(L12), L12&lt;=0), "N/A", IFERROR($H12/L12, "N/A"))</f>
        <v/>
      </c>
      <c r="Q12" s="203">
        <f>IF(OR(ISBLANK(M12), M12&lt;=0), "N/A", IFERROR(F12/M12, "N/A"))</f>
        <v/>
      </c>
    </row>
    <row r="13">
      <c r="B13" s="201">
        <f>'Raw FS'!L58</f>
        <v/>
      </c>
      <c r="C13" s="201" t="inlineStr">
        <is>
          <t>HINDZINC</t>
        </is>
      </c>
      <c r="D13" s="202">
        <f>'Raw FS'!M58</f>
        <v/>
      </c>
      <c r="E13" s="202">
        <f>'Raw FS'!N58</f>
        <v/>
      </c>
      <c r="F13" s="202">
        <f>D13*E13</f>
        <v/>
      </c>
      <c r="G13" s="202">
        <f>'Raw FS'!AS58</f>
        <v/>
      </c>
      <c r="H13" s="202">
        <f>'Raw FS'!AT58</f>
        <v/>
      </c>
      <c r="I13" s="201">
        <f>IF(OR(ISBLANK(K13), K13&lt;=0), "N/A", IFERROR($H13/K13, "N/A"))</f>
        <v/>
      </c>
      <c r="J13" s="201">
        <f>IF(OR(ISBLANK(L13), L13&lt;=0), "N/A", IFERROR($H13/L13, "N/A"))</f>
        <v/>
      </c>
      <c r="K13" s="202">
        <f>'Raw FS'!AU58</f>
        <v/>
      </c>
      <c r="L13" s="202">
        <f>'Raw FS'!AV58</f>
        <v/>
      </c>
      <c r="M13" s="202">
        <f>'Raw FS'!AW58</f>
        <v/>
      </c>
      <c r="N13" s="150" t="n"/>
      <c r="O13" s="203">
        <f>IF(OR(ISBLANK(K13), K13&lt;=0), "N/A", IFERROR($H13/K13, "N/A"))</f>
        <v/>
      </c>
      <c r="P13" s="203">
        <f>IF(OR(ISBLANK(L13), L13&lt;=0), "N/A", IFERROR($H13/L13, "N/A"))</f>
        <v/>
      </c>
      <c r="Q13" s="203">
        <f>IF(OR(ISBLANK(M13), M13&lt;=0), "N/A", IFERROR(F13/M13, "N/A"))</f>
        <v/>
      </c>
    </row>
    <row r="14">
      <c r="B14" s="201">
        <f>'Raw FS'!L59</f>
        <v/>
      </c>
      <c r="C14" s="201" t="inlineStr">
        <is>
          <t>TATASTEEL</t>
        </is>
      </c>
      <c r="D14" s="202">
        <f>'Raw FS'!M59</f>
        <v/>
      </c>
      <c r="E14" s="202">
        <f>'Raw FS'!N59</f>
        <v/>
      </c>
      <c r="F14" s="202">
        <f>D14*E14</f>
        <v/>
      </c>
      <c r="G14" s="202">
        <f>'Raw FS'!AS59</f>
        <v/>
      </c>
      <c r="H14" s="202">
        <f>'Raw FS'!AT59</f>
        <v/>
      </c>
      <c r="I14" s="201">
        <f>IF(OR(ISBLANK(K14), K14&lt;=0), "N/A", IFERROR($H14/K14, "N/A"))</f>
        <v/>
      </c>
      <c r="J14" s="201">
        <f>IF(OR(ISBLANK(L14), L14&lt;=0), "N/A", IFERROR($H14/L14, "N/A"))</f>
        <v/>
      </c>
      <c r="K14" s="202">
        <f>'Raw FS'!AU59</f>
        <v/>
      </c>
      <c r="L14" s="202">
        <f>'Raw FS'!AV59</f>
        <v/>
      </c>
      <c r="M14" s="202">
        <f>'Raw FS'!AW59</f>
        <v/>
      </c>
      <c r="N14" s="150" t="n"/>
      <c r="O14" s="203">
        <f>IF(OR(ISBLANK(K14), K14&lt;=0), "N/A", IFERROR($H14/K14, "N/A"))</f>
        <v/>
      </c>
      <c r="P14" s="203">
        <f>IF(OR(ISBLANK(L14), L14&lt;=0), "N/A", IFERROR($H14/L14, "N/A"))</f>
        <v/>
      </c>
      <c r="Q14" s="203">
        <f>IF(OR(ISBLANK(M14), M14&lt;=0), "N/A", IFERROR(F14/M14, "N/A"))</f>
        <v/>
      </c>
    </row>
    <row r="15">
      <c r="B15" s="201">
        <f>'Raw FS'!L60</f>
        <v/>
      </c>
      <c r="C15" s="201" t="inlineStr">
        <is>
          <t>HINDALCO</t>
        </is>
      </c>
      <c r="D15" s="202">
        <f>'Raw FS'!M60</f>
        <v/>
      </c>
      <c r="E15" s="202">
        <f>'Raw FS'!N60</f>
        <v/>
      </c>
      <c r="F15" s="202">
        <f>D15*E15</f>
        <v/>
      </c>
      <c r="G15" s="202">
        <f>'Raw FS'!AS60</f>
        <v/>
      </c>
      <c r="H15" s="202">
        <f>'Raw FS'!AT60</f>
        <v/>
      </c>
      <c r="I15" s="201">
        <f>IF(OR(ISBLANK(K15), K15&lt;=0), "N/A", IFERROR($H15/K15, "N/A"))</f>
        <v/>
      </c>
      <c r="J15" s="201">
        <f>IF(OR(ISBLANK(L15), L15&lt;=0), "N/A", IFERROR($H15/L15, "N/A"))</f>
        <v/>
      </c>
      <c r="K15" s="202">
        <f>'Raw FS'!AU60</f>
        <v/>
      </c>
      <c r="L15" s="202">
        <f>'Raw FS'!AV60</f>
        <v/>
      </c>
      <c r="M15" s="202">
        <f>'Raw FS'!AW60</f>
        <v/>
      </c>
      <c r="N15" s="150" t="n"/>
      <c r="O15" s="203">
        <f>IF(OR(ISBLANK(K15), K15&lt;=0), "N/A", IFERROR($H15/K15, "N/A"))</f>
        <v/>
      </c>
      <c r="P15" s="203">
        <f>IF(OR(ISBLANK(L15), L15&lt;=0), "N/A", IFERROR($H15/L15, "N/A"))</f>
        <v/>
      </c>
      <c r="Q15" s="203">
        <f>IF(OR(ISBLANK(M15), M15&lt;=0), "N/A", IFERROR(F15/M15, "N/A"))</f>
        <v/>
      </c>
    </row>
    <row r="16">
      <c r="B16" s="201">
        <f>'Raw FS'!L61</f>
        <v/>
      </c>
      <c r="C16" s="201" t="inlineStr">
        <is>
          <t>VAML</t>
        </is>
      </c>
      <c r="D16" s="202">
        <f>'Raw FS'!M61</f>
        <v/>
      </c>
      <c r="E16" s="202">
        <f>'Raw FS'!N61</f>
        <v/>
      </c>
      <c r="F16" s="202">
        <f>D16*E16</f>
        <v/>
      </c>
      <c r="G16" s="202">
        <f>'Raw FS'!AS61</f>
        <v/>
      </c>
      <c r="H16" s="202">
        <f>'Raw FS'!AT61</f>
        <v/>
      </c>
      <c r="I16" s="201">
        <f>IF(OR(ISBLANK(K16), K16&lt;=0), "N/A", IFERROR($H16/K16, "N/A"))</f>
        <v/>
      </c>
      <c r="J16" s="201">
        <f>IF(OR(ISBLANK(L16), L16&lt;=0), "N/A", IFERROR($H16/L16, "N/A"))</f>
        <v/>
      </c>
      <c r="K16" s="202">
        <f>'Raw FS'!AU61</f>
        <v/>
      </c>
      <c r="L16" s="202">
        <f>'Raw FS'!AV61</f>
        <v/>
      </c>
      <c r="M16" s="202">
        <f>'Raw FS'!AW61</f>
        <v/>
      </c>
      <c r="N16" s="150" t="n"/>
      <c r="O16" s="203">
        <f>IF(OR(ISBLANK(K16), K16&lt;=0), "N/A", IFERROR($H16/K16, "N/A"))</f>
        <v/>
      </c>
      <c r="P16" s="203">
        <f>IF(OR(ISBLANK(L16), L16&lt;=0), "N/A", IFERROR($H16/L16, "N/A"))</f>
        <v/>
      </c>
      <c r="Q16" s="203">
        <f>IF(OR(ISBLANK(M16), M16&lt;=0), "N/A", IFERROR(F16/M16, "N/A"))</f>
        <v/>
      </c>
    </row>
    <row r="17">
      <c r="B17" s="201">
        <f>'Raw FS'!L62</f>
        <v/>
      </c>
      <c r="C17" s="201" t="inlineStr">
        <is>
          <t>JINDALSTEL</t>
        </is>
      </c>
      <c r="D17" s="202">
        <f>'Raw FS'!M62</f>
        <v/>
      </c>
      <c r="E17" s="202">
        <f>'Raw FS'!N62</f>
        <v/>
      </c>
      <c r="F17" s="202">
        <f>D17*E17</f>
        <v/>
      </c>
      <c r="G17" s="202">
        <f>'Raw FS'!AS62</f>
        <v/>
      </c>
      <c r="H17" s="202">
        <f>'Raw FS'!AT62</f>
        <v/>
      </c>
      <c r="I17" s="201">
        <f>IF(OR(ISBLANK(K17), K17&lt;=0), "N/A", IFERROR($H17/K17, "N/A"))</f>
        <v/>
      </c>
      <c r="J17" s="201">
        <f>IF(OR(ISBLANK(L17), L17&lt;=0), "N/A", IFERROR($H17/L17, "N/A"))</f>
        <v/>
      </c>
      <c r="K17" s="202">
        <f>'Raw FS'!AU62</f>
        <v/>
      </c>
      <c r="L17" s="202">
        <f>'Raw FS'!AV62</f>
        <v/>
      </c>
      <c r="M17" s="202">
        <f>'Raw FS'!AW62</f>
        <v/>
      </c>
      <c r="N17" s="150" t="n"/>
      <c r="O17" s="203">
        <f>IF(OR(ISBLANK(K17), K17&lt;=0), "N/A", IFERROR($H17/K17, "N/A"))</f>
        <v/>
      </c>
      <c r="P17" s="203">
        <f>IF(OR(ISBLANK(L17), L17&lt;=0), "N/A", IFERROR($H17/L17, "N/A"))</f>
        <v/>
      </c>
      <c r="Q17" s="203">
        <f>IF(OR(ISBLANK(M17), M17&lt;=0), "N/A", IFERROR(F17/M17, "N/A"))</f>
        <v/>
      </c>
    </row>
    <row r="18">
      <c r="B18" s="201">
        <f>'Raw FS'!L63</f>
        <v/>
      </c>
      <c r="C18" s="201" t="inlineStr">
        <is>
          <t>LLOYDSME</t>
        </is>
      </c>
      <c r="D18" s="202">
        <f>'Raw FS'!M63</f>
        <v/>
      </c>
      <c r="E18" s="202">
        <f>'Raw FS'!N63</f>
        <v/>
      </c>
      <c r="F18" s="202">
        <f>D18*E18</f>
        <v/>
      </c>
      <c r="G18" s="202">
        <f>'Raw FS'!AS63</f>
        <v/>
      </c>
      <c r="H18" s="202">
        <f>'Raw FS'!AT63</f>
        <v/>
      </c>
      <c r="I18" s="201">
        <f>IF(OR(ISBLANK(K18), K18&lt;=0), "N/A", IFERROR($H18/K18, "N/A"))</f>
        <v/>
      </c>
      <c r="J18" s="201">
        <f>IF(OR(ISBLANK(L18), L18&lt;=0), "N/A", IFERROR($H18/L18, "N/A"))</f>
        <v/>
      </c>
      <c r="K18" s="202">
        <f>'Raw FS'!AU63</f>
        <v/>
      </c>
      <c r="L18" s="202">
        <f>'Raw FS'!AV63</f>
        <v/>
      </c>
      <c r="M18" s="202">
        <f>'Raw FS'!AW63</f>
        <v/>
      </c>
      <c r="N18" s="150" t="n"/>
      <c r="O18" s="203">
        <f>IF(OR(ISBLANK(K18), K18&lt;=0), "N/A", IFERROR($H18/K18, "N/A"))</f>
        <v/>
      </c>
      <c r="P18" s="203">
        <f>IF(OR(ISBLANK(L18), L18&lt;=0), "N/A", IFERROR($H18/L18, "N/A"))</f>
        <v/>
      </c>
      <c r="Q18" s="203">
        <f>IF(OR(ISBLANK(M18), M18&lt;=0), "N/A", IFERROR(F18/M18, "N/A"))</f>
        <v/>
      </c>
    </row>
    <row r="19">
      <c r="B19" s="201">
        <f>'Raw FS'!L64</f>
        <v/>
      </c>
      <c r="C19" s="201" t="inlineStr">
        <is>
          <t>VEDL</t>
        </is>
      </c>
      <c r="D19" s="202">
        <f>'Raw FS'!M64</f>
        <v/>
      </c>
      <c r="E19" s="202">
        <f>'Raw FS'!N64</f>
        <v/>
      </c>
      <c r="F19" s="202">
        <f>D19*E19</f>
        <v/>
      </c>
      <c r="G19" s="202">
        <f>'Raw FS'!AS64</f>
        <v/>
      </c>
      <c r="H19" s="202">
        <f>'Raw FS'!AT64</f>
        <v/>
      </c>
      <c r="I19" s="201">
        <f>IF(OR(ISBLANK(K19), K19&lt;=0), "N/A", IFERROR($H19/K19, "N/A"))</f>
        <v/>
      </c>
      <c r="J19" s="201">
        <f>IF(OR(ISBLANK(L19), L19&lt;=0), "N/A", IFERROR($H19/L19, "N/A"))</f>
        <v/>
      </c>
      <c r="K19" s="202">
        <f>'Raw FS'!AU64</f>
        <v/>
      </c>
      <c r="L19" s="202">
        <f>'Raw FS'!AV64</f>
        <v/>
      </c>
      <c r="M19" s="202">
        <f>'Raw FS'!AW64</f>
        <v/>
      </c>
      <c r="N19" s="150" t="n"/>
      <c r="O19" s="203">
        <f>IF(OR(ISBLANK(K19), K19&lt;=0), "N/A", IFERROR($H19/K19, "N/A"))</f>
        <v/>
      </c>
      <c r="P19" s="203">
        <f>IF(OR(ISBLANK(L19), L19&lt;=0), "N/A", IFERROR($H19/L19, "N/A"))</f>
        <v/>
      </c>
      <c r="Q19" s="203">
        <f>IF(OR(ISBLANK(M19), M19&lt;=0), "N/A", IFERROR(F19/M19, "N/A"))</f>
        <v/>
      </c>
    </row>
    <row r="20">
      <c r="B20" s="201" t="n"/>
      <c r="C20" s="201" t="n"/>
      <c r="D20" s="202" t="n"/>
      <c r="E20" s="202" t="n"/>
      <c r="F20" s="202" t="n"/>
      <c r="G20" s="202" t="n"/>
      <c r="H20" s="202" t="n"/>
      <c r="I20" s="201" t="n"/>
      <c r="J20" s="201" t="n"/>
      <c r="K20" s="202" t="n"/>
      <c r="L20" s="202" t="n"/>
      <c r="M20" s="202" t="n"/>
      <c r="N20" s="150" t="n"/>
      <c r="O20" s="203" t="n"/>
      <c r="P20" s="203" t="n"/>
      <c r="Q20" s="203" t="n"/>
    </row>
    <row r="21">
      <c r="B21" s="201" t="n"/>
      <c r="C21" s="201" t="n"/>
      <c r="D21" s="202" t="n"/>
      <c r="E21" s="202" t="n"/>
      <c r="F21" s="202" t="n"/>
      <c r="G21" s="202" t="n"/>
      <c r="H21" s="202" t="n"/>
      <c r="I21" s="201" t="n"/>
      <c r="J21" s="201" t="n"/>
      <c r="K21" s="202" t="n"/>
      <c r="L21" s="202" t="n"/>
      <c r="M21" s="202" t="n"/>
      <c r="N21" s="150" t="n"/>
      <c r="O21" s="203" t="n"/>
      <c r="P21" s="203" t="n"/>
      <c r="Q21" s="203" t="n"/>
    </row>
    <row r="22" ht="6.6" customHeight="1" s="176"/>
    <row r="23">
      <c r="B23" s="204" t="inlineStr">
        <is>
          <t>High</t>
        </is>
      </c>
      <c r="C23" s="79" t="n"/>
      <c r="D23" s="79" t="n"/>
      <c r="E23" s="79" t="n"/>
      <c r="F23" s="79" t="n"/>
      <c r="G23" s="79" t="n"/>
      <c r="H23" s="79" t="n"/>
      <c r="I23" s="204">
        <f>MAX(I12:I19)</f>
        <v/>
      </c>
      <c r="J23" s="204">
        <f>MAX(J12:J19)</f>
        <v/>
      </c>
      <c r="K23" s="79" t="n"/>
      <c r="L23" s="79" t="n"/>
      <c r="M23" s="79" t="n"/>
      <c r="N23" s="79" t="n"/>
      <c r="O23" s="205">
        <f>MAX(O12:O19)</f>
        <v/>
      </c>
      <c r="P23" s="205">
        <f>MAX(P12:P19)</f>
        <v/>
      </c>
      <c r="Q23" s="205">
        <f>MAX(Q12:Q19)</f>
        <v/>
      </c>
    </row>
    <row r="24">
      <c r="B24" s="204" t="inlineStr">
        <is>
          <t>25th Percentile</t>
        </is>
      </c>
      <c r="C24" s="79" t="n"/>
      <c r="D24" s="79" t="n"/>
      <c r="E24" s="79" t="n"/>
      <c r="F24" s="79" t="n"/>
      <c r="G24" s="79" t="n"/>
      <c r="H24" s="79" t="n"/>
      <c r="I24" s="204">
        <f>_xlfn.QUARTILE.INC(I12:I19,1)</f>
        <v/>
      </c>
      <c r="J24" s="204">
        <f>_xlfn.QUARTILE.INC(J12:J19,1)</f>
        <v/>
      </c>
      <c r="K24" s="79" t="n"/>
      <c r="L24" s="79" t="n"/>
      <c r="M24" s="79" t="n"/>
      <c r="N24" s="79" t="n"/>
      <c r="O24" s="206">
        <f>_xlfn.QUARTILE.INC(O12:O19,1)</f>
        <v/>
      </c>
      <c r="P24" s="206">
        <f>_xlfn.QUARTILE.INC(P12:P19,1)</f>
        <v/>
      </c>
      <c r="Q24" s="206">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204" t="inlineStr">
        <is>
          <t>75th Percentile</t>
        </is>
      </c>
      <c r="C27" s="79" t="n"/>
      <c r="D27" s="79" t="n"/>
      <c r="E27" s="79" t="n"/>
      <c r="F27" s="79" t="n"/>
      <c r="G27" s="79" t="n"/>
      <c r="H27" s="79" t="n"/>
      <c r="I27" s="204">
        <f>_xlfn.QUARTILE.INC(I12:I19,3)</f>
        <v/>
      </c>
      <c r="J27" s="204">
        <f>_xlfn.QUARTILE.INC(J12:J19,3)</f>
        <v/>
      </c>
      <c r="K27" s="79" t="n"/>
      <c r="L27" s="79" t="n"/>
      <c r="M27" s="79" t="n"/>
      <c r="N27" s="79" t="n"/>
      <c r="O27" s="206">
        <f>_xlfn.QUARTILE.INC(O12:O19,3)</f>
        <v/>
      </c>
      <c r="P27" s="206">
        <f>_xlfn.QUARTILE.INC(P12:P19,3)</f>
        <v/>
      </c>
      <c r="Q27" s="206">
        <f>_xlfn.QUARTILE.INC(Q12:Q19,3)</f>
        <v/>
      </c>
    </row>
    <row r="28">
      <c r="B28" s="204" t="inlineStr">
        <is>
          <t>Low</t>
        </is>
      </c>
      <c r="C28" s="79" t="n"/>
      <c r="D28" s="79" t="n"/>
      <c r="E28" s="79" t="n"/>
      <c r="F28" s="79" t="n"/>
      <c r="G28" s="79" t="n"/>
      <c r="H28" s="79" t="n"/>
      <c r="I28" s="204">
        <f>MIN(I12:I19)</f>
        <v/>
      </c>
      <c r="J28" s="204">
        <f>MIN(J12:J19)</f>
        <v/>
      </c>
      <c r="K28" s="79" t="n"/>
      <c r="L28" s="79" t="n"/>
      <c r="M28" s="79" t="n"/>
      <c r="N28" s="79" t="n"/>
      <c r="O28" s="205">
        <f>MIN(O12:O19)</f>
        <v/>
      </c>
      <c r="P28" s="205">
        <f>MIN(P12:P19)</f>
        <v/>
      </c>
      <c r="Q28" s="205">
        <f>MIN(Q12:Q19)</f>
        <v/>
      </c>
    </row>
    <row r="30">
      <c r="B30" s="84">
        <f>'Data Sheet'!B1&amp;" Comparable Valuation"</f>
        <v/>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201" t="inlineStr">
        <is>
          <t>Implied Enterprise Value</t>
        </is>
      </c>
      <c r="C32" s="150" t="n"/>
      <c r="D32" s="150" t="n"/>
      <c r="E32" s="150" t="n"/>
      <c r="F32" s="150" t="n"/>
      <c r="G32" s="150" t="n"/>
      <c r="H32" s="150" t="n"/>
      <c r="I32" s="201">
        <f>'Raw FS'!AU56*I25</f>
        <v/>
      </c>
      <c r="J32" s="201">
        <f>'Raw FS'!AV56*J25</f>
        <v/>
      </c>
      <c r="K32" s="150" t="n"/>
      <c r="L32" s="150" t="n"/>
      <c r="M32" s="150" t="n"/>
      <c r="N32" s="150" t="n"/>
      <c r="O32" s="202">
        <f>'Raw FS'!AU56*O25</f>
        <v/>
      </c>
      <c r="P32" s="202">
        <f>'Raw FS'!AV56*P25</f>
        <v/>
      </c>
      <c r="Q32" s="202">
        <f>'Raw FS'!AW56*Q25</f>
        <v/>
      </c>
    </row>
    <row r="33">
      <c r="B33" s="201" t="inlineStr">
        <is>
          <t>Net Debt Value</t>
        </is>
      </c>
      <c r="C33" s="150" t="n"/>
      <c r="D33" s="150" t="n"/>
      <c r="E33" s="150" t="n"/>
      <c r="F33" s="150" t="n"/>
      <c r="G33" s="150" t="n"/>
      <c r="H33" s="150" t="n"/>
      <c r="I33" s="201">
        <f>'Raw FS'!AS56</f>
        <v/>
      </c>
      <c r="J33" s="201">
        <f>'Raw FS'!AS56</f>
        <v/>
      </c>
      <c r="K33" s="150" t="n"/>
      <c r="L33" s="150" t="n"/>
      <c r="M33" s="150" t="n"/>
      <c r="N33" s="150" t="n"/>
      <c r="O33" s="202">
        <f>'Raw FS'!AS56</f>
        <v/>
      </c>
      <c r="P33" s="202">
        <f>'Raw FS'!AS56</f>
        <v/>
      </c>
      <c r="Q33" s="202" t="n">
        <v>0</v>
      </c>
    </row>
    <row r="34">
      <c r="B34" s="201" t="inlineStr">
        <is>
          <t>Implied Market Value</t>
        </is>
      </c>
      <c r="C34" s="150" t="n"/>
      <c r="D34" s="150" t="n"/>
      <c r="E34" s="150" t="n"/>
      <c r="F34" s="150" t="n"/>
      <c r="G34" s="150" t="n"/>
      <c r="H34" s="150" t="n"/>
      <c r="I34" s="201">
        <f>I32-I33</f>
        <v/>
      </c>
      <c r="J34" s="201">
        <f>J32-J33</f>
        <v/>
      </c>
      <c r="K34" s="150" t="n"/>
      <c r="L34" s="150" t="n"/>
      <c r="M34" s="150" t="n"/>
      <c r="N34" s="150" t="n"/>
      <c r="O34" s="202">
        <f>O32-O33</f>
        <v/>
      </c>
      <c r="P34" s="202">
        <f>P32-P33</f>
        <v/>
      </c>
      <c r="Q34" s="202">
        <f>Q32</f>
        <v/>
      </c>
    </row>
    <row r="35">
      <c r="B35" s="201" t="inlineStr">
        <is>
          <t>Share Outstanding</t>
        </is>
      </c>
      <c r="C35" s="150" t="n"/>
      <c r="D35" s="150" t="n"/>
      <c r="E35" s="150" t="n"/>
      <c r="F35" s="150" t="n"/>
      <c r="G35" s="150" t="n"/>
      <c r="H35" s="150" t="n"/>
      <c r="I35" s="207">
        <f>'Raw FS'!N56</f>
        <v/>
      </c>
      <c r="J35" s="207">
        <f>'Raw FS'!N56</f>
        <v/>
      </c>
      <c r="K35" s="150" t="n"/>
      <c r="L35" s="150" t="n"/>
      <c r="M35" s="150" t="n"/>
      <c r="N35" s="150" t="n"/>
      <c r="O35" s="202">
        <f>'Raw FS'!N56</f>
        <v/>
      </c>
      <c r="P35" s="202">
        <f>'Raw FS'!N56</f>
        <v/>
      </c>
      <c r="Q35" s="202">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4.2" customHeight="1" s="176">
      <c r="B7" s="37" t="n"/>
    </row>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Adani Enterprises shares fall 4% despite getting CARE Ratings upgrade to AA; stable</t>
        </is>
      </c>
    </row>
    <row r="38"/>
    <row r="39">
      <c r="A39" t="inlineStr">
        <is>
          <t>•</t>
        </is>
      </c>
      <c r="B39" s="184" t="inlineStr">
        <is>
          <t>Adani Enterprises gets rating upgrade from CARE Ratings to AA; Stable; shares up 21% in 2026</t>
        </is>
      </c>
    </row>
    <row r="40"/>
    <row r="41">
      <c r="A41" t="inlineStr">
        <is>
          <t>•</t>
        </is>
      </c>
      <c r="B41" s="184" t="inlineStr">
        <is>
          <t>Adani Group stocks tumble as market rout deepens; Adani Green, Adani Ent, others tank up to 10%</t>
        </is>
      </c>
    </row>
    <row r="42"/>
    <row r="43">
      <c r="A43" t="inlineStr">
        <is>
          <t>•</t>
        </is>
      </c>
      <c r="B43" s="184" t="inlineStr">
        <is>
          <t>Adani Enterprises has finally got strong winds filling its sails</t>
        </is>
      </c>
    </row>
    <row r="44"/>
    <row r="45">
      <c r="A45" t="inlineStr">
        <is>
          <t>•</t>
        </is>
      </c>
      <c r="B45" s="184" t="inlineStr">
        <is>
          <t>Stocks in news: TCS, Adani Enterprises, Ola Electric, HCL Tech, Tata Power and Varun Beverages</t>
        </is>
      </c>
    </row>
    <row r="46"/>
    <row r="47">
      <c r="A47" t="inlineStr">
        <is>
          <t>•</t>
        </is>
      </c>
      <c r="B47" s="184" t="inlineStr">
        <is>
          <t>ADANI ENTERPRISES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8">
        <f>'Data Sheet'!B1</f>
        <v/>
      </c>
      <c r="C2" s="93" t="n"/>
      <c r="D2" s="93" t="n"/>
      <c r="E2" s="93" t="n"/>
      <c r="F2" s="93" t="n"/>
      <c r="G2" s="93" t="n"/>
      <c r="H2" s="93" t="n"/>
      <c r="I2" s="93" t="n"/>
    </row>
    <row r="3">
      <c r="A3" s="93" t="n"/>
      <c r="B3" s="93">
        <f>'Data Sheet'!B1</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277">
        <f>"52 Week High "&amp;TEXT(MAX('Raw Data'!H6:H252),"#,##0.00")&amp;" / Low "&amp;TEXT(MIN('Raw Data'!H6:H252),"#,##0.00")</f>
        <v/>
      </c>
      <c r="C5" s="58" t="n"/>
      <c r="D5" s="58" t="n"/>
      <c r="E5" s="58" t="n"/>
      <c r="F5" s="58" t="n"/>
      <c r="G5" s="58" t="n"/>
      <c r="H5" s="58" t="n"/>
      <c r="I5" s="58" t="n"/>
    </row>
    <row r="6">
      <c r="B6" s="258">
        <f>"About the Company: "&amp;'Data Sheet'!B1&amp;" (Manual, Refresh Per Run)"</f>
        <v/>
      </c>
    </row>
    <row r="7" ht="6.6" customHeight="1" s="176"/>
    <row r="8">
      <c r="B8" s="185" t="inlineStr">
        <is>
          <t>Adani Enterprises Limited (AEL) is an Indian multinational publicly listed holding company and a part of Adani Group. It is headquartered in Ahmedabad and primarily involved in mining and trading of coal and iron ore. Through its various subsidiaries, it also has business interests in airport operations, edible oils, road, rail and water infrastructure, data centers, and solar manufacturing, among others.</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Adani Enterprises shares fall 4% despite getting CARE Ratings upgrade to AA; stable</t>
        </is>
      </c>
    </row>
    <row r="37"/>
    <row r="38" ht="14.4" customHeight="1" s="176">
      <c r="A38" t="inlineStr">
        <is>
          <t>•</t>
        </is>
      </c>
      <c r="B38" s="184" t="inlineStr">
        <is>
          <t>Adani Enterprises gets rating upgrade from CARE Ratings to AA; Stable; shares up 21% in 2026</t>
        </is>
      </c>
    </row>
    <row r="39"/>
    <row r="40" ht="20.4" customHeight="1" s="176">
      <c r="A40" t="inlineStr">
        <is>
          <t>•</t>
        </is>
      </c>
      <c r="B40" s="184" t="inlineStr">
        <is>
          <t>Adani Group stocks tumble as market rout deepens; Adani Green, Adani Ent, others tank up to 10%</t>
        </is>
      </c>
    </row>
    <row r="41"/>
    <row r="42">
      <c r="A42" t="inlineStr">
        <is>
          <t>•</t>
        </is>
      </c>
      <c r="B42" s="184" t="inlineStr">
        <is>
          <t>Adani Enterprises has finally got strong winds filling its sails</t>
        </is>
      </c>
    </row>
    <row r="43"/>
    <row r="44">
      <c r="A44" t="inlineStr">
        <is>
          <t>•</t>
        </is>
      </c>
      <c r="B44" s="184" t="inlineStr">
        <is>
          <t>Stocks in news: TCS, Adani Enterprises, Ola Electric, HCL Tech, Tata Power and Varun Beverages</t>
        </is>
      </c>
    </row>
    <row r="45"/>
    <row r="46">
      <c r="A46" t="inlineStr">
        <is>
          <t>•</t>
        </is>
      </c>
      <c r="B46" s="184" t="inlineStr">
        <is>
          <t>ADANI ENTERPRISES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'Intrinsic Valuation'!L13+'Data Sheet'!K69-'Intrinsic Valuation'!L19</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Total Liabilities</t>
        </is>
      </c>
      <c r="E78" s="107">
        <f>'Data Sheet'!G61-'Data Sheet'!G57-'Data Sheet'!G58</f>
        <v/>
      </c>
      <c r="F78" s="107">
        <f>'Data Sheet'!H61-'Data Sheet'!H57-'Data Sheet'!H58</f>
        <v/>
      </c>
      <c r="G78" s="107">
        <f>'Data Sheet'!I61-'Data Sheet'!I57-'Data Sheet'!I58</f>
        <v/>
      </c>
      <c r="H78" s="107">
        <f>'Data Sheet'!J61-'Data Sheet'!J57-'Data Sheet'!J58</f>
        <v/>
      </c>
      <c r="I78" s="107">
        <f>'Data Sheet'!K61-'Data Sheet'!K57-'Data Sheet'!K58</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64465</v>
      </c>
      <c r="T4" s="73" t="n">
        <v>34008</v>
      </c>
      <c r="U4" s="73" t="n">
        <v>36533</v>
      </c>
      <c r="V4" s="73" t="n">
        <v>35924</v>
      </c>
      <c r="W4" s="73" t="n">
        <v>40379</v>
      </c>
      <c r="X4" s="73" t="n">
        <v>43403</v>
      </c>
      <c r="Y4" s="73" t="n">
        <v>39537</v>
      </c>
      <c r="Z4" s="73" t="n">
        <v>69420</v>
      </c>
      <c r="AA4" s="73" t="n">
        <v>127540</v>
      </c>
      <c r="AB4" s="73" t="n">
        <v>96421</v>
      </c>
      <c r="AC4" s="73" t="n">
        <v>97895</v>
      </c>
      <c r="AD4" s="73" t="n">
        <v>100469</v>
      </c>
      <c r="AE4" s="73" t="n">
        <v>111431</v>
      </c>
    </row>
    <row r="5">
      <c r="B5" s="35" t="inlineStr">
        <is>
          <t>Equity Capital</t>
        </is>
      </c>
      <c r="C5" t="n">
        <v>110</v>
      </c>
      <c r="D5" s="47" t="n">
        <v>110</v>
      </c>
      <c r="E5" s="47" t="n">
        <v>110</v>
      </c>
      <c r="F5" s="47" t="n">
        <v>110</v>
      </c>
      <c r="G5" s="47" t="n">
        <v>110</v>
      </c>
      <c r="H5" s="47" t="n">
        <v>110</v>
      </c>
      <c r="I5" s="47" t="n">
        <v>110</v>
      </c>
      <c r="J5" s="47" t="n">
        <v>110</v>
      </c>
      <c r="K5" s="47" t="n">
        <v>114</v>
      </c>
      <c r="L5" s="47" t="n">
        <v>114</v>
      </c>
      <c r="M5" s="47" t="n">
        <v>115</v>
      </c>
      <c r="N5" s="47" t="n">
        <v>129</v>
      </c>
      <c r="R5" t="inlineStr">
        <is>
          <t>Expenses +</t>
        </is>
      </c>
      <c r="S5" s="73" t="n">
        <v>52015</v>
      </c>
      <c r="T5" s="73" t="n">
        <v>32325</v>
      </c>
      <c r="U5" s="73" t="n">
        <v>34631</v>
      </c>
      <c r="V5" s="73" t="n">
        <v>33886</v>
      </c>
      <c r="W5" s="73" t="n">
        <v>38409</v>
      </c>
      <c r="X5" s="73" t="n">
        <v>41108</v>
      </c>
      <c r="Y5" s="73" t="n">
        <v>37031</v>
      </c>
      <c r="Z5" s="73" t="n">
        <v>65707</v>
      </c>
      <c r="AA5" s="73" t="n">
        <v>118722</v>
      </c>
      <c r="AB5" s="73" t="n">
        <v>85044</v>
      </c>
      <c r="AC5" s="73" t="n">
        <v>83643</v>
      </c>
      <c r="AD5" s="73" t="n">
        <v>86478</v>
      </c>
      <c r="AE5" s="73" t="n">
        <v>95733</v>
      </c>
    </row>
    <row r="6">
      <c r="B6" t="inlineStr">
        <is>
          <t>Reserves</t>
        </is>
      </c>
      <c r="C6" s="73" t="n">
        <v>25618</v>
      </c>
      <c r="D6" s="73" t="n">
        <v>13268</v>
      </c>
      <c r="E6" s="73" t="n">
        <v>14026</v>
      </c>
      <c r="F6" s="73" t="n">
        <v>14979</v>
      </c>
      <c r="G6" s="73" t="n">
        <v>14646</v>
      </c>
      <c r="H6" s="73" t="n">
        <v>16837</v>
      </c>
      <c r="I6" s="73" t="n">
        <v>17049</v>
      </c>
      <c r="J6" s="73" t="n">
        <v>22147</v>
      </c>
      <c r="K6" s="73" t="n">
        <v>32937</v>
      </c>
      <c r="L6" s="73" t="n">
        <v>38962</v>
      </c>
      <c r="M6" s="73" t="n">
        <v>50199</v>
      </c>
      <c r="N6" s="73" t="n">
        <v>80797</v>
      </c>
      <c r="O6" s="73" t="n"/>
      <c r="R6" t="inlineStr">
        <is>
          <t>Operating Profit</t>
        </is>
      </c>
      <c r="S6" s="73" t="n">
        <v>12450</v>
      </c>
      <c r="T6" s="73" t="n">
        <v>1684</v>
      </c>
      <c r="U6" s="73" t="n">
        <v>1902</v>
      </c>
      <c r="V6" s="73" t="n">
        <v>2038</v>
      </c>
      <c r="W6" s="73" t="n">
        <v>1969</v>
      </c>
      <c r="X6" s="73" t="n">
        <v>2294</v>
      </c>
      <c r="Y6" s="73" t="n">
        <v>2506</v>
      </c>
      <c r="Z6" s="73" t="n">
        <v>3714</v>
      </c>
      <c r="AA6" s="73" t="n">
        <v>8818</v>
      </c>
      <c r="AB6" s="73" t="n">
        <v>11377</v>
      </c>
      <c r="AC6" s="73" t="n">
        <v>14252</v>
      </c>
      <c r="AD6" s="73" t="n">
        <v>13991</v>
      </c>
      <c r="AE6" s="73" t="n">
        <v>15698</v>
      </c>
    </row>
    <row r="7">
      <c r="B7" s="73" t="inlineStr">
        <is>
          <t>Borrowings -</t>
        </is>
      </c>
      <c r="C7" s="73" t="n">
        <v>83571</v>
      </c>
      <c r="D7" s="73" t="n">
        <v>19169</v>
      </c>
      <c r="E7" s="73" t="n">
        <v>20846</v>
      </c>
      <c r="F7" s="73" t="n">
        <v>17637</v>
      </c>
      <c r="G7" s="73" t="n">
        <v>11243</v>
      </c>
      <c r="H7" s="73" t="n">
        <v>12419</v>
      </c>
      <c r="I7" s="73" t="n">
        <v>16227</v>
      </c>
      <c r="J7" s="73" t="n">
        <v>41604</v>
      </c>
      <c r="K7" s="73" t="n">
        <v>53200</v>
      </c>
      <c r="L7" s="73" t="n">
        <v>65310</v>
      </c>
      <c r="M7" s="73" t="n">
        <v>91473</v>
      </c>
      <c r="N7" s="73" t="n">
        <v>106622</v>
      </c>
      <c r="O7" s="73" t="n"/>
      <c r="R7" t="inlineStr">
        <is>
          <t>OPM %</t>
        </is>
      </c>
      <c r="S7" s="75" t="n">
        <v>19</v>
      </c>
      <c r="T7" s="75" t="n">
        <v>5</v>
      </c>
      <c r="U7" s="75" t="n">
        <v>5</v>
      </c>
      <c r="V7" s="75" t="n">
        <v>6</v>
      </c>
      <c r="W7" s="75" t="n">
        <v>4.9</v>
      </c>
      <c r="X7" s="75" t="n">
        <v>5</v>
      </c>
      <c r="Y7" s="75" t="n">
        <v>6</v>
      </c>
      <c r="Z7" s="75" t="n">
        <v>5</v>
      </c>
      <c r="AA7" s="75" t="n">
        <v>7</v>
      </c>
      <c r="AB7" s="75" t="n">
        <v>12</v>
      </c>
      <c r="AC7" s="75" t="n">
        <v>15</v>
      </c>
      <c r="AD7" s="75" t="n">
        <v>14</v>
      </c>
      <c r="AE7" s="75" t="n">
        <v>14</v>
      </c>
    </row>
    <row r="8">
      <c r="B8" s="73" t="inlineStr">
        <is>
          <t>Long term Borrowings</t>
        </is>
      </c>
      <c r="C8" s="73" t="n">
        <v>55487</v>
      </c>
      <c r="D8" s="73" t="n">
        <v>7009</v>
      </c>
      <c r="E8" s="73" t="n">
        <v>9173</v>
      </c>
      <c r="F8" s="73" t="n">
        <v>4273</v>
      </c>
      <c r="G8" s="73" t="n">
        <v>2992</v>
      </c>
      <c r="H8" s="73" t="n">
        <v>3516</v>
      </c>
      <c r="I8" s="73" t="n">
        <v>9523</v>
      </c>
      <c r="J8" s="73" t="n">
        <v>20803</v>
      </c>
      <c r="K8" s="73" t="n">
        <v>32590</v>
      </c>
      <c r="L8" s="73" t="n">
        <v>43718</v>
      </c>
      <c r="M8" s="73" t="n">
        <v>64601</v>
      </c>
      <c r="N8" s="73" t="n">
        <v>76166</v>
      </c>
      <c r="R8" t="inlineStr">
        <is>
          <t>Other Income +</t>
        </is>
      </c>
      <c r="S8" s="73" t="n">
        <v>792</v>
      </c>
      <c r="T8" s="73" t="n">
        <v>1044</v>
      </c>
      <c r="U8" s="73" t="n">
        <v>749</v>
      </c>
      <c r="V8" s="73" t="n">
        <v>363</v>
      </c>
      <c r="W8" s="73" t="n">
        <v>504</v>
      </c>
      <c r="X8" s="73" t="n">
        <v>872</v>
      </c>
      <c r="Y8" s="73" t="n">
        <v>494</v>
      </c>
      <c r="Z8" s="73" t="n">
        <v>1012</v>
      </c>
      <c r="AA8" s="73" t="n">
        <v>834</v>
      </c>
      <c r="AB8" s="73" t="n">
        <v>1146</v>
      </c>
      <c r="AC8" s="73" t="n">
        <v>6403</v>
      </c>
      <c r="AD8" s="73" t="n">
        <v>11688</v>
      </c>
      <c r="AE8" s="73" t="n">
        <v>9193</v>
      </c>
    </row>
    <row r="9">
      <c r="B9" t="inlineStr">
        <is>
          <t>Short term Borrowings</t>
        </is>
      </c>
      <c r="C9" t="n">
        <v>19413</v>
      </c>
      <c r="D9" t="n">
        <v>11006</v>
      </c>
      <c r="E9" t="n">
        <v>10680</v>
      </c>
      <c r="F9" t="n">
        <v>12599</v>
      </c>
      <c r="G9" t="n">
        <v>6959</v>
      </c>
      <c r="H9" t="n">
        <v>8137</v>
      </c>
      <c r="I9" t="n">
        <v>6528</v>
      </c>
      <c r="J9" t="n">
        <v>20220</v>
      </c>
      <c r="K9" t="n">
        <v>5730</v>
      </c>
      <c r="L9" t="n">
        <v>6406</v>
      </c>
      <c r="M9" t="n">
        <v>11289</v>
      </c>
      <c r="N9" s="73" t="n">
        <v>10536</v>
      </c>
      <c r="R9" t="inlineStr">
        <is>
          <t>Interest</t>
        </is>
      </c>
      <c r="S9" t="n">
        <v>7056</v>
      </c>
      <c r="T9" t="n">
        <v>1357</v>
      </c>
      <c r="U9" t="n">
        <v>1257</v>
      </c>
      <c r="V9" t="n">
        <v>1250</v>
      </c>
      <c r="W9" t="n">
        <v>1625</v>
      </c>
      <c r="X9" t="n">
        <v>1572</v>
      </c>
      <c r="Y9" t="n">
        <v>1377</v>
      </c>
      <c r="Z9" t="n">
        <v>2526</v>
      </c>
      <c r="AA9" t="n">
        <v>3969</v>
      </c>
      <c r="AB9" t="n">
        <v>4555</v>
      </c>
      <c r="AC9" t="n">
        <v>5978</v>
      </c>
      <c r="AD9" t="n">
        <v>6019</v>
      </c>
      <c r="AE9" t="n">
        <v>7405</v>
      </c>
    </row>
    <row r="10">
      <c r="B10" t="inlineStr">
        <is>
          <t>Lease Liabilities</t>
        </is>
      </c>
      <c r="C10" t="n">
        <v>0</v>
      </c>
      <c r="D10" t="n">
        <v>0</v>
      </c>
      <c r="E10" t="n">
        <v>0</v>
      </c>
      <c r="F10" t="n">
        <v>0</v>
      </c>
      <c r="G10" t="n">
        <v>0</v>
      </c>
      <c r="H10" t="n">
        <v>0</v>
      </c>
      <c r="I10" t="n">
        <v>176</v>
      </c>
      <c r="J10" t="n">
        <v>580</v>
      </c>
      <c r="K10" t="n">
        <v>14881</v>
      </c>
      <c r="L10" t="n">
        <v>15186</v>
      </c>
      <c r="M10" t="n">
        <v>15583</v>
      </c>
      <c r="N10" t="n">
        <v>19920</v>
      </c>
      <c r="O10" s="73" t="n"/>
      <c r="R10" t="inlineStr">
        <is>
          <t>Depreciation</t>
        </is>
      </c>
      <c r="S10" s="73" t="n">
        <v>3522</v>
      </c>
      <c r="T10" s="73" t="n">
        <v>314</v>
      </c>
      <c r="U10" s="73" t="n">
        <v>315</v>
      </c>
      <c r="V10" s="73" t="n">
        <v>664</v>
      </c>
      <c r="W10" s="73" t="n">
        <v>390</v>
      </c>
      <c r="X10" s="73" t="n">
        <v>472</v>
      </c>
      <c r="Y10" s="73" t="n">
        <v>537</v>
      </c>
      <c r="Z10" s="73" t="n">
        <v>1248</v>
      </c>
      <c r="AA10" s="73" t="n">
        <v>2436</v>
      </c>
      <c r="AB10" s="73" t="n">
        <v>3042</v>
      </c>
      <c r="AC10" s="73" t="n">
        <v>4211</v>
      </c>
      <c r="AD10" s="73" t="n">
        <v>6135</v>
      </c>
      <c r="AE10" s="73" t="n">
        <v>6777</v>
      </c>
    </row>
    <row r="11">
      <c r="B11" s="73" t="inlineStr">
        <is>
          <t>Other Borrowings</t>
        </is>
      </c>
      <c r="C11" s="73" t="n">
        <v>8671</v>
      </c>
      <c r="D11" s="73" t="n">
        <v>1154</v>
      </c>
      <c r="E11" s="73" t="n">
        <v>993</v>
      </c>
      <c r="F11" s="73" t="n">
        <v>764</v>
      </c>
      <c r="G11" s="73" t="n">
        <v>1292</v>
      </c>
      <c r="H11" s="73" t="n">
        <v>767</v>
      </c>
      <c r="I11" s="73" t="n">
        <v>0</v>
      </c>
      <c r="J11" s="73" t="n">
        <v>0</v>
      </c>
      <c r="K11" s="73" t="n">
        <v>0</v>
      </c>
      <c r="L11" s="73" t="n">
        <v>0</v>
      </c>
      <c r="M11" s="73" t="n">
        <v>0</v>
      </c>
      <c r="N11" s="73" t="n">
        <v>0</v>
      </c>
      <c r="O11" s="73" t="n"/>
      <c r="R11" t="inlineStr">
        <is>
          <t>Profit before tax</t>
        </is>
      </c>
      <c r="S11" s="73" t="n">
        <v>2663</v>
      </c>
      <c r="T11" s="73" t="n">
        <v>1056</v>
      </c>
      <c r="U11" s="73" t="n">
        <v>1079</v>
      </c>
      <c r="V11" s="73" t="n">
        <v>487</v>
      </c>
      <c r="W11" s="73" t="n">
        <v>459</v>
      </c>
      <c r="X11" s="73" t="n">
        <v>1122</v>
      </c>
      <c r="Y11" s="73" t="n">
        <v>1086</v>
      </c>
      <c r="Z11" s="73" t="n">
        <v>952</v>
      </c>
      <c r="AA11" s="73" t="n">
        <v>3247</v>
      </c>
      <c r="AB11" s="73" t="n">
        <v>4926</v>
      </c>
      <c r="AC11" s="73" t="n">
        <v>10466</v>
      </c>
      <c r="AD11" s="73" t="n">
        <v>13525</v>
      </c>
      <c r="AE11" s="73" t="n">
        <v>10709</v>
      </c>
    </row>
    <row r="12">
      <c r="B12" s="73" t="inlineStr">
        <is>
          <t>Other Liabilities -</t>
        </is>
      </c>
      <c r="C12" s="73" t="n">
        <v>21420</v>
      </c>
      <c r="D12" s="73" t="n">
        <v>9132</v>
      </c>
      <c r="E12" s="73" t="n">
        <v>12630</v>
      </c>
      <c r="F12" s="73" t="n">
        <v>23679</v>
      </c>
      <c r="G12" s="73" t="n">
        <v>16537</v>
      </c>
      <c r="H12" s="73" t="n">
        <v>17509</v>
      </c>
      <c r="I12" s="73" t="n">
        <v>18231</v>
      </c>
      <c r="J12" s="73" t="n">
        <v>37726</v>
      </c>
      <c r="K12" s="73" t="n">
        <v>55027</v>
      </c>
      <c r="L12" s="73" t="n">
        <v>56200</v>
      </c>
      <c r="M12" s="73" t="n">
        <v>56056</v>
      </c>
      <c r="N12" s="73" t="n">
        <v>73321</v>
      </c>
      <c r="R12" t="inlineStr">
        <is>
          <t>Tax %</t>
        </is>
      </c>
      <c r="S12" s="75" t="n">
        <v>14</v>
      </c>
      <c r="T12" s="75" t="n">
        <v>7</v>
      </c>
      <c r="U12" s="75" t="n">
        <v>25</v>
      </c>
      <c r="V12" s="75" t="n">
        <v>23</v>
      </c>
      <c r="W12" s="75" t="n">
        <v>32</v>
      </c>
      <c r="X12" s="75" t="n">
        <v>29</v>
      </c>
      <c r="Y12" s="75" t="n">
        <v>31</v>
      </c>
      <c r="Z12" s="75" t="n">
        <v>50</v>
      </c>
      <c r="AA12" s="75" t="n">
        <v>32</v>
      </c>
      <c r="AB12" s="75" t="n">
        <v>33</v>
      </c>
      <c r="AC12" s="75" t="n">
        <v>28</v>
      </c>
      <c r="AD12" s="75" t="n">
        <v>28</v>
      </c>
      <c r="AE12" t="n">
        <v>0</v>
      </c>
    </row>
    <row r="13">
      <c r="B13" t="inlineStr">
        <is>
          <t>Non controlling int</t>
        </is>
      </c>
      <c r="C13" t="n">
        <v>4102</v>
      </c>
      <c r="D13" t="n">
        <v>85</v>
      </c>
      <c r="E13" t="n">
        <v>562</v>
      </c>
      <c r="F13" t="n">
        <v>778</v>
      </c>
      <c r="G13" t="n">
        <v>388</v>
      </c>
      <c r="H13" t="n">
        <v>1263</v>
      </c>
      <c r="I13" t="n">
        <v>1751</v>
      </c>
      <c r="J13" t="n">
        <v>4672</v>
      </c>
      <c r="K13" t="n">
        <v>4839</v>
      </c>
      <c r="L13" t="n">
        <v>5110</v>
      </c>
      <c r="M13" t="n">
        <v>6156</v>
      </c>
      <c r="N13" t="n">
        <v>8252</v>
      </c>
      <c r="O13" s="73" t="n"/>
      <c r="R13" t="inlineStr">
        <is>
          <t>Net Profit +</t>
        </is>
      </c>
      <c r="S13" s="73" t="n">
        <v>2298</v>
      </c>
      <c r="T13" s="73" t="n">
        <v>1000</v>
      </c>
      <c r="U13" s="73" t="n">
        <v>925</v>
      </c>
      <c r="V13" s="73" t="n">
        <v>594</v>
      </c>
      <c r="W13" s="73" t="n">
        <v>506</v>
      </c>
      <c r="X13" s="73" t="n">
        <v>1040</v>
      </c>
      <c r="Y13" s="73" t="n">
        <v>1046</v>
      </c>
      <c r="Z13" s="73" t="n">
        <v>788</v>
      </c>
      <c r="AA13" s="73" t="n">
        <v>2422</v>
      </c>
      <c r="AB13" s="73" t="n">
        <v>3335</v>
      </c>
      <c r="AC13" s="73" t="n">
        <v>8005</v>
      </c>
      <c r="AD13" s="73" t="n">
        <v>9951</v>
      </c>
      <c r="AE13" s="73" t="n">
        <v>7513</v>
      </c>
    </row>
    <row r="14">
      <c r="B14" s="73" t="inlineStr">
        <is>
          <t>Trade Payables</t>
        </is>
      </c>
      <c r="C14" s="73" t="n">
        <v>10383</v>
      </c>
      <c r="D14" s="73" t="n">
        <v>5347</v>
      </c>
      <c r="E14" s="73" t="n">
        <v>8555</v>
      </c>
      <c r="F14" s="73" t="n">
        <v>8549</v>
      </c>
      <c r="G14" s="73" t="n">
        <v>12117</v>
      </c>
      <c r="H14" s="73" t="n">
        <v>11999</v>
      </c>
      <c r="I14" s="73" t="n">
        <v>11756</v>
      </c>
      <c r="J14" s="73" t="n">
        <v>17648</v>
      </c>
      <c r="K14" s="73" t="n">
        <v>28547</v>
      </c>
      <c r="L14" s="73" t="n">
        <v>24669</v>
      </c>
      <c r="M14" s="73" t="n">
        <v>21214</v>
      </c>
      <c r="N14" s="73" t="n">
        <v>27370</v>
      </c>
      <c r="S14" t="n">
        <v>15.81</v>
      </c>
      <c r="T14" t="n">
        <v>8.210000000000001</v>
      </c>
      <c r="U14" t="n">
        <v>8.02</v>
      </c>
      <c r="V14" t="n">
        <v>6.15</v>
      </c>
      <c r="W14" t="n">
        <v>5.82</v>
      </c>
      <c r="X14" t="n">
        <v>9.24</v>
      </c>
      <c r="Y14" t="n">
        <v>7.49</v>
      </c>
      <c r="Z14" t="n">
        <v>6.3</v>
      </c>
      <c r="AA14" t="n">
        <v>19.3</v>
      </c>
      <c r="AB14" t="n">
        <v>25.37</v>
      </c>
      <c r="AC14" t="n">
        <v>55.02</v>
      </c>
      <c r="AD14" t="n">
        <v>72.31</v>
      </c>
      <c r="AE14" t="n">
        <v>58.54</v>
      </c>
    </row>
    <row r="15">
      <c r="B15" t="inlineStr">
        <is>
          <t>Advance from Customers</t>
        </is>
      </c>
      <c r="C15" t="n">
        <v>713</v>
      </c>
      <c r="D15" t="n">
        <v>1197</v>
      </c>
      <c r="E15" t="n">
        <v>1035</v>
      </c>
      <c r="F15" t="n">
        <v>1275</v>
      </c>
      <c r="G15" t="n">
        <v>1406</v>
      </c>
      <c r="H15" t="n">
        <v>1697</v>
      </c>
      <c r="I15" t="n">
        <v>1353</v>
      </c>
      <c r="J15" s="73" t="n">
        <v>1829</v>
      </c>
      <c r="K15" s="73" t="n">
        <v>0</v>
      </c>
      <c r="L15" t="n">
        <v>0</v>
      </c>
      <c r="M15" s="73" t="n">
        <v>0</v>
      </c>
      <c r="N15" s="73" t="n">
        <v>0</v>
      </c>
      <c r="O15" s="73" t="n"/>
      <c r="S15" t="n">
        <v>8</v>
      </c>
      <c r="T15" t="n">
        <v>4</v>
      </c>
      <c r="U15" t="n">
        <v>4</v>
      </c>
      <c r="V15" t="n">
        <v>6</v>
      </c>
      <c r="W15" t="n">
        <v>6</v>
      </c>
      <c r="X15" t="n">
        <v>10</v>
      </c>
      <c r="Y15" t="n">
        <v>12</v>
      </c>
      <c r="Z15" t="n">
        <v>14</v>
      </c>
      <c r="AA15" t="n">
        <v>6</v>
      </c>
      <c r="AB15" t="n">
        <v>5</v>
      </c>
      <c r="AC15" t="n">
        <v>2</v>
      </c>
      <c r="AD15" t="n">
        <v>2</v>
      </c>
      <c r="AE15" t="n">
        <v>0</v>
      </c>
    </row>
    <row r="16">
      <c r="B16" s="73" t="inlineStr">
        <is>
          <t>Other liability items</t>
        </is>
      </c>
      <c r="C16" s="73" t="n">
        <v>6222</v>
      </c>
      <c r="D16" s="73" t="n">
        <v>2503</v>
      </c>
      <c r="E16" s="73" t="n">
        <v>2477</v>
      </c>
      <c r="F16" s="73" t="n">
        <v>13078</v>
      </c>
      <c r="G16" s="73" t="n">
        <v>2626</v>
      </c>
      <c r="H16" s="73" t="n">
        <v>2549</v>
      </c>
      <c r="I16" s="73" t="n">
        <v>3370</v>
      </c>
      <c r="J16" s="73" t="n">
        <v>13577</v>
      </c>
      <c r="K16" s="73" t="n">
        <v>21641</v>
      </c>
      <c r="L16" s="73" t="n">
        <v>26421</v>
      </c>
      <c r="M16" s="73" t="n">
        <v>28686</v>
      </c>
      <c r="N16" s="73" t="n">
        <v>37698</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130718</v>
      </c>
      <c r="D18" s="71" t="n">
        <v>41679</v>
      </c>
      <c r="E18" s="71" t="n">
        <v>47611</v>
      </c>
      <c r="F18" s="71" t="n">
        <v>56405</v>
      </c>
      <c r="G18" s="71" t="n">
        <v>42536</v>
      </c>
      <c r="H18" s="71" t="n">
        <v>46875</v>
      </c>
      <c r="I18" s="71" t="n">
        <v>51617</v>
      </c>
      <c r="J18" s="71" t="n">
        <v>101586</v>
      </c>
      <c r="K18" s="71" t="n">
        <v>141278</v>
      </c>
      <c r="L18" s="71" t="n">
        <v>160586</v>
      </c>
      <c r="M18" s="71" t="n">
        <v>197843</v>
      </c>
      <c r="N18" s="71" t="n">
        <v>260868</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8532</v>
      </c>
      <c r="T19" s="73" t="n">
        <v>5112</v>
      </c>
      <c r="U19" s="73" t="n">
        <v>774</v>
      </c>
      <c r="V19" s="73" t="n">
        <v>2942</v>
      </c>
      <c r="W19" s="73" t="n">
        <v>3236</v>
      </c>
      <c r="X19" s="73" t="n">
        <v>2454</v>
      </c>
      <c r="Y19" s="73" t="n">
        <v>4043</v>
      </c>
      <c r="Z19" s="73" t="n">
        <v>1385</v>
      </c>
      <c r="AA19" s="73" t="n">
        <v>17626</v>
      </c>
      <c r="AB19" s="73" t="n">
        <v>10312</v>
      </c>
      <c r="AC19" s="73" t="n">
        <v>4513</v>
      </c>
      <c r="AD19" s="73" t="n">
        <v>2357</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12601</v>
      </c>
      <c r="T20" s="73" t="n">
        <v>1775</v>
      </c>
      <c r="U20" s="73" t="n">
        <v>2344</v>
      </c>
      <c r="V20" s="73" t="n">
        <v>3462</v>
      </c>
      <c r="W20" s="73" t="n">
        <v>2129</v>
      </c>
      <c r="X20" s="73" t="n">
        <v>3182</v>
      </c>
      <c r="Y20" s="73" t="n">
        <v>2355</v>
      </c>
      <c r="Z20" s="73" t="n">
        <v>4122</v>
      </c>
      <c r="AA20" s="73" t="n">
        <v>9191</v>
      </c>
      <c r="AB20" s="73" t="n">
        <v>12049</v>
      </c>
      <c r="AC20" s="73" t="n">
        <v>15445</v>
      </c>
      <c r="AD20" s="73" t="n">
        <v>15148</v>
      </c>
      <c r="AE20" t="n">
        <v>0</v>
      </c>
    </row>
    <row r="21">
      <c r="B21" s="73" t="inlineStr">
        <is>
          <t>Fixed Assets -</t>
        </is>
      </c>
      <c r="C21" s="73" t="n">
        <v>83834</v>
      </c>
      <c r="D21" s="73" t="n">
        <v>10473</v>
      </c>
      <c r="E21" s="73" t="n">
        <v>13668</v>
      </c>
      <c r="F21" s="73" t="n">
        <v>10555</v>
      </c>
      <c r="G21" s="73" t="n">
        <v>9020</v>
      </c>
      <c r="H21" s="73" t="n">
        <v>10476</v>
      </c>
      <c r="I21" s="73" t="n">
        <v>10838</v>
      </c>
      <c r="J21" s="73" t="n">
        <v>30123</v>
      </c>
      <c r="K21" s="73" t="n">
        <v>56881</v>
      </c>
      <c r="L21" s="73" t="n">
        <v>65978</v>
      </c>
      <c r="M21" s="73" t="n">
        <v>77260</v>
      </c>
      <c r="N21" s="73" t="n">
        <v>115174</v>
      </c>
      <c r="R21" t="inlineStr">
        <is>
          <t>Receivables</t>
        </is>
      </c>
      <c r="S21" t="n">
        <v>-5251</v>
      </c>
      <c r="T21" t="n">
        <v>2818</v>
      </c>
      <c r="U21" t="n">
        <v>-3965</v>
      </c>
      <c r="V21" t="n">
        <v>-532</v>
      </c>
      <c r="W21" t="n">
        <v>-2109</v>
      </c>
      <c r="X21" s="73" t="n">
        <v>455</v>
      </c>
      <c r="Y21" t="n">
        <v>-248</v>
      </c>
      <c r="Z21" t="n">
        <v>-2939</v>
      </c>
      <c r="AA21" t="n">
        <v>-2064</v>
      </c>
      <c r="AB21" t="n">
        <v>1320</v>
      </c>
      <c r="AC21" s="73" t="n">
        <v>-1454</v>
      </c>
      <c r="AD21" t="n">
        <v>-5299</v>
      </c>
      <c r="AE21" t="n">
        <v>0</v>
      </c>
    </row>
    <row r="22">
      <c r="B22" s="73" t="inlineStr">
        <is>
          <t>Land</t>
        </is>
      </c>
      <c r="C22" s="73" t="n">
        <v>2808</v>
      </c>
      <c r="D22" s="73" t="n">
        <v>1232</v>
      </c>
      <c r="E22" s="73" t="n">
        <v>1596</v>
      </c>
      <c r="F22" s="73" t="n">
        <v>1633</v>
      </c>
      <c r="G22" s="73" t="n">
        <v>1225</v>
      </c>
      <c r="H22" s="73" t="n">
        <v>1224</v>
      </c>
      <c r="I22" s="73" t="n">
        <v>986</v>
      </c>
      <c r="J22" s="73" t="n">
        <v>1313</v>
      </c>
      <c r="K22" s="73" t="n">
        <v>2731</v>
      </c>
      <c r="L22" s="73" t="n">
        <v>2122</v>
      </c>
      <c r="M22" s="73" t="n">
        <v>2630</v>
      </c>
      <c r="N22" s="73" t="n">
        <v>3087</v>
      </c>
      <c r="O22" s="73" t="n"/>
      <c r="R22" t="inlineStr">
        <is>
          <t>Inventory</t>
        </is>
      </c>
      <c r="S22" t="n">
        <v>-165</v>
      </c>
      <c r="T22" t="n">
        <v>-133</v>
      </c>
      <c r="U22" t="n">
        <v>-352</v>
      </c>
      <c r="V22" t="n">
        <v>-713</v>
      </c>
      <c r="W22" t="n">
        <v>-369</v>
      </c>
      <c r="X22" t="n">
        <v>173</v>
      </c>
      <c r="Y22" s="73" t="n">
        <v>343</v>
      </c>
      <c r="Z22" t="n">
        <v>-5024</v>
      </c>
      <c r="AA22" s="73" t="n">
        <v>-130</v>
      </c>
      <c r="AB22" s="73" t="n">
        <v>-2569</v>
      </c>
      <c r="AC22" s="73" t="n">
        <v>-767</v>
      </c>
      <c r="AD22" s="73" t="n">
        <v>-8340</v>
      </c>
      <c r="AE22" t="n">
        <v>0</v>
      </c>
    </row>
    <row r="23">
      <c r="B23" s="73" t="inlineStr">
        <is>
          <t>Building</t>
        </is>
      </c>
      <c r="C23" s="73" t="n">
        <v>5392</v>
      </c>
      <c r="D23" s="73" t="n">
        <v>487</v>
      </c>
      <c r="E23" s="73" t="n">
        <v>742</v>
      </c>
      <c r="F23" s="73" t="n">
        <v>1142</v>
      </c>
      <c r="G23" s="73" t="n">
        <v>1059</v>
      </c>
      <c r="H23" s="73" t="n">
        <v>1121</v>
      </c>
      <c r="I23" s="73" t="n">
        <v>1389</v>
      </c>
      <c r="J23" s="73" t="n">
        <v>11481</v>
      </c>
      <c r="K23" s="73" t="n">
        <v>14391</v>
      </c>
      <c r="L23" s="73" t="n">
        <v>18021</v>
      </c>
      <c r="M23" s="73" t="n">
        <v>20081</v>
      </c>
      <c r="N23" s="73" t="n">
        <v>39156</v>
      </c>
      <c r="O23" s="73" t="n"/>
      <c r="R23" t="inlineStr">
        <is>
          <t>Payables</t>
        </is>
      </c>
      <c r="S23" t="n">
        <v>2549</v>
      </c>
      <c r="T23" t="n">
        <v>81</v>
      </c>
      <c r="U23" t="n">
        <v>3395</v>
      </c>
      <c r="V23" s="73" t="n">
        <v>288</v>
      </c>
      <c r="W23" t="n">
        <v>4110</v>
      </c>
      <c r="X23" t="n">
        <v>-870</v>
      </c>
      <c r="Y23" s="73" t="n">
        <v>1985</v>
      </c>
      <c r="Z23" s="73" t="n">
        <v>7188</v>
      </c>
      <c r="AA23" s="73" t="n">
        <v>12806</v>
      </c>
      <c r="AB23" t="n">
        <v>-2846</v>
      </c>
      <c r="AC23" s="73" t="n">
        <v>-2955</v>
      </c>
      <c r="AD23" t="n">
        <v>6335</v>
      </c>
      <c r="AE23" t="n">
        <v>0</v>
      </c>
    </row>
    <row r="24">
      <c r="B24" s="73" t="inlineStr">
        <is>
          <t>Plant Machinery</t>
        </is>
      </c>
      <c r="C24" s="73" t="n">
        <v>69255</v>
      </c>
      <c r="D24" s="73" t="n">
        <v>3544</v>
      </c>
      <c r="E24" s="73" t="n">
        <v>6582</v>
      </c>
      <c r="F24" s="73" t="n">
        <v>3253</v>
      </c>
      <c r="G24" s="73" t="n">
        <v>2493</v>
      </c>
      <c r="H24" s="73" t="n">
        <v>3376</v>
      </c>
      <c r="I24" s="73" t="n">
        <v>3821</v>
      </c>
      <c r="J24" s="73" t="n">
        <v>5388</v>
      </c>
      <c r="K24" s="73" t="n">
        <v>9093</v>
      </c>
      <c r="L24" s="73" t="n">
        <v>15270</v>
      </c>
      <c r="M24" s="73" t="n">
        <v>23785</v>
      </c>
      <c r="N24" s="73" t="n">
        <v>32095</v>
      </c>
      <c r="R24" t="inlineStr">
        <is>
          <t>Working capital changes</t>
        </is>
      </c>
      <c r="S24" t="n">
        <v>-3235</v>
      </c>
      <c r="T24" t="n">
        <v>3568</v>
      </c>
      <c r="U24" t="n">
        <v>-1350</v>
      </c>
      <c r="V24" s="73" t="n">
        <v>-270</v>
      </c>
      <c r="W24" t="n">
        <v>1409</v>
      </c>
      <c r="X24" t="n">
        <v>-461</v>
      </c>
      <c r="Y24" t="n">
        <v>1800</v>
      </c>
      <c r="Z24" t="n">
        <v>-2532</v>
      </c>
      <c r="AA24" t="n">
        <v>9345</v>
      </c>
      <c r="AB24" s="73" t="n">
        <v>-29</v>
      </c>
      <c r="AC24" s="73" t="n">
        <v>-8837</v>
      </c>
      <c r="AD24" s="73" t="n">
        <v>-10079</v>
      </c>
      <c r="AE24" t="n">
        <v>0</v>
      </c>
    </row>
    <row r="25">
      <c r="B25" t="inlineStr">
        <is>
          <t>Equipments</t>
        </is>
      </c>
      <c r="C25" t="n">
        <v>155</v>
      </c>
      <c r="D25" t="n">
        <v>25</v>
      </c>
      <c r="E25" t="n">
        <v>38</v>
      </c>
      <c r="F25" t="n">
        <v>46</v>
      </c>
      <c r="G25" t="n">
        <v>45</v>
      </c>
      <c r="H25" t="n">
        <v>48</v>
      </c>
      <c r="I25" t="n">
        <v>66</v>
      </c>
      <c r="J25" t="n">
        <v>108</v>
      </c>
      <c r="K25" t="n">
        <v>182</v>
      </c>
      <c r="L25" t="n">
        <v>345</v>
      </c>
      <c r="M25" t="n">
        <v>666</v>
      </c>
      <c r="N25" t="n">
        <v>1065</v>
      </c>
      <c r="R25" t="inlineStr">
        <is>
          <t>Direct taxes</t>
        </is>
      </c>
      <c r="S25" s="73" t="n">
        <v>-834</v>
      </c>
      <c r="T25" s="73" t="n">
        <v>-231</v>
      </c>
      <c r="U25" s="73" t="n">
        <v>-220</v>
      </c>
      <c r="V25" s="73" t="n">
        <v>-250</v>
      </c>
      <c r="W25" s="73" t="n">
        <v>-211</v>
      </c>
      <c r="X25" s="73" t="n">
        <v>-267</v>
      </c>
      <c r="Y25" s="73" t="n">
        <v>-112</v>
      </c>
      <c r="Z25" s="73" t="n">
        <v>-205</v>
      </c>
      <c r="AA25" s="73" t="n">
        <v>-910</v>
      </c>
      <c r="AB25" s="73" t="n">
        <v>-1708</v>
      </c>
      <c r="AC25" s="73" t="n">
        <v>-2095</v>
      </c>
      <c r="AD25" s="73" t="n">
        <v>-2712</v>
      </c>
      <c r="AE25" t="n">
        <v>0</v>
      </c>
    </row>
    <row r="26">
      <c r="B26" s="73" t="inlineStr">
        <is>
          <t>Furniture n fittings</t>
        </is>
      </c>
      <c r="C26" s="73" t="n">
        <v>324</v>
      </c>
      <c r="D26" s="73" t="n">
        <v>92</v>
      </c>
      <c r="E26" s="73" t="n">
        <v>106</v>
      </c>
      <c r="F26" s="73" t="n">
        <v>172</v>
      </c>
      <c r="G26" s="73" t="n">
        <v>171</v>
      </c>
      <c r="H26" s="73" t="n">
        <v>186</v>
      </c>
      <c r="I26" s="73" t="n">
        <v>187</v>
      </c>
      <c r="J26" s="73" t="n">
        <v>565</v>
      </c>
      <c r="K26" s="73" t="n">
        <v>583</v>
      </c>
      <c r="L26" s="73" t="n">
        <v>898</v>
      </c>
      <c r="M26" s="73" t="n">
        <v>1516</v>
      </c>
      <c r="N26" s="73" t="n">
        <v>2146</v>
      </c>
      <c r="R26" t="inlineStr">
        <is>
          <t>Cash from Investing Activity -</t>
        </is>
      </c>
      <c r="S26" s="73" t="n">
        <v>-11465</v>
      </c>
      <c r="T26" s="73" t="n">
        <v>-1825</v>
      </c>
      <c r="U26" s="73" t="n">
        <v>-1460</v>
      </c>
      <c r="V26" s="73" t="n">
        <v>-7649</v>
      </c>
      <c r="W26" s="73" t="n">
        <v>2487</v>
      </c>
      <c r="X26" s="73" t="n">
        <v>-1082</v>
      </c>
      <c r="Y26" s="73" t="n">
        <v>-8611</v>
      </c>
      <c r="Z26" s="73" t="n">
        <v>-17041</v>
      </c>
      <c r="AA26" s="73" t="n">
        <v>-15459</v>
      </c>
      <c r="AB26" s="73" t="n">
        <v>-18767</v>
      </c>
      <c r="AC26" t="n">
        <v>-26417</v>
      </c>
      <c r="AD26" s="73" t="n">
        <v>-27680</v>
      </c>
      <c r="AE26" t="n">
        <v>0</v>
      </c>
    </row>
    <row r="27">
      <c r="B27" s="73" t="inlineStr">
        <is>
          <t>Railway sidings</t>
        </is>
      </c>
      <c r="C27" s="73" t="n">
        <v>1449</v>
      </c>
      <c r="D27" s="73" t="n">
        <v>74</v>
      </c>
      <c r="E27" s="73" t="n">
        <v>74</v>
      </c>
      <c r="F27" s="73" t="n">
        <v>74</v>
      </c>
      <c r="G27" s="73" t="n">
        <v>0</v>
      </c>
      <c r="H27" s="73" t="n">
        <v>0</v>
      </c>
      <c r="I27" s="73" t="n">
        <v>0</v>
      </c>
      <c r="J27" s="73" t="n">
        <v>0</v>
      </c>
      <c r="K27" s="73" t="n">
        <v>12712</v>
      </c>
      <c r="L27" s="73" t="n">
        <v>13980</v>
      </c>
      <c r="M27" s="73" t="n">
        <v>13383</v>
      </c>
      <c r="N27" s="73" t="n">
        <v>16579</v>
      </c>
      <c r="R27" t="inlineStr">
        <is>
          <t>Fixed assets purchased</t>
        </is>
      </c>
      <c r="S27" s="73" t="n">
        <v>-9557</v>
      </c>
      <c r="T27" s="73" t="n">
        <v>-5920</v>
      </c>
      <c r="U27" s="73" t="n">
        <v>-4167</v>
      </c>
      <c r="V27" s="73" t="n">
        <v>-7305</v>
      </c>
      <c r="W27" s="73" t="n">
        <v>-1772</v>
      </c>
      <c r="X27" s="73" t="n">
        <v>-2901</v>
      </c>
      <c r="Y27" s="73" t="n">
        <v>-4139</v>
      </c>
      <c r="Z27" s="73" t="n">
        <v>-11647</v>
      </c>
      <c r="AA27" s="73" t="n">
        <v>-14725</v>
      </c>
      <c r="AB27" s="73" t="n">
        <v>-22366</v>
      </c>
      <c r="AC27" s="73" t="n">
        <v>-29879</v>
      </c>
      <c r="AD27" s="73" t="n">
        <v>-33369</v>
      </c>
      <c r="AE27" t="n">
        <v>0</v>
      </c>
    </row>
    <row r="28">
      <c r="B28" t="inlineStr">
        <is>
          <t>Vehicles</t>
        </is>
      </c>
      <c r="C28" t="n">
        <v>477</v>
      </c>
      <c r="D28" t="n">
        <v>25</v>
      </c>
      <c r="E28" t="n">
        <v>29</v>
      </c>
      <c r="F28" t="n">
        <v>35</v>
      </c>
      <c r="G28" t="n">
        <v>44</v>
      </c>
      <c r="H28" t="n">
        <v>54</v>
      </c>
      <c r="I28" t="n">
        <v>68</v>
      </c>
      <c r="J28" t="n">
        <v>436</v>
      </c>
      <c r="K28" t="n">
        <v>498</v>
      </c>
      <c r="L28" t="n">
        <v>554</v>
      </c>
      <c r="M28" t="n">
        <v>658</v>
      </c>
      <c r="N28" t="n">
        <v>908</v>
      </c>
      <c r="O28" s="73" t="n"/>
      <c r="R28" t="inlineStr">
        <is>
          <t>Fixed assets sold</t>
        </is>
      </c>
      <c r="S28" s="73" t="n">
        <v>405</v>
      </c>
      <c r="T28" s="73" t="n">
        <v>30</v>
      </c>
      <c r="U28" s="73" t="n">
        <v>20</v>
      </c>
      <c r="V28" s="73" t="n">
        <v>11</v>
      </c>
      <c r="W28" s="73" t="n">
        <v>7</v>
      </c>
      <c r="X28" s="73" t="n">
        <v>180</v>
      </c>
      <c r="Y28" s="73" t="n">
        <v>780</v>
      </c>
      <c r="Z28" s="73" t="n">
        <v>2</v>
      </c>
      <c r="AA28" s="73" t="n">
        <v>70</v>
      </c>
      <c r="AB28" t="n">
        <v>120</v>
      </c>
      <c r="AC28" s="73" t="n">
        <v>364</v>
      </c>
      <c r="AD28" s="73" t="n">
        <v>19</v>
      </c>
      <c r="AE28" t="n">
        <v>0</v>
      </c>
    </row>
    <row r="29">
      <c r="B29" t="inlineStr">
        <is>
          <t>Intangible Assets</t>
        </is>
      </c>
      <c r="C29" t="n">
        <v>2130</v>
      </c>
      <c r="D29" t="n">
        <v>80</v>
      </c>
      <c r="E29" t="n">
        <v>80</v>
      </c>
      <c r="F29" t="n">
        <v>80</v>
      </c>
      <c r="G29" t="n">
        <v>54</v>
      </c>
      <c r="H29" t="n">
        <v>139</v>
      </c>
      <c r="I29" s="73" t="n">
        <v>152</v>
      </c>
      <c r="J29" s="73" t="n">
        <v>301</v>
      </c>
      <c r="K29" s="73" t="n">
        <v>887</v>
      </c>
      <c r="L29" s="73" t="n">
        <v>1040</v>
      </c>
      <c r="M29" s="73" t="n">
        <v>1086</v>
      </c>
      <c r="N29" s="73" t="n">
        <v>899</v>
      </c>
      <c r="R29" t="inlineStr">
        <is>
          <t>Investments purchased</t>
        </is>
      </c>
      <c r="S29" s="73" t="n">
        <v>-401</v>
      </c>
      <c r="T29" s="73" t="n">
        <v>8</v>
      </c>
      <c r="U29" s="73" t="n">
        <v>-52</v>
      </c>
      <c r="V29" s="73" t="n">
        <v>0</v>
      </c>
      <c r="W29" s="73" t="n">
        <v>0</v>
      </c>
      <c r="X29" s="73" t="n">
        <v>-40</v>
      </c>
      <c r="Y29" s="73" t="n">
        <v>0</v>
      </c>
      <c r="Z29" s="73" t="n">
        <v>-32</v>
      </c>
      <c r="AA29" s="73" t="n">
        <v>-260</v>
      </c>
      <c r="AB29" s="73" t="n">
        <v>-1191</v>
      </c>
      <c r="AC29" s="73" t="n">
        <v>-1347</v>
      </c>
      <c r="AD29" s="73" t="n">
        <v>-1489</v>
      </c>
      <c r="AE29" t="n">
        <v>0</v>
      </c>
    </row>
    <row r="30">
      <c r="B30" t="inlineStr">
        <is>
          <t>Other fixed assets</t>
        </is>
      </c>
      <c r="C30" t="n">
        <v>11411</v>
      </c>
      <c r="D30" t="n">
        <v>3527</v>
      </c>
      <c r="E30" t="n">
        <v>3518</v>
      </c>
      <c r="F30" t="n">
        <v>3569</v>
      </c>
      <c r="G30" t="n">
        <v>3380</v>
      </c>
      <c r="H30" t="n">
        <v>4114</v>
      </c>
      <c r="I30" t="n">
        <v>5324</v>
      </c>
      <c r="J30" t="n">
        <v>12909</v>
      </c>
      <c r="K30" t="n">
        <v>19939</v>
      </c>
      <c r="L30" t="n">
        <v>20792</v>
      </c>
      <c r="M30" t="n">
        <v>24605</v>
      </c>
      <c r="N30" s="73" t="n">
        <v>35591</v>
      </c>
      <c r="O30" s="73" t="n"/>
      <c r="R30" t="inlineStr">
        <is>
          <t>Investments sold</t>
        </is>
      </c>
      <c r="S30" s="73" t="n">
        <v>0</v>
      </c>
      <c r="T30" s="73" t="n">
        <v>0</v>
      </c>
      <c r="U30" s="73" t="n">
        <v>0</v>
      </c>
      <c r="V30" s="73" t="n">
        <v>6</v>
      </c>
      <c r="W30" s="73" t="n">
        <v>243</v>
      </c>
      <c r="X30" s="73" t="n">
        <v>0</v>
      </c>
      <c r="Y30" s="73" t="n">
        <v>222</v>
      </c>
      <c r="Z30" s="73" t="n">
        <v>89</v>
      </c>
      <c r="AA30" s="73" t="n">
        <v>28</v>
      </c>
      <c r="AB30" s="73" t="n">
        <v>159</v>
      </c>
      <c r="AC30" s="73" t="n">
        <v>4751</v>
      </c>
      <c r="AD30" s="73" t="n">
        <v>10799</v>
      </c>
      <c r="AE30" t="n">
        <v>0</v>
      </c>
    </row>
    <row r="31">
      <c r="B31" t="inlineStr">
        <is>
          <t>Gross Block</t>
        </is>
      </c>
      <c r="C31" s="73" t="n">
        <v>96486</v>
      </c>
      <c r="D31" s="73" t="n">
        <v>10813</v>
      </c>
      <c r="E31" s="73" t="n">
        <v>14634</v>
      </c>
      <c r="F31" s="73" t="n">
        <v>11907</v>
      </c>
      <c r="G31" s="73" t="n">
        <v>10482</v>
      </c>
      <c r="H31" s="73" t="n">
        <v>12442</v>
      </c>
      <c r="I31" s="73" t="n">
        <v>13035</v>
      </c>
      <c r="J31" s="73" t="n">
        <v>33692</v>
      </c>
      <c r="K31" s="73" t="n">
        <v>62378</v>
      </c>
      <c r="L31" s="73" t="n">
        <v>74560</v>
      </c>
      <c r="M31" s="73" t="n">
        <v>89964</v>
      </c>
      <c r="N31" s="73" t="n">
        <v>134265</v>
      </c>
      <c r="O31" s="73" t="n"/>
      <c r="R31" t="inlineStr">
        <is>
          <t>Interest received</t>
        </is>
      </c>
      <c r="S31" t="n">
        <v>872</v>
      </c>
      <c r="T31" t="n">
        <v>754</v>
      </c>
      <c r="U31" s="73" t="n">
        <v>651</v>
      </c>
      <c r="V31" s="73" t="n">
        <v>547</v>
      </c>
      <c r="W31" s="73" t="n">
        <v>476</v>
      </c>
      <c r="X31" s="73" t="n">
        <v>459</v>
      </c>
      <c r="Y31" s="73" t="n">
        <v>322</v>
      </c>
      <c r="Z31" s="73" t="n">
        <v>821</v>
      </c>
      <c r="AA31" s="73" t="n">
        <v>608</v>
      </c>
      <c r="AB31" s="73" t="n">
        <v>1127</v>
      </c>
      <c r="AC31" s="73" t="n">
        <v>1184</v>
      </c>
      <c r="AD31" s="73" t="n">
        <v>1042</v>
      </c>
      <c r="AE31" t="n">
        <v>0</v>
      </c>
    </row>
    <row r="32">
      <c r="B32" s="73" t="inlineStr">
        <is>
          <t>Accumulated Depreciation</t>
        </is>
      </c>
      <c r="C32" s="73" t="n">
        <v>12652</v>
      </c>
      <c r="D32" s="73" t="n">
        <v>339</v>
      </c>
      <c r="E32" s="73" t="n">
        <v>966</v>
      </c>
      <c r="F32" s="73" t="n">
        <v>1352</v>
      </c>
      <c r="G32" s="73" t="n">
        <v>1462</v>
      </c>
      <c r="H32" s="73" t="n">
        <v>1965</v>
      </c>
      <c r="I32" s="73" t="n">
        <v>2197</v>
      </c>
      <c r="J32" s="73" t="n">
        <v>3570</v>
      </c>
      <c r="K32" s="73" t="n">
        <v>5497</v>
      </c>
      <c r="L32" s="73" t="n">
        <v>8582</v>
      </c>
      <c r="M32" s="73" t="n">
        <v>12703</v>
      </c>
      <c r="N32" s="73" t="n">
        <v>19091</v>
      </c>
      <c r="O32" s="73" t="n"/>
      <c r="R32" t="inlineStr">
        <is>
          <t>Dividends received</t>
        </is>
      </c>
      <c r="S32" t="n">
        <v>15</v>
      </c>
      <c r="T32" t="n">
        <v>177</v>
      </c>
      <c r="U32" s="73" t="n">
        <v>4</v>
      </c>
      <c r="V32" t="n">
        <v>4</v>
      </c>
      <c r="W32" t="n">
        <v>3</v>
      </c>
      <c r="X32" t="n">
        <v>0</v>
      </c>
      <c r="Y32" s="73" t="n">
        <v>0</v>
      </c>
      <c r="Z32" s="73" t="n">
        <v>0</v>
      </c>
      <c r="AA32" s="73" t="n">
        <v>0</v>
      </c>
      <c r="AB32" s="73" t="n">
        <v>11</v>
      </c>
      <c r="AC32" s="73" t="n">
        <v>0</v>
      </c>
      <c r="AD32" s="73" t="n">
        <v>0</v>
      </c>
      <c r="AE32" t="n">
        <v>0</v>
      </c>
    </row>
    <row r="33">
      <c r="B33" t="inlineStr">
        <is>
          <t>Net Block</t>
        </is>
      </c>
      <c r="C33" s="73" t="n">
        <v>83834</v>
      </c>
      <c r="D33" s="73" t="n">
        <v>10473</v>
      </c>
      <c r="E33" s="73" t="n">
        <v>13668</v>
      </c>
      <c r="F33" s="73" t="n">
        <v>10555</v>
      </c>
      <c r="G33" s="73" t="n">
        <v>9020</v>
      </c>
      <c r="H33" s="73" t="n">
        <v>10476</v>
      </c>
      <c r="I33" s="73" t="n">
        <v>10838</v>
      </c>
      <c r="J33" s="73" t="n">
        <v>30123</v>
      </c>
      <c r="K33" s="73" t="n">
        <v>56881</v>
      </c>
      <c r="L33" s="73" t="n">
        <v>65978</v>
      </c>
      <c r="M33" s="73" t="n">
        <v>77260</v>
      </c>
      <c r="N33" s="73" t="n">
        <v>115174</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-40</v>
      </c>
      <c r="U34" s="73" t="n">
        <v>-73</v>
      </c>
      <c r="V34" s="73" t="n">
        <v>-80</v>
      </c>
      <c r="W34" s="73" t="n">
        <v>-324</v>
      </c>
      <c r="X34" s="73" t="n">
        <v>-253</v>
      </c>
      <c r="Y34" s="73" t="n">
        <v>-3488</v>
      </c>
      <c r="Z34" s="73" t="n">
        <v>-363</v>
      </c>
      <c r="AA34" s="73" t="n">
        <v>-1372</v>
      </c>
      <c r="AB34" s="73" t="n">
        <v>-1070</v>
      </c>
      <c r="AC34" s="73" t="n">
        <v>-1139</v>
      </c>
      <c r="AD34" s="73" t="n">
        <v>-2262</v>
      </c>
      <c r="AE34" t="n">
        <v>0</v>
      </c>
    </row>
    <row r="35">
      <c r="B35" t="inlineStr">
        <is>
          <t>CWIP</t>
        </is>
      </c>
      <c r="C35" s="73" t="n">
        <v>6733</v>
      </c>
      <c r="D35" s="73" t="n">
        <v>7705</v>
      </c>
      <c r="E35" s="73" t="n">
        <v>7731</v>
      </c>
      <c r="F35" s="73" t="n">
        <v>5526</v>
      </c>
      <c r="G35" s="73" t="n">
        <v>5765</v>
      </c>
      <c r="H35" s="73" t="n">
        <v>7347</v>
      </c>
      <c r="I35" s="73" t="n">
        <v>8825</v>
      </c>
      <c r="J35" s="73" t="n">
        <v>23544</v>
      </c>
      <c r="K35" s="73" t="n">
        <v>24025</v>
      </c>
      <c r="L35" s="73" t="n">
        <v>35180</v>
      </c>
      <c r="M35" s="73" t="n">
        <v>51516</v>
      </c>
      <c r="N35" s="73" t="n">
        <v>51753</v>
      </c>
      <c r="O35" s="73" t="n"/>
      <c r="R35" t="inlineStr">
        <is>
          <t>Redemp n Canc of Shares</t>
        </is>
      </c>
      <c r="S35" s="73" t="n">
        <v>0</v>
      </c>
      <c r="T35" s="73" t="n">
        <v>45</v>
      </c>
      <c r="U35" s="73" t="n">
        <v>0</v>
      </c>
      <c r="V35" s="73" t="n">
        <v>0</v>
      </c>
      <c r="W35" s="73" t="n">
        <v>1270</v>
      </c>
      <c r="X35" s="73" t="n">
        <v>0</v>
      </c>
      <c r="Y35" s="73" t="n">
        <v>0</v>
      </c>
      <c r="Z35" s="73" t="n">
        <v>0</v>
      </c>
      <c r="AA35" s="73" t="n">
        <v>0</v>
      </c>
      <c r="AB35" s="73" t="n">
        <v>0</v>
      </c>
      <c r="AC35" s="73" t="n">
        <v>0</v>
      </c>
      <c r="AD35" s="73" t="n">
        <v>0</v>
      </c>
      <c r="AE35" t="n">
        <v>0</v>
      </c>
    </row>
    <row r="36">
      <c r="B36" t="inlineStr">
        <is>
          <t>Investments</t>
        </is>
      </c>
      <c r="C36" s="73" t="n">
        <v>744</v>
      </c>
      <c r="D36" s="73" t="n">
        <v>805</v>
      </c>
      <c r="E36" s="73" t="n">
        <v>1042</v>
      </c>
      <c r="F36" s="73" t="n">
        <v>1461</v>
      </c>
      <c r="G36" s="73" t="n">
        <v>1511</v>
      </c>
      <c r="H36" s="73" t="n">
        <v>1952</v>
      </c>
      <c r="I36" s="73" t="n">
        <v>5503</v>
      </c>
      <c r="J36" s="73" t="n">
        <v>4292</v>
      </c>
      <c r="K36" s="73" t="n">
        <v>6310</v>
      </c>
      <c r="L36" s="73" t="n">
        <v>8701</v>
      </c>
      <c r="M36" s="73" t="n">
        <v>9887</v>
      </c>
      <c r="N36" s="73" t="n">
        <v>9428</v>
      </c>
      <c r="O36" s="73" t="n"/>
      <c r="R36" t="inlineStr">
        <is>
          <t>Other investing items</t>
        </is>
      </c>
      <c r="S36" s="73" t="n">
        <v>-558</v>
      </c>
      <c r="T36" s="73" t="n">
        <v>3173</v>
      </c>
      <c r="U36" s="73" t="n">
        <v>2157</v>
      </c>
      <c r="V36" s="73" t="n">
        <v>-832</v>
      </c>
      <c r="W36" s="73" t="n">
        <v>2584</v>
      </c>
      <c r="X36" s="73" t="n">
        <v>1474</v>
      </c>
      <c r="Y36" s="73" t="n">
        <v>-2308</v>
      </c>
      <c r="Z36" s="73" t="n">
        <v>-4426</v>
      </c>
      <c r="AA36" t="n">
        <v>1105</v>
      </c>
      <c r="AB36" s="73" t="n">
        <v>4458</v>
      </c>
      <c r="AC36" t="n">
        <v>-208</v>
      </c>
      <c r="AD36" s="73" t="n">
        <v>-1708</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3445</v>
      </c>
      <c r="T37" s="73" t="n">
        <v>-3448</v>
      </c>
      <c r="U37" s="73" t="n">
        <v>716</v>
      </c>
      <c r="V37" s="73" t="n">
        <v>5120</v>
      </c>
      <c r="W37" s="73" t="n">
        <v>-6158</v>
      </c>
      <c r="X37" s="73" t="n">
        <v>-221</v>
      </c>
      <c r="Y37" s="73" t="n">
        <v>3109</v>
      </c>
      <c r="Z37" s="73" t="n">
        <v>15901</v>
      </c>
      <c r="AA37" s="73" t="n">
        <v>-1198</v>
      </c>
      <c r="AB37" s="73" t="n">
        <v>8879</v>
      </c>
      <c r="AC37" s="73" t="n">
        <v>22655</v>
      </c>
      <c r="AD37" s="73" t="n">
        <v>28484</v>
      </c>
      <c r="AE37" t="n">
        <v>0</v>
      </c>
    </row>
    <row r="38">
      <c r="B38" t="inlineStr">
        <is>
          <t>Other Assets -</t>
        </is>
      </c>
      <c r="C38" s="73" t="n">
        <v>39407</v>
      </c>
      <c r="D38" s="73" t="n">
        <v>22696</v>
      </c>
      <c r="E38" s="73" t="n">
        <v>25170</v>
      </c>
      <c r="F38" s="73" t="n">
        <v>38864</v>
      </c>
      <c r="G38" s="73" t="n">
        <v>26240</v>
      </c>
      <c r="H38" s="73" t="n">
        <v>27099</v>
      </c>
      <c r="I38" s="73" t="n">
        <v>26451</v>
      </c>
      <c r="J38" s="73" t="n">
        <v>43627</v>
      </c>
      <c r="K38" s="73" t="n">
        <v>54062</v>
      </c>
      <c r="L38" s="73" t="n">
        <v>50728</v>
      </c>
      <c r="M38" s="73" t="n">
        <v>59180</v>
      </c>
      <c r="N38" s="73" t="n">
        <v>84513</v>
      </c>
      <c r="O38" s="73" t="n"/>
      <c r="R38" t="inlineStr">
        <is>
          <t>Proceeds from shares</t>
        </is>
      </c>
      <c r="S38" t="n">
        <v>0</v>
      </c>
      <c r="T38" t="n">
        <v>0</v>
      </c>
      <c r="U38" s="73" t="n">
        <v>0</v>
      </c>
      <c r="V38" t="n">
        <v>0</v>
      </c>
      <c r="W38" t="n">
        <v>0</v>
      </c>
      <c r="X38" t="n">
        <v>0</v>
      </c>
      <c r="Y38" t="n">
        <v>0</v>
      </c>
      <c r="Z38" t="n">
        <v>0</v>
      </c>
      <c r="AA38" s="73" t="n">
        <v>7700</v>
      </c>
      <c r="AB38" s="73" t="n">
        <v>0</v>
      </c>
      <c r="AC38" t="n">
        <v>4168</v>
      </c>
      <c r="AD38" t="n">
        <v>24854</v>
      </c>
      <c r="AE38" t="n">
        <v>0</v>
      </c>
    </row>
    <row r="39">
      <c r="B39" t="inlineStr">
        <is>
          <t>Inventories</t>
        </is>
      </c>
      <c r="C39" s="73" t="n">
        <v>4082</v>
      </c>
      <c r="D39" s="73" t="n">
        <v>1300</v>
      </c>
      <c r="E39" s="73" t="n">
        <v>1652</v>
      </c>
      <c r="F39" s="73" t="n">
        <v>2343</v>
      </c>
      <c r="G39" s="73" t="n">
        <v>2669</v>
      </c>
      <c r="H39" s="73" t="n">
        <v>2562</v>
      </c>
      <c r="I39" s="73" t="n">
        <v>1757</v>
      </c>
      <c r="J39" s="73" t="n">
        <v>6788</v>
      </c>
      <c r="K39" s="73" t="n">
        <v>6918</v>
      </c>
      <c r="L39" s="73" t="n">
        <v>9487</v>
      </c>
      <c r="M39" s="73" t="n">
        <v>10287</v>
      </c>
      <c r="N39" s="73" t="n">
        <v>18713</v>
      </c>
      <c r="O39" s="73" t="n"/>
      <c r="R39" t="inlineStr">
        <is>
          <t>Proceeds from borrowings</t>
        </is>
      </c>
      <c r="S39" t="n">
        <v>30297</v>
      </c>
      <c r="T39" t="n">
        <v>4772</v>
      </c>
      <c r="U39" t="n">
        <v>4266</v>
      </c>
      <c r="V39" t="n">
        <v>15069</v>
      </c>
      <c r="W39" t="n">
        <v>3031</v>
      </c>
      <c r="X39" t="n">
        <v>4435</v>
      </c>
      <c r="Y39" t="n">
        <v>7520</v>
      </c>
      <c r="Z39" t="n">
        <v>18364</v>
      </c>
      <c r="AA39" t="n">
        <v>30339</v>
      </c>
      <c r="AB39" t="n">
        <v>22522</v>
      </c>
      <c r="AC39" t="n">
        <v>34819</v>
      </c>
      <c r="AD39" s="73" t="n">
        <v>40870</v>
      </c>
      <c r="AE39" t="n">
        <v>0</v>
      </c>
    </row>
    <row r="40">
      <c r="B40" t="inlineStr">
        <is>
          <t>Trade receivables +</t>
        </is>
      </c>
      <c r="C40" s="73" t="n">
        <v>15319</v>
      </c>
      <c r="D40" s="73" t="n">
        <v>10187</v>
      </c>
      <c r="E40" s="73" t="n">
        <v>12742</v>
      </c>
      <c r="F40" s="73" t="n">
        <v>12099</v>
      </c>
      <c r="G40" s="73" t="n">
        <v>14307</v>
      </c>
      <c r="H40" s="73" t="n">
        <v>13147</v>
      </c>
      <c r="I40" s="73" t="n">
        <v>11983</v>
      </c>
      <c r="J40" s="73" t="n">
        <v>13712</v>
      </c>
      <c r="K40" s="73" t="n">
        <v>12553</v>
      </c>
      <c r="L40" s="73" t="n">
        <v>9793</v>
      </c>
      <c r="M40" s="73" t="n">
        <v>9616</v>
      </c>
      <c r="N40" s="73" t="n">
        <v>12543</v>
      </c>
      <c r="O40" s="73" t="n"/>
      <c r="R40" t="inlineStr">
        <is>
          <t>Repayment of borrowings</t>
        </is>
      </c>
      <c r="S40" t="n">
        <v>-18760</v>
      </c>
      <c r="T40" t="n">
        <v>-6518</v>
      </c>
      <c r="U40" t="n">
        <v>-2547</v>
      </c>
      <c r="V40" s="73" t="n">
        <v>-8484</v>
      </c>
      <c r="W40" t="n">
        <v>-7636</v>
      </c>
      <c r="X40" t="n">
        <v>-3255</v>
      </c>
      <c r="Y40" s="73" t="n">
        <v>-3047</v>
      </c>
      <c r="Z40" t="n">
        <v>-270</v>
      </c>
      <c r="AA40" s="73" t="n">
        <v>-34403</v>
      </c>
      <c r="AB40" s="73" t="n">
        <v>-10717</v>
      </c>
      <c r="AC40" s="73" t="n">
        <v>-9910</v>
      </c>
      <c r="AD40" s="73" t="n">
        <v>-33623</v>
      </c>
      <c r="AE40" t="n">
        <v>0</v>
      </c>
    </row>
    <row r="41">
      <c r="B41" t="inlineStr">
        <is>
          <t>Cash Equivalents</t>
        </is>
      </c>
      <c r="C41" s="73" t="n">
        <v>3651</v>
      </c>
      <c r="D41" s="73" t="n">
        <v>1540</v>
      </c>
      <c r="E41" s="73" t="n">
        <v>1715</v>
      </c>
      <c r="F41" s="73" t="n">
        <v>1884</v>
      </c>
      <c r="G41" s="73" t="n">
        <v>1709</v>
      </c>
      <c r="H41" s="73" t="n">
        <v>3377</v>
      </c>
      <c r="I41" s="73" t="n">
        <v>1811</v>
      </c>
      <c r="J41" s="73" t="n">
        <v>3916</v>
      </c>
      <c r="K41" s="73" t="n">
        <v>5374</v>
      </c>
      <c r="L41" s="73" t="n">
        <v>7068</v>
      </c>
      <c r="M41" s="73" t="n">
        <v>6962</v>
      </c>
      <c r="N41" s="73" t="n">
        <v>11809</v>
      </c>
      <c r="O41" s="73" t="n"/>
      <c r="R41" t="inlineStr">
        <is>
          <t>Interest paid fin</t>
        </is>
      </c>
      <c r="S41" s="73" t="n">
        <v>-7941</v>
      </c>
      <c r="T41" s="73" t="n">
        <v>-1494</v>
      </c>
      <c r="U41" s="73" t="n">
        <v>-1581</v>
      </c>
      <c r="V41" s="73" t="n">
        <v>-1726</v>
      </c>
      <c r="W41" s="73" t="n">
        <v>-1606</v>
      </c>
      <c r="X41" s="73" t="n">
        <v>-1532</v>
      </c>
      <c r="Y41" s="73" t="n">
        <v>-1212</v>
      </c>
      <c r="Z41" s="73" t="n">
        <v>-2601</v>
      </c>
      <c r="AA41" s="73" t="n">
        <v>-3342</v>
      </c>
      <c r="AB41" s="73" t="n">
        <v>-4055</v>
      </c>
      <c r="AC41" s="73" t="n">
        <v>-5599</v>
      </c>
      <c r="AD41" s="73" t="n">
        <v>-5102</v>
      </c>
      <c r="AE41" t="n">
        <v>0</v>
      </c>
    </row>
    <row r="42">
      <c r="B42" t="inlineStr">
        <is>
          <t>Loans n Advances</t>
        </is>
      </c>
      <c r="C42" s="73" t="n">
        <v>290</v>
      </c>
      <c r="D42" s="73" t="n">
        <v>62</v>
      </c>
      <c r="E42" s="73" t="n">
        <v>4027</v>
      </c>
      <c r="F42" s="73" t="n">
        <v>4256</v>
      </c>
      <c r="G42" s="73" t="n">
        <v>2332</v>
      </c>
      <c r="H42" s="73" t="n">
        <v>2093</v>
      </c>
      <c r="I42" s="73" t="n">
        <v>1509</v>
      </c>
      <c r="J42" s="73" t="n">
        <v>1740</v>
      </c>
      <c r="K42" s="73" t="n">
        <v>4931</v>
      </c>
      <c r="L42" s="73" t="n">
        <v>1683</v>
      </c>
      <c r="M42" s="73" t="n">
        <v>1755</v>
      </c>
      <c r="N42" s="73" t="n">
        <v>2190</v>
      </c>
      <c r="O42" s="73" t="n"/>
      <c r="R42" t="inlineStr">
        <is>
          <t>Dividends paid</t>
        </is>
      </c>
      <c r="S42" s="73" t="n">
        <v>-146</v>
      </c>
      <c r="T42" s="73" t="n">
        <v>-208</v>
      </c>
      <c r="U42" s="73" t="n">
        <v>0</v>
      </c>
      <c r="V42" s="73" t="n">
        <v>-53</v>
      </c>
      <c r="W42" s="73" t="n">
        <v>-53</v>
      </c>
      <c r="X42" s="73" t="n">
        <v>-186</v>
      </c>
      <c r="Y42" s="73" t="n">
        <v>0</v>
      </c>
      <c r="Z42" s="73" t="n">
        <v>-110</v>
      </c>
      <c r="AA42" s="73" t="n">
        <v>-114</v>
      </c>
      <c r="AB42" s="73" t="n">
        <v>-137</v>
      </c>
      <c r="AC42" s="73" t="n">
        <v>-148</v>
      </c>
      <c r="AD42" s="73" t="n">
        <v>-640</v>
      </c>
      <c r="AE42" t="n">
        <v>0</v>
      </c>
    </row>
    <row r="43">
      <c r="B43" t="inlineStr">
        <is>
          <t>Other asset items</t>
        </is>
      </c>
      <c r="C43" s="73" t="n">
        <v>16065</v>
      </c>
      <c r="D43" s="73" t="n">
        <v>9607</v>
      </c>
      <c r="E43" s="73" t="n">
        <v>5034</v>
      </c>
      <c r="F43" s="73" t="n">
        <v>18282</v>
      </c>
      <c r="G43" s="73" t="n">
        <v>5222</v>
      </c>
      <c r="H43" s="73" t="n">
        <v>5921</v>
      </c>
      <c r="I43" s="73" t="n">
        <v>9392</v>
      </c>
      <c r="J43" s="73" t="n">
        <v>17470</v>
      </c>
      <c r="K43" s="73" t="n">
        <v>24286</v>
      </c>
      <c r="L43" s="73" t="n">
        <v>22696</v>
      </c>
      <c r="M43" s="73" t="n">
        <v>30559</v>
      </c>
      <c r="N43" s="73" t="n">
        <v>39258</v>
      </c>
      <c r="O43" s="73" t="n"/>
      <c r="R43" t="inlineStr">
        <is>
          <t>Financial liabilities</t>
        </is>
      </c>
      <c r="S43" t="n">
        <v>0</v>
      </c>
      <c r="T43" t="n">
        <v>0</v>
      </c>
      <c r="U43" t="n">
        <v>0</v>
      </c>
      <c r="V43" t="n">
        <v>0</v>
      </c>
      <c r="W43" t="n">
        <v>0</v>
      </c>
      <c r="X43" t="n">
        <v>-40</v>
      </c>
      <c r="Y43" t="n">
        <v>-18</v>
      </c>
      <c r="Z43" t="n">
        <v>-107</v>
      </c>
      <c r="AA43" t="n">
        <v>-746</v>
      </c>
      <c r="AB43" t="n">
        <v>-1495</v>
      </c>
      <c r="AC43" t="n">
        <v>-1435</v>
      </c>
      <c r="AD43" t="n">
        <v>-1713</v>
      </c>
      <c r="AE43" t="n">
        <v>0</v>
      </c>
    </row>
    <row r="44">
      <c r="B44" s="57" t="inlineStr">
        <is>
          <t>Total Assets</t>
        </is>
      </c>
      <c r="C44" s="73" t="n">
        <v>130718</v>
      </c>
      <c r="D44" s="73" t="n">
        <v>41679</v>
      </c>
      <c r="E44" s="73" t="n">
        <v>47611</v>
      </c>
      <c r="F44" s="73" t="n">
        <v>56405</v>
      </c>
      <c r="G44" s="73" t="n">
        <v>42536</v>
      </c>
      <c r="H44" s="73" t="n">
        <v>46875</v>
      </c>
      <c r="I44" s="73" t="n">
        <v>51617</v>
      </c>
      <c r="J44" s="73" t="n">
        <v>101586</v>
      </c>
      <c r="K44" s="73" t="n">
        <v>141278</v>
      </c>
      <c r="L44" s="73" t="n">
        <v>160586</v>
      </c>
      <c r="M44" s="73" t="n">
        <v>197843</v>
      </c>
      <c r="N44" s="73" t="n">
        <v>260868</v>
      </c>
      <c r="R44" t="inlineStr">
        <is>
          <t>Other financing items</t>
        </is>
      </c>
      <c r="S44" t="n">
        <v>-5</v>
      </c>
      <c r="T44" t="n">
        <v>0</v>
      </c>
      <c r="U44" s="73" t="n">
        <v>577</v>
      </c>
      <c r="V44" s="73" t="n">
        <v>313</v>
      </c>
      <c r="W44" s="73" t="n">
        <v>105</v>
      </c>
      <c r="X44" s="73" t="n">
        <v>357</v>
      </c>
      <c r="Y44" t="n">
        <v>-135</v>
      </c>
      <c r="Z44" t="n">
        <v>626</v>
      </c>
      <c r="AA44" t="n">
        <v>-631</v>
      </c>
      <c r="AB44" t="n">
        <v>2761</v>
      </c>
      <c r="AC44" t="n">
        <v>761</v>
      </c>
      <c r="AD44" t="n">
        <v>3839</v>
      </c>
      <c r="AE44" t="n">
        <v>0</v>
      </c>
    </row>
    <row r="45">
      <c r="R45" t="inlineStr">
        <is>
          <t>Net Cash Flow</t>
        </is>
      </c>
      <c r="S45" t="n">
        <v>512</v>
      </c>
      <c r="T45" t="n">
        <v>-161</v>
      </c>
      <c r="U45" t="n">
        <v>30</v>
      </c>
      <c r="V45" t="n">
        <v>413</v>
      </c>
      <c r="W45" t="n">
        <v>-436</v>
      </c>
      <c r="X45" t="n">
        <v>1151</v>
      </c>
      <c r="Y45" t="n">
        <v>-1459</v>
      </c>
      <c r="Z45" t="n">
        <v>246</v>
      </c>
      <c r="AA45" t="n">
        <v>970</v>
      </c>
      <c r="AB45" t="n">
        <v>424</v>
      </c>
      <c r="AC45" t="n">
        <v>751</v>
      </c>
      <c r="AD45" t="n">
        <v>3161</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Sheet'!K69+'Data Sheet'!K64</f>
        <v/>
      </c>
    </row>
    <row r="57">
      <c r="K57" t="n">
        <v>1</v>
      </c>
      <c r="L57" t="inlineStr">
        <is>
          <t>JSW Steel</t>
        </is>
      </c>
      <c r="M57" t="n">
        <v>1176.8</v>
      </c>
      <c r="N57" t="n">
        <v>244.5454</v>
      </c>
      <c r="AR57" t="n">
        <v>287781</v>
      </c>
      <c r="AS57">
        <f>AZ57-BA57</f>
        <v/>
      </c>
      <c r="AT57">
        <f>AR57+AS57</f>
        <v/>
      </c>
      <c r="AU57" t="n">
        <v>189456</v>
      </c>
      <c r="AV57" t="n">
        <v>28176</v>
      </c>
      <c r="AW57" t="n">
        <v>12020.93</v>
      </c>
      <c r="AX57" t="n">
        <v>15</v>
      </c>
      <c r="AZ57" t="n">
        <v>79000</v>
      </c>
      <c r="BA57" t="n">
        <v>12500</v>
      </c>
    </row>
    <row r="58">
      <c r="K58" t="n">
        <v>2</v>
      </c>
      <c r="L58" t="inlineStr">
        <is>
          <t>Hindustan Zinc</t>
        </is>
      </c>
      <c r="M58" t="n">
        <v>531.3</v>
      </c>
      <c r="N58" t="n">
        <v>422.5317</v>
      </c>
      <c r="AR58" t="n">
        <v>224491.1</v>
      </c>
      <c r="AS58">
        <f>AZ58-BA58</f>
        <v/>
      </c>
      <c r="AT58">
        <f>AR58+AS58</f>
        <v/>
      </c>
      <c r="AU58" t="n">
        <v>54748</v>
      </c>
      <c r="AV58" t="n">
        <v>32550</v>
      </c>
      <c r="AW58" t="n">
        <v>16866.35</v>
      </c>
      <c r="AX58" t="n">
        <v>15</v>
      </c>
      <c r="AZ58" t="n">
        <v>8728</v>
      </c>
      <c r="BA58" t="n">
        <v>14468</v>
      </c>
    </row>
    <row r="59">
      <c r="K59" t="n">
        <v>3</v>
      </c>
      <c r="L59" t="inlineStr">
        <is>
          <t>Tata Steel</t>
        </is>
      </c>
      <c r="M59" t="n">
        <v>171.45</v>
      </c>
      <c r="N59" t="n">
        <v>1248.3529</v>
      </c>
      <c r="AR59" t="n">
        <v>214030.1</v>
      </c>
      <c r="AS59">
        <f>AZ59-BA59</f>
        <v/>
      </c>
      <c r="AT59">
        <f>AR59+AS59</f>
        <v/>
      </c>
      <c r="AU59" t="n">
        <v>243177.2</v>
      </c>
      <c r="AV59" t="n">
        <v>14311.4</v>
      </c>
      <c r="AW59" t="n">
        <v>11844.5</v>
      </c>
      <c r="AX59" t="n">
        <v>15</v>
      </c>
      <c r="AZ59" t="n">
        <v>87000</v>
      </c>
      <c r="BA59" t="n">
        <v>10058</v>
      </c>
    </row>
    <row r="60">
      <c r="K60" t="n">
        <v>4</v>
      </c>
      <c r="L60" t="inlineStr">
        <is>
          <t>Hindalco Inds.</t>
        </is>
      </c>
      <c r="M60" t="n">
        <v>890.65</v>
      </c>
      <c r="N60" t="n">
        <v>224.7227</v>
      </c>
      <c r="AR60" t="n">
        <v>200149.3</v>
      </c>
      <c r="AS60">
        <f>AZ60-BA60</f>
        <v/>
      </c>
      <c r="AT60">
        <f>AR60+AS60</f>
        <v/>
      </c>
      <c r="AU60" t="n">
        <v>339300</v>
      </c>
      <c r="AV60" t="n">
        <v>42078</v>
      </c>
      <c r="AW60" t="n">
        <v>20697.96</v>
      </c>
      <c r="AX60" t="n">
        <v>15</v>
      </c>
      <c r="AZ60" t="n">
        <v>52000</v>
      </c>
      <c r="BA60" t="n">
        <v>18000</v>
      </c>
    </row>
    <row r="61">
      <c r="K61" t="n">
        <v>5</v>
      </c>
      <c r="L61" t="inlineStr">
        <is>
          <t>Vedanta Aluminium Metal</t>
        </is>
      </c>
      <c r="M61" t="n">
        <v>374.2</v>
      </c>
      <c r="N61" t="n">
        <v>391.039</v>
      </c>
      <c r="AR61" t="n">
        <v>146326.8</v>
      </c>
      <c r="AS61">
        <f>AZ61-BA61</f>
        <v/>
      </c>
      <c r="AT61">
        <f>AR61+AS61</f>
        <v/>
      </c>
      <c r="AU61" t="n">
        <v>85572</v>
      </c>
      <c r="AV61" t="n">
        <v>39582</v>
      </c>
      <c r="AW61" t="n">
        <v>15819.11</v>
      </c>
      <c r="AX61" t="n">
        <v>15</v>
      </c>
      <c r="AZ61" t="n">
        <v>0.1</v>
      </c>
      <c r="BA61" t="n">
        <v>0</v>
      </c>
    </row>
    <row r="62">
      <c r="K62" t="n">
        <v>6</v>
      </c>
      <c r="L62" t="inlineStr">
        <is>
          <t>Jindal Steel</t>
        </is>
      </c>
      <c r="M62" t="n">
        <v>1010.8</v>
      </c>
      <c r="N62" t="n">
        <v>102.0088</v>
      </c>
      <c r="AR62" t="n">
        <v>103110.5</v>
      </c>
      <c r="AS62">
        <f>AZ62-BA62</f>
        <v/>
      </c>
      <c r="AT62">
        <f>AR62+AS62</f>
        <v/>
      </c>
      <c r="AU62" t="n">
        <v>61928.5</v>
      </c>
      <c r="AV62" t="n">
        <v>5062.8</v>
      </c>
      <c r="AW62" t="n">
        <v>3088.07</v>
      </c>
      <c r="AX62" t="n">
        <v>15</v>
      </c>
      <c r="AZ62" t="n">
        <v>22610</v>
      </c>
      <c r="BA62" t="n">
        <v>3168</v>
      </c>
    </row>
    <row r="63">
      <c r="K63" t="n">
        <v>7</v>
      </c>
      <c r="L63" t="inlineStr">
        <is>
          <t>Lloyds Metals</t>
        </is>
      </c>
      <c r="M63" t="n">
        <v>1815.05</v>
      </c>
      <c r="N63" t="n">
        <v>56.3049</v>
      </c>
      <c r="AR63" t="n">
        <v>102196.2</v>
      </c>
      <c r="AS63">
        <f>AZ63-BA63</f>
        <v/>
      </c>
      <c r="AT63">
        <f>AR63+AS63</f>
        <v/>
      </c>
      <c r="AU63" t="n">
        <v>29417.6</v>
      </c>
      <c r="AV63" t="n">
        <v>10403.3</v>
      </c>
      <c r="AW63" t="n">
        <v>4766.61</v>
      </c>
      <c r="AX63" t="n">
        <v>15</v>
      </c>
      <c r="AZ63" t="n">
        <v>20716</v>
      </c>
      <c r="BA63" t="n">
        <v>666</v>
      </c>
    </row>
    <row r="64">
      <c r="K64" t="n">
        <v>8</v>
      </c>
      <c r="L64" t="inlineStr">
        <is>
          <t>Vedanta</t>
        </is>
      </c>
      <c r="M64" t="n">
        <v>254.65</v>
      </c>
      <c r="N64" t="n">
        <v>391.0387</v>
      </c>
      <c r="AR64" t="n">
        <v>99578</v>
      </c>
      <c r="AS64">
        <f>AZ64-BA64</f>
        <v/>
      </c>
      <c r="AT64">
        <f>AR64+AS64</f>
        <v/>
      </c>
      <c r="AU64" t="n">
        <v>96820</v>
      </c>
      <c r="AV64" t="n">
        <v>47508</v>
      </c>
      <c r="AW64" t="n">
        <v>10942.64</v>
      </c>
      <c r="AX64" t="n">
        <v>15</v>
      </c>
      <c r="AZ64" t="n">
        <v>32947</v>
      </c>
      <c r="BA64" t="n">
        <v>15418</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2026-10-08T10:16:04Z</dcterms:modified>
  <cp:lastModifiedBy>Loveish</cp:lastModifiedBy>
  <cp:lastPrinted>2012-12-06T18:14:13Z</cp:lastPrinted>
</cp:coreProperties>
</file>