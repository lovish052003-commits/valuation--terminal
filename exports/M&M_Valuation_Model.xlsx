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087835F1-9CE2-47AE-9588-1A2CC81E8B54}"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C17" i="23" l="1"/>
  <c r="C16" i="23"/>
  <c r="C15" i="23"/>
  <c r="C14" i="23"/>
  <c r="C13" i="23"/>
  <c r="C11" i="23"/>
  <c r="C10" i="23"/>
  <c r="B2" i="22"/>
  <c r="B2" i="20"/>
  <c r="T25" i="13"/>
  <c r="T26" i="13" s="1"/>
  <c r="T27" i="13" s="1"/>
  <c r="T28" i="13" s="1"/>
  <c r="Q25" i="13"/>
  <c r="Q26" i="13" s="1"/>
  <c r="Q27" i="13" s="1"/>
  <c r="Q28" i="13" s="1"/>
  <c r="M17" i="19"/>
  <c r="L17" i="19"/>
  <c r="K17" i="19"/>
  <c r="E17" i="19"/>
  <c r="D17" i="19"/>
  <c r="F17" i="19" s="1"/>
  <c r="Q17" i="19" s="1"/>
  <c r="B17" i="19"/>
  <c r="M16" i="19"/>
  <c r="L16" i="19"/>
  <c r="K16" i="19"/>
  <c r="E16" i="19"/>
  <c r="D16" i="19"/>
  <c r="F16" i="19" s="1"/>
  <c r="Q16" i="19" s="1"/>
  <c r="B16" i="19"/>
  <c r="M15" i="19"/>
  <c r="L15" i="19"/>
  <c r="K15" i="19"/>
  <c r="E15" i="19"/>
  <c r="D15" i="19"/>
  <c r="F15" i="19" s="1"/>
  <c r="Q15" i="19" s="1"/>
  <c r="B15" i="19"/>
  <c r="M14" i="19"/>
  <c r="L14" i="19"/>
  <c r="K14" i="19"/>
  <c r="E14" i="19"/>
  <c r="D14" i="19"/>
  <c r="F14" i="19" s="1"/>
  <c r="Q14" i="19" s="1"/>
  <c r="B14" i="19"/>
  <c r="M13" i="19"/>
  <c r="L13" i="19"/>
  <c r="K13" i="19"/>
  <c r="E13" i="19"/>
  <c r="D13" i="19"/>
  <c r="F13" i="19" s="1"/>
  <c r="Q13" i="19" s="1"/>
  <c r="B13" i="19"/>
  <c r="M12" i="19"/>
  <c r="L12" i="19"/>
  <c r="K12" i="19"/>
  <c r="E12" i="19"/>
  <c r="D12" i="19"/>
  <c r="F12" i="19" s="1"/>
  <c r="Q12" i="19" s="1"/>
  <c r="B12" i="19"/>
  <c r="D40" i="17"/>
  <c r="C36" i="23" s="1"/>
  <c r="D38" i="17"/>
  <c r="C34" i="23" s="1"/>
  <c r="D37" i="17"/>
  <c r="C33" i="23" s="1"/>
  <c r="D44" i="17"/>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F10" i="14"/>
  <c r="G10" i="14"/>
  <c r="F11" i="14"/>
  <c r="G11" i="14"/>
  <c r="H11" i="14"/>
  <c r="F12" i="14"/>
  <c r="G12" i="14"/>
  <c r="H12" i="14"/>
  <c r="F13" i="14"/>
  <c r="G13" i="14"/>
  <c r="H13" i="14"/>
  <c r="F14" i="14"/>
  <c r="G14" i="14"/>
  <c r="H14" i="14"/>
  <c r="F15" i="14"/>
  <c r="G15" i="14"/>
  <c r="H15" i="14"/>
  <c r="F16" i="14"/>
  <c r="G16" i="14"/>
  <c r="H16" i="14"/>
  <c r="F17" i="14"/>
  <c r="G17" i="14"/>
  <c r="H17" i="14"/>
  <c r="F18" i="14"/>
  <c r="G18" i="14"/>
  <c r="H18" i="14"/>
  <c r="F19" i="14"/>
  <c r="G19" i="14"/>
  <c r="H19" i="14"/>
  <c r="F20" i="14"/>
  <c r="G20" i="14"/>
  <c r="H20" i="14"/>
  <c r="F21" i="14"/>
  <c r="G21" i="14"/>
  <c r="H21" i="14"/>
  <c r="F22" i="14"/>
  <c r="G22" i="14"/>
  <c r="H22" i="14"/>
  <c r="F23" i="14"/>
  <c r="G23" i="14"/>
  <c r="H23" i="14"/>
  <c r="F24" i="14"/>
  <c r="G24" i="14"/>
  <c r="H24" i="14"/>
  <c r="F25" i="14"/>
  <c r="G25" i="14"/>
  <c r="H25" i="14"/>
  <c r="F26" i="14"/>
  <c r="G26" i="14"/>
  <c r="H26" i="14"/>
  <c r="F27" i="14"/>
  <c r="G27" i="14"/>
  <c r="H27" i="14"/>
  <c r="F28" i="14"/>
  <c r="G28" i="14"/>
  <c r="H28" i="14"/>
  <c r="F29" i="14"/>
  <c r="G29" i="14"/>
  <c r="H29" i="14"/>
  <c r="F30" i="14"/>
  <c r="G30" i="14"/>
  <c r="H30" i="14"/>
  <c r="F31" i="14"/>
  <c r="G31" i="14"/>
  <c r="H31" i="14"/>
  <c r="F32" i="14"/>
  <c r="G32" i="14"/>
  <c r="H32" i="14"/>
  <c r="F33" i="14"/>
  <c r="G33" i="14"/>
  <c r="H33" i="14"/>
  <c r="F34" i="14"/>
  <c r="G34" i="14"/>
  <c r="H34" i="14"/>
  <c r="F35" i="14"/>
  <c r="G35" i="14"/>
  <c r="H35" i="14"/>
  <c r="F36" i="14"/>
  <c r="G36" i="14"/>
  <c r="H36" i="14"/>
  <c r="F37" i="14"/>
  <c r="G37" i="14"/>
  <c r="H37" i="14"/>
  <c r="F38" i="14"/>
  <c r="G38" i="14"/>
  <c r="H38" i="14"/>
  <c r="F39" i="14"/>
  <c r="G39" i="14"/>
  <c r="H39" i="14"/>
  <c r="F40" i="14"/>
  <c r="G40" i="14"/>
  <c r="H40" i="14"/>
  <c r="F41" i="14"/>
  <c r="G41" i="14"/>
  <c r="H41" i="14"/>
  <c r="F42" i="14"/>
  <c r="G42" i="14"/>
  <c r="H42" i="14"/>
  <c r="F43" i="14"/>
  <c r="G43" i="14"/>
  <c r="H43" i="14"/>
  <c r="F44" i="14"/>
  <c r="G44" i="14"/>
  <c r="H44" i="14"/>
  <c r="F45" i="14"/>
  <c r="G45" i="14"/>
  <c r="H45" i="14"/>
  <c r="F46" i="14"/>
  <c r="G46" i="14"/>
  <c r="H46" i="14"/>
  <c r="F47" i="14"/>
  <c r="G47" i="14"/>
  <c r="H47" i="14"/>
  <c r="F48" i="14"/>
  <c r="G48" i="14"/>
  <c r="H48" i="14"/>
  <c r="F49" i="14"/>
  <c r="G49" i="14"/>
  <c r="H49" i="14"/>
  <c r="F50" i="14"/>
  <c r="G50" i="14"/>
  <c r="H50" i="14"/>
  <c r="F51" i="14"/>
  <c r="G51" i="14"/>
  <c r="H51" i="14"/>
  <c r="F52" i="14"/>
  <c r="G52" i="14"/>
  <c r="H52" i="14"/>
  <c r="F53" i="14"/>
  <c r="G53" i="14"/>
  <c r="H53" i="14"/>
  <c r="F54" i="14"/>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F111" i="14"/>
  <c r="G111" i="14"/>
  <c r="H111" i="14"/>
  <c r="F112" i="14"/>
  <c r="G112" i="14"/>
  <c r="H112" i="14"/>
  <c r="F113" i="14"/>
  <c r="G113" i="14"/>
  <c r="H113" i="14"/>
  <c r="F114" i="14"/>
  <c r="G114" i="14"/>
  <c r="H114" i="14"/>
  <c r="F115" i="14"/>
  <c r="G115" i="14"/>
  <c r="H115" i="14"/>
  <c r="F116" i="14"/>
  <c r="G116" i="14"/>
  <c r="H116" i="14"/>
  <c r="F117" i="14"/>
  <c r="G117" i="14"/>
  <c r="H117" i="14"/>
  <c r="F118" i="14"/>
  <c r="G118" i="14"/>
  <c r="H118" i="14"/>
  <c r="F119" i="14"/>
  <c r="G119" i="14"/>
  <c r="H119" i="14"/>
  <c r="F120" i="14"/>
  <c r="G120" i="14"/>
  <c r="H120" i="14"/>
  <c r="F121" i="14"/>
  <c r="G121" i="14"/>
  <c r="H121" i="14"/>
  <c r="F122" i="14"/>
  <c r="G122" i="14"/>
  <c r="H122" i="14"/>
  <c r="F123" i="14"/>
  <c r="G123" i="14"/>
  <c r="H123" i="14"/>
  <c r="F124" i="14"/>
  <c r="G124" i="14"/>
  <c r="H124" i="14"/>
  <c r="F125" i="14"/>
  <c r="G125" i="14"/>
  <c r="H125" i="14"/>
  <c r="F126" i="14"/>
  <c r="G126" i="14"/>
  <c r="H126" i="14"/>
  <c r="F127" i="14"/>
  <c r="G127" i="14"/>
  <c r="H127" i="14"/>
  <c r="F128" i="14"/>
  <c r="G128" i="14"/>
  <c r="H128" i="14"/>
  <c r="F129" i="14"/>
  <c r="G129" i="14"/>
  <c r="H129" i="14"/>
  <c r="F130" i="14"/>
  <c r="G130" i="14"/>
  <c r="H130" i="14"/>
  <c r="F131" i="14"/>
  <c r="G131" i="14"/>
  <c r="H131" i="14"/>
  <c r="F132" i="14"/>
  <c r="G132" i="14"/>
  <c r="H132" i="14"/>
  <c r="F133" i="14"/>
  <c r="G133" i="14"/>
  <c r="H133" i="14"/>
  <c r="F134" i="14"/>
  <c r="G134" i="14"/>
  <c r="H134" i="14"/>
  <c r="F135" i="14"/>
  <c r="G135" i="14"/>
  <c r="H135" i="14"/>
  <c r="F136" i="14"/>
  <c r="G136" i="14"/>
  <c r="H136" i="14"/>
  <c r="F137" i="14"/>
  <c r="G137" i="14"/>
  <c r="H137" i="14"/>
  <c r="F138" i="14"/>
  <c r="G138" i="14"/>
  <c r="H138" i="14"/>
  <c r="F139" i="14"/>
  <c r="G139" i="14"/>
  <c r="H139" i="14"/>
  <c r="F140" i="14"/>
  <c r="G140" i="14"/>
  <c r="H140" i="14"/>
  <c r="F141" i="14"/>
  <c r="G141" i="14"/>
  <c r="H141" i="14"/>
  <c r="F142" i="14"/>
  <c r="G142" i="14"/>
  <c r="H142" i="14"/>
  <c r="F143" i="14"/>
  <c r="G143" i="14"/>
  <c r="H143" i="14"/>
  <c r="F144" i="14"/>
  <c r="G144" i="14"/>
  <c r="H144" i="14"/>
  <c r="F145" i="14"/>
  <c r="G145" i="14"/>
  <c r="H145" i="14"/>
  <c r="F146" i="14"/>
  <c r="G146" i="14"/>
  <c r="H146" i="14"/>
  <c r="F147" i="14"/>
  <c r="G147" i="14"/>
  <c r="H147" i="14"/>
  <c r="F148" i="14"/>
  <c r="G148" i="14"/>
  <c r="H148" i="14"/>
  <c r="F149" i="14"/>
  <c r="G149" i="14"/>
  <c r="H149" i="14"/>
  <c r="F150" i="14"/>
  <c r="G150" i="14"/>
  <c r="H150" i="14"/>
  <c r="F151" i="14"/>
  <c r="G151" i="14"/>
  <c r="H151" i="14"/>
  <c r="F152" i="14"/>
  <c r="G152" i="14"/>
  <c r="H152" i="14"/>
  <c r="F153" i="14"/>
  <c r="G153" i="14"/>
  <c r="H153" i="14"/>
  <c r="F154" i="14"/>
  <c r="G154" i="14"/>
  <c r="H154" i="14"/>
  <c r="F155" i="14"/>
  <c r="G155" i="14"/>
  <c r="H155" i="14"/>
  <c r="F156" i="14"/>
  <c r="G156" i="14"/>
  <c r="H156" i="14"/>
  <c r="F157" i="14"/>
  <c r="G157" i="14"/>
  <c r="H157" i="14"/>
  <c r="F158" i="14"/>
  <c r="G158" i="14"/>
  <c r="H158" i="14"/>
  <c r="F159" i="14"/>
  <c r="G159" i="14"/>
  <c r="H159" i="14"/>
  <c r="F160" i="14"/>
  <c r="G160" i="14"/>
  <c r="H160" i="14"/>
  <c r="F161" i="14"/>
  <c r="G161" i="14"/>
  <c r="H161" i="14"/>
  <c r="F162" i="14"/>
  <c r="G162" i="14"/>
  <c r="H162" i="14"/>
  <c r="F163" i="14"/>
  <c r="G163" i="14"/>
  <c r="H163" i="14"/>
  <c r="F164" i="14"/>
  <c r="G164" i="14"/>
  <c r="H164" i="14"/>
  <c r="F165" i="14"/>
  <c r="G165" i="14"/>
  <c r="H165" i="14"/>
  <c r="F166" i="14"/>
  <c r="G166" i="14"/>
  <c r="H166" i="14"/>
  <c r="F167" i="14"/>
  <c r="G167" i="14"/>
  <c r="H167" i="14"/>
  <c r="F168" i="14"/>
  <c r="G168" i="14"/>
  <c r="H168" i="14"/>
  <c r="F169" i="14"/>
  <c r="G169" i="14"/>
  <c r="H169" i="14"/>
  <c r="F170" i="14"/>
  <c r="G170" i="14"/>
  <c r="H170" i="14"/>
  <c r="F171" i="14"/>
  <c r="G171" i="14"/>
  <c r="H171" i="14"/>
  <c r="F172" i="14"/>
  <c r="G172" i="14"/>
  <c r="H172" i="14"/>
  <c r="F173" i="14"/>
  <c r="G173" i="14"/>
  <c r="H173" i="14"/>
  <c r="F174" i="14"/>
  <c r="G174" i="14"/>
  <c r="H174" i="14"/>
  <c r="F175" i="14"/>
  <c r="G175" i="14"/>
  <c r="H175" i="14"/>
  <c r="F176" i="14"/>
  <c r="G176" i="14"/>
  <c r="H176" i="14"/>
  <c r="F177" i="14"/>
  <c r="G177" i="14"/>
  <c r="H177" i="14"/>
  <c r="F178" i="14"/>
  <c r="G178" i="14"/>
  <c r="H178" i="14"/>
  <c r="F179" i="14"/>
  <c r="G179" i="14"/>
  <c r="H179" i="14"/>
  <c r="F180" i="14"/>
  <c r="G180" i="14"/>
  <c r="H180" i="14"/>
  <c r="F181" i="14"/>
  <c r="G181" i="14"/>
  <c r="H181" i="14"/>
  <c r="F182" i="14"/>
  <c r="G182" i="14"/>
  <c r="H182" i="14"/>
  <c r="F183" i="14"/>
  <c r="G183" i="14"/>
  <c r="H183" i="14"/>
  <c r="F184" i="14"/>
  <c r="G184" i="14"/>
  <c r="H184" i="14"/>
  <c r="F185" i="14"/>
  <c r="G185" i="14"/>
  <c r="H185" i="14"/>
  <c r="F186" i="14"/>
  <c r="G186" i="14"/>
  <c r="H186" i="14"/>
  <c r="F187" i="14"/>
  <c r="G187" i="14"/>
  <c r="H187" i="14"/>
  <c r="F188" i="14"/>
  <c r="G188" i="14"/>
  <c r="H188" i="14"/>
  <c r="F189" i="14"/>
  <c r="G189" i="14"/>
  <c r="H189" i="14"/>
  <c r="F190" i="14"/>
  <c r="G190" i="14"/>
  <c r="H190" i="14"/>
  <c r="F191" i="14"/>
  <c r="G191" i="14"/>
  <c r="H191" i="14"/>
  <c r="F192" i="14"/>
  <c r="G192" i="14"/>
  <c r="H192" i="14"/>
  <c r="F193" i="14"/>
  <c r="G193" i="14"/>
  <c r="H193" i="14"/>
  <c r="F194" i="14"/>
  <c r="G194" i="14"/>
  <c r="H194" i="14"/>
  <c r="F195" i="14"/>
  <c r="G195" i="14"/>
  <c r="H195" i="14"/>
  <c r="F196" i="14"/>
  <c r="G196" i="14"/>
  <c r="H196" i="14"/>
  <c r="F197" i="14"/>
  <c r="G197" i="14"/>
  <c r="H197" i="14"/>
  <c r="F198" i="14"/>
  <c r="G198" i="14"/>
  <c r="H198" i="14"/>
  <c r="F199" i="14"/>
  <c r="G199" i="14"/>
  <c r="H199" i="14"/>
  <c r="F200" i="14"/>
  <c r="G200" i="14"/>
  <c r="H200" i="14"/>
  <c r="F201" i="14"/>
  <c r="G201" i="14"/>
  <c r="H201" i="14"/>
  <c r="F202" i="14"/>
  <c r="G202" i="14"/>
  <c r="H202" i="14"/>
  <c r="F203" i="14"/>
  <c r="G203" i="14"/>
  <c r="H203" i="14"/>
  <c r="F204" i="14"/>
  <c r="G204" i="14"/>
  <c r="H204" i="14"/>
  <c r="F205" i="14"/>
  <c r="G205" i="14"/>
  <c r="H205" i="14"/>
  <c r="F206" i="14"/>
  <c r="G206" i="14"/>
  <c r="H206" i="14"/>
  <c r="F207" i="14"/>
  <c r="G207" i="14"/>
  <c r="H207" i="14"/>
  <c r="F208" i="14"/>
  <c r="G208" i="14"/>
  <c r="H208" i="14"/>
  <c r="F209" i="14"/>
  <c r="G209" i="14"/>
  <c r="H209" i="14"/>
  <c r="F210" i="14"/>
  <c r="G210" i="14"/>
  <c r="H210" i="14"/>
  <c r="F211" i="14"/>
  <c r="G211" i="14"/>
  <c r="H211" i="14"/>
  <c r="F212" i="14"/>
  <c r="G212" i="14"/>
  <c r="H212" i="14"/>
  <c r="F213" i="14"/>
  <c r="G213" i="14"/>
  <c r="H213" i="14"/>
  <c r="F214" i="14"/>
  <c r="G214" i="14"/>
  <c r="H214" i="14"/>
  <c r="F215" i="14"/>
  <c r="G215" i="14"/>
  <c r="H215" i="14"/>
  <c r="F216" i="14"/>
  <c r="G216" i="14"/>
  <c r="H216" i="14"/>
  <c r="F217" i="14"/>
  <c r="G217" i="14"/>
  <c r="H217" i="14"/>
  <c r="F218" i="14"/>
  <c r="G218" i="14"/>
  <c r="H218" i="14"/>
  <c r="F219" i="14"/>
  <c r="G219" i="14"/>
  <c r="H219" i="14"/>
  <c r="F220" i="14"/>
  <c r="G220" i="14"/>
  <c r="H220" i="14"/>
  <c r="F221" i="14"/>
  <c r="G221" i="14"/>
  <c r="H221" i="14"/>
  <c r="F222" i="14"/>
  <c r="G222" i="14"/>
  <c r="H222" i="14"/>
  <c r="F223" i="14"/>
  <c r="G223" i="14"/>
  <c r="H223" i="14"/>
  <c r="F224" i="14"/>
  <c r="G224" i="14"/>
  <c r="H224" i="14"/>
  <c r="F225" i="14"/>
  <c r="G225" i="14"/>
  <c r="H225" i="14"/>
  <c r="F226" i="14"/>
  <c r="G226" i="14"/>
  <c r="H226" i="14"/>
  <c r="F227" i="14"/>
  <c r="G227" i="14"/>
  <c r="H227" i="14"/>
  <c r="F228" i="14"/>
  <c r="G228" i="14"/>
  <c r="H228" i="14"/>
  <c r="F229" i="14"/>
  <c r="G229" i="14"/>
  <c r="H229" i="14"/>
  <c r="F230" i="14"/>
  <c r="G230" i="14"/>
  <c r="H230" i="14"/>
  <c r="F231" i="14"/>
  <c r="G231" i="14"/>
  <c r="H231" i="14"/>
  <c r="F232" i="14"/>
  <c r="G232" i="14"/>
  <c r="H232" i="14"/>
  <c r="F233" i="14"/>
  <c r="G233" i="14"/>
  <c r="H233" i="14"/>
  <c r="F234" i="14"/>
  <c r="G234" i="14"/>
  <c r="H234" i="14"/>
  <c r="F235" i="14"/>
  <c r="G235" i="14"/>
  <c r="H235" i="14"/>
  <c r="F236" i="14"/>
  <c r="G236" i="14"/>
  <c r="H236" i="14"/>
  <c r="F237" i="14"/>
  <c r="G237" i="14"/>
  <c r="H237" i="14"/>
  <c r="F238" i="14"/>
  <c r="G238" i="14"/>
  <c r="H238" i="14"/>
  <c r="F239" i="14"/>
  <c r="G239" i="14"/>
  <c r="H239" i="14"/>
  <c r="F240" i="14"/>
  <c r="G240" i="14"/>
  <c r="H240" i="14"/>
  <c r="F241" i="14"/>
  <c r="G241" i="14"/>
  <c r="H241" i="14"/>
  <c r="F242" i="14"/>
  <c r="G242" i="14"/>
  <c r="H242" i="14"/>
  <c r="F243" i="14"/>
  <c r="G243" i="14"/>
  <c r="H243" i="14"/>
  <c r="F244" i="14"/>
  <c r="G244" i="14"/>
  <c r="H244" i="14"/>
  <c r="F245" i="14"/>
  <c r="G245" i="14"/>
  <c r="H245" i="14"/>
  <c r="F246" i="14"/>
  <c r="G246" i="14"/>
  <c r="H246" i="14"/>
  <c r="F247" i="14"/>
  <c r="G247" i="14"/>
  <c r="H247" i="14"/>
  <c r="F248" i="14"/>
  <c r="G248" i="14"/>
  <c r="H248" i="14"/>
  <c r="F249" i="14"/>
  <c r="G249" i="14"/>
  <c r="H249" i="14"/>
  <c r="F250" i="14"/>
  <c r="G250" i="14"/>
  <c r="H250" i="14"/>
  <c r="F251" i="14"/>
  <c r="G251" i="14"/>
  <c r="H251" i="14"/>
  <c r="F252" i="14"/>
  <c r="G252" i="14"/>
  <c r="H252" i="14"/>
  <c r="B10" i="14"/>
  <c r="C10" i="14"/>
  <c r="B11" i="14"/>
  <c r="C11" i="14"/>
  <c r="D11" i="14"/>
  <c r="B12" i="14"/>
  <c r="C12" i="14"/>
  <c r="D12" i="14"/>
  <c r="B13" i="14"/>
  <c r="C13" i="14"/>
  <c r="D13" i="14"/>
  <c r="B14" i="14"/>
  <c r="C14" i="14"/>
  <c r="D14" i="14"/>
  <c r="B15" i="14"/>
  <c r="C15" i="14"/>
  <c r="D15" i="14"/>
  <c r="B16" i="14"/>
  <c r="C16" i="14"/>
  <c r="D16" i="14"/>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7" i="14"/>
  <c r="C27" i="14"/>
  <c r="D27" i="14"/>
  <c r="B28" i="14"/>
  <c r="C28" i="14"/>
  <c r="D28" i="14"/>
  <c r="B29" i="14"/>
  <c r="C29" i="14"/>
  <c r="D29" i="14"/>
  <c r="B30" i="14"/>
  <c r="C30" i="14"/>
  <c r="D30" i="14"/>
  <c r="B31" i="14"/>
  <c r="C31" i="14"/>
  <c r="D31" i="14"/>
  <c r="B32" i="14"/>
  <c r="C32" i="14"/>
  <c r="D32" i="14"/>
  <c r="B33" i="14"/>
  <c r="C33" i="14"/>
  <c r="D33" i="14"/>
  <c r="B34" i="14"/>
  <c r="C34" i="14"/>
  <c r="D34" i="14"/>
  <c r="B35" i="14"/>
  <c r="C35" i="14"/>
  <c r="D35" i="14"/>
  <c r="B36" i="14"/>
  <c r="C36" i="14"/>
  <c r="D36" i="14"/>
  <c r="B37" i="14"/>
  <c r="C37" i="14"/>
  <c r="D37" i="14"/>
  <c r="B38" i="14"/>
  <c r="C38" i="14"/>
  <c r="D38" i="14"/>
  <c r="B39" i="14"/>
  <c r="C39" i="14"/>
  <c r="D39" i="14"/>
  <c r="B40" i="14"/>
  <c r="C40" i="14"/>
  <c r="D40" i="14"/>
  <c r="B41" i="14"/>
  <c r="C41" i="14"/>
  <c r="D41" i="14"/>
  <c r="B42" i="14"/>
  <c r="C42" i="14"/>
  <c r="D42" i="14"/>
  <c r="B43" i="14"/>
  <c r="C43" i="14"/>
  <c r="D43" i="14"/>
  <c r="B44" i="14"/>
  <c r="C44" i="14"/>
  <c r="D44" i="14"/>
  <c r="B45" i="14"/>
  <c r="C45" i="14"/>
  <c r="D45" i="14"/>
  <c r="B46" i="14"/>
  <c r="C46" i="14"/>
  <c r="D46" i="14"/>
  <c r="B47" i="14"/>
  <c r="C47" i="14"/>
  <c r="D47" i="14"/>
  <c r="B48" i="14"/>
  <c r="C48" i="14"/>
  <c r="D48" i="14"/>
  <c r="B49" i="14"/>
  <c r="C49" i="14"/>
  <c r="D49" i="14"/>
  <c r="B50" i="14"/>
  <c r="C50" i="14"/>
  <c r="D50" i="14"/>
  <c r="B51" i="14"/>
  <c r="C51" i="14"/>
  <c r="D51" i="14"/>
  <c r="B52" i="14"/>
  <c r="C52" i="14"/>
  <c r="D52" i="14"/>
  <c r="B53" i="14"/>
  <c r="C53" i="14"/>
  <c r="D53" i="14"/>
  <c r="B54" i="14"/>
  <c r="C54" i="14"/>
  <c r="D54" i="14"/>
  <c r="B55" i="14"/>
  <c r="C55" i="14"/>
  <c r="D55" i="14"/>
  <c r="B56" i="14"/>
  <c r="C56" i="14"/>
  <c r="D56" i="14"/>
  <c r="B57" i="14"/>
  <c r="C57" i="14"/>
  <c r="D57" i="14"/>
  <c r="B58" i="14"/>
  <c r="C58" i="14"/>
  <c r="D58" i="14"/>
  <c r="B59" i="14"/>
  <c r="C59" i="14"/>
  <c r="D59" i="14"/>
  <c r="B60" i="14"/>
  <c r="C60" i="14"/>
  <c r="D60" i="14"/>
  <c r="B61" i="14"/>
  <c r="C61" i="14"/>
  <c r="D61" i="14"/>
  <c r="B62" i="14"/>
  <c r="C62" i="14"/>
  <c r="D62" i="14"/>
  <c r="B63" i="14"/>
  <c r="C63" i="14"/>
  <c r="D63" i="14"/>
  <c r="B64" i="14"/>
  <c r="C64" i="14"/>
  <c r="D64" i="14"/>
  <c r="B65" i="14"/>
  <c r="C65" i="14"/>
  <c r="D65" i="14"/>
  <c r="B66" i="14"/>
  <c r="C66" i="14"/>
  <c r="D66" i="14"/>
  <c r="B67" i="14"/>
  <c r="C67" i="14"/>
  <c r="D67" i="14"/>
  <c r="B68" i="14"/>
  <c r="C68" i="14"/>
  <c r="D68" i="14"/>
  <c r="B69" i="14"/>
  <c r="C69" i="14"/>
  <c r="D69" i="14"/>
  <c r="B70" i="14"/>
  <c r="C70" i="14"/>
  <c r="D70" i="14"/>
  <c r="B71" i="14"/>
  <c r="C71" i="14"/>
  <c r="D71" i="14"/>
  <c r="B72" i="14"/>
  <c r="C72" i="14"/>
  <c r="D72" i="14"/>
  <c r="B73" i="14"/>
  <c r="C73" i="14"/>
  <c r="D73" i="14"/>
  <c r="B74" i="14"/>
  <c r="C74" i="14"/>
  <c r="D74" i="14"/>
  <c r="B75" i="14"/>
  <c r="C75" i="14"/>
  <c r="D75" i="14"/>
  <c r="B76" i="14"/>
  <c r="C76" i="14"/>
  <c r="D76" i="14"/>
  <c r="B77" i="14"/>
  <c r="C77" i="14"/>
  <c r="D77" i="14"/>
  <c r="B78" i="14"/>
  <c r="C78" i="14"/>
  <c r="D78" i="14"/>
  <c r="B79" i="14"/>
  <c r="C79" i="14"/>
  <c r="D79" i="14"/>
  <c r="B80" i="14"/>
  <c r="C80" i="14"/>
  <c r="D80" i="14"/>
  <c r="B81" i="14"/>
  <c r="C81" i="14"/>
  <c r="D81" i="14"/>
  <c r="B82" i="14"/>
  <c r="C82" i="14"/>
  <c r="D82" i="14"/>
  <c r="B83" i="14"/>
  <c r="C83" i="14"/>
  <c r="D83" i="14"/>
  <c r="B84" i="14"/>
  <c r="C84" i="14"/>
  <c r="D84" i="14"/>
  <c r="B85" i="14"/>
  <c r="C85" i="14"/>
  <c r="D85" i="14"/>
  <c r="B86" i="14"/>
  <c r="C86" i="14"/>
  <c r="D86" i="14"/>
  <c r="B87" i="14"/>
  <c r="C87" i="14"/>
  <c r="D87" i="14"/>
  <c r="B88" i="14"/>
  <c r="C88" i="14"/>
  <c r="D88" i="14"/>
  <c r="B89" i="14"/>
  <c r="C89" i="14"/>
  <c r="D89" i="14"/>
  <c r="B90" i="14"/>
  <c r="C90" i="14"/>
  <c r="D90" i="14"/>
  <c r="B91" i="14"/>
  <c r="C91" i="14"/>
  <c r="D91" i="14"/>
  <c r="B92" i="14"/>
  <c r="C92" i="14"/>
  <c r="D92" i="14"/>
  <c r="B93" i="14"/>
  <c r="C93" i="14"/>
  <c r="D93" i="14"/>
  <c r="B94" i="14"/>
  <c r="C94" i="14"/>
  <c r="D94" i="14"/>
  <c r="B95" i="14"/>
  <c r="C95" i="14"/>
  <c r="D95" i="14"/>
  <c r="B96" i="14"/>
  <c r="C96" i="14"/>
  <c r="D96" i="14"/>
  <c r="B97" i="14"/>
  <c r="C97" i="14"/>
  <c r="D97" i="14"/>
  <c r="B98" i="14"/>
  <c r="C98" i="14"/>
  <c r="D98" i="14"/>
  <c r="B99" i="14"/>
  <c r="C99" i="14"/>
  <c r="D99" i="14"/>
  <c r="B100" i="14"/>
  <c r="C100" i="14"/>
  <c r="D100" i="14"/>
  <c r="B101" i="14"/>
  <c r="C101" i="14"/>
  <c r="D101" i="14"/>
  <c r="B102" i="14"/>
  <c r="C102" i="14"/>
  <c r="D102" i="14"/>
  <c r="B103" i="14"/>
  <c r="C103" i="14"/>
  <c r="D103" i="14"/>
  <c r="B104" i="14"/>
  <c r="C104" i="14"/>
  <c r="D104" i="14"/>
  <c r="B105" i="14"/>
  <c r="C105" i="14"/>
  <c r="D105" i="14"/>
  <c r="B106" i="14"/>
  <c r="C106" i="14"/>
  <c r="D106" i="14"/>
  <c r="B107" i="14"/>
  <c r="C107" i="14"/>
  <c r="D107" i="14"/>
  <c r="B108" i="14"/>
  <c r="C108" i="14"/>
  <c r="D108" i="14"/>
  <c r="B109" i="14"/>
  <c r="C109" i="14"/>
  <c r="D109" i="14"/>
  <c r="B110" i="14"/>
  <c r="C110" i="14"/>
  <c r="D110" i="14"/>
  <c r="B111" i="14"/>
  <c r="C111" i="14"/>
  <c r="D111" i="14"/>
  <c r="B112" i="14"/>
  <c r="C112" i="14"/>
  <c r="D112" i="14"/>
  <c r="B113" i="14"/>
  <c r="C113" i="14"/>
  <c r="D113" i="14"/>
  <c r="B114" i="14"/>
  <c r="C114" i="14"/>
  <c r="D114" i="14"/>
  <c r="B115" i="14"/>
  <c r="C115" i="14"/>
  <c r="D115" i="14"/>
  <c r="B116" i="14"/>
  <c r="C116" i="14"/>
  <c r="D116" i="14"/>
  <c r="B117" i="14"/>
  <c r="C117" i="14"/>
  <c r="D117" i="14"/>
  <c r="B118" i="14"/>
  <c r="C118" i="14"/>
  <c r="D118" i="14"/>
  <c r="B119" i="14"/>
  <c r="C119" i="14"/>
  <c r="D119" i="14"/>
  <c r="B120" i="14"/>
  <c r="C120" i="14"/>
  <c r="D120" i="14"/>
  <c r="B121" i="14"/>
  <c r="C121" i="14"/>
  <c r="D121" i="14"/>
  <c r="B122" i="14"/>
  <c r="C122" i="14"/>
  <c r="D122" i="14"/>
  <c r="B123" i="14"/>
  <c r="C123" i="14"/>
  <c r="D123" i="14"/>
  <c r="B124" i="14"/>
  <c r="C124" i="14"/>
  <c r="D124" i="14"/>
  <c r="B125" i="14"/>
  <c r="C125" i="14"/>
  <c r="D125" i="14"/>
  <c r="B126" i="14"/>
  <c r="C126" i="14"/>
  <c r="D126" i="14"/>
  <c r="B127" i="14"/>
  <c r="C127" i="14"/>
  <c r="D127" i="14"/>
  <c r="B128" i="14"/>
  <c r="C128" i="14"/>
  <c r="D128" i="14"/>
  <c r="B129" i="14"/>
  <c r="C129" i="14"/>
  <c r="D129" i="14"/>
  <c r="B130" i="14"/>
  <c r="C130" i="14"/>
  <c r="D130" i="14"/>
  <c r="B131" i="14"/>
  <c r="C131" i="14"/>
  <c r="D131" i="14"/>
  <c r="B132" i="14"/>
  <c r="C132" i="14"/>
  <c r="D132" i="14"/>
  <c r="B133" i="14"/>
  <c r="C133" i="14"/>
  <c r="D133" i="14"/>
  <c r="B134" i="14"/>
  <c r="C134" i="14"/>
  <c r="D134" i="14"/>
  <c r="B135" i="14"/>
  <c r="C135" i="14"/>
  <c r="D135" i="14"/>
  <c r="B136" i="14"/>
  <c r="C136" i="14"/>
  <c r="D136" i="14"/>
  <c r="B137" i="14"/>
  <c r="C137" i="14"/>
  <c r="D137" i="14"/>
  <c r="B138" i="14"/>
  <c r="C138" i="14"/>
  <c r="D138" i="14"/>
  <c r="B139" i="14"/>
  <c r="C139" i="14"/>
  <c r="D139" i="14"/>
  <c r="B140" i="14"/>
  <c r="C140" i="14"/>
  <c r="D140" i="14"/>
  <c r="B141" i="14"/>
  <c r="C141" i="14"/>
  <c r="D141" i="14"/>
  <c r="B142" i="14"/>
  <c r="C142" i="14"/>
  <c r="D142" i="14"/>
  <c r="B143" i="14"/>
  <c r="C143" i="14"/>
  <c r="D143" i="14"/>
  <c r="B144" i="14"/>
  <c r="C144" i="14"/>
  <c r="D144" i="14"/>
  <c r="B145" i="14"/>
  <c r="C145" i="14"/>
  <c r="D145" i="14"/>
  <c r="B146" i="14"/>
  <c r="C146" i="14"/>
  <c r="D146" i="14"/>
  <c r="B147" i="14"/>
  <c r="C147" i="14"/>
  <c r="D147" i="14"/>
  <c r="B148" i="14"/>
  <c r="C148" i="14"/>
  <c r="D148" i="14"/>
  <c r="B149" i="14"/>
  <c r="C149" i="14"/>
  <c r="D149" i="14"/>
  <c r="B150" i="14"/>
  <c r="C150" i="14"/>
  <c r="D150" i="14"/>
  <c r="B151" i="14"/>
  <c r="C151" i="14"/>
  <c r="D151" i="14"/>
  <c r="B152" i="14"/>
  <c r="C152" i="14"/>
  <c r="D152" i="14"/>
  <c r="B153" i="14"/>
  <c r="C153" i="14"/>
  <c r="D153" i="14"/>
  <c r="B154" i="14"/>
  <c r="C154" i="14"/>
  <c r="D154" i="14"/>
  <c r="B155" i="14"/>
  <c r="C155" i="14"/>
  <c r="D155" i="14"/>
  <c r="B156" i="14"/>
  <c r="C156" i="14"/>
  <c r="D156" i="14"/>
  <c r="B157" i="14"/>
  <c r="C157" i="14"/>
  <c r="D157" i="14"/>
  <c r="B158" i="14"/>
  <c r="C158" i="14"/>
  <c r="D158" i="14"/>
  <c r="B159" i="14"/>
  <c r="C159" i="14"/>
  <c r="D159" i="14"/>
  <c r="B160" i="14"/>
  <c r="C160" i="14"/>
  <c r="D160" i="14"/>
  <c r="B161" i="14"/>
  <c r="C161" i="14"/>
  <c r="D161" i="14"/>
  <c r="B162" i="14"/>
  <c r="C162" i="14"/>
  <c r="D162" i="14"/>
  <c r="B163" i="14"/>
  <c r="C163" i="14"/>
  <c r="D163" i="14"/>
  <c r="B164" i="14"/>
  <c r="C164" i="14"/>
  <c r="D164" i="14"/>
  <c r="B165" i="14"/>
  <c r="C165" i="14"/>
  <c r="D165" i="14"/>
  <c r="B166" i="14"/>
  <c r="C166" i="14"/>
  <c r="D166" i="14"/>
  <c r="B167" i="14"/>
  <c r="C167" i="14"/>
  <c r="D167" i="14"/>
  <c r="B168" i="14"/>
  <c r="C168" i="14"/>
  <c r="D168" i="14"/>
  <c r="B169" i="14"/>
  <c r="C169" i="14"/>
  <c r="D169" i="14"/>
  <c r="B170" i="14"/>
  <c r="C170" i="14"/>
  <c r="D170" i="14"/>
  <c r="B171" i="14"/>
  <c r="C171" i="14"/>
  <c r="D171" i="14"/>
  <c r="B172" i="14"/>
  <c r="C172" i="14"/>
  <c r="D172" i="14"/>
  <c r="B173" i="14"/>
  <c r="C173" i="14"/>
  <c r="D173" i="14"/>
  <c r="B174" i="14"/>
  <c r="C174" i="14"/>
  <c r="D174" i="14"/>
  <c r="B175" i="14"/>
  <c r="C175" i="14"/>
  <c r="D175" i="14"/>
  <c r="B176" i="14"/>
  <c r="C176" i="14"/>
  <c r="D176" i="14"/>
  <c r="B177" i="14"/>
  <c r="C177" i="14"/>
  <c r="D177" i="14"/>
  <c r="B178" i="14"/>
  <c r="C178" i="14"/>
  <c r="D178" i="14"/>
  <c r="B179" i="14"/>
  <c r="C179" i="14"/>
  <c r="D179" i="14"/>
  <c r="B180" i="14"/>
  <c r="C180" i="14"/>
  <c r="D180" i="14"/>
  <c r="B181" i="14"/>
  <c r="C181" i="14"/>
  <c r="D181" i="14"/>
  <c r="B182" i="14"/>
  <c r="C182" i="14"/>
  <c r="D182" i="14"/>
  <c r="B183" i="14"/>
  <c r="C183" i="14"/>
  <c r="D183" i="14"/>
  <c r="B184" i="14"/>
  <c r="C184" i="14"/>
  <c r="D184" i="14"/>
  <c r="B185" i="14"/>
  <c r="C185" i="14"/>
  <c r="D185" i="14"/>
  <c r="B186" i="14"/>
  <c r="C186" i="14"/>
  <c r="D186" i="14"/>
  <c r="B187" i="14"/>
  <c r="C187" i="14"/>
  <c r="D187" i="14"/>
  <c r="B188" i="14"/>
  <c r="C188" i="14"/>
  <c r="D188" i="14"/>
  <c r="B189" i="14"/>
  <c r="C189" i="14"/>
  <c r="D189" i="14"/>
  <c r="B190" i="14"/>
  <c r="C190" i="14"/>
  <c r="D190" i="14"/>
  <c r="B191" i="14"/>
  <c r="C191" i="14"/>
  <c r="D191" i="14"/>
  <c r="B192" i="14"/>
  <c r="C192" i="14"/>
  <c r="D192" i="14"/>
  <c r="B193" i="14"/>
  <c r="C193" i="14"/>
  <c r="D193" i="14"/>
  <c r="B194" i="14"/>
  <c r="C194" i="14"/>
  <c r="D194" i="14"/>
  <c r="B195" i="14"/>
  <c r="C195" i="14"/>
  <c r="D195" i="14"/>
  <c r="B196" i="14"/>
  <c r="C196" i="14"/>
  <c r="D196" i="14"/>
  <c r="B197" i="14"/>
  <c r="C197" i="14"/>
  <c r="D197" i="14"/>
  <c r="B198" i="14"/>
  <c r="C198" i="14"/>
  <c r="D198" i="14"/>
  <c r="B199" i="14"/>
  <c r="C199" i="14"/>
  <c r="D199" i="14"/>
  <c r="B200" i="14"/>
  <c r="C200" i="14"/>
  <c r="D200" i="14"/>
  <c r="B201" i="14"/>
  <c r="C201" i="14"/>
  <c r="D201" i="14"/>
  <c r="B202" i="14"/>
  <c r="C202" i="14"/>
  <c r="D202" i="14"/>
  <c r="B203" i="14"/>
  <c r="C203" i="14"/>
  <c r="D203" i="14"/>
  <c r="B204" i="14"/>
  <c r="C204" i="14"/>
  <c r="D204" i="14"/>
  <c r="B205" i="14"/>
  <c r="C205" i="14"/>
  <c r="D205" i="14"/>
  <c r="B206" i="14"/>
  <c r="C206" i="14"/>
  <c r="D206" i="14"/>
  <c r="B207" i="14"/>
  <c r="C207" i="14"/>
  <c r="D207" i="14"/>
  <c r="B208" i="14"/>
  <c r="C208" i="14"/>
  <c r="D208" i="14"/>
  <c r="B209" i="14"/>
  <c r="C209" i="14"/>
  <c r="D209" i="14"/>
  <c r="B210" i="14"/>
  <c r="C210" i="14"/>
  <c r="D210" i="14"/>
  <c r="B211" i="14"/>
  <c r="C211" i="14"/>
  <c r="D211" i="14"/>
  <c r="B212" i="14"/>
  <c r="C212" i="14"/>
  <c r="D212" i="14"/>
  <c r="B213" i="14"/>
  <c r="C213" i="14"/>
  <c r="D213" i="14"/>
  <c r="B214" i="14"/>
  <c r="C214" i="14"/>
  <c r="D214" i="14"/>
  <c r="B215" i="14"/>
  <c r="C215" i="14"/>
  <c r="D215" i="14"/>
  <c r="B216" i="14"/>
  <c r="C216" i="14"/>
  <c r="D216" i="14"/>
  <c r="B217" i="14"/>
  <c r="C217" i="14"/>
  <c r="D217" i="14"/>
  <c r="B218" i="14"/>
  <c r="C218" i="14"/>
  <c r="D218" i="14"/>
  <c r="B219" i="14"/>
  <c r="C219" i="14"/>
  <c r="D219" i="14"/>
  <c r="B220" i="14"/>
  <c r="C220" i="14"/>
  <c r="D220" i="14"/>
  <c r="B221" i="14"/>
  <c r="C221" i="14"/>
  <c r="D221" i="14"/>
  <c r="B222" i="14"/>
  <c r="C222" i="14"/>
  <c r="D222" i="14"/>
  <c r="B223" i="14"/>
  <c r="C223" i="14"/>
  <c r="D223" i="14"/>
  <c r="B224" i="14"/>
  <c r="C224" i="14"/>
  <c r="D224" i="14"/>
  <c r="B225" i="14"/>
  <c r="C225" i="14"/>
  <c r="D225" i="14"/>
  <c r="B226" i="14"/>
  <c r="C226" i="14"/>
  <c r="D226" i="14"/>
  <c r="B227" i="14"/>
  <c r="C227" i="14"/>
  <c r="D227" i="14"/>
  <c r="B228" i="14"/>
  <c r="C228" i="14"/>
  <c r="D228" i="14"/>
  <c r="B229" i="14"/>
  <c r="C229" i="14"/>
  <c r="D229" i="14"/>
  <c r="B230" i="14"/>
  <c r="C230" i="14"/>
  <c r="D230" i="14"/>
  <c r="B231" i="14"/>
  <c r="C231" i="14"/>
  <c r="D231" i="14"/>
  <c r="B232" i="14"/>
  <c r="C232" i="14"/>
  <c r="D232" i="14"/>
  <c r="B233" i="14"/>
  <c r="C233" i="14"/>
  <c r="D233" i="14"/>
  <c r="B234" i="14"/>
  <c r="C234" i="14"/>
  <c r="D234" i="14"/>
  <c r="B235" i="14"/>
  <c r="C235" i="14"/>
  <c r="D235" i="14"/>
  <c r="B236" i="14"/>
  <c r="C236" i="14"/>
  <c r="D236" i="14"/>
  <c r="B237" i="14"/>
  <c r="C237" i="14"/>
  <c r="D237" i="14"/>
  <c r="B238" i="14"/>
  <c r="C238" i="14"/>
  <c r="D238" i="14"/>
  <c r="B239" i="14"/>
  <c r="C239" i="14"/>
  <c r="D239" i="14"/>
  <c r="B240" i="14"/>
  <c r="C240" i="14"/>
  <c r="D240" i="14"/>
  <c r="B241" i="14"/>
  <c r="C241" i="14"/>
  <c r="D241" i="14"/>
  <c r="B242" i="14"/>
  <c r="C242" i="14"/>
  <c r="D242" i="14"/>
  <c r="B243" i="14"/>
  <c r="C243" i="14"/>
  <c r="D243" i="14"/>
  <c r="B244" i="14"/>
  <c r="C244" i="14"/>
  <c r="D244" i="14"/>
  <c r="B245" i="14"/>
  <c r="C245" i="14"/>
  <c r="D245" i="14"/>
  <c r="B246" i="14"/>
  <c r="C246" i="14"/>
  <c r="D246" i="14"/>
  <c r="B247" i="14"/>
  <c r="C247" i="14"/>
  <c r="D247" i="14"/>
  <c r="B248" i="14"/>
  <c r="C248" i="14"/>
  <c r="D248" i="14"/>
  <c r="B249" i="14"/>
  <c r="C249" i="14"/>
  <c r="D249" i="14"/>
  <c r="B250" i="14"/>
  <c r="C250" i="14"/>
  <c r="D250" i="14"/>
  <c r="B251" i="14"/>
  <c r="C251" i="14"/>
  <c r="D251" i="14"/>
  <c r="B252" i="14"/>
  <c r="C252" i="14"/>
  <c r="D252" i="14"/>
  <c r="B7" i="14"/>
  <c r="AS62" i="18"/>
  <c r="AS61" i="18"/>
  <c r="AS60" i="18"/>
  <c r="AS59" i="18"/>
  <c r="AS58" i="18"/>
  <c r="AS57" i="18"/>
  <c r="AW56" i="18"/>
  <c r="AU56" i="18"/>
  <c r="BA56" i="18"/>
  <c r="AZ56" i="18"/>
  <c r="AS56" i="18" s="1"/>
  <c r="AR56" i="18"/>
  <c r="AT56" i="18" s="1"/>
  <c r="M56" i="18"/>
  <c r="L56" i="18"/>
  <c r="O60" i="9"/>
  <c r="N60" i="9"/>
  <c r="M60" i="9"/>
  <c r="K75" i="6"/>
  <c r="L60" i="9" s="1"/>
  <c r="J75" i="6"/>
  <c r="K60" i="9" s="1"/>
  <c r="I75" i="6"/>
  <c r="J60" i="9" s="1"/>
  <c r="H75" i="6"/>
  <c r="I60" i="9" s="1"/>
  <c r="G75" i="6"/>
  <c r="H60" i="9" s="1"/>
  <c r="F75" i="6"/>
  <c r="G60" i="9" s="1"/>
  <c r="E75" i="6"/>
  <c r="F60" i="9" s="1"/>
  <c r="D75" i="6"/>
  <c r="E60" i="9" s="1"/>
  <c r="C75" i="6"/>
  <c r="D60" i="9" s="1"/>
  <c r="B75" i="6"/>
  <c r="C60" i="9" s="1"/>
  <c r="K33" i="6"/>
  <c r="AV56" i="18" s="1"/>
  <c r="J33" i="6"/>
  <c r="I33" i="6"/>
  <c r="H33" i="6"/>
  <c r="G33" i="6"/>
  <c r="F33" i="6"/>
  <c r="E33" i="6"/>
  <c r="D33" i="6"/>
  <c r="C33" i="6"/>
  <c r="B33" i="6"/>
  <c r="B6" i="6"/>
  <c r="N56" i="18" s="1"/>
  <c r="F253" i="14"/>
  <c r="G253" i="14"/>
  <c r="H253" i="14"/>
  <c r="F254" i="14"/>
  <c r="G254" i="14"/>
  <c r="H254" i="14"/>
  <c r="F255" i="14"/>
  <c r="G255" i="14"/>
  <c r="H255" i="14"/>
  <c r="F256" i="14"/>
  <c r="G256" i="14"/>
  <c r="H256" i="14"/>
  <c r="B253" i="14"/>
  <c r="C253" i="14"/>
  <c r="D253" i="14"/>
  <c r="B254" i="14"/>
  <c r="C254" i="14"/>
  <c r="D254" i="14"/>
  <c r="B255" i="14"/>
  <c r="C255" i="14"/>
  <c r="D255" i="14"/>
  <c r="B256" i="14"/>
  <c r="C256" i="14"/>
  <c r="D256" i="14"/>
  <c r="Q35" i="19" l="1"/>
  <c r="P35" i="19"/>
  <c r="O35" i="19"/>
  <c r="Q33" i="19"/>
  <c r="P33" i="19"/>
  <c r="O33" i="19"/>
  <c r="AT57" i="18"/>
  <c r="H12" i="19" s="1"/>
  <c r="G12" i="19"/>
  <c r="AT58" i="18"/>
  <c r="H13" i="19" s="1"/>
  <c r="G13" i="19"/>
  <c r="AT59" i="18"/>
  <c r="H14" i="19" s="1"/>
  <c r="G14" i="19"/>
  <c r="AT60" i="18"/>
  <c r="H15" i="19" s="1"/>
  <c r="G15" i="19"/>
  <c r="AT61" i="18"/>
  <c r="H16" i="19" s="1"/>
  <c r="G16" i="19"/>
  <c r="AT62" i="18"/>
  <c r="H17" i="19" s="1"/>
  <c r="G17" i="19"/>
  <c r="O12" i="14"/>
  <c r="O11" i="14"/>
  <c r="L9" i="14" s="1"/>
  <c r="L15" i="14" s="1"/>
  <c r="J15" i="15" s="1"/>
  <c r="C38" i="23"/>
  <c r="A5" i="23"/>
  <c r="Q28" i="19"/>
  <c r="Q27" i="19"/>
  <c r="Q26" i="19"/>
  <c r="Q32" i="19" s="1"/>
  <c r="Q34" i="19" s="1"/>
  <c r="Q37" i="19" s="1"/>
  <c r="Q39" i="19" s="1"/>
  <c r="Q25" i="19"/>
  <c r="C20" i="23" s="1"/>
  <c r="Q24" i="19"/>
  <c r="Q23" i="19"/>
  <c r="I12" i="19"/>
  <c r="P12" i="19"/>
  <c r="O12" i="19"/>
  <c r="J12" i="19"/>
  <c r="I13" i="19"/>
  <c r="P13" i="19"/>
  <c r="O13" i="19"/>
  <c r="J13" i="19"/>
  <c r="I14" i="19"/>
  <c r="P14" i="19"/>
  <c r="O14" i="19"/>
  <c r="J14" i="19"/>
  <c r="I15" i="19"/>
  <c r="P15" i="19"/>
  <c r="O15" i="19"/>
  <c r="J15" i="19"/>
  <c r="I16" i="19"/>
  <c r="P16" i="19"/>
  <c r="O16" i="19"/>
  <c r="J16" i="19"/>
  <c r="I17" i="19"/>
  <c r="P17" i="19"/>
  <c r="O17" i="19"/>
  <c r="J17"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J28" i="19" l="1"/>
  <c r="J27" i="19"/>
  <c r="J26" i="19"/>
  <c r="J25" i="19"/>
  <c r="J24" i="19"/>
  <c r="J23" i="19"/>
  <c r="O28" i="19"/>
  <c r="O27" i="19"/>
  <c r="O26" i="19"/>
  <c r="O32" i="19" s="1"/>
  <c r="O34" i="19" s="1"/>
  <c r="O37" i="19" s="1"/>
  <c r="O39" i="19" s="1"/>
  <c r="O25" i="19"/>
  <c r="C18" i="23" s="1"/>
  <c r="O24" i="19"/>
  <c r="O23" i="19"/>
  <c r="P28" i="19"/>
  <c r="P27" i="19"/>
  <c r="P26" i="19"/>
  <c r="P32" i="19" s="1"/>
  <c r="P34" i="19" s="1"/>
  <c r="P37" i="19" s="1"/>
  <c r="P39" i="19" s="1"/>
  <c r="P25" i="19"/>
  <c r="C19" i="23" s="1"/>
  <c r="P24" i="19"/>
  <c r="P23" i="19"/>
  <c r="I28" i="19"/>
  <c r="I27" i="19"/>
  <c r="I26" i="19"/>
  <c r="I25" i="19"/>
  <c r="I24" i="19"/>
  <c r="I23" i="19"/>
  <c r="C105" i="9"/>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3" i="22"/>
  <c r="B4" i="20"/>
  <c r="B3" i="20"/>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F41" i="10" l="1"/>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22" i="23" s="1"/>
  <c r="H10" i="17"/>
  <c r="L19" i="16"/>
  <c r="K19" i="16"/>
  <c r="J19" i="16"/>
  <c r="I19" i="16"/>
  <c r="H40" i="16"/>
  <c r="H59" i="16" s="1"/>
  <c r="L13" i="16"/>
  <c r="L21" i="16" s="1"/>
  <c r="K13" i="16"/>
  <c r="K21" i="16" s="1"/>
  <c r="J13" i="16"/>
  <c r="J21" i="16" s="1"/>
  <c r="I13" i="16"/>
  <c r="I21" i="16" s="1"/>
  <c r="E78" i="20" l="1"/>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23" i="23" s="1"/>
  <c r="K15" i="15"/>
  <c r="C22"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24"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D21" i="8"/>
  <c r="E21" i="8"/>
  <c r="F21" i="8"/>
  <c r="G21" i="8"/>
  <c r="H21" i="8"/>
  <c r="I21" i="8"/>
  <c r="J21" i="8"/>
  <c r="K21" i="8"/>
  <c r="L21" i="8"/>
  <c r="C21" i="8"/>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23"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10" i="17"/>
  <c r="L8" i="17"/>
  <c r="B25"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24" i="23" l="1"/>
  <c r="K29" i="15"/>
  <c r="C12" i="23"/>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26" i="23"/>
  <c r="C25" i="23"/>
  <c r="K40" i="15"/>
  <c r="K46" i="15" s="1"/>
  <c r="C9"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22" i="23" l="1"/>
  <c r="I12" i="17"/>
  <c r="E22" i="23" s="1"/>
  <c r="D20" i="17"/>
  <c r="C8" i="23"/>
  <c r="C26" i="23"/>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5" i="23" l="1"/>
  <c r="D26" i="17"/>
  <c r="J14" i="17"/>
  <c r="F23" i="23" s="1"/>
  <c r="K14" i="17"/>
  <c r="F24" i="23" s="1"/>
  <c r="L14" i="17"/>
  <c r="F25" i="23" s="1"/>
  <c r="M14" i="17"/>
  <c r="F26" i="23" s="1"/>
  <c r="D21" i="17"/>
  <c r="M11" i="17" s="1"/>
  <c r="I14" i="17"/>
  <c r="F22" i="23" s="1"/>
  <c r="O14" i="10"/>
  <c r="N14" i="10"/>
  <c r="O15" i="10"/>
  <c r="N15" i="10"/>
  <c r="O8" i="10"/>
  <c r="N8" i="10"/>
  <c r="O23" i="10"/>
  <c r="N23" i="10"/>
  <c r="O19" i="10"/>
  <c r="N19" i="10"/>
  <c r="C46" i="9"/>
  <c r="C48" i="9" s="1"/>
  <c r="C22" i="10" s="1"/>
  <c r="D43" i="9"/>
  <c r="J19" i="12"/>
  <c r="H11" i="17"/>
  <c r="H12" i="17" s="1"/>
  <c r="L64" i="16"/>
  <c r="L65" i="16"/>
  <c r="D26" i="23" l="1"/>
  <c r="L11" i="17"/>
  <c r="K11" i="17"/>
  <c r="J11" i="17"/>
  <c r="M12" i="17"/>
  <c r="O22" i="10"/>
  <c r="N22" i="10"/>
  <c r="C24" i="10"/>
  <c r="I16" i="17"/>
  <c r="G22" i="23" s="1"/>
  <c r="E26" i="23" l="1"/>
  <c r="M16" i="17"/>
  <c r="G26" i="23" s="1"/>
  <c r="D25" i="17"/>
  <c r="D29" i="17" s="1"/>
  <c r="D23" i="23"/>
  <c r="J12" i="17"/>
  <c r="D24" i="23"/>
  <c r="K12" i="17"/>
  <c r="D25" i="23"/>
  <c r="L12" i="17"/>
  <c r="O24" i="10"/>
  <c r="N24" i="10"/>
  <c r="E25" i="23" l="1"/>
  <c r="L16" i="17"/>
  <c r="G25" i="23" s="1"/>
  <c r="E24" i="23"/>
  <c r="K16" i="17"/>
  <c r="G24" i="23" s="1"/>
  <c r="E23" i="23"/>
  <c r="J16" i="17"/>
  <c r="D34" i="17"/>
  <c r="C31" i="23" s="1"/>
  <c r="C30" i="23"/>
  <c r="G23" i="23" l="1"/>
  <c r="D33" i="17"/>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C29" i="23" l="1"/>
  <c r="D35" i="17"/>
  <c r="C32" i="23" l="1"/>
  <c r="D39" i="17"/>
  <c r="D42" i="17" l="1"/>
  <c r="C35" i="23"/>
  <c r="D45" i="17" l="1"/>
  <c r="C37" i="23"/>
  <c r="C39" i="23" s="1"/>
  <c r="B5" i="23"/>
  <c r="C5" i="23" s="1"/>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<sst xmlns="http://schemas.openxmlformats.org/spreadsheetml/2006/main" count="17016" uniqueCount="8676">
  <si>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</si>
  <si>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</si>
  <si>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</si>
  <si>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</si>
  <si>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</si>
  <si>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</si>
  <si>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</si>
  <si>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</si>
  <si>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</si>
  <si>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</si>
  <si>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</si>
  <si>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</si>
  <si>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</si>
  <si>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</si>
  <si>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</si>
  <si>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</si>
  <si>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</si>
  <si>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</si>
  <si>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</si>
  <si>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</si>
  <si>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</si>
  <si>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</si>
  <si>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</si>
  <si>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</si>
  <si>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</si>
  <si>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</si>
  <si>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</si>
  <si>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</si>
  <si>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</si>
  <si>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</si>
  <si>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</si>
  <si>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</si>
  <si>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</si>
  <si>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</si>
  <si>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</si>
  <si>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</si>
  <si>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</si>
  <si>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</si>
  <si>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</si>
  <si>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</si>
  <si>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</si>
  <si>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</si>
  <si>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</si>
  <si>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</si>
  <si>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</si>
  <si>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</si>
  <si>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</si>
  <si>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</si>
  <si>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</si>
  <si>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</si>
  <si>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</si>
  <si>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</si>
  <si>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</si>
  <si>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</si>
  <si>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</si>
  <si>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</si>
  <si>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</si>
  <si>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</si>
  <si>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</si>
  <si>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</si>
  <si>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</si>
  <si>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</si>
  <si>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</si>
  <si>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</si>
  <si>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</si>
  <si>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</si>
  <si>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</si>
  <si>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</si>
  <si>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</si>
  <si>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</si>
  <si>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</si>
  <si>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</si>
  <si>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</si>
  <si>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</si>
  <si>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</si>
  <si>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</si>
  <si>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</si>
  <si>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</si>
  <si>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</si>
  <si>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</si>
  <si>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</si>
  <si>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</si>
  <si>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</si>
  <si>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</si>
  <si>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</si>
  <si>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</si>
  <si>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</si>
  <si>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</si>
  <si>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</si>
  <si>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</si>
  <si>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</si>
  <si>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</si>
  <si>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</si>
  <si>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</si>
  <si>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</si>
  <si>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</si>
  <si>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</si>
  <si>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</si>
  <si>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</si>
  <si>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</si>
  <si>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</si>
  <si>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</si>
  <si>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</si>
  <si>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</si>
  <si>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</si>
  <si>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</si>
  <si>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</si>
  <si>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</si>
  <si>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</si>
  <si>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</si>
  <si>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</si>
  <si>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</si>
  <si>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</si>
  <si>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</si>
  <si>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</si>
  <si>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</si>
  <si>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</si>
  <si>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</si>
  <si>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</si>
  <si>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</si>
  <si>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</si>
  <si>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</si>
  <si>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</si>
  <si>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</si>
  <si>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</si>
  <si>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</si>
  <si>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</si>
  <si>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</si>
  <si>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</si>
  <si>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</si>
  <si>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</si>
  <si>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</si>
  <si>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</si>
  <si>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</si>
  <si>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</si>
  <si>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</si>
  <si>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</si>
  <si>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</si>
  <si>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</si>
  <si>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</si>
  <si>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</si>
  <si>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</si>
  <si>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</si>
  <si>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</si>
  <si>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</si>
  <si>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</si>
  <si>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</si>
  <si>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</si>
  <si>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</si>
  <si>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</si>
  <si>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</si>
  <si>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</si>
  <si>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</si>
  <si>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</si>
  <si>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</si>
  <si>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</si>
  <si>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</si>
  <si>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</si>
  <si>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</si>
  <si>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</si>
  <si>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</si>
  <si>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</si>
  <si>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</si>
  <si>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</si>
  <si>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</si>
  <si>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</si>
  <si>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</si>
  <si>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</si>
  <si>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</si>
  <si>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</si>
  <si>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</si>
  <si>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</si>
  <si>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</si>
  <si>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</si>
  <si>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</si>
  <si>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</si>
  <si>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</si>
  <si>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</si>
  <si>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</si>
  <si>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</si>
  <si>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</si>
  <si>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</si>
  <si>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</si>
  <si>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</si>
  <si>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</si>
  <si>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</si>
  <si>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</si>
  <si>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</si>
  <si>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</si>
  <si>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</si>
  <si>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</si>
  <si>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</si>
  <si>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</si>
  <si>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</si>
  <si>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</si>
  <si>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</si>
  <si>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</si>
  <si>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</si>
  <si>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</si>
  <si>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</si>
  <si>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</si>
  <si>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</si>
  <si>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</si>
  <si>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</si>
  <si>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</si>
  <si>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</si>
  <si>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</si>
  <si>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</si>
  <si>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</si>
  <si>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</si>
  <si>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</si>
  <si>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</si>
  <si>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</si>
  <si>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</si>
  <si>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</si>
  <si>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</si>
  <si>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</si>
  <si>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</si>
  <si>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</si>
  <si>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</si>
  <si>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</si>
  <si>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</si>
  <si>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</si>
  <si>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</si>
  <si>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</si>
  <si>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</si>
  <si>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</si>
  <si>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</si>
  <si>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</si>
  <si>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</si>
  <si>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</si>
  <si>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</si>
  <si>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</si>
  <si>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</si>
  <si>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</si>
  <si>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</si>
  <si>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</si>
  <si>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</si>
  <si>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</si>
  <si>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</si>
  <si>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</si>
  <si>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</si>
  <si>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</si>
  <si>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</si>
  <si>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</si>
  <si>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</si>
  <si>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</si>
  <si>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</si>
  <si>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</si>
  <si>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</si>
  <si>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</si>
  <si>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</si>
  <si>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</si>
  <si>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</si>
  <si>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</si>
  <si>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</si>
  <si>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</si>
  <si>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</si>
  <si>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</si>
  <si>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</si>
  <si>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</si>
  <si>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</si>
  <si>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</si>
  <si>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</si>
  <si>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</si>
  <si>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</si>
  <si>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</si>
  <si>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</si>
  <si>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</si>
  <si>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</si>
  <si>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</si>
  <si>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</si>
  <si>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</si>
  <si>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</si>
  <si>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</si>
  <si>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</si>
  <si>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</si>
  <si>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</si>
  <si>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</si>
  <si>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</si>
  <si>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</si>
  <si>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</si>
  <si>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</si>
  <si>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</si>
  <si>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</si>
  <si>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</si>
  <si>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</si>
  <si>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</si>
  <si>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</si>
  <si>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</si>
  <si>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</si>
  <si>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</si>
  <si>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</si>
  <si>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</si>
  <si>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</si>
  <si>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</si>
  <si>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</si>
  <si>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</si>
  <si>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</si>
  <si>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</si>
  <si>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</si>
  <si>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</si>
  <si>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</si>
  <si>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</si>
  <si>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</si>
  <si>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</si>
  <si>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</si>
  <si>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</si>
  <si>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</si>
  <si>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</si>
  <si>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</si>
  <si>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</si>
  <si>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</si>
  <si>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</si>
  <si>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</si>
  <si>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</si>
  <si>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</si>
  <si>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</si>
  <si>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</si>
  <si>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</si>
  <si>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</si>
  <si>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</si>
  <si>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</si>
  <si>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</si>
  <si>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</si>
  <si>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</si>
  <si>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</si>
  <si>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</si>
  <si>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</si>
  <si>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</si>
  <si>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</si>
  <si>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</si>
  <si>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</si>
  <si>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</si>
  <si>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</si>
  <si>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</si>
  <si>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</si>
  <si>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</si>
  <si>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</si>
  <si>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</si>
  <si>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</si>
  <si>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</si>
  <si>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</si>
  <si>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</si>
  <si>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</si>
  <si>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</si>
  <si>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</si>
  <si>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</si>
  <si>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</si>
  <si>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</si>
  <si>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</si>
  <si>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</si>
  <si>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</si>
  <si>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</si>
  <si>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</si>
  <si>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</si>
  <si>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</si>
  <si>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</si>
  <si>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</si>
  <si>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</si>
  <si>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</si>
  <si>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</si>
  <si>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</si>
  <si>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</si>
  <si>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</si>
  <si>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</si>
  <si>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</si>
  <si>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</si>
  <si>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</si>
  <si>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</si>
  <si>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</si>
  <si>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</si>
  <si>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</si>
  <si>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</si>
  <si>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</si>
  <si>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</si>
  <si>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</si>
  <si>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</si>
  <si>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</si>
  <si>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</si>
  <si>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</si>
  <si>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</si>
  <si>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</si>
  <si>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</si>
  <si>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</si>
  <si>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</si>
  <si>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</si>
  <si>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</si>
  <si>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</si>
  <si>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</si>
  <si>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</si>
  <si>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</si>
  <si>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</si>
  <si>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</si>
  <si>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</si>
  <si>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</si>
  <si>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</si>
  <si>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</si>
  <si>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</si>
  <si>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</si>
  <si>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</si>
  <si>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</si>
  <si>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</si>
  <si>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</si>
  <si>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</si>
  <si>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</si>
  <si>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</si>
  <si>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</si>
  <si>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</si>
  <si>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</si>
  <si>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</si>
  <si>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</si>
  <si>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</si>
  <si>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</si>
  <si>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</si>
  <si>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</si>
  <si>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</si>
  <si>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</si>
  <si>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</si>
  <si>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</si>
  <si>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</si>
  <si>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</si>
  <si>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</si>
  <si>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</si>
  <si>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</si>
  <si>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</si>
  <si>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</si>
  <si>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</si>
  <si>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</si>
  <si>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</si>
  <si>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</si>
  <si>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</si>
  <si>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</si>
  <si>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</si>
  <si>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</si>
  <si>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</si>
  <si>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</si>
  <si>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</si>
  <si>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</si>
  <si>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</si>
  <si>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</si>
  <si>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</si>
  <si>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</si>
  <si>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</si>
  <si>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</si>
  <si>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</si>
  <si>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</si>
  <si>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</si>
  <si>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</si>
  <si>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</si>
  <si>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</si>
  <si>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</si>
  <si>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</si>
  <si>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</si>
  <si>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</si>
  <si>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</si>
  <si>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</si>
  <si>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</si>
  <si>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</si>
  <si>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</si>
  <si>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</si>
  <si>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</si>
  <si>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</si>
  <si>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</si>
  <si>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</si>
  <si>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</si>
  <si>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</si>
  <si>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</si>
  <si>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</si>
  <si>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</si>
  <si>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</si>
  <si>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</si>
  <si>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</si>
  <si>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</si>
  <si>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</si>
  <si>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</si>
  <si>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</si>
  <si>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</si>
  <si>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</si>
  <si>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</si>
  <si>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</si>
  <si>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</si>
  <si>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</si>
  <si>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</si>
  <si>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</si>
  <si>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</si>
  <si>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</si>
  <si>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</si>
  <si>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</si>
  <si>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</si>
  <si>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</si>
  <si>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</si>
  <si>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</si>
  <si>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</si>
  <si>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</si>
  <si>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</si>
  <si>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</si>
  <si>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</si>
  <si>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</si>
  <si>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</si>
  <si>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</si>
  <si>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</si>
  <si>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</si>
  <si>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</si>
  <si>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</si>
  <si>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</si>
  <si>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</si>
  <si>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</si>
  <si>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</si>
  <si>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</si>
  <si>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</si>
  <si>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</si>
  <si>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</si>
  <si>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</si>
  <si>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</si>
  <si>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</si>
  <si>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</si>
  <si>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</si>
  <si>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</si>
  <si>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</si>
  <si>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</si>
  <si>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</si>
  <si>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</si>
  <si>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</si>
  <si>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</si>
  <si>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</si>
  <si>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</si>
  <si>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</si>
  <si>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</si>
  <si>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</si>
  <si>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</si>
  <si>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</si>
  <si>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</si>
  <si>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</si>
  <si>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</si>
  <si>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</si>
  <si>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</si>
  <si>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</si>
  <si>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</si>
  <si>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</si>
  <si>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</si>
  <si>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</si>
  <si>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</si>
  <si>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</si>
  <si>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</si>
  <si>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</si>
  <si>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</si>
  <si>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</si>
  <si>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</si>
  <si>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</si>
  <si>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</si>
  <si>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</si>
  <si>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</si>
  <si>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</si>
  <si>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</si>
  <si>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</si>
  <si>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</si>
  <si>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</si>
  <si>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</si>
  <si>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</si>
  <si>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</si>
  <si>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</si>
  <si>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</si>
  <si>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</si>
  <si>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</si>
  <si>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</si>
  <si>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</si>
  <si>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</si>
  <si>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</si>
  <si>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</si>
  <si>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</si>
  <si>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</si>
  <si>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</si>
  <si>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</si>
  <si>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</si>
  <si>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</si>
  <si>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</si>
  <si>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</si>
  <si>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</si>
  <si>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</si>
  <si>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</si>
  <si>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</si>
  <si>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</si>
  <si>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</si>
  <si>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</si>
  <si>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</si>
  <si>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</si>
  <si>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</si>
  <si>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</si>
  <si>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</si>
  <si>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</si>
  <si>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</si>
  <si>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</si>
  <si>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</si>
  <si>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</si>
  <si>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</si>
  <si>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</si>
  <si>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</si>
  <si>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</si>
  <si>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</si>
  <si>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</si>
  <si>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</si>
  <si>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</si>
  <si>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</si>
  <si>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</si>
  <si>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</si>
  <si>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</si>
  <si>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</si>
  <si>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</si>
  <si>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</si>
  <si>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</si>
  <si>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</si>
  <si>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</si>
  <si>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</si>
  <si>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</si>
  <si>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</si>
  <si>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</si>
  <si>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</si>
  <si>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</si>
  <si>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</si>
  <si>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</si>
  <si>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</si>
  <si>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</si>
  <si>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</si>
  <si>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</si>
  <si>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</si>
  <si>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</si>
  <si>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</si>
  <si>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</si>
  <si>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</si>
  <si>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</si>
  <si>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</si>
  <si>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</si>
  <si>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</si>
  <si>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</si>
  <si>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</si>
  <si>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</si>
  <si>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</si>
  <si>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</si>
  <si>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</si>
  <si>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</si>
  <si>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</si>
  <si>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</si>
  <si>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</si>
  <si>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</si>
  <si>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</si>
  <si>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</si>
  <si>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</si>
  <si>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</si>
  <si>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</si>
  <si>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</si>
  <si>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</si>
  <si>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</si>
  <si>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</si>
  <si>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</si>
  <si>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</si>
  <si>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</si>
  <si>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</si>
  <si>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</si>
  <si>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</si>
  <si>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</si>
  <si>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</si>
  <si>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</si>
  <si>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</si>
  <si>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</si>
  <si>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</si>
  <si>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</si>
  <si>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</si>
  <si>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</si>
  <si>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</si>
  <si>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</si>
  <si>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</si>
  <si>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</si>
  <si>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</si>
  <si>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</si>
  <si>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</si>
  <si>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</si>
  <si>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</si>
  <si>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</si>
  <si>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</si>
  <si>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</si>
  <si>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</si>
  <si>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</si>
  <si>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</si>
  <si>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</si>
  <si>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</si>
  <si>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</si>
  <si>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</si>
  <si>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</si>
  <si>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</si>
  <si>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</si>
  <si>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</si>
  <si>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</si>
  <si>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</si>
  <si>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</si>
  <si>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</si>
  <si>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</si>
  <si>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</si>
  <si>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</si>
  <si>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</si>
  <si>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</si>
  <si>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</si>
  <si>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</si>
  <si>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</si>
  <si>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</si>
  <si>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</si>
  <si>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</si>
  <si>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</si>
  <si>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</si>
  <si>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</si>
  <si>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</si>
  <si>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</si>
  <si>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</si>
  <si>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</si>
  <si>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</si>
  <si>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</si>
  <si>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</si>
  <si>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</si>
  <si>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</si>
  <si>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</si>
  <si>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</si>
  <si>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</si>
  <si>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</si>
  <si>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</si>
  <si>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</si>
  <si>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</si>
  <si>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</si>
  <si>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</si>
  <si>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</si>
  <si>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</si>
  <si>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</si>
  <si>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</si>
  <si>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</si>
  <si>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</si>
  <si>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</si>
  <si>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</si>
  <si>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</si>
  <si>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</si>
  <si>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</si>
  <si>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</si>
  <si>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</si>
  <si>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</si>
  <si>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</si>
  <si>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</si>
  <si>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</si>
  <si>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</si>
  <si>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</si>
  <si>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</si>
  <si>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</si>
  <si>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</si>
  <si>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</si>
  <si>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</si>
  <si>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</si>
  <si>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</si>
  <si>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</si>
  <si>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</si>
  <si>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</si>
  <si>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</si>
  <si>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</si>
  <si>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</si>
  <si>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</si>
  <si>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</si>
  <si>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</si>
  <si>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</si>
  <si>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</si>
  <si>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</si>
  <si>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</si>
  <si>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</si>
  <si>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</si>
  <si>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</si>
  <si>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</si>
  <si>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</si>
  <si>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</si>
  <si>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</si>
  <si>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</si>
  <si>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</si>
  <si>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</si>
  <si>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</si>
  <si>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</si>
  <si>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</si>
  <si>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</si>
  <si>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</si>
  <si>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</si>
  <si>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</si>
  <si>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</si>
  <si>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</si>
  <si>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</si>
  <si>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</si>
  <si>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</si>
  <si>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</si>
  <si>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</si>
  <si>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</si>
  <si>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</si>
  <si>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</si>
  <si>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</si>
  <si>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</si>
  <si>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</si>
  <si>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</si>
  <si>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</si>
  <si>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</si>
  <si>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</si>
  <si>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</si>
  <si>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</si>
  <si>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</si>
  <si>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</si>
  <si>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</si>
  <si>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</si>
  <si>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</si>
  <si>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</si>
  <si>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</si>
  <si>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</si>
  <si>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</si>
  <si>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</si>
  <si>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</si>
  <si>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</si>
  <si>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</si>
  <si>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</si>
  <si>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</si>
  <si>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</si>
  <si>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</si>
  <si>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</si>
  <si>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</si>
  <si>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</si>
  <si>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</si>
  <si>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</si>
  <si>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</si>
  <si>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</si>
  <si>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</si>
  <si>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</si>
  <si>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</si>
  <si>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</si>
  <si>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</si>
  <si>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</si>
  <si>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</si>
  <si>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</si>
  <si>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</si>
  <si>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</si>
  <si>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</si>
  <si>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</si>
  <si>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</si>
  <si>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</si>
  <si>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</si>
  <si>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</si>
  <si>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</si>
  <si>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</si>
  <si>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</si>
  <si>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</si>
  <si>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</si>
  <si>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</si>
  <si>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</si>
  <si>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</si>
  <si>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</si>
  <si>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</si>
  <si>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</si>
  <si>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</si>
  <si>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</si>
  <si>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</si>
  <si>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</si>
  <si>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</si>
  <si>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</si>
  <si>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</si>
  <si>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</si>
  <si>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</si>
  <si>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</si>
  <si>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</si>
  <si>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</si>
  <si>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</si>
  <si>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</si>
  <si>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</si>
  <si>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</si>
  <si>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</si>
  <si>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</si>
  <si>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</si>
  <si>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</si>
  <si>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</si>
  <si>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</si>
  <si>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</si>
  <si>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</si>
  <si>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</si>
  <si>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</si>
  <si>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</si>
  <si>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</si>
  <si>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</si>
  <si>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</si>
  <si>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</si>
  <si>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</si>
  <si>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</si>
  <si>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</si>
  <si>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</si>
  <si>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</si>
  <si>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</si>
  <si>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</si>
  <si>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</si>
  <si>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</si>
  <si>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</si>
  <si>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</si>
  <si>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</si>
  <si>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</si>
  <si>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</si>
  <si>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</si>
  <si>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</si>
  <si>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</si>
  <si>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</si>
  <si>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</si>
  <si>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</si>
  <si>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</si>
  <si>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</si>
  <si>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</si>
  <si>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</si>
  <si>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</si>
  <si>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</si>
  <si>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</si>
  <si>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</si>
  <si>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</si>
  <si>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</si>
  <si>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</si>
  <si>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</si>
  <si>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</si>
  <si>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</si>
  <si>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</si>
  <si>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</si>
  <si>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</si>
  <si>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</si>
  <si>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</si>
  <si>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</si>
  <si>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</si>
  <si>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</si>
  <si>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</si>
  <si>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</si>
  <si>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</si>
  <si>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</si>
  <si>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</si>
  <si>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</si>
  <si>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</si>
  <si>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</si>
  <si>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</si>
  <si>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</si>
  <si>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</si>
  <si>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</si>
  <si>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</si>
  <si>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</si>
  <si>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</si>
  <si>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</si>
  <si>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</si>
  <si>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</si>
  <si>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</si>
  <si>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</si>
  <si>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</si>
  <si>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</si>
  <si>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</si>
  <si>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</si>
  <si>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</si>
  <si>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</si>
  <si>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</si>
  <si>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</si>
  <si>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</si>
  <si>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</si>
  <si>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</si>
  <si>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</si>
  <si>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</si>
  <si>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</si>
  <si>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</si>
  <si>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</si>
  <si>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</si>
  <si>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</si>
  <si>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</si>
  <si>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</si>
  <si>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</si>
  <si>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</si>
  <si>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</si>
  <si>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</si>
  <si>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</si>
  <si>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</si>
  <si>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</si>
  <si>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</si>
  <si>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</si>
  <si>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</si>
  <si>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</si>
  <si>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</si>
  <si>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</si>
  <si>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</si>
  <si>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</si>
  <si>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</si>
  <si>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</si>
  <si>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</si>
  <si>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</si>
  <si>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</si>
  <si>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</si>
  <si>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</si>
  <si>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</si>
  <si>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</si>
  <si>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</si>
  <si>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</si>
  <si>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</si>
  <si>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</si>
  <si>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</si>
  <si>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</si>
  <si>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</si>
  <si>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</si>
  <si>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</si>
  <si>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</si>
  <si>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</si>
  <si>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</si>
  <si>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</si>
  <si>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</si>
  <si>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</si>
  <si>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</si>
  <si>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</si>
  <si>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</si>
  <si>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</si>
  <si>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</si>
  <si>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</si>
  <si>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</si>
  <si>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</si>
  <si>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</si>
  <si>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</si>
  <si>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</si>
  <si>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</si>
  <si>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</si>
  <si>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</si>
  <si>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</si>
  <si>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</si>
  <si>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</si>
  <si>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</si>
  <si>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</si>
  <si>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</si>
  <si>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</si>
  <si>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</si>
  <si>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</si>
  <si>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</si>
  <si>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</si>
  <si>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</si>
  <si>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</si>
  <si>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</si>
  <si>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</si>
  <si>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</si>
  <si>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</si>
  <si>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</si>
  <si>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</si>
  <si>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</si>
  <si>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</si>
  <si>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</si>
  <si>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</si>
  <si>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</si>
  <si>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</si>
  <si>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</si>
  <si>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</si>
  <si>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</si>
  <si>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</si>
  <si>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</si>
  <si>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</si>
  <si>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</si>
  <si>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</si>
  <si>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</si>
  <si>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</si>
  <si>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</si>
  <si>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</si>
  <si>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</si>
  <si>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</si>
  <si>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</si>
  <si>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</si>
  <si>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</si>
  <si>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</si>
  <si>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</si>
  <si>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</si>
  <si>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</si>
  <si>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</si>
  <si>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</si>
  <si>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</si>
  <si>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</si>
  <si>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</si>
  <si>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</si>
  <si>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</si>
  <si>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</si>
  <si>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</si>
  <si>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</si>
  <si>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</si>
  <si>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</si>
  <si>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</si>
  <si>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</si>
  <si>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</si>
  <si>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</si>
  <si>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</si>
  <si>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</si>
  <si>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</si>
  <si>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</si>
  <si>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</si>
  <si>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</si>
  <si>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</si>
  <si>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</si>
  <si>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</si>
  <si>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</si>
  <si>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</si>
  <si>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</si>
  <si>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</si>
  <si>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</si>
  <si>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</si>
  <si>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</si>
  <si>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</si>
  <si>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</si>
  <si>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</si>
  <si>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</si>
  <si>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</si>
  <si>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</si>
  <si>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</si>
  <si>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</si>
  <si>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</si>
  <si>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</si>
  <si>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</si>
  <si>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</si>
  <si>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</si>
  <si>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</si>
  <si>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</si>
  <si>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</si>
  <si>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</si>
  <si>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</si>
  <si>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</si>
  <si>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</si>
  <si>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</si>
  <si>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</si>
  <si>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</si>
  <si>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</si>
  <si>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</si>
  <si>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</si>
  <si>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</si>
  <si>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</si>
  <si>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</si>
  <si>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</si>
  <si>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</si>
  <si>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</si>
  <si>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</si>
  <si>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</si>
  <si>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</si>
  <si>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</si>
  <si>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</si>
  <si>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</si>
  <si>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</si>
  <si>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</si>
  <si>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</si>
  <si>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</si>
  <si>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</si>
  <si>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</si>
  <si>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</si>
  <si>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</si>
  <si>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</si>
  <si>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</si>
  <si>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</si>
  <si>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</si>
  <si>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</si>
  <si>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</si>
  <si>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</si>
  <si>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</si>
  <si>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</si>
  <si>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</si>
  <si>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</si>
  <si>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</si>
  <si>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</si>
  <si>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</si>
  <si>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</si>
  <si>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</si>
  <si>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</si>
  <si>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</si>
  <si>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</si>
  <si>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</si>
  <si>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</si>
  <si>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</si>
  <si>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</si>
  <si>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</si>
  <si>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</si>
  <si>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</si>
  <si>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</si>
  <si>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</si>
  <si>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</si>
  <si>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</si>
  <si>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</si>
  <si>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</si>
  <si>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</si>
  <si>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</si>
  <si>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</si>
  <si>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</si>
  <si>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</si>
  <si>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</si>
  <si>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</si>
  <si>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</si>
  <si>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</si>
  <si>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</si>
  <si>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</si>
  <si>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</si>
  <si>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</si>
  <si>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</si>
  <si>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</si>
  <si>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</si>
  <si>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</si>
  <si>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</si>
  <si>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</si>
  <si>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</si>
  <si>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</si>
  <si>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</si>
  <si>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</si>
  <si>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</si>
  <si>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</si>
  <si>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</si>
  <si>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</si>
  <si>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</si>
  <si>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</si>
  <si>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</si>
  <si>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</si>
  <si>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</si>
  <si>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</si>
  <si>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</si>
  <si>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</si>
  <si>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</si>
  <si>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</si>
  <si>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</si>
  <si>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</si>
  <si>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</si>
  <si>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</si>
  <si>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</si>
  <si>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</si>
  <si>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</si>
  <si>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</si>
  <si>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</si>
  <si>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</si>
  <si>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</si>
  <si>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</si>
  <si>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</si>
  <si>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</si>
  <si>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</si>
  <si>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</si>
  <si>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</si>
  <si>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</si>
  <si>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</si>
  <si>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</si>
  <si>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</si>
  <si>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</si>
  <si>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</si>
  <si>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</si>
  <si>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</si>
  <si>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</si>
  <si>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</si>
  <si>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</si>
  <si>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</si>
  <si>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</si>
  <si>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</si>
  <si>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</si>
  <si>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</si>
  <si>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</si>
  <si>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</si>
  <si>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</si>
  <si>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</si>
  <si>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</si>
  <si>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</si>
  <si>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</si>
  <si>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</si>
  <si>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</si>
  <si>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</si>
  <si>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</si>
  <si>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</si>
  <si>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</si>
  <si>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</si>
  <si>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</si>
  <si>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</si>
  <si>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</si>
  <si>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</si>
  <si>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</si>
  <si>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</si>
  <si>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</si>
  <si>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</si>
  <si>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</si>
  <si>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</si>
  <si>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</si>
  <si>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</si>
  <si>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</si>
  <si>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</si>
  <si>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</si>
  <si>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</si>
  <si>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</si>
  <si>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</si>
  <si>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</si>
  <si>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</si>
  <si>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</si>
  <si>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</si>
  <si>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</si>
  <si>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</si>
  <si>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</si>
  <si>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</si>
  <si>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</si>
  <si>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</si>
  <si>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</si>
  <si>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</si>
  <si>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</si>
  <si>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</si>
  <si>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</si>
  <si>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</si>
  <si>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</si>
  <si>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</si>
  <si>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</si>
  <si>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</si>
  <si>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</si>
  <si>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</si>
  <si>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</si>
  <si>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</si>
  <si>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</si>
  <si>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</si>
  <si>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</si>
  <si>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</si>
  <si>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</si>
  <si>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</si>
  <si>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</si>
  <si>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</si>
  <si>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</si>
  <si>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</si>
  <si>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</si>
  <si>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</si>
  <si>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</si>
  <si>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</si>
  <si>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</si>
  <si>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</si>
  <si>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</si>
  <si>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</si>
  <si>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</si>
  <si>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</si>
  <si>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</si>
  <si>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</si>
  <si>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</si>
  <si>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</si>
  <si>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</si>
  <si>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</si>
  <si>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</si>
  <si>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</si>
  <si>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</si>
  <si>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</si>
  <si>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</si>
  <si>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</si>
  <si>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</si>
  <si>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</si>
  <si>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</si>
  <si>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</si>
  <si>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</si>
  <si>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</si>
  <si>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</si>
  <si>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</si>
  <si>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</si>
  <si>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</si>
  <si>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</si>
  <si>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</si>
  <si>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</si>
  <si>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</si>
  <si>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</si>
  <si>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</si>
  <si>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</si>
  <si>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</si>
  <si>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</si>
  <si>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</si>
  <si>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</si>
  <si>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</si>
  <si>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</si>
  <si>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</si>
  <si>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</si>
  <si>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</si>
  <si>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</si>
  <si>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</si>
  <si>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</si>
  <si>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</si>
  <si>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</si>
  <si>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</si>
  <si>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</si>
  <si>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</si>
  <si>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</si>
  <si>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</si>
  <si>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</si>
  <si>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</si>
  <si>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</si>
  <si>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</si>
  <si>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</si>
  <si>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</si>
  <si>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</si>
  <si>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</si>
  <si>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</si>
  <si>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</si>
  <si>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</si>
  <si>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</si>
  <si>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</si>
  <si>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</si>
  <si>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</si>
  <si>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</si>
  <si>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</si>
  <si>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</si>
  <si>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</si>
  <si>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</si>
  <si>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</si>
  <si>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</si>
  <si>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</si>
  <si>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</si>
  <si>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</si>
  <si>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</si>
  <si>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</si>
  <si>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</si>
  <si>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</si>
  <si>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</si>
  <si>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</si>
  <si>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</si>
  <si>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</si>
  <si>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</si>
  <si>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</si>
  <si>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</si>
  <si>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</si>
  <si>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</si>
  <si>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</si>
  <si>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</si>
  <si>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</si>
  <si>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</si>
  <si>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</si>
  <si>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</si>
  <si>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</si>
  <si>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</si>
  <si>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</si>
  <si>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</si>
  <si>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</si>
  <si>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</si>
  <si>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</si>
  <si>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</si>
  <si>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</si>
  <si>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</si>
  <si>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</si>
  <si>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</si>
  <si>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</si>
  <si>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</si>
  <si>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</si>
  <si>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</si>
  <si>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</si>
  <si>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</si>
  <si>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</si>
  <si>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</si>
  <si>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</si>
  <si>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</si>
  <si>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</si>
  <si>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</si>
  <si>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</si>
  <si>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</si>
  <si>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</si>
  <si>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</si>
  <si>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</si>
  <si>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</si>
  <si>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</si>
  <si>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</si>
  <si>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</si>
  <si>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</si>
  <si>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</si>
  <si>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</si>
  <si>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</si>
  <si>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</si>
  <si>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</si>
  <si>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</si>
  <si>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</si>
  <si>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</si>
  <si>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</si>
  <si>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</si>
  <si>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</si>
  <si>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</si>
  <si>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</si>
  <si>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</si>
  <si>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</si>
  <si>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</si>
  <si>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</si>
  <si>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</si>
  <si>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</si>
  <si>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</si>
  <si>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</si>
  <si>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</si>
  <si>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</si>
  <si>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</si>
  <si>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</si>
  <si>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</si>
  <si>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</si>
  <si>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</si>
  <si>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</si>
  <si>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</si>
  <si>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</si>
  <si>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</si>
  <si>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</si>
  <si>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</si>
  <si>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</si>
  <si>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</si>
  <si>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</si>
  <si>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</si>
  <si>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</si>
  <si>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</si>
  <si>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</si>
  <si>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</si>
  <si>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</si>
  <si>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</si>
  <si>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</si>
  <si>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</si>
  <si>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</si>
  <si>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</si>
  <si>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</si>
  <si>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</si>
  <si>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</si>
  <si>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</si>
  <si>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</si>
  <si>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</si>
  <si>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</si>
  <si>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</si>
  <si>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</si>
  <si>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</si>
  <si>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</si>
  <si>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</si>
  <si>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</si>
  <si>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</si>
  <si>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</si>
  <si>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</si>
  <si>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</si>
  <si>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</si>
  <si>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</si>
  <si>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</si>
  <si>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</si>
  <si>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</si>
  <si>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</si>
  <si>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</si>
  <si>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</si>
  <si>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</si>
  <si>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</si>
  <si>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</si>
  <si>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</si>
  <si>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</si>
  <si>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</si>
  <si>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</si>
  <si>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</si>
  <si>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</si>
  <si>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</si>
  <si>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</si>
  <si>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</si>
  <si>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</si>
  <si>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</si>
  <si>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</si>
  <si>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</si>
  <si>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</si>
  <si>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</si>
  <si>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</si>
  <si>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</si>
  <si>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</si>
  <si>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</si>
  <si>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</si>
  <si>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</si>
  <si>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</si>
  <si>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</si>
  <si>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</si>
  <si>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</si>
  <si>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</si>
  <si>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</si>
  <si>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</si>
  <si>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</si>
  <si>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</si>
  <si>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</si>
  <si>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</si>
  <si>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</si>
  <si>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</si>
  <si>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</si>
  <si>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</si>
  <si>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</si>
  <si>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</si>
  <si>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</si>
  <si>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</si>
  <si>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</si>
  <si>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</si>
  <si>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</si>
  <si>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</si>
  <si>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</si>
  <si>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</si>
  <si>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</si>
  <si>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</si>
  <si>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</si>
  <si>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</si>
  <si>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</si>
  <si>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</si>
  <si>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</si>
  <si>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</si>
  <si>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</si>
  <si>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</si>
  <si>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</si>
  <si>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</si>
  <si>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</si>
  <si>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</si>
  <si>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</si>
  <si>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</si>
  <si>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</si>
  <si>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</si>
  <si>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</si>
  <si>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</si>
  <si>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</si>
  <si>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</si>
  <si>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</si>
  <si>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</si>
  <si>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</si>
  <si>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</si>
  <si>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</si>
  <si>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</si>
  <si>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</si>
  <si>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</si>
  <si>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</si>
  <si>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</si>
  <si>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</si>
  <si>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</si>
  <si>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</si>
  <si>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</si>
  <si>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</si>
  <si>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</si>
  <si>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</si>
  <si>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</si>
  <si>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</si>
  <si>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</si>
  <si>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</si>
  <si>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</si>
  <si>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</si>
  <si>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</si>
  <si>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</si>
  <si>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</si>
  <si>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</si>
  <si>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</si>
  <si>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</si>
  <si>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</si>
  <si>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</si>
  <si>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</si>
  <si>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</si>
  <si>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</si>
  <si>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</si>
  <si>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</si>
  <si>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</si>
  <si>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</si>
  <si>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</si>
  <si>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</si>
  <si>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</si>
  <si>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</si>
  <si>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</si>
  <si>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</si>
  <si>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</si>
  <si>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</si>
  <si>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</si>
  <si>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</si>
  <si>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</si>
  <si>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</si>
  <si>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</si>
  <si>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</si>
  <si>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</si>
  <si>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</si>
  <si>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</si>
  <si>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</si>
  <si>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</si>
  <si>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</si>
  <si>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</si>
  <si>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</si>
  <si>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</si>
  <si>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</si>
  <si>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</si>
  <si>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</si>
  <si>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</si>
  <si>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</si>
  <si>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</si>
  <si>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</si>
  <si>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</si>
  <si>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</si>
  <si>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</si>
  <si>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</si>
  <si>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</si>
  <si>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</si>
  <si>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</si>
  <si>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</si>
  <si>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</si>
  <si>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</si>
  <si>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</si>
  <si>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</si>
  <si>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</si>
  <si>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</si>
  <si>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</si>
  <si>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</si>
  <si>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</si>
  <si>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</si>
  <si>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</si>
  <si>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</si>
  <si>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</si>
  <si>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</si>
  <si>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</si>
  <si>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</si>
  <si>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</si>
  <si>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</si>
  <si>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</si>
  <si>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</si>
  <si>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</si>
  <si>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</si>
  <si>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</si>
  <si>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</si>
  <si>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</si>
  <si>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</si>
  <si>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</si>
  <si>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</si>
  <si>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</si>
  <si>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</si>
  <si>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</si>
  <si>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</si>
  <si>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</si>
  <si>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</si>
  <si>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</si>
  <si>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</si>
  <si>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</si>
  <si>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</si>
  <si>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</si>
  <si>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</si>
  <si>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</si>
  <si>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</si>
  <si>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</si>
  <si>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</si>
  <si>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</si>
  <si>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</si>
  <si>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</si>
  <si>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</si>
  <si>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</si>
  <si>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</si>
  <si>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</si>
  <si>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</si>
  <si>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</si>
  <si>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</si>
  <si>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</si>
  <si>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</si>
  <si>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</si>
  <si>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</si>
  <si>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</si>
  <si>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</si>
  <si>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</si>
  <si>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</si>
  <si>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</si>
  <si>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</si>
  <si>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</si>
  <si>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</si>
  <si>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</si>
  <si>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</si>
  <si>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</si>
  <si>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</si>
  <si>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</si>
  <si>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</si>
  <si>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</si>
  <si>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</si>
  <si>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</si>
  <si>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</si>
  <si>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</si>
  <si>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</si>
  <si>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</si>
  <si>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</si>
  <si>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</si>
  <si>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</si>
  <si>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</si>
  <si>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</si>
  <si>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</si>
  <si>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</si>
  <si>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</si>
  <si>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</si>
  <si>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</si>
  <si>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</si>
  <si>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</si>
  <si>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</si>
  <si>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</si>
  <si>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</si>
  <si>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</si>
  <si>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</si>
  <si>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</si>
  <si>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</si>
  <si>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</si>
  <si>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</si>
  <si>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</si>
  <si>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</si>
  <si>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</si>
  <si>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</si>
  <si>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</si>
  <si>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</si>
  <si>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</si>
  <si>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</si>
  <si>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</si>
  <si>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</si>
  <si>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</si>
  <si>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</si>
  <si>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</si>
  <si>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</si>
  <si>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</si>
  <si>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</si>
  <si>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</si>
  <si>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</si>
  <si>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</si>
  <si>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</si>
  <si>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</si>
  <si>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</si>
  <si>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</si>
  <si>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</si>
  <si>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</si>
  <si>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</si>
  <si>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</si>
  <si>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</si>
  <si>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</si>
  <si>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</si>
  <si>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</si>
  <si>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</si>
  <si>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</si>
  <si>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</si>
  <si>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</si>
  <si>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</si>
  <si>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</si>
  <si>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</si>
  <si>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</si>
  <si>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</si>
  <si>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</si>
  <si>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</si>
  <si>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</si>
  <si>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</si>
  <si>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</si>
  <si>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</si>
  <si>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</si>
  <si>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</si>
  <si>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</si>
  <si>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</si>
  <si>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</si>
  <si>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</si>
  <si>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</si>
  <si>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</si>
  <si>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</si>
  <si>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</si>
  <si>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</si>
  <si>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</si>
  <si>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</si>
  <si>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</si>
  <si>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</si>
  <si>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</si>
  <si>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</si>
  <si>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</si>
  <si>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</si>
  <si>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</si>
  <si>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</si>
  <si>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</si>
  <si>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</si>
  <si>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</si>
  <si>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</si>
  <si>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</si>
  <si>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</si>
  <si>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</si>
  <si>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</si>
  <si>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</si>
  <si>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</si>
  <si>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</si>
  <si>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</si>
  <si>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</si>
  <si>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</si>
  <si>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</si>
  <si>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</si>
  <si>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</si>
  <si>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</si>
  <si>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</si>
  <si>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</si>
  <si>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</si>
  <si>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</si>
  <si>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</si>
  <si>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</si>
  <si>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</si>
  <si>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</si>
  <si>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</si>
  <si>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</si>
  <si>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</si>
  <si>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</si>
  <si>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</si>
  <si>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</si>
  <si>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</si>
  <si>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</si>
  <si>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</si>
  <si>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</si>
  <si>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</si>
  <si>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</si>
  <si>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</si>
  <si>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</si>
  <si>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</si>
  <si>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</si>
  <si>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</si>
  <si>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</si>
  <si>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</si>
  <si>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</si>
  <si>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</si>
  <si>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</si>
  <si>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</si>
  <si>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</si>
  <si>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</si>
  <si>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</si>
  <si>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</si>
  <si>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</si>
  <si>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</si>
  <si>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</si>
  <si>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</si>
  <si>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</si>
  <si>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</si>
  <si>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</si>
  <si>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</si>
  <si>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</si>
  <si>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</si>
  <si>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</si>
  <si>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</si>
  <si>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</si>
  <si>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</si>
  <si>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</si>
  <si>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</si>
  <si>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</si>
  <si>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</si>
  <si>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</si>
  <si>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</si>
  <si>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</si>
  <si>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</si>
  <si>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</si>
  <si>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</si>
  <si>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</si>
  <si>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</si>
  <si>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</si>
  <si>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</si>
  <si>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</si>
  <si>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</si>
  <si>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</si>
  <si>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</si>
  <si>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</si>
  <si>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</si>
  <si>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</si>
  <si>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</si>
  <si>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</si>
  <si>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</si>
  <si>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</si>
  <si>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</si>
  <si>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</si>
  <si>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</si>
  <si>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</si>
  <si>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</si>
  <si>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</si>
  <si>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</si>
  <si>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</si>
  <si>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</si>
  <si>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</si>
  <si>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</si>
  <si>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</si>
  <si>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</si>
  <si>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</si>
  <si>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</si>
  <si>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</si>
  <si>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</si>
  <si>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</si>
  <si>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</si>
  <si>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</si>
  <si>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</si>
  <si>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</si>
  <si>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</si>
  <si>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</si>
  <si>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</si>
  <si>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</si>
  <si>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</si>
  <si>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</si>
  <si>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</si>
  <si>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</si>
  <si>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</si>
  <si>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</si>
  <si>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</si>
  <si>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</si>
  <si>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</si>
  <si>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</si>
  <si>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</si>
  <si>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</si>
  <si>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</si>
  <si>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</si>
  <si>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</si>
  <si>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</si>
  <si>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</si>
  <si>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</si>
  <si>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</si>
  <si>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</si>
  <si>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</si>
  <si>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</si>
  <si>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</si>
  <si>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</si>
  <si>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</si>
  <si>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</si>
  <si>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</si>
  <si>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</si>
  <si>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</si>
  <si>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</si>
  <si>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</si>
  <si>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</si>
  <si>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</si>
  <si>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</si>
  <si>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</si>
  <si>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</si>
  <si>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</si>
  <si>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</si>
  <si>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</si>
  <si>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</si>
  <si>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</si>
  <si>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</si>
  <si>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</si>
  <si>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</si>
  <si>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</si>
  <si>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</si>
  <si>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</si>
  <si>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</si>
  <si>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</si>
  <si>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</si>
  <si>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</si>
  <si>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</si>
  <si>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</si>
  <si>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</si>
  <si>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</si>
  <si>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</si>
  <si>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</si>
  <si>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</si>
  <si>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</si>
  <si>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</si>
  <si>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</si>
  <si>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</si>
  <si>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</si>
  <si>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</si>
  <si>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</si>
  <si>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</si>
  <si>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</si>
  <si>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</si>
  <si>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</si>
  <si>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</si>
  <si>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</si>
  <si>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</si>
  <si>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</si>
  <si>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</si>
  <si>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</si>
  <si>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</si>
  <si>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</si>
  <si>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</si>
  <si>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</si>
  <si>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</si>
  <si>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</si>
  <si>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</si>
  <si>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</si>
  <si>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</si>
  <si>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</si>
  <si>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</si>
  <si>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</si>
  <si>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</si>
  <si>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</si>
  <si>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</si>
  <si>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</si>
  <si>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</si>
  <si>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</si>
  <si>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</si>
  <si>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</si>
  <si>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</si>
  <si>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</si>
  <si>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</si>
  <si>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</si>
  <si>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</si>
  <si>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</si>
  <si>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</si>
  <si>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</si>
  <si>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</si>
  <si>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</si>
  <si>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</si>
  <si>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</si>
  <si>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</si>
  <si>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</si>
  <si>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</si>
  <si>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</si>
  <si>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</si>
  <si>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</si>
  <si>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</si>
  <si>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</si>
  <si>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</si>
  <si>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</si>
  <si>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</si>
  <si>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</si>
  <si>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</si>
  <si>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</si>
  <si>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</si>
  <si>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</si>
  <si>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</si>
  <si>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</si>
  <si>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</si>
  <si>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</si>
  <si>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</si>
  <si>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</si>
  <si>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</si>
  <si>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</si>
  <si>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</si>
  <si>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</si>
  <si>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</si>
  <si>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</si>
  <si>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</si>
  <si>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</si>
  <si>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</si>
  <si>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</si>
  <si>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</si>
  <si>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</si>
  <si>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</si>
  <si>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</si>
  <si>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</si>
  <si>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</si>
  <si>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</si>
  <si>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</si>
  <si>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</si>
  <si>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</si>
  <si>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</si>
  <si>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</si>
  <si>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</si>
  <si>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</si>
  <si>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</si>
  <si>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</si>
  <si>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</si>
  <si>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</si>
  <si>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</si>
  <si>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</si>
  <si>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</si>
  <si>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</si>
  <si>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</si>
  <si>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</si>
  <si>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</si>
  <si>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</si>
  <si>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</si>
  <si>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</si>
  <si>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</si>
  <si>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</si>
  <si>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</si>
  <si>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</si>
  <si>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</si>
  <si>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</si>
  <si>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</si>
  <si>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</si>
  <si>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</si>
  <si>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</si>
  <si>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</si>
  <si>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</si>
  <si>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</si>
  <si>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</si>
  <si>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</si>
  <si>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</si>
  <si>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</si>
  <si>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</si>
  <si>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</si>
  <si>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</si>
  <si>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</si>
  <si>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</si>
  <si>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</si>
  <si>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</si>
  <si>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</si>
  <si>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</si>
  <si>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</si>
  <si>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</si>
  <si>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</si>
  <si>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</si>
  <si>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</si>
  <si>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</si>
  <si>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</si>
  <si>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</si>
  <si>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</si>
  <si>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</si>
  <si>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</si>
  <si>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</si>
  <si>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</si>
  <si>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</si>
  <si>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</si>
  <si>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</si>
  <si>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</si>
  <si>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</si>
  <si>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</si>
  <si>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</si>
  <si>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</si>
  <si>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</si>
  <si>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</si>
  <si>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</si>
  <si>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</si>
  <si>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</si>
  <si>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</si>
  <si>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</si>
  <si>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</si>
  <si>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</si>
  <si>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</si>
  <si>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</si>
  <si>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</si>
  <si>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</si>
  <si>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</si>
  <si>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</si>
  <si>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</si>
  <si>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</si>
  <si>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</si>
  <si>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</si>
  <si>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</si>
  <si>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</si>
  <si>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</si>
  <si>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</si>
  <si>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</si>
  <si>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</si>
  <si>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</si>
  <si>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</si>
  <si>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</si>
  <si>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</si>
  <si>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</si>
  <si>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</si>
  <si>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</si>
  <si>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</si>
  <si>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</si>
  <si>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</si>
  <si>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</si>
  <si>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</si>
  <si>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</si>
  <si>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</si>
  <si>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</si>
  <si>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</si>
  <si>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</si>
  <si>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</si>
  <si>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</si>
  <si>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</si>
  <si>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</si>
  <si>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</si>
  <si>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</si>
  <si>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</si>
  <si>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</si>
  <si>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</si>
  <si>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</si>
  <si>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</si>
  <si>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</si>
  <si>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</si>
  <si>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</si>
  <si>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</si>
  <si>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</si>
  <si>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</si>
  <si>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</si>
  <si>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</si>
  <si>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</si>
  <si>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</si>
  <si>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</si>
  <si>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</si>
  <si>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</si>
  <si>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</si>
  <si>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</si>
  <si>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</si>
  <si>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</si>
  <si>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</si>
  <si>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</si>
  <si>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</si>
  <si>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</si>
  <si>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</si>
  <si>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</si>
  <si>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</si>
  <si>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</si>
  <si>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</si>
  <si>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</si>
  <si>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</si>
  <si>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</si>
  <si>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</si>
  <si>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</si>
  <si>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</si>
  <si>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</si>
  <si>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</si>
  <si>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</si>
  <si>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</si>
  <si>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</si>
  <si>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</si>
  <si>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</si>
  <si>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</si>
  <si>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</si>
  <si>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</si>
  <si>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</si>
  <si>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</si>
  <si>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</si>
  <si>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</si>
  <si>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</si>
  <si>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</si>
  <si>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</si>
  <si>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</si>
  <si>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</si>
  <si>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</si>
  <si>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</si>
  <si>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</si>
  <si>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</si>
  <si>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</si>
  <si>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</si>
  <si>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</si>
  <si>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</si>
  <si>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</si>
  <si>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</si>
  <si>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</si>
  <si>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</si>
  <si>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</si>
  <si>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</si>
  <si>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</si>
  <si>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</si>
  <si>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</si>
  <si>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</si>
  <si>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</si>
  <si>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</si>
  <si>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</si>
  <si>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</si>
  <si>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</si>
  <si>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</si>
  <si>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</si>
  <si>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</si>
  <si>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</si>
  <si>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</si>
  <si>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</si>
  <si>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</si>
  <si>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</si>
  <si>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</si>
  <si>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</si>
  <si>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</si>
  <si>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</si>
  <si>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</si>
  <si>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</si>
  <si>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</si>
  <si>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</si>
  <si>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</si>
  <si>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</si>
  <si>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</si>
  <si>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</si>
  <si>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</si>
  <si>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</si>
  <si>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</si>
  <si>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</si>
  <si>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</si>
  <si>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</si>
  <si>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</si>
  <si>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</si>
  <si>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</si>
  <si>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</si>
  <si>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</si>
  <si>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</si>
  <si>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</si>
  <si>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</si>
  <si>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</si>
  <si>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</si>
  <si>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</si>
  <si>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</si>
  <si>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</si>
  <si>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</si>
  <si>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</si>
  <si>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</si>
  <si>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</si>
  <si>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</si>
  <si>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</si>
  <si>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</si>
  <si>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</si>
  <si>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</si>
  <si>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</si>
  <si>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</si>
  <si>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</si>
  <si>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</si>
  <si>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</si>
  <si>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</si>
  <si>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</si>
  <si>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</si>
  <si>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</si>
  <si>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</si>
  <si>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</si>
  <si>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</si>
  <si>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</si>
  <si>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</si>
  <si>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</si>
  <si>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</si>
  <si>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</si>
  <si>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</si>
  <si>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</si>
  <si>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</si>
  <si>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</si>
  <si>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</si>
  <si>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</si>
  <si>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</si>
  <si>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</si>
  <si>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</si>
  <si>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</si>
  <si>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</si>
  <si>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</si>
  <si>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</si>
  <si>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</si>
  <si>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</si>
  <si>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</si>
  <si>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</si>
  <si>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</si>
  <si>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</si>
  <si>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</si>
  <si>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</si>
  <si>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</si>
  <si>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</si>
  <si>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</si>
  <si>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</si>
  <si>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</si>
  <si>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</si>
  <si>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</si>
  <si>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</si>
  <si>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</si>
  <si>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</si>
  <si>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</si>
  <si>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</si>
  <si>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</si>
  <si>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</si>
  <si>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</si>
  <si>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</si>
  <si>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</si>
  <si>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</si>
  <si>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</si>
  <si>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</si>
  <si>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</si>
  <si>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</si>
  <si>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</si>
  <si>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</si>
  <si>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</si>
  <si>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</si>
  <si>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</si>
  <si>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</si>
  <si>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</si>
  <si>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</si>
  <si>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</si>
  <si>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</si>
  <si>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</si>
  <si>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</si>
  <si>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</si>
  <si>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</si>
  <si>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</si>
  <si>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</si>
  <si>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</si>
  <si>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</si>
  <si>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</si>
  <si>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</si>
  <si>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</si>
  <si>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</si>
  <si>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</si>
  <si>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</si>
  <si>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</si>
  <si>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</si>
  <si>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</si>
  <si>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</si>
  <si>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</si>
  <si>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</si>
  <si>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</si>
  <si>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</si>
  <si>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</si>
  <si>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</si>
  <si>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</si>
  <si>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</si>
  <si>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</si>
  <si>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</si>
  <si>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</si>
  <si>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</si>
  <si>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</si>
  <si>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</si>
  <si>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</si>
  <si>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</si>
  <si>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</si>
  <si>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</si>
  <si>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</si>
  <si>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</si>
  <si>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</si>
  <si>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</si>
  <si>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</si>
  <si>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</si>
  <si>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</si>
  <si>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</si>
  <si>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</si>
  <si>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</si>
  <si>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</si>
  <si>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</si>
  <si>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</si>
  <si>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</si>
  <si>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</si>
  <si>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</si>
  <si>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</si>
  <si>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</si>
  <si>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</si>
  <si>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</si>
  <si>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</si>
  <si>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</si>
  <si>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</si>
  <si>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</si>
  <si>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</si>
  <si>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</si>
  <si>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</si>
  <si>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</si>
  <si>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</si>
  <si>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</si>
  <si>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</si>
  <si>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</si>
  <si>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</si>
  <si>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</si>
  <si>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</si>
  <si>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</si>
  <si>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</si>
  <si>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</si>
  <si>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</si>
  <si>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</si>
  <si>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</si>
  <si>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</si>
  <si>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</si>
  <si>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</si>
  <si>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</si>
  <si>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</si>
  <si>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</si>
  <si>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</si>
  <si>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</si>
  <si>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</si>
  <si>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</si>
  <si>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</si>
  <si>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</si>
  <si>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</si>
  <si>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</si>
  <si>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</si>
  <si>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</si>
  <si>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</si>
  <si>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</si>
  <si>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</si>
  <si>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</si>
  <si>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</si>
  <si>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</si>
  <si>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</si>
  <si>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</si>
  <si>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</si>
  <si>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</si>
  <si>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</si>
  <si>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</si>
  <si>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</si>
  <si>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</si>
  <si>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</si>
  <si>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</si>
  <si>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</si>
  <si>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</si>
  <si>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</si>
  <si>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</si>
  <si>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</si>
  <si>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</si>
  <si>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</si>
  <si>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</si>
  <si>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</si>
  <si>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</si>
  <si>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</si>
  <si>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</si>
  <si>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</si>
  <si>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</si>
  <si>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</si>
  <si>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</si>
  <si>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</si>
  <si>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</si>
  <si>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</si>
  <si>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</si>
  <si>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</si>
  <si>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</si>
  <si>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</si>
  <si>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</si>
  <si>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</si>
  <si>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</si>
  <si>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</si>
  <si>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</si>
  <si>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</si>
  <si>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</si>
  <si>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</si>
  <si>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</si>
  <si>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</si>
  <si>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</si>
  <si>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</si>
  <si>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</si>
  <si>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</si>
  <si>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</si>
  <si>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</si>
  <si>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</si>
  <si>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</si>
  <si>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</si>
  <si>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</si>
  <si>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</si>
  <si>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</si>
  <si>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</si>
  <si>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</si>
  <si>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</si>
  <si>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</si>
  <si>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</si>
  <si>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</si>
  <si>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</si>
  <si>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</si>
  <si>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</si>
  <si>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</si>
  <si>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</si>
  <si>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</si>
  <si>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</si>
  <si>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</si>
  <si>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</si>
  <si>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</si>
  <si>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</si>
  <si>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</si>
  <si>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</si>
  <si>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</si>
  <si>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</si>
  <si>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</si>
  <si>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</si>
  <si>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</si>
  <si>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</si>
  <si>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</si>
  <si>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</si>
  <si>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</si>
  <si>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</si>
  <si>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</si>
  <si>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</si>
  <si>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</si>
  <si>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</si>
  <si>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</si>
  <si>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</si>
  <si>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</si>
  <si>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</si>
  <si>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</si>
  <si>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</si>
  <si>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</si>
  <si>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</si>
  <si>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</si>
  <si>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</si>
  <si>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</si>
  <si>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</si>
  <si>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</si>
  <si>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</si>
  <si>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</si>
  <si>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</si>
  <si>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</si>
  <si>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</si>
  <si>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</si>
  <si>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</si>
  <si>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</si>
  <si>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</si>
  <si>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</si>
  <si>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</si>
  <si>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</si>
  <si>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</si>
  <si>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</si>
  <si>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</si>
  <si>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</si>
  <si>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</si>
  <si>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</si>
  <si>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</si>
  <si>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</si>
  <si>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</si>
  <si>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</si>
  <si>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</si>
  <si>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</si>
  <si>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</si>
  <si>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</si>
  <si>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</si>
  <si>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</si>
  <si>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</si>
  <si>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</si>
  <si>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</si>
  <si>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</si>
  <si>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</si>
  <si>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</si>
  <si>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</si>
  <si>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</si>
  <si>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</si>
  <si>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</si>
  <si>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</si>
  <si>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</si>
  <si>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</si>
  <si>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</si>
  <si>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</si>
  <si>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</si>
  <si>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</si>
  <si>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</si>
  <si>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</si>
  <si>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</si>
  <si>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</si>
  <si>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</si>
  <si>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</si>
  <si>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</si>
  <si>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</si>
  <si>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</si>
  <si>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</si>
  <si>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</si>
  <si>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</si>
  <si>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</si>
  <si>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</si>
  <si>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</si>
  <si>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</si>
  <si>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</si>
  <si>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</si>
  <si>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</si>
  <si>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</si>
  <si>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</si>
  <si>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</si>
  <si>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</si>
  <si>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</si>
  <si>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</si>
  <si>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</si>
  <si>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</si>
  <si>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</si>
  <si>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</si>
  <si>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</si>
  <si>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</si>
  <si>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</si>
  <si>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</si>
  <si>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</si>
  <si>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</si>
  <si>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</si>
  <si>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</si>
  <si>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</si>
  <si>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</si>
  <si>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</si>
  <si>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</si>
  <si>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</si>
  <si>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</si>
  <si>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</si>
  <si>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</si>
  <si>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</si>
  <si>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</si>
  <si>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</si>
  <si>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</si>
  <si>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</si>
  <si>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</si>
  <si>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</si>
  <si>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</si>
  <si>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</si>
  <si>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</si>
  <si>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</si>
  <si>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</si>
  <si>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</si>
  <si>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</si>
  <si>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</si>
  <si>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</si>
  <si>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</si>
  <si>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</si>
  <si>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</si>
  <si>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</si>
  <si>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</si>
  <si>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</si>
  <si>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</si>
  <si>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</si>
  <si>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</si>
  <si>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</si>
  <si>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</si>
  <si>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</si>
  <si>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</si>
  <si>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</si>
  <si>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</si>
  <si>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</si>
  <si>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</si>
  <si>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</si>
  <si>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</si>
  <si>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</si>
  <si>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</si>
  <si>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</si>
  <si>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</si>
  <si>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</si>
  <si>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</si>
  <si>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</si>
  <si>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</si>
  <si>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</si>
  <si>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</si>
  <si>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</si>
  <si>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</si>
  <si>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</si>
  <si>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</si>
  <si>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</si>
  <si>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</si>
  <si>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</si>
  <si>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</si>
  <si>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</si>
  <si>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</si>
  <si>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</si>
  <si>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</si>
  <si>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</si>
  <si>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</si>
  <si>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</si>
  <si>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</si>
  <si>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</si>
  <si>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</si>
  <si>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</si>
  <si>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</si>
  <si>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</si>
  <si>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</si>
  <si>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</si>
  <si>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</si>
  <si>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</si>
  <si>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</si>
  <si>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</si>
  <si>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</si>
  <si>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</si>
  <si>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</si>
  <si>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</si>
  <si>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</si>
  <si>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</si>
  <si>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</si>
  <si>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</si>
  <si>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</si>
  <si>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</si>
  <si>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</si>
  <si>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</si>
  <si>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</si>
  <si>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</si>
  <si>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</si>
  <si>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</si>
  <si>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</si>
  <si>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</si>
  <si>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</si>
  <si>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</si>
  <si>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</si>
  <si>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</si>
  <si>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</si>
  <si>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</si>
  <si>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</si>
  <si>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</si>
  <si>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</si>
  <si>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</si>
  <si>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</si>
  <si>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</si>
  <si>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</si>
  <si>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</si>
  <si>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</si>
  <si>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</si>
  <si>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</si>
  <si>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</si>
  <si>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</si>
  <si>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</si>
  <si>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</si>
  <si>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</si>
  <si>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</si>
  <si>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</si>
  <si>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</si>
  <si>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</si>
  <si>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</si>
  <si>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</si>
  <si>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</si>
  <si>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</si>
  <si>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</si>
  <si>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</si>
  <si>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</si>
  <si>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</si>
  <si>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</si>
  <si>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</si>
  <si>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</si>
  <si>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</si>
  <si>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</si>
  <si>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</si>
  <si>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</si>
  <si>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</si>
  <si>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</si>
  <si>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</si>
  <si>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</si>
  <si>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</si>
  <si>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</si>
  <si>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</si>
  <si>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</si>
  <si>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</si>
  <si>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</si>
  <si>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</si>
  <si>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</si>
  <si>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</si>
  <si>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</si>
  <si>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</si>
  <si>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</si>
  <si>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</si>
  <si>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</si>
  <si>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</si>
  <si>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</si>
  <si>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</si>
  <si>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</si>
  <si>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</si>
  <si>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</si>
  <si>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</si>
  <si>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</si>
  <si>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</si>
  <si>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</si>
  <si>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</si>
  <si>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</si>
  <si>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</si>
  <si>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</si>
  <si>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</si>
  <si>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</si>
  <si>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</si>
  <si>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</si>
  <si>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</si>
  <si>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</si>
  <si>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</si>
  <si>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</si>
  <si>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</si>
  <si>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</si>
  <si>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</si>
  <si>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</si>
  <si>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</si>
  <si>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</si>
  <si>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</si>
  <si>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</si>
  <si>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</si>
  <si>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</si>
  <si>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</si>
  <si>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</si>
  <si>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</si>
  <si>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</si>
  <si>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</si>
  <si>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</si>
  <si>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</si>
  <si>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</si>
  <si>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</si>
  <si>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</si>
  <si>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</si>
  <si>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</si>
  <si>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</si>
  <si>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</si>
  <si>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</si>
  <si>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</si>
  <si>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</si>
  <si>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</si>
  <si>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</si>
  <si>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</si>
  <si>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</si>
  <si>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</si>
  <si>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</si>
  <si>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</si>
  <si>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</si>
  <si>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</si>
  <si>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</si>
  <si>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</si>
  <si>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</si>
  <si>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</si>
  <si>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</si>
  <si>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</si>
  <si>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</si>
  <si>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</si>
  <si>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</si>
  <si>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</si>
  <si>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</si>
  <si>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</si>
  <si>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</si>
  <si>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</si>
  <si>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</si>
  <si>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</si>
  <si>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</si>
  <si>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</si>
  <si>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</si>
  <si>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</si>
  <si>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</si>
  <si>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</si>
  <si>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</si>
  <si>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</si>
  <si>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</si>
  <si>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</si>
  <si>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</si>
  <si>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</si>
  <si>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</si>
  <si>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</si>
  <si>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</si>
  <si>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</si>
  <si>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</si>
  <si>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</si>
  <si>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</si>
  <si>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</si>
  <si>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</si>
  <si>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</si>
  <si>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</si>
  <si>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</si>
  <si>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</si>
  <si>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</si>
  <si>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</si>
  <si>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</si>
  <si>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</si>
  <si>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</si>
  <si>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</si>
  <si>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</si>
  <si>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</si>
  <si>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</si>
  <si>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</si>
  <si>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</si>
  <si>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</si>
  <si>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</si>
  <si>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</si>
  <si>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</si>
  <si>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</si>
  <si>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</si>
  <si>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</si>
  <si>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</si>
  <si>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</si>
  <si>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</si>
  <si>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</si>
  <si>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</si>
  <si>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</si>
  <si>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</si>
  <si>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</si>
  <si>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</si>
  <si>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</si>
  <si>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</si>
  <si>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</si>
  <si>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</si>
  <si>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</si>
  <si>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</si>
  <si>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</si>
  <si>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</si>
  <si>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</si>
  <si>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</si>
  <si>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</si>
  <si>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</si>
  <si>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</si>
  <si>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</si>
  <si>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</si>
  <si>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</si>
  <si>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</si>
  <si>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</si>
  <si>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</si>
  <si>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</si>
  <si>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</si>
  <si>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</si>
  <si>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</si>
  <si>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</si>
  <si>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</si>
  <si>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</si>
  <si>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</si>
  <si>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</si>
  <si>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</si>
  <si>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</si>
  <si>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</si>
  <si>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</si>
  <si>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</si>
  <si>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</si>
  <si>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</si>
  <si>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</si>
  <si>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</si>
  <si>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</si>
  <si>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</si>
  <si>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</si>
  <si>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</si>
  <si>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</si>
  <si>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</si>
  <si>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</si>
  <si>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</si>
  <si>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</si>
  <si>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</si>
  <si>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</si>
  <si>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</si>
  <si>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</si>
  <si>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</si>
  <si>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</si>
  <si>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</si>
  <si>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</si>
  <si>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</si>
  <si>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</si>
  <si>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</si>
  <si>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</si>
  <si>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</si>
  <si>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</si>
  <si>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</si>
  <si>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</si>
  <si>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</si>
  <si>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</si>
  <si>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</si>
  <si>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</si>
  <si>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</si>
  <si>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</si>
  <si>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</si>
  <si>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</si>
  <si>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</si>
  <si>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</si>
  <si>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</si>
  <si>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</si>
  <si>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</si>
  <si>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</si>
  <si>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</si>
  <si>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</si>
  <si>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</si>
  <si>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</si>
  <si>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</si>
  <si>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</si>
  <si>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</si>
  <si>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</si>
  <si>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</si>
  <si>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</si>
  <si>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</si>
  <si>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</si>
  <si>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</si>
  <si>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</si>
  <si>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</si>
  <si>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</si>
  <si>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</si>
  <si>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</si>
  <si>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</si>
  <si>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</si>
  <si>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</si>
  <si>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</si>
  <si>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</si>
  <si>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</si>
  <si>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</si>
  <si>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</si>
  <si>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</si>
  <si>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</si>
  <si>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</si>
  <si>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</si>
  <si>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</si>
  <si>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</si>
  <si>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</si>
  <si>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</si>
  <si>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</si>
  <si>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</si>
  <si>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</si>
  <si>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</si>
  <si>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</si>
  <si>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</si>
  <si>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</si>
  <si>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</si>
  <si>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</si>
  <si>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</si>
  <si>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</si>
  <si>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</si>
  <si>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</si>
  <si>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</si>
  <si>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</si>
  <si>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</si>
  <si>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</si>
  <si>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</si>
  <si>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</si>
  <si>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</si>
  <si>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</si>
  <si>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</si>
  <si>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</si>
  <si>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</si>
  <si>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</si>
  <si>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</si>
  <si>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</si>
  <si>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</si>
  <si>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</si>
  <si>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</si>
  <si>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</si>
  <si>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</si>
  <si>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</si>
  <si>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</si>
  <si>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</si>
  <si>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</si>
  <si>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</si>
  <si>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</si>
  <si>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</si>
  <si>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</si>
  <si>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</si>
  <si>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</si>
  <si>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</si>
  <si>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</si>
  <si>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</si>
  <si>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</si>
  <si>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</si>
  <si>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</si>
  <si>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</si>
  <si>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</si>
  <si>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</si>
  <si>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</si>
  <si>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</si>
  <si>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</si>
  <si>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</si>
  <si>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</si>
  <si>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</si>
  <si>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</si>
  <si>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</si>
  <si>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</si>
  <si>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</si>
  <si>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</si>
  <si>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</si>
  <si>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</si>
  <si>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</si>
  <si>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</si>
  <si>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</si>
  <si>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</si>
  <si>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</si>
  <si>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</si>
  <si>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</si>
  <si>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</si>
  <si>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</si>
  <si>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</si>
  <si>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</si>
  <si>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</si>
  <si>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</si>
  <si>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</si>
  <si>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</si>
  <si>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</si>
  <si>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</si>
  <si>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</si>
  <si>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</si>
  <si>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</si>
  <si>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</si>
  <si>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</si>
  <si>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</si>
  <si>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</si>
  <si>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</si>
  <si>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</si>
  <si>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</si>
  <si>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</si>
  <si>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</si>
  <si>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</si>
  <si>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</si>
  <si>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</si>
  <si>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</si>
  <si>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</si>
  <si>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</si>
  <si>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</si>
  <si>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</si>
  <si>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</si>
  <si>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</si>
  <si>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</si>
  <si>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</si>
  <si>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</si>
  <si>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</si>
  <si>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</si>
  <si>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</si>
  <si>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</si>
  <si>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</si>
  <si>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</si>
  <si>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</si>
  <si>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</si>
  <si>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</si>
  <si>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</si>
  <si>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</si>
  <si>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</si>
  <si>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</si>
  <si>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</si>
  <si>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</si>
  <si>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</si>
  <si>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</si>
  <si>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</si>
  <si>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</si>
  <si>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</si>
  <si>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</si>
  <si>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</si>
  <si>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</si>
  <si>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</si>
  <si>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</si>
  <si>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</si>
  <si>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</si>
  <si>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</si>
  <si>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</si>
  <si>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</si>
  <si>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</si>
  <si>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</si>
  <si>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</si>
  <si>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</si>
  <si>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</si>
  <si>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</si>
  <si>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</si>
  <si>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</si>
  <si>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</si>
  <si>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</si>
  <si>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</si>
  <si>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</si>
  <si>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</si>
  <si>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</si>
  <si>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</si>
  <si>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</si>
  <si>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</si>
  <si>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</si>
  <si>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</si>
  <si>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</si>
  <si>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</si>
  <si>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</si>
  <si>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</si>
  <si>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</si>
  <si>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</si>
  <si>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</si>
  <si>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</si>
  <si>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</si>
  <si>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</si>
  <si>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</si>
  <si>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</si>
  <si>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</si>
  <si>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</si>
  <si>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</si>
  <si>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</si>
  <si>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</si>
  <si>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</si>
  <si>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</si>
  <si>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</si>
  <si>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</si>
  <si>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</si>
  <si>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</si>
  <si>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</si>
  <si>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</si>
  <si>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</si>
  <si>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</si>
  <si>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</si>
  <si>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</si>
  <si>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</si>
  <si>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</si>
  <si>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</si>
  <si>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</si>
  <si>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</si>
  <si>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</si>
  <si>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</si>
  <si>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</si>
  <si>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</si>
  <si>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</si>
  <si>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</si>
  <si>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</si>
  <si>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</si>
  <si>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</si>
  <si>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</si>
  <si>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</si>
  <si>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</si>
  <si>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</si>
  <si>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</si>
  <si>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</si>
  <si>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</si>
  <si>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</si>
  <si>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</si>
  <si>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</si>
  <si>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</si>
  <si>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</si>
  <si>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</si>
  <si>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</si>
  <si>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</si>
  <si>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</si>
  <si>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</si>
  <si>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</si>
  <si>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</si>
  <si>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</si>
  <si>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</si>
  <si>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</si>
  <si>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</si>
  <si>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</si>
  <si>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</si>
  <si>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</si>
  <si>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</si>
  <si>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</si>
  <si>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</si>
  <si>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</si>
  <si>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</si>
  <si>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</si>
  <si>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</si>
  <si>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</si>
  <si>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</si>
  <si>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</si>
  <si>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</si>
  <si>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</si>
  <si>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</si>
  <si>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</si>
  <si>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</si>
  <si>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</si>
  <si>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</si>
  <si>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</si>
  <si>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</si>
  <si>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</si>
  <si>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</si>
  <si>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</si>
  <si>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</si>
  <si>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</si>
  <si>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</si>
  <si>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</si>
  <si>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</si>
  <si>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</si>
  <si>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</si>
  <si>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</si>
  <si>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</si>
  <si>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</si>
  <si>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</si>
  <si>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</si>
  <si>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</si>
  <si>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</si>
  <si>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</si>
  <si>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</si>
  <si>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</si>
  <si>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</si>
  <si>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</si>
  <si>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</si>
  <si>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</si>
  <si>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</si>
  <si>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</si>
  <si>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</si>
  <si>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</si>
  <si>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</si>
  <si>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</si>
  <si>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</si>
  <si>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</si>
  <si>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</si>
  <si>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</si>
  <si>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</si>
  <si>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</si>
  <si>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</si>
  <si>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</si>
  <si>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</si>
  <si>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</si>
  <si>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</si>
  <si>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</si>
  <si>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</si>
  <si>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</si>
  <si>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</si>
  <si>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</si>
  <si>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</si>
  <si>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</si>
  <si>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</si>
  <si>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</si>
  <si>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</si>
  <si>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</si>
  <si>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</si>
  <si>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</si>
  <si>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</si>
  <si>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</si>
  <si>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</si>
  <si>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</si>
  <si>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</si>
  <si>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</si>
  <si>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</si>
  <si>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</si>
  <si>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</si>
  <si>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</si>
  <si>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</si>
  <si>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</si>
  <si>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</si>
  <si>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</si>
  <si>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</si>
  <si>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</si>
  <si>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</si>
  <si>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</si>
  <si>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</si>
  <si>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</si>
  <si>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</si>
  <si>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</si>
  <si>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</si>
  <si>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</si>
  <si>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</si>
  <si>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</si>
  <si>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</si>
  <si>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</si>
  <si>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</si>
  <si>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</si>
  <si>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</si>
  <si>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</si>
  <si>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</si>
  <si>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</si>
  <si>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</si>
  <si>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</si>
  <si>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</si>
  <si>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</si>
  <si>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</si>
  <si>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</si>
  <si>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</si>
  <si>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</si>
  <si>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</si>
  <si>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</si>
  <si>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</si>
  <si>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</si>
  <si>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</si>
  <si>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</si>
  <si>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</si>
  <si>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</si>
  <si>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</si>
  <si>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</si>
  <si>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</si>
  <si>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</si>
  <si>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</si>
  <si>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</si>
  <si>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</si>
  <si>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</si>
  <si>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</si>
  <si>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</si>
  <si>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</si>
  <si>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</si>
  <si>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</si>
  <si>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</si>
  <si>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</si>
  <si>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</si>
  <si>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</si>
  <si>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</si>
  <si>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</si>
  <si>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</si>
  <si>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</si>
  <si>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</si>
  <si>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</si>
  <si>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</si>
  <si>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</si>
  <si>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</si>
  <si>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</si>
  <si>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</si>
  <si>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</si>
  <si>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</si>
  <si>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</si>
  <si>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</si>
  <si>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</si>
  <si>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</si>
  <si>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</si>
  <si>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</si>
  <si>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</si>
  <si>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</si>
  <si>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</si>
  <si>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</si>
  <si>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</si>
  <si>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</si>
  <si>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</si>
  <si>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</si>
  <si>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</si>
  <si>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</si>
  <si>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</si>
  <si>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</si>
  <si>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</si>
  <si>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</si>
  <si>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</si>
  <si>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</si>
  <si>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</si>
  <si>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</si>
  <si>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</si>
  <si>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</si>
  <si>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</si>
  <si>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</si>
  <si>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</si>
  <si>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</si>
  <si>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</si>
  <si>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</si>
  <si>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</si>
  <si>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</si>
  <si>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</si>
  <si>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</si>
  <si>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</si>
  <si>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</si>
  <si>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</si>
  <si>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</si>
  <si>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</si>
  <si>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</si>
  <si>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</si>
  <si>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</si>
  <si>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</si>
  <si>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</si>
  <si>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</si>
  <si>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</si>
  <si>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</si>
  <si>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</si>
  <si>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</si>
  <si>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</si>
  <si>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</si>
  <si>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</si>
  <si>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</si>
  <si>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</si>
  <si>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</si>
  <si>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</si>
  <si>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</si>
  <si>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</si>
  <si>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</si>
  <si>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</si>
  <si>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</si>
  <si>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</si>
  <si>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</si>
  <si>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</si>
  <si>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</si>
  <si>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</si>
  <si>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</si>
  <si>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</si>
  <si>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</si>
  <si>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</si>
  <si>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</si>
  <si>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</si>
  <si>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</si>
  <si>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</si>
  <si>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</si>
  <si>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</si>
  <si>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</si>
  <si>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</si>
  <si>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</si>
  <si>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</si>
  <si>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</si>
  <si>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</si>
  <si>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</si>
  <si>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</si>
  <si>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</si>
  <si>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</si>
  <si>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</si>
  <si>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</si>
  <si>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</si>
  <si>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</si>
  <si>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</si>
  <si>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</si>
  <si>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</si>
  <si>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</si>
  <si>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</si>
  <si>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</si>
  <si>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</si>
  <si>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</si>
  <si>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</si>
  <si>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</si>
  <si>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</si>
  <si>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</si>
  <si>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</si>
  <si>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</si>
  <si>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</si>
  <si>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</si>
  <si>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</si>
  <si>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</si>
  <si>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</si>
  <si>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</si>
  <si>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</si>
  <si>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</si>
  <si>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</si>
  <si>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</si>
  <si>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</si>
  <si>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</si>
  <si>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</si>
  <si>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</si>
  <si>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</si>
  <si>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</si>
  <si>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</si>
  <si>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</si>
  <si>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</si>
  <si>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</si>
  <si>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</si>
  <si>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</si>
  <si>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</si>
  <si>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</si>
  <si>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</si>
  <si>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</si>
  <si>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</si>
  <si>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</si>
  <si>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</si>
  <si>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</si>
  <si>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</si>
  <si>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</si>
  <si>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</si>
  <si>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</si>
  <si>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</si>
  <si>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</si>
  <si>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</si>
  <si>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</si>
  <si>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</si>
  <si>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</si>
  <si>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</si>
  <si>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</si>
  <si>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</si>
  <si>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</si>
  <si>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</si>
  <si>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</si>
  <si>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</si>
  <si>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</si>
  <si>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</si>
  <si>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</si>
  <si>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</si>
  <si>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</si>
  <si>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</si>
  <si>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</si>
  <si>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</si>
  <si>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</si>
  <si>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</si>
  <si>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</si>
  <si>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</si>
  <si>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</si>
  <si>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</si>
  <si>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</si>
  <si>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</si>
  <si>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</si>
  <si>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</si>
  <si>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</si>
  <si>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</si>
  <si>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</si>
  <si>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</si>
  <si>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</si>
  <si>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</si>
  <si>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</si>
  <si>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</si>
  <si>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</si>
  <si>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</si>
  <si>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</si>
  <si>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</si>
  <si>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</si>
  <si>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</si>
  <si>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</si>
  <si>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</si>
  <si>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</si>
  <si>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</si>
  <si>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</si>
  <si>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</si>
  <si>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</si>
  <si>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</si>
  <si>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</si>
  <si>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</si>
  <si>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</si>
  <si>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</si>
  <si>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</si>
  <si>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</si>
  <si>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</si>
  <si>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</si>
  <si>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</si>
  <si>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</si>
  <si>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</si>
  <si>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</si>
  <si>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</si>
  <si>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</si>
  <si>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</si>
  <si>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</si>
  <si>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</si>
  <si>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</si>
  <si>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</si>
  <si>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</si>
  <si>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</si>
  <si>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</si>
  <si>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</si>
  <si>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</si>
  <si>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</si>
  <si>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</si>
  <si>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</si>
  <si>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</si>
  <si>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</si>
  <si>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</si>
  <si>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</si>
  <si>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</si>
  <si>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</si>
  <si>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</si>
  <si>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</si>
  <si>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</si>
  <si>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</si>
  <si>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</si>
  <si>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</si>
  <si>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</si>
  <si>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</si>
  <si>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</si>
  <si>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</si>
  <si>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</si>
  <si>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</si>
  <si>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</si>
  <si>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</si>
  <si>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</si>
  <si>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</si>
  <si>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</si>
  <si>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</si>
  <si>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</si>
  <si>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</si>
  <si>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</si>
  <si>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</si>
  <si>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</si>
  <si>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</si>
  <si>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</si>
  <si>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</si>
  <si>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</si>
  <si>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</si>
  <si>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</si>
  <si>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</si>
  <si>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</si>
  <si>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</si>
  <si>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</si>
  <si>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</si>
  <si>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</si>
  <si>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</si>
  <si>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</si>
  <si>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</si>
  <si>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</si>
  <si>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</si>
  <si>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</si>
  <si>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</si>
  <si>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</si>
  <si>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</si>
  <si>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</si>
  <si>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</si>
  <si>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</si>
  <si>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</si>
  <si>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</si>
  <si>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</si>
  <si>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</si>
  <si>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</si>
  <si>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</si>
  <si>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</si>
  <si>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</si>
  <si>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</si>
  <si>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</si>
  <si>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</si>
  <si>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</si>
  <si>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</si>
  <si>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</si>
  <si>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</si>
  <si>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</si>
  <si>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</si>
  <si>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</si>
  <si>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</si>
  <si>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</si>
  <si>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</si>
  <si>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</si>
  <si>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</si>
  <si>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</si>
  <si>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</si>
  <si>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</si>
  <si>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</si>
  <si>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</si>
  <si>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</si>
  <si>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</si>
  <si>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</si>
  <si>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</si>
  <si>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</si>
  <si>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</si>
  <si>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</si>
  <si>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</si>
  <si>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</si>
  <si>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</si>
  <si>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</si>
  <si>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</si>
  <si>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</si>
  <si>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</si>
  <si>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</si>
  <si>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</si>
  <si>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</si>
  <si>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</si>
  <si>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</si>
  <si>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</si>
  <si>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</si>
  <si>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</si>
  <si>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</si>
  <si>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</si>
  <si>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</si>
  <si>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</si>
  <si>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</si>
  <si>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</si>
  <si>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</si>
  <si>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</si>
  <si>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</si>
  <si>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</si>
  <si>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</si>
  <si>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</si>
  <si>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</si>
  <si>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</si>
  <si>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</si>
  <si>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</si>
  <si>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</si>
  <si>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</si>
  <si>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</si>
  <si>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</si>
  <si>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</si>
  <si>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</si>
  <si>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</si>
  <si>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</si>
  <si>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</si>
  <si>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</si>
  <si>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</si>
  <si>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</si>
  <si>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</si>
  <si>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</si>
  <si>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</si>
  <si>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</si>
  <si>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</si>
  <si>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</si>
  <si>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</si>
  <si>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</si>
  <si>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</si>
  <si>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</si>
  <si>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</si>
  <si>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</si>
  <si>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</si>
  <si>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</si>
  <si>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</si>
  <si>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</si>
  <si>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</si>
  <si>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</si>
  <si>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</si>
  <si>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</si>
  <si>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</si>
  <si>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</si>
  <si>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</si>
  <si>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</si>
  <si>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</si>
  <si>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</si>
  <si>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</si>
  <si>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</si>
  <si>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</si>
  <si>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</si>
  <si>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</si>
  <si>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</si>
  <si>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</si>
  <si>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</si>
  <si>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</si>
  <si>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</si>
  <si>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</si>
  <si>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</si>
  <si>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</si>
  <si>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</si>
  <si>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</si>
  <si>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</si>
  <si>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</si>
  <si>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</si>
  <si>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</si>
  <si>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</si>
  <si>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</si>
  <si>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</si>
  <si>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</si>
  <si>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</si>
  <si>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</si>
  <si>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</si>
  <si>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</si>
  <si>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</si>
  <si>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</si>
  <si>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</si>
  <si>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</si>
  <si>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</si>
  <si>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</si>
  <si>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</si>
  <si>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</si>
  <si>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</si>
  <si>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</si>
  <si>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</si>
  <si>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</si>
  <si>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</si>
  <si>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</si>
  <si>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</si>
  <si>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</si>
  <si>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</si>
  <si>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</si>
  <si>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</si>
  <si>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</si>
  <si>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</si>
  <si>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</si>
  <si>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</si>
  <si>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</si>
  <si>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</si>
  <si>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</si>
  <si>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</si>
  <si>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</si>
  <si>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</si>
  <si>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</si>
  <si>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</si>
  <si>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</si>
  <si>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</si>
  <si>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</si>
  <si>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</si>
  <si>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</si>
  <si>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</si>
  <si>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</si>
  <si>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</si>
  <si>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</si>
  <si>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</si>
  <si>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</si>
  <si>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</si>
  <si>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</si>
  <si>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</si>
  <si>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</si>
  <si>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</si>
  <si>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</si>
  <si>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</si>
  <si>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</si>
  <si>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</si>
  <si>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</si>
  <si>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</si>
  <si>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</si>
  <si>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</si>
  <si>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</si>
  <si>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</si>
  <si>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</si>
  <si>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</si>
  <si>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</si>
  <si>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</si>
  <si>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</si>
  <si>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</si>
  <si>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</si>
  <si>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</si>
  <si>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</si>
  <si>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</si>
  <si>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</si>
  <si>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</si>
  <si>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</si>
  <si>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</si>
  <si>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</si>
  <si>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</si>
  <si>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</si>
  <si>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</si>
  <si>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</si>
  <si>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</si>
  <si>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</si>
  <si>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</si>
  <si>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</si>
  <si>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</si>
  <si>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</si>
  <si>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</si>
  <si>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</si>
  <si>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</si>
  <si>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</si>
  <si>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</si>
  <si>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</si>
  <si>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</si>
  <si>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</si>
  <si>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</si>
  <si>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</si>
  <si>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</si>
  <si>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</si>
  <si>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</si>
  <si>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</si>
  <si>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</si>
  <si>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</si>
  <si>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</si>
  <si>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</si>
  <si>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</si>
  <si>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</si>
  <si>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</si>
  <si>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</si>
  <si>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</si>
  <si>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</si>
  <si>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</si>
  <si>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</si>
  <si>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</si>
  <si>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</si>
  <si>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</si>
  <si>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</si>
  <si>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</si>
  <si>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</si>
  <si>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</si>
  <si>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</si>
  <si>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</si>
  <si>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</si>
  <si>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</si>
  <si>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</si>
  <si>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</si>
  <si>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</si>
  <si>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</si>
  <si>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</si>
  <si>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</si>
  <si>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</si>
  <si>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</si>
  <si>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</si>
  <si>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</si>
  <si>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</si>
  <si>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</si>
  <si>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</si>
  <si>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</si>
  <si>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</si>
  <si>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</si>
  <si>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</si>
  <si>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</si>
  <si>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</si>
  <si>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</si>
  <si>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</si>
  <si>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</si>
  <si>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</si>
  <si>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</si>
  <si>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</si>
  <si>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</si>
  <si>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</si>
  <si>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</si>
  <si>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</si>
  <si>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</si>
  <si>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</si>
  <si>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</si>
  <si>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</si>
  <si>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</si>
  <si>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</si>
  <si>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</si>
  <si>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</si>
  <si>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</si>
  <si>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</si>
  <si>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</si>
  <si>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</si>
  <si>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</si>
  <si>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</si>
  <si>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</si>
  <si>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</si>
  <si>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</si>
  <si>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</si>
  <si>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</si>
  <si>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</si>
  <si>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</si>
  <si>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</si>
  <si>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</si>
  <si>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</si>
  <si>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</si>
  <si>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</si>
  <si>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</si>
  <si>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</si>
  <si>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</si>
  <si>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</si>
  <si>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</si>
  <si>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</si>
  <si>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</si>
  <si>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</si>
  <si>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</si>
  <si>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</si>
  <si>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</si>
  <si>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</si>
  <si>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</si>
  <si>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</si>
  <si>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</si>
  <si>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</si>
  <si>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</si>
  <si>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</si>
  <si>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</si>
  <si>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</si>
  <si>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</si>
  <si>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</si>
  <si>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</si>
  <si>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</si>
  <si>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</si>
  <si>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</si>
  <si>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</si>
  <si>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</si>
  <si>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</si>
  <si>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</si>
  <si>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</si>
  <si>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</si>
  <si>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</si>
  <si>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</si>
  <si>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</si>
  <si>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</si>
  <si>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</si>
  <si>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</si>
  <si>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</si>
  <si>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</si>
  <si>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</si>
  <si>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</si>
  <si>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</si>
  <si>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</si>
  <si>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</si>
  <si>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</si>
  <si>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</si>
  <si>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</si>
  <si>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</si>
  <si>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</si>
  <si>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</si>
  <si>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</si>
  <si>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</si>
  <si>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</si>
  <si>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</si>
  <si>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</si>
  <si>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</si>
  <si>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</si>
  <si>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</si>
  <si>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</si>
  <si>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</si>
  <si>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</si>
  <si>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</si>
  <si>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</si>
  <si>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</si>
  <si>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</si>
  <si>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</si>
  <si>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</si>
  <si>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</si>
  <si>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</si>
  <si>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</si>
  <si>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</si>
  <si>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</si>
  <si>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</si>
  <si>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</si>
  <si>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</si>
  <si>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</si>
  <si>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</si>
  <si>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</si>
  <si>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</si>
  <si>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</si>
  <si>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</si>
  <si>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</si>
  <si>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</si>
  <si>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</si>
  <si>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</si>
  <si>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</si>
  <si>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</si>
  <si>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</si>
  <si>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</si>
  <si>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</si>
  <si>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</si>
  <si>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</si>
  <si>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</si>
  <si>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</si>
  <si>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</si>
  <si>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</si>
  <si>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</si>
  <si>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</si>
  <si>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</si>
  <si>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</si>
  <si>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</si>
  <si>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</si>
  <si>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</si>
  <si>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</si>
  <si>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</si>
  <si>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</si>
  <si>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</si>
  <si>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</si>
  <si>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</si>
  <si>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</si>
  <si>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</si>
  <si>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</si>
  <si>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</si>
  <si>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</si>
  <si>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</si>
  <si>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</si>
  <si>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</si>
  <si>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</si>
  <si>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</si>
  <si>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</si>
  <si>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</si>
  <si>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</si>
  <si>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</si>
  <si>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</si>
  <si>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</si>
  <si>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</si>
  <si>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</si>
  <si>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</si>
  <si>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</si>
  <si>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</si>
  <si>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</si>
  <si>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</si>
  <si>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</si>
  <si>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</si>
  <si>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</si>
  <si>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</si>
  <si>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</si>
  <si>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</si>
  <si>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</si>
  <si>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</si>
  <si>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</si>
  <si>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</si>
  <si>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</si>
  <si>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</si>
  <si>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</si>
  <si>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</si>
  <si>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</si>
  <si>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</si>
  <si>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</si>
  <si>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</si>
  <si>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</si>
  <si>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</si>
  <si>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</si>
  <si>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</si>
  <si>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</si>
  <si>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</si>
  <si>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</si>
  <si>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</si>
  <si>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</si>
  <si>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</si>
  <si>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</si>
  <si>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</si>
  <si>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</si>
  <si>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</si>
  <si>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</si>
  <si>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</si>
  <si>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</si>
  <si>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</si>
  <si>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</si>
  <si>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</si>
  <si>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</si>
  <si>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</si>
  <si>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</si>
  <si>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</si>
  <si>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</si>
  <si>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</si>
  <si>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</si>
  <si>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</si>
  <si>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</si>
  <si>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</si>
  <si>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</si>
  <si>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</si>
  <si>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</si>
  <si>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</si>
  <si>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</si>
  <si>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</si>
  <si>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</si>
  <si>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</si>
  <si>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</si>
  <si>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</si>
  <si>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</si>
  <si>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</si>
  <si>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</si>
  <si>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</si>
  <si>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</si>
  <si>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</si>
  <si>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</si>
  <si>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</si>
  <si>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</si>
  <si>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</si>
  <si>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</si>
  <si>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</si>
  <si>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</si>
  <si>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</si>
  <si>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</si>
  <si>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</si>
  <si>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</si>
  <si>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</si>
  <si>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</si>
  <si>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</si>
  <si>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</si>
  <si>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</si>
  <si>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</si>
  <si>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</si>
  <si>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</si>
  <si>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</si>
  <si>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</si>
  <si>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</si>
  <si>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</si>
  <si>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</si>
  <si>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</si>
  <si>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</si>
  <si>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</si>
  <si>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</si>
  <si>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</si>
  <si>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</si>
  <si>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</si>
  <si>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</si>
  <si>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</si>
  <si>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</si>
  <si>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</si>
  <si>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</si>
  <si>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</si>
  <si>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</si>
  <si>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</si>
  <si>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</si>
  <si>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</si>
  <si>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</si>
  <si>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</si>
  <si>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</si>
  <si>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</si>
  <si>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</si>
  <si>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</si>
  <si>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</si>
  <si>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</si>
  <si>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</si>
  <si>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</si>
  <si>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</si>
  <si>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</si>
  <si>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</si>
  <si>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</si>
  <si>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</si>
  <si>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</si>
  <si>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</si>
  <si>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</si>
  <si>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</si>
  <si>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</si>
  <si>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</si>
  <si>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</si>
  <si>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</si>
  <si>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</si>
  <si>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</si>
  <si>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</si>
  <si>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</si>
  <si>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</si>
  <si>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</si>
  <si>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</si>
  <si>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</si>
  <si>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</si>
  <si>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</si>
  <si>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</si>
  <si>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</si>
  <si>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</si>
  <si>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</si>
  <si>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</si>
  <si>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</si>
  <si>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</si>
  <si>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</si>
  <si>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</si>
  <si>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</si>
  <si>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</si>
  <si>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</si>
  <si>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</si>
  <si>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</si>
  <si>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</si>
  <si>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</si>
  <si>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</si>
  <si>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</si>
  <si>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</si>
  <si>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</si>
  <si>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</si>
  <si>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</si>
  <si>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</si>
  <si>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</si>
  <si>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</si>
  <si>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</si>
  <si>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</si>
  <si>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</si>
  <si>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</si>
  <si>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</si>
  <si>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</si>
  <si>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</si>
  <si>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</si>
  <si>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</si>
  <si>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</si>
  <si>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</si>
  <si>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</si>
  <si>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</si>
  <si>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</si>
  <si>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</si>
  <si>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</si>
  <si>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</si>
  <si>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</si>
  <si>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</si>
  <si>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</si>
  <si>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</si>
  <si>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</si>
  <si>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</si>
  <si>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</si>
  <si>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</si>
  <si>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</si>
  <si>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</si>
  <si>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</si>
  <si>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</si>
  <si>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</si>
  <si>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</si>
  <si>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</si>
  <si>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</si>
  <si>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</si>
  <si>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</si>
  <si>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</si>
  <si>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</si>
  <si>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</si>
  <si>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</si>
  <si>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</si>
  <si>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</si>
  <si>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</si>
  <si>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</si>
  <si>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</si>
  <si>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</si>
  <si>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</si>
  <si>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</si>
  <si>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</si>
  <si>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</si>
  <si>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</si>
  <si>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</si>
  <si>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</si>
  <si>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</si>
  <si>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</si>
  <si>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</si>
  <si>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</si>
  <si>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</si>
  <si>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</si>
  <si>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</si>
  <si>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</si>
  <si>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</si>
  <si>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</si>
  <si>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</si>
  <si>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</si>
  <si>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</si>
  <si>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</si>
  <si>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</si>
  <si>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</si>
  <si>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</si>
  <si>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</si>
  <si>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</si>
  <si>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</si>
  <si>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</si>
  <si>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</si>
  <si>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</si>
  <si>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</si>
  <si>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</si>
  <si>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</si>
  <si>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</si>
  <si>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</si>
  <si>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</si>
  <si>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</si>
  <si>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</si>
  <si>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</si>
  <si>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</si>
  <si>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</si>
  <si>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</si>
  <si>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</si>
  <si>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</si>
  <si>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</si>
  <si>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</si>
  <si>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</si>
  <si>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</si>
  <si>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</si>
  <si>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</si>
  <si>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</si>
  <si>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</si>
  <si>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</si>
  <si>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</si>
  <si>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</si>
  <si>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</si>
  <si>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</si>
  <si>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</si>
  <si>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</si>
  <si>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</si>
  <si>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</si>
  <si>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</si>
  <si>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</si>
  <si>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</si>
  <si>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</si>
  <si>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</si>
  <si>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</si>
  <si>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</si>
  <si>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</si>
  <si>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</si>
  <si>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</si>
  <si>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</si>
  <si>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</si>
  <si>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</si>
  <si>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</si>
  <si>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</si>
  <si>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</si>
  <si>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</si>
  <si>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</si>
  <si>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</si>
  <si>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</si>
  <si>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</si>
  <si>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</si>
  <si>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</si>
  <si>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</si>
  <si>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</si>
  <si>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</si>
  <si>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</si>
  <si>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</si>
  <si>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</si>
  <si>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</si>
  <si>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</si>
  <si>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</si>
  <si>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</si>
  <si>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</si>
  <si>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</si>
  <si>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</si>
  <si>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</si>
  <si>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</si>
  <si>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</si>
  <si>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</si>
  <si>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</si>
  <si>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</si>
  <si>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</si>
  <si>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</si>
  <si>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</si>
  <si>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</si>
  <si>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</si>
  <si>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</si>
  <si>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</si>
  <si>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</si>
  <si>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</si>
  <si>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</si>
  <si>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</si>
  <si>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</si>
  <si>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</si>
  <si>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</si>
  <si>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</si>
  <si>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</si>
  <si>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</si>
  <si>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</si>
  <si>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</si>
  <si>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</si>
  <si>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</si>
  <si>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</si>
  <si>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</si>
  <si>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</si>
  <si>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</si>
  <si>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</si>
  <si>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</si>
  <si>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</si>
  <si>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</si>
  <si>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</si>
  <si>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</si>
  <si>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</si>
  <si>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</si>
  <si>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</si>
  <si>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</si>
  <si>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</si>
  <si>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</si>
  <si>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</si>
  <si>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</si>
  <si>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</si>
  <si>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</si>
  <si>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</si>
  <si>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</si>
  <si>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</si>
  <si>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</si>
  <si>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</si>
  <si>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</si>
  <si>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</si>
  <si>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</si>
  <si>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</si>
  <si>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</si>
  <si>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</si>
  <si>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</si>
  <si>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</si>
  <si>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</si>
  <si>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</si>
  <si>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</si>
  <si>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</si>
  <si>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</si>
  <si>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</si>
  <si>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</si>
  <si>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</si>
  <si>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</si>
  <si>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</si>
  <si>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</si>
  <si>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</si>
  <si>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</si>
  <si>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</si>
  <si>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</si>
  <si>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</si>
  <si>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</si>
  <si>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</si>
  <si>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</si>
  <si>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</si>
  <si>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</si>
  <si>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</si>
  <si>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</si>
  <si>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</si>
  <si>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</si>
  <si>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</si>
  <si>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</si>
  <si>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</si>
  <si>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</si>
  <si>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</si>
  <si>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</si>
  <si>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</si>
  <si>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</si>
  <si>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</si>
  <si>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</si>
  <si>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</si>
  <si>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</si>
  <si>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</si>
  <si>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</si>
  <si>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</si>
  <si>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</si>
  <si>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</si>
  <si>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</si>
  <si>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</si>
  <si>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</si>
  <si>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</si>
  <si>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</si>
  <si>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</si>
  <si>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</si>
  <si>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</si>
  <si>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</si>
  <si>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</si>
  <si>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</si>
  <si>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</si>
  <si>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</si>
  <si>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</si>
  <si>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</si>
  <si>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</si>
  <si>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</si>
  <si>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</si>
  <si>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</si>
  <si>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</si>
  <si>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</si>
  <si>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</si>
  <si>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</si>
  <si>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</si>
  <si>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</si>
  <si>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</si>
  <si>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</si>
  <si>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</si>
  <si>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</si>
  <si>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</si>
  <si>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</si>
  <si>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</si>
  <si>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</si>
  <si>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</si>
  <si>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</si>
  <si>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</si>
  <si>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</si>
  <si>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</si>
  <si>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</si>
  <si>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</si>
  <si>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</si>
  <si>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</si>
  <si>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</si>
  <si>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</si>
  <si>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</si>
  <si>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</si>
  <si>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</si>
  <si>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</si>
  <si>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</si>
  <si>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</si>
  <si>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</si>
  <si>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</si>
  <si>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</si>
  <si>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</si>
  <si>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</si>
  <si>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</si>
  <si>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</si>
  <si>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</si>
  <si>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</si>
  <si>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</si>
  <si>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</si>
  <si>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</si>
  <si>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</si>
  <si>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</si>
  <si>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</si>
  <si>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</si>
  <si>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</si>
  <si>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</si>
  <si>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</si>
  <si>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</si>
  <si>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</si>
  <si>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</si>
  <si>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</si>
  <si>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</si>
  <si>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</si>
  <si>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</si>
  <si>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</si>
  <si>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</si>
  <si>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</si>
  <si>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</si>
  <si>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</si>
  <si>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</si>
  <si>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</si>
  <si>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</si>
  <si>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</si>
  <si>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</si>
  <si>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</si>
  <si>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</si>
  <si>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</si>
  <si>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</si>
  <si>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</si>
  <si>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</si>
  <si>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</si>
  <si>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</si>
  <si>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</si>
  <si>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</si>
  <si>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</si>
  <si>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</si>
  <si>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</si>
  <si>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</si>
  <si>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</si>
  <si>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</si>
  <si>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</si>
  <si>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</si>
  <si>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</si>
  <si>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</si>
  <si>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</si>
  <si>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</si>
  <si>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</si>
  <si>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</si>
  <si>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</si>
  <si>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</si>
  <si>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</si>
  <si>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</si>
  <si>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</si>
  <si>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</si>
  <si>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</si>
  <si>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</si>
  <si>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</si>
  <si>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</si>
  <si>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</si>
  <si>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</si>
  <si>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</si>
  <si>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</si>
  <si>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</si>
  <si>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</si>
  <si>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</si>
  <si>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</si>
  <si>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</si>
  <si>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</si>
  <si>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</si>
  <si>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</si>
  <si>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</si>
  <si>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</si>
  <si>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</si>
  <si>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</si>
  <si>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</si>
  <si>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</si>
  <si>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</si>
  <si>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</si>
  <si>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</si>
  <si>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</si>
  <si>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</si>
  <si>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</si>
  <si>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</si>
  <si>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</si>
  <si>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</si>
  <si>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</si>
  <si>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</si>
  <si>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</si>
  <si>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</si>
  <si>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</si>
  <si>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</si>
  <si>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</si>
  <si>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</si>
  <si>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</si>
  <si>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</si>
  <si>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</si>
  <si>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</si>
  <si>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</si>
  <si>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</si>
  <si>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</si>
  <si>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</si>
  <si>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</si>
  <si>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</si>
  <si>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</si>
  <si>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</si>
  <si>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</si>
  <si>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</si>
  <si>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</si>
  <si>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</si>
  <si>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</si>
  <si>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</si>
  <si>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</si>
  <si>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</si>
  <si>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</si>
  <si>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</si>
  <si>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</si>
  <si>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</si>
  <si>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</si>
  <si>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</si>
  <si>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</si>
  <si>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</si>
  <si>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</si>
  <si>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</si>
  <si>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</si>
  <si>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</si>
  <si>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</si>
  <si>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</si>
  <si>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</si>
  <si>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</si>
  <si>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</si>
  <si>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</si>
  <si>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</si>
  <si>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</si>
  <si>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</si>
  <si>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</si>
  <si>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</si>
  <si>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</si>
  <si>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</si>
  <si>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</si>
  <si>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</si>
  <si>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</si>
  <si>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</si>
  <si>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</si>
  <si>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</si>
  <si>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</si>
  <si>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</si>
  <si>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</si>
  <si>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</si>
  <si>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</si>
  <si>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</si>
  <si>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</si>
  <si>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</si>
  <si>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</si>
  <si>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</si>
  <si>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</si>
  <si>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</si>
  <si>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</si>
  <si>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</si>
  <si>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</si>
  <si>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</si>
  <si>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</si>
  <si>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</si>
  <si>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</si>
  <si>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</si>
  <si>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</si>
  <si>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</si>
  <si>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</si>
  <si>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</si>
  <si>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</si>
  <si>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</si>
  <si>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</si>
  <si>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</si>
  <si>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</si>
  <si>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</si>
  <si>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</si>
  <si>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</si>
  <si>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</si>
  <si>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</si>
  <si>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</si>
  <si>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</si>
  <si>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</si>
  <si>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</si>
  <si>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</si>
  <si>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</si>
  <si>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</si>
  <si>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</si>
  <si>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</si>
  <si>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</si>
  <si>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</si>
  <si>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</si>
  <si>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</si>
  <si>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</si>
  <si>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</si>
  <si>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</si>
  <si>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</si>
  <si>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</si>
  <si>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</si>
  <si>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</si>
  <si>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</si>
  <si>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</si>
  <si>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</si>
  <si>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</si>
  <si>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</si>
  <si>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</si>
  <si>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</si>
  <si>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</si>
  <si>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</si>
  <si>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</si>
  <si>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</si>
  <si>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</si>
  <si>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</si>
  <si>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</si>
  <si>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</si>
  <si>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</si>
  <si>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</si>
  <si>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</si>
  <si>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</si>
  <si>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</si>
  <si>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</si>
  <si>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</si>
  <si>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</si>
  <si>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</si>
  <si>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</si>
  <si>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</si>
  <si>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</si>
  <si>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</si>
  <si>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</si>
  <si>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</si>
  <si>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</si>
  <si>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</si>
  <si>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</si>
  <si>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</si>
  <si>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</si>
  <si>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</si>
  <si>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</si>
  <si>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</si>
  <si>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</si>
  <si>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</si>
  <si>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</si>
  <si>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</si>
  <si>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</si>
  <si>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</si>
  <si>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</si>
  <si>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</si>
  <si>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</si>
  <si>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</si>
  <si>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</si>
  <si>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</si>
  <si>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</si>
  <si>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</si>
  <si>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</si>
  <si>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</si>
  <si>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</si>
  <si>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</si>
  <si>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</si>
  <si>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</si>
  <si>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</si>
  <si>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</si>
  <si>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</si>
  <si>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</si>
  <si>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</si>
  <si>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</si>
  <si>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</si>
  <si>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</si>
  <si>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</si>
  <si>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</si>
  <si>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</si>
  <si>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</si>
  <si>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</si>
  <si>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</si>
  <si>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</si>
  <si>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</si>
  <si>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</si>
  <si>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</si>
  <si>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</si>
  <si>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</si>
  <si>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</si>
  <si>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</si>
  <si>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</si>
  <si>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</si>
  <si>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</si>
  <si>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</si>
  <si>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</si>
  <si>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</si>
  <si>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</si>
  <si>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</si>
  <si>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</si>
  <si>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</si>
  <si>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</si>
  <si>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</si>
  <si>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</si>
  <si>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</si>
  <si>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</si>
  <si>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</si>
  <si>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</si>
  <si>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</si>
  <si>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</si>
  <si>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</si>
  <si>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</si>
  <si>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</si>
  <si>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</si>
  <si>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</si>
  <si>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</si>
  <si>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</si>
  <si>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</si>
  <si>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</si>
  <si>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</si>
  <si>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</si>
  <si>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</si>
  <si>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</si>
  <si>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</si>
  <si>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</si>
  <si>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</si>
  <si>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</si>
  <si>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</si>
  <si>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</si>
  <si>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</si>
  <si>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</si>
  <si>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</si>
  <si>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</si>
  <si>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</si>
  <si>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</si>
  <si>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</si>
  <si>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</si>
  <si>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</si>
  <si>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</si>
  <si>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</si>
  <si>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</si>
  <si>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</si>
  <si>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</si>
  <si>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</si>
  <si>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</si>
  <si>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</si>
  <si>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</si>
  <si>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</si>
  <si>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</si>
  <si>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</si>
  <si>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</si>
  <si>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</si>
  <si>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</si>
  <si>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</si>
  <si>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</si>
  <si>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</si>
  <si>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</si>
  <si>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</si>
  <si>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</si>
  <si>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</si>
  <si>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</si>
  <si>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</si>
  <si>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</si>
  <si>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</si>
  <si>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</si>
  <si>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</si>
  <si>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</si>
  <si>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</si>
  <si>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</si>
  <si>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</si>
  <si>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</si>
  <si>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</si>
  <si>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</si>
  <si>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</si>
  <si>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</si>
  <si>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</si>
  <si>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</si>
  <si>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</si>
  <si>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</si>
  <si>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</si>
  <si>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</si>
  <si>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</si>
  <si>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</si>
  <si>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</si>
  <si>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</si>
  <si>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</si>
  <si>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</si>
  <si>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</si>
  <si>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</si>
  <si>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</si>
  <si>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</si>
  <si>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</si>
  <si>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</si>
  <si>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</si>
  <si>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</si>
  <si>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</si>
  <si>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</si>
  <si>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</si>
  <si>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</si>
  <si>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</si>
  <si>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</si>
  <si>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</si>
  <si>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</si>
  <si>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</si>
  <si>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</si>
  <si>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</si>
  <si>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</si>
  <si>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</si>
  <si>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</si>
  <si>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</si>
  <si>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</si>
  <si>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</si>
  <si>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</si>
  <si>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</si>
  <si>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</si>
  <si>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</si>
  <si>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</si>
  <si>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</si>
  <si>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</si>
  <si>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</si>
  <si>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</si>
  <si>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</si>
  <si>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</si>
  <si>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</si>
  <si>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</si>
  <si>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</si>
  <si>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</si>
  <si>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</si>
  <si>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</si>
  <si>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</si>
  <si>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</si>
  <si>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</si>
  <si>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</si>
  <si>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</si>
  <si>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</si>
  <si>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</si>
  <si>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</si>
  <si>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</si>
  <si>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</si>
  <si>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</si>
  <si>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</si>
  <si>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</si>
  <si>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</si>
  <si>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</si>
  <si>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</si>
  <si>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</si>
  <si>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</si>
  <si>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</si>
  <si>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</si>
  <si>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</si>
  <si>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</si>
  <si>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</si>
  <si>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</si>
  <si>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</si>
  <si>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</si>
  <si>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</si>
  <si>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</si>
  <si>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</si>
  <si>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</si>
  <si>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</si>
  <si>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</si>
  <si>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</si>
  <si>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</si>
  <si>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</si>
  <si>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</si>
  <si>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</si>
  <si>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</si>
  <si>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</si>
  <si>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</si>
  <si>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</si>
  <si>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</si>
  <si>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</si>
  <si>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</si>
  <si>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</si>
  <si>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</si>
  <si>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</si>
  <si>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</si>
  <si>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</si>
  <si>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</si>
  <si>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</si>
  <si>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</si>
  <si>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</si>
  <si>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</si>
  <si>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</si>
  <si>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</si>
  <si>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</si>
  <si>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</si>
  <si>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</si>
  <si>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</si>
  <si>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</si>
  <si>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</si>
  <si>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</si>
  <si>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</si>
  <si>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</si>
  <si>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</si>
  <si>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</si>
  <si>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</si>
  <si>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</si>
  <si>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</si>
  <si>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</si>
  <si>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</si>
  <si>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</si>
  <si>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</si>
  <si>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</si>
  <si>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</si>
  <si>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</si>
  <si>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</si>
  <si>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</si>
  <si>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</si>
  <si>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</si>
  <si>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</si>
  <si>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</si>
  <si>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</si>
  <si>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</si>
  <si>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</si>
  <si>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</si>
  <si>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</si>
  <si>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</si>
  <si>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</si>
  <si>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</si>
  <si>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</si>
  <si>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</si>
  <si>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</si>
  <si>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</si>
  <si>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</si>
  <si>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</si>
  <si>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</si>
  <si>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</si>
  <si>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</si>
  <si>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</si>
  <si>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</si>
  <si>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</si>
  <si>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</si>
  <si>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</si>
  <si>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</si>
  <si>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</si>
  <si>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</si>
  <si>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</si>
  <si>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</si>
  <si>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</si>
  <si>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</si>
  <si>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</si>
  <si>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</si>
  <si>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</si>
  <si>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</si>
  <si>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</si>
  <si>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</si>
  <si>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</si>
  <si>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</si>
  <si>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</si>
  <si>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</si>
  <si>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</si>
  <si>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</si>
  <si>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</si>
  <si>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</si>
  <si>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</si>
  <si>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</si>
  <si>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</si>
  <si>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</si>
  <si>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</si>
  <si>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</si>
  <si>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</si>
  <si>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</si>
  <si>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</si>
  <si>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</si>
  <si>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</si>
  <si>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</si>
  <si>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</si>
  <si>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</si>
  <si>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</si>
  <si>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</si>
  <si>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</si>
  <si>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</si>
  <si>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</si>
  <si>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</si>
  <si>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</si>
  <si>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</si>
  <si>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</si>
  <si>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</si>
  <si>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</si>
  <si>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</si>
  <si>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</si>
  <si>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</si>
  <si>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</si>
  <si>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</si>
  <si>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</si>
  <si>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</si>
  <si>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</si>
  <si>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</si>
  <si>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</si>
  <si>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</si>
  <si>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</si>
  <si>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</si>
  <si>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</si>
  <si>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</si>
  <si>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</si>
  <si>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</si>
  <si>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</si>
  <si>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</si>
  <si>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</si>
  <si>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</si>
  <si>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</si>
  <si>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</si>
  <si>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</si>
  <si>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</si>
  <si>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</si>
  <si>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</si>
  <si>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</si>
  <si>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</si>
  <si>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</si>
  <si>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</si>
  <si>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</si>
  <si>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</si>
  <si>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</si>
  <si>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</si>
  <si>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</si>
  <si>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</si>
  <si>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</si>
  <si>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</si>
  <si>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</si>
  <si>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</si>
  <si>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</si>
  <si>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</si>
  <si>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</si>
  <si>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</si>
  <si>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</si>
  <si>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</si>
  <si>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</si>
  <si>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</si>
  <si>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</si>
  <si>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</si>
  <si>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</si>
  <si>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</si>
  <si>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</si>
  <si>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</si>
  <si>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</si>
  <si>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</si>
  <si>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</si>
  <si>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</si>
  <si>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</si>
  <si>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</si>
  <si>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</si>
  <si>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</si>
  <si>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</si>
  <si>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</si>
  <si>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</si>
  <si>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</si>
  <si>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</si>
  <si>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</si>
  <si>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</si>
  <si>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</si>
  <si>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</si>
  <si>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</si>
  <si>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</si>
  <si>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</si>
  <si>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</si>
  <si>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</si>
  <si>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</si>
  <si>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</si>
  <si>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</si>
  <si>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</si>
  <si>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</si>
  <si>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</si>
  <si>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</si>
  <si>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</si>
  <si>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</si>
  <si>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</si>
  <si>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</si>
  <si>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</si>
  <si>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</si>
  <si>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</si>
  <si>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</si>
  <si>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</si>
  <si>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</si>
  <si>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</si>
  <si>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</si>
  <si>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</si>
  <si>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</si>
  <si>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</si>
  <si>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</si>
  <si>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</si>
  <si>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</si>
  <si>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</si>
  <si>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</si>
  <si>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</si>
  <si>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</si>
  <si>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</si>
  <si>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</si>
  <si>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</si>
  <si>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</si>
  <si>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</si>
  <si>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</si>
  <si>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</si>
  <si>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</si>
  <si>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</si>
  <si>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</si>
  <si>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</si>
  <si>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</si>
  <si>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</si>
  <si>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</si>
  <si>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</si>
  <si>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</si>
  <si>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</si>
  <si>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</si>
  <si>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</si>
  <si>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</si>
  <si>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</si>
  <si>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</si>
  <si>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</si>
  <si>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</si>
  <si>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</si>
  <si>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</si>
  <si>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</si>
  <si>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</si>
  <si>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</si>
  <si>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</si>
  <si>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</si>
  <si>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</si>
  <si>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</si>
  <si>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</si>
  <si>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</si>
  <si>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</si>
  <si>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</si>
  <si>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</si>
  <si>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</si>
  <si>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</si>
  <si>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</si>
  <si>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</si>
  <si>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</si>
  <si>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</si>
  <si>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</si>
  <si>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</si>
  <si>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</si>
  <si>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</si>
  <si>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</si>
  <si>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</si>
  <si>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</si>
  <si>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</si>
  <si>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</si>
  <si>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</si>
  <si>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</si>
  <si>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</si>
  <si>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</si>
  <si>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</si>
  <si>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</si>
  <si>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</si>
  <si>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</si>
  <si>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</si>
  <si>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</si>
  <si>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</si>
  <si>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</si>
  <si>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</si>
  <si>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</si>
  <si>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</si>
  <si>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</si>
  <si>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</si>
  <si>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</si>
  <si>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</si>
  <si>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</si>
  <si>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</si>
  <si>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</si>
  <si>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</si>
  <si>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</si>
  <si>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</si>
  <si>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</si>
  <si>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</si>
  <si>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</si>
  <si>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</si>
  <si>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</si>
  <si>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</si>
  <si>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</si>
  <si>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</si>
  <si>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</si>
  <si>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</si>
  <si>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</si>
  <si>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</si>
  <si>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</si>
  <si>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</si>
  <si>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</si>
  <si>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</si>
  <si>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</si>
  <si>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</si>
  <si>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</si>
  <si>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</si>
  <si>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</si>
  <si>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</si>
  <si>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</si>
  <si>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</si>
  <si>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</si>
  <si>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</si>
  <si>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</si>
  <si>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</si>
  <si>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</si>
  <si>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</si>
  <si>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</si>
  <si>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</si>
  <si>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</si>
  <si>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</si>
  <si>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</si>
  <si>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</si>
  <si>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</si>
  <si>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</si>
  <si>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</si>
  <si>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</si>
  <si>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</si>
  <si>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</si>
  <si>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</si>
  <si>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</si>
  <si>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</si>
  <si>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</si>
  <si>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</si>
  <si>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</si>
  <si>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</si>
  <si>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</si>
  <si>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</si>
  <si>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</si>
  <si>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</si>
  <si>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</si>
  <si>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</si>
  <si>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</si>
  <si>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</si>
  <si>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</si>
  <si>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</si>
  <si>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</si>
  <si>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</si>
  <si>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</si>
  <si>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</si>
  <si>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</si>
  <si>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</si>
  <si>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</si>
  <si>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</si>
  <si>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</si>
  <si>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</si>
  <si>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</si>
  <si>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</si>
  <si>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</si>
  <si>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</si>
  <si>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</si>
  <si>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</si>
  <si>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</si>
  <si>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</si>
  <si>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</si>
  <si>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</si>
  <si>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</si>
  <si>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</si>
  <si>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</si>
  <si>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</si>
  <si>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</si>
  <si>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</si>
  <si>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</si>
  <si>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</si>
  <si>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</si>
  <si>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</si>
  <si>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</si>
  <si>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</si>
  <si>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</si>
  <si>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</si>
  <si>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</si>
  <si>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</si>
  <si>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</si>
  <si>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</si>
  <si>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</si>
  <si>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</si>
  <si>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</si>
  <si>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</si>
  <si>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</si>
  <si>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</si>
  <si>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</si>
  <si>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</si>
  <si>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</si>
  <si>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</si>
  <si>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</si>
  <si>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</si>
  <si>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</si>
  <si>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</si>
  <si>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</si>
  <si>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</si>
  <si>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</si>
  <si>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</si>
  <si>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</si>
  <si>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</si>
  <si>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</si>
  <si>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</si>
  <si>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</si>
  <si>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</si>
  <si>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</si>
  <si>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</si>
  <si>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</si>
  <si>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</si>
  <si>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</si>
  <si>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</si>
  <si>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</si>
  <si>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</si>
  <si>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</si>
  <si>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</si>
  <si>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</si>
  <si>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</si>
  <si>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</si>
  <si>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</si>
  <si>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</si>
  <si>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</si>
  <si>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</si>
  <si>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</si>
  <si>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</si>
  <si>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</si>
  <si>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</si>
  <si>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</si>
  <si>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</si>
  <si>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</si>
  <si>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</si>
  <si>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</si>
  <si>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</si>
  <si>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</si>
  <si>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</si>
  <si>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</si>
  <si>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</si>
  <si>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</si>
  <si>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</si>
  <si>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</si>
  <si>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</si>
  <si>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</si>
  <si>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</si>
  <si>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</si>
  <si>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</si>
  <si>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</si>
  <si>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</si>
  <si>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</si>
  <si>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</si>
  <si>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</si>
  <si>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</si>
  <si>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</si>
  <si>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</si>
  <si>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</si>
  <si>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</si>
  <si>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</si>
  <si>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</si>
  <si>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</si>
  <si>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</si>
  <si>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</si>
  <si>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</si>
  <si>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</si>
  <si>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</si>
  <si>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</si>
  <si>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</si>
  <si>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</si>
  <si>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</si>
  <si>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</si>
  <si>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</si>
  <si>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</si>
  <si>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</si>
  <si>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</si>
  <si>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</si>
  <si>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</si>
  <si>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</si>
  <si>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</si>
  <si>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</si>
  <si>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</si>
  <si>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</si>
  <si>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</si>
  <si>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</si>
  <si>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</si>
  <si>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</si>
  <si>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</si>
  <si>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</si>
  <si>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</si>
  <si>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</si>
  <si>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</si>
  <si>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</si>
  <si>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</si>
  <si>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</si>
  <si>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</si>
  <si>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</si>
  <si>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</si>
  <si>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</si>
  <si>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</si>
  <si>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</si>
  <si>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</si>
  <si>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</si>
  <si>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</si>
  <si>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</si>
  <si>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</si>
  <si>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</si>
  <si>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</si>
  <si>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</si>
  <si>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</si>
  <si>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</si>
  <si>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</si>
  <si>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</si>
  <si>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</si>
  <si>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</si>
  <si>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</si>
  <si>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</si>
  <si>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</si>
  <si>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</si>
  <si>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</si>
  <si>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</si>
  <si>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</si>
  <si>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</si>
  <si>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</si>
  <si>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</si>
  <si>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</si>
  <si>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</si>
  <si>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</si>
  <si>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</si>
  <si>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</si>
  <si>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</si>
  <si>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</si>
  <si>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</si>
  <si>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</si>
  <si>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</si>
  <si>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</si>
  <si>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</si>
  <si>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</si>
  <si>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</si>
  <si>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</si>
  <si>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</si>
  <si>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</si>
  <si>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</si>
  <si>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</si>
  <si>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</si>
  <si>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</si>
  <si>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</si>
  <si>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</si>
  <si>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</si>
  <si>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</si>
  <si>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</si>
  <si>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</si>
  <si>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</si>
  <si>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</si>
  <si>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</si>
  <si>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</si>
  <si>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</si>
  <si>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</si>
  <si>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</si>
  <si>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</si>
  <si>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</si>
  <si>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</si>
  <si>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</si>
  <si>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</si>
  <si>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</si>
  <si>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</si>
  <si>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</si>
  <si>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</si>
  <si>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</si>
  <si>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</si>
  <si>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</si>
  <si>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</si>
  <si>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</si>
  <si>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</si>
  <si>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</si>
  <si>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</si>
  <si>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</si>
  <si>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</si>
  <si>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</si>
  <si>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</si>
  <si>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</si>
  <si>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</si>
  <si>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</si>
  <si>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</si>
  <si>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</si>
  <si>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</si>
  <si>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</si>
  <si>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</si>
  <si>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</si>
  <si>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</si>
  <si>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</si>
  <si>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</si>
  <si>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</si>
  <si>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</si>
  <si>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</si>
  <si>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</si>
  <si>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</si>
  <si>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</si>
  <si>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</si>
  <si>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</si>
  <si>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</si>
  <si>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</si>
  <si>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</si>
  <si>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</si>
  <si>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</si>
  <si>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</si>
  <si>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</si>
  <si>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</si>
  <si>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</si>
  <si>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</si>
  <si>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</si>
  <si>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</si>
  <si>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</si>
  <si>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</si>
  <si>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</si>
  <si>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</si>
  <si>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</si>
  <si>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</si>
  <si>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</si>
  <si>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</si>
  <si>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</si>
  <si>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</si>
  <si>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</si>
  <si>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</si>
  <si>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</si>
  <si>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</si>
  <si>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</si>
  <si>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</si>
  <si>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</si>
  <si>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</si>
  <si>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</si>
  <si>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</si>
  <si>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</si>
  <si>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</si>
  <si>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</si>
  <si>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</si>
  <si>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</si>
  <si>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</si>
  <si>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</si>
  <si>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</si>
  <si>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</si>
  <si>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</si>
  <si>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</si>
  <si>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</si>
  <si>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</si>
  <si>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</si>
  <si>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</si>
  <si>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</si>
  <si>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</si>
  <si>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</si>
  <si>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</si>
  <si>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</si>
  <si>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</si>
  <si>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</si>
  <si>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</si>
  <si>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</si>
  <si>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</si>
  <si>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</si>
  <si>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</si>
  <si>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</si>
  <si>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</si>
  <si>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</si>
  <si>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</si>
  <si>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</si>
  <si>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</si>
  <si>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</si>
  <si>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</si>
  <si>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</si>
  <si>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</si>
  <si>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</si>
  <si>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</si>
  <si>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</si>
  <si>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</si>
  <si>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</si>
  <si>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</si>
  <si>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</si>
  <si>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</si>
  <si>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</si>
  <si>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</si>
  <si>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</si>
  <si>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</si>
  <si>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</si>
  <si>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</si>
  <si>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</si>
  <si>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</si>
  <si>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</si>
  <si>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</si>
  <si>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</si>
  <si>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</si>
  <si>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</si>
  <si>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</si>
  <si>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</si>
  <si>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</si>
  <si>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</si>
  <si>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</si>
  <si>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</si>
  <si>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</si>
  <si>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</si>
  <si>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</si>
  <si>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</si>
  <si>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</si>
  <si>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</si>
  <si>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</si>
  <si>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</si>
  <si>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</si>
  <si>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</si>
  <si>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</si>
  <si>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</si>
  <si>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</si>
  <si>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</si>
  <si>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</si>
  <si>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</si>
  <si>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</si>
  <si>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</si>
  <si>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</si>
  <si>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</si>
  <si>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</si>
  <si>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</si>
  <si>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</si>
  <si>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</si>
  <si>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</si>
  <si>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</si>
  <si>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</si>
  <si>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</si>
  <si>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</si>
  <si>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</si>
  <si>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</si>
  <si>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</si>
  <si>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</si>
  <si>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</si>
  <si>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</si>
  <si>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</si>
  <si>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</si>
  <si>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</si>
  <si>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</si>
  <si>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</si>
  <si>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</si>
  <si>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</si>
  <si>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</si>
  <si>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</si>
  <si>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</si>
  <si>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</si>
  <si>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</si>
  <si>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</si>
  <si>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</si>
  <si>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</si>
  <si>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</si>
  <si>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</si>
  <si>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</si>
  <si>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</si>
  <si>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</si>
  <si>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</si>
  <si>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</si>
  <si>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</si>
  <si>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</si>
  <si>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</si>
  <si>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</si>
  <si>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</si>
  <si>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</si>
  <si>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</si>
  <si>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</si>
  <si>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</si>
  <si>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</si>
  <si>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</si>
  <si>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</si>
  <si>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</si>
  <si>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</si>
  <si>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</si>
  <si>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</si>
  <si>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</si>
  <si>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</si>
  <si>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</si>
  <si>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</si>
  <si>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</si>
  <si>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</si>
  <si>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</si>
  <si>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</si>
  <si>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</si>
  <si>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</si>
  <si>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</si>
  <si>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</si>
  <si>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</si>
  <si>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</si>
  <si>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</si>
  <si>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</si>
  <si>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</si>
  <si>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</si>
  <si>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</si>
  <si>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</si>
  <si>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</si>
  <si>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</si>
  <si>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</si>
  <si>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</si>
  <si>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</si>
  <si>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</si>
  <si>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</si>
  <si>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</si>
  <si>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</si>
  <si>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</si>
  <si>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</si>
  <si>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</si>
  <si>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</si>
  <si>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</si>
  <si>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</si>
  <si>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</si>
  <si>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</si>
  <si>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</si>
  <si>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</si>
  <si>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</si>
  <si>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</si>
  <si>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</si>
  <si>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</si>
  <si>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</si>
  <si>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</si>
  <si>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</si>
  <si>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</si>
  <si>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</si>
  <si>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</si>
  <si>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</si>
  <si>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</si>
  <si>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</si>
  <si>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</si>
  <si>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</si>
  <si>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</si>
  <si>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</si>
  <si>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</si>
  <si>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</si>
  <si>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</si>
  <si>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</si>
  <si>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</si>
  <si>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</si>
  <si>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</si>
  <si>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</si>
  <si>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</si>
  <si>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</si>
  <si>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</si>
  <si>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</si>
  <si>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</si>
  <si>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</si>
  <si>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</si>
  <si>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</si>
  <si>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</si>
  <si>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</si>
  <si>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</si>
  <si>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</si>
  <si>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</si>
  <si>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</si>
  <si>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</si>
  <si>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</si>
  <si>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</si>
  <si>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</si>
  <si>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</si>
  <si>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</si>
  <si>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</si>
  <si>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</si>
  <si>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</si>
  <si>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</si>
  <si>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</si>
  <si>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</si>
  <si>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</si>
  <si>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</si>
  <si>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</si>
  <si>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</si>
  <si>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</si>
  <si>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</si>
  <si>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</si>
  <si>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</si>
  <si>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</si>
  <si>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</si>
  <si>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</si>
  <si>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</si>
  <si>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</si>
  <si>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</si>
  <si>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</si>
  <si>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</si>
  <si>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</si>
  <si>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</si>
  <si>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</si>
  <si>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</si>
  <si>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</si>
  <si>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</si>
  <si>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</si>
  <si>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</si>
  <si>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</si>
  <si>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</si>
  <si>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</si>
  <si>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</si>
  <si>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</si>
  <si>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</si>
  <si>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</si>
  <si>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</si>
  <si>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</si>
  <si>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</si>
  <si>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</si>
  <si>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</si>
  <si>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</si>
  <si>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</si>
  <si>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</si>
  <si>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</si>
  <si>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</si>
  <si>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</si>
  <si>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</si>
  <si>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</si>
  <si>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</si>
  <si>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</si>
  <si>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</si>
  <si>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</si>
  <si>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</si>
  <si>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</si>
  <si>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</si>
  <si>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</si>
  <si>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</si>
  <si>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</si>
  <si>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</si>
  <si>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</si>
  <si>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</si>
  <si>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</si>
  <si>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</si>
  <si>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</si>
  <si>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</si>
  <si>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</si>
  <si>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</si>
  <si>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</si>
  <si>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</si>
  <si>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</si>
  <si>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</si>
  <si>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</si>
  <si>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</si>
  <si>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</si>
  <si>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</si>
  <si>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</si>
  <si>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</si>
  <si>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</si>
  <si>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</si>
  <si>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</si>
  <si>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</si>
  <si>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</si>
  <si>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</si>
  <si>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</si>
  <si>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</si>
  <si>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</si>
  <si>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</si>
  <si>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</si>
  <si>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</si>
  <si>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</si>
  <si>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</si>
  <si>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</si>
  <si>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</si>
  <si>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</si>
  <si>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</si>
  <si>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</si>
  <si>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</si>
  <si>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</si>
  <si>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</si>
  <si>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</si>
  <si>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</si>
  <si>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</si>
  <si>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</si>
  <si>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</si>
  <si>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</si>
  <si>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</si>
  <si>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</si>
  <si>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</si>
  <si>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</si>
  <si>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</si>
  <si>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</si>
  <si>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</si>
  <si>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</si>
  <si>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</si>
  <si>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</si>
  <si>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</si>
  <si>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</si>
  <si>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</si>
  <si>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</si>
  <si>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</si>
  <si>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</si>
  <si>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</si>
  <si>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</si>
  <si>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</si>
  <si>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</si>
  <si>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</si>
  <si>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</si>
  <si>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</si>
  <si>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</si>
  <si>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</si>
  <si>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</si>
  <si>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</si>
  <si>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</si>
  <si>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</si>
  <si>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</si>
  <si>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</si>
  <si>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</si>
  <si>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</si>
  <si>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</si>
  <si>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</si>
  <si>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</si>
  <si>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</si>
  <si>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</si>
  <si>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</si>
  <si>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</si>
  <si>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</si>
  <si>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</si>
  <si>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</si>
  <si>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</si>
  <si>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</si>
  <si>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</si>
  <si>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</si>
  <si>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</si>
  <si>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</si>
  <si>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</si>
  <si>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</si>
  <si>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</si>
  <si>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</si>
  <si>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</si>
  <si>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</si>
  <si>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</si>
  <si>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</si>
  <si>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</si>
  <si>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</si>
  <si>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</si>
  <si>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</si>
  <si>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</si>
  <si>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</si>
  <si>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</si>
  <si>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</si>
  <si>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</si>
  <si>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</si>
  <si>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</si>
  <si>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</si>
  <si>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</si>
  <si>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</si>
  <si>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</si>
  <si>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</si>
  <si>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</si>
  <si>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</si>
  <si>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</si>
  <si>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</si>
  <si>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</si>
  <si>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</si>
  <si>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</si>
  <si>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</si>
  <si>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</si>
  <si>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</si>
  <si>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</si>
  <si>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</si>
  <si>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</si>
  <si>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</si>
  <si>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</si>
  <si>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</si>
  <si>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</si>
  <si>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</si>
  <si>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</si>
  <si>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</si>
  <si>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</si>
  <si>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</si>
  <si>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</si>
  <si>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</si>
  <si>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</si>
  <si>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</si>
  <si>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</si>
  <si>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</si>
  <si>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</si>
  <si>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</si>
  <si>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</si>
  <si>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</si>
  <si>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</si>
  <si>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</si>
  <si>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</si>
  <si>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</si>
  <si>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</si>
  <si>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</si>
  <si>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</si>
  <si>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</si>
  <si>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</si>
  <si>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</si>
  <si>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</si>
  <si>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</si>
  <si>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</si>
  <si>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</si>
  <si>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</si>
  <si>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</si>
  <si>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</si>
  <si>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</si>
  <si>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</si>
  <si>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</si>
  <si>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</si>
  <si>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</si>
  <si>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</si>
  <si>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</si>
  <si>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</si>
  <si>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</si>
  <si>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</si>
  <si>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</si>
  <si>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</si>
  <si>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</si>
  <si>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</si>
  <si>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</si>
  <si>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</si>
  <si>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</si>
  <si>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</si>
  <si>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</si>
  <si>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</si>
  <si>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</si>
  <si>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</si>
  <si>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</si>
  <si>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</si>
  <si>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</si>
  <si>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</si>
  <si>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</si>
  <si>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</si>
  <si>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</si>
  <si>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</si>
  <si>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</si>
  <si>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</si>
  <si>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</si>
  <si>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</si>
  <si>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</si>
  <si>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</si>
  <si>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</si>
  <si>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</si>
  <si>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</si>
  <si>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</si>
  <si>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</si>
  <si>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</si>
  <si>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</si>
  <si>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</si>
  <si>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</si>
  <si>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</si>
  <si>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</si>
  <si>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</si>
  <si>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</si>
  <si>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</si>
  <si>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</si>
  <si>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</si>
  <si>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</si>
  <si>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</si>
  <si>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</si>
  <si>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</si>
  <si>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</si>
  <si>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</si>
  <si>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</si>
  <si>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</si>
  <si>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</si>
  <si>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</si>
  <si>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</si>
  <si>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</si>
  <si>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</si>
  <si>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</si>
  <si>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</si>
  <si>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</si>
  <si>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</si>
  <si>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</si>
  <si>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</si>
  <si>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</si>
  <si>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</si>
  <si>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</si>
  <si>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</si>
  <si>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</si>
  <si>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</si>
  <si>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</si>
  <si>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</si>
  <si>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</si>
  <si>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</si>
  <si>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</si>
  <si>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</si>
  <si>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</si>
  <si>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</si>
  <si>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</si>
  <si>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</si>
  <si>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</si>
  <si>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</si>
  <si>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</si>
  <si>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</si>
  <si>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</si>
  <si>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</si>
  <si>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</si>
  <si>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</si>
  <si>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</si>
  <si>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</si>
  <si>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</si>
  <si>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</si>
  <si>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</si>
  <si>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</si>
  <si>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</si>
  <si>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</si>
  <si>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</si>
  <si>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</si>
  <si>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</si>
  <si>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</si>
  <si>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</si>
  <si>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</si>
  <si>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</si>
  <si>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</si>
  <si>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</si>
  <si>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</si>
  <si>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</si>
  <si>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</si>
  <si>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</si>
  <si>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</si>
  <si>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</si>
  <si>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</si>
  <si>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</si>
  <si>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</si>
  <si>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</si>
  <si>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</si>
  <si>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</si>
  <si>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</si>
  <si>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</si>
  <si>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</si>
  <si>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</si>
  <si>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</si>
  <si>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</si>
  <si>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</si>
  <si>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</si>
  <si>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</si>
  <si>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</si>
  <si>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</si>
  <si>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</si>
  <si>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</si>
  <si>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</si>
  <si>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</si>
  <si>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</si>
  <si>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</si>
  <si>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</si>
  <si>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</si>
  <si>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</si>
  <si>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</si>
  <si>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</si>
  <si>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</si>
  <si>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</si>
  <si>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</si>
  <si>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</si>
  <si>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</si>
  <si>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</si>
  <si>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</si>
  <si>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</si>
  <si>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</si>
  <si>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</si>
  <si>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</si>
  <si>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</si>
  <si>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</si>
  <si>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</si>
  <si>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</si>
  <si>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</si>
  <si>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</si>
  <si>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</si>
  <si>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</si>
  <si>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</si>
  <si>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</si>
  <si>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</si>
  <si>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</si>
  <si>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</si>
  <si>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</si>
  <si>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</si>
  <si>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</si>
  <si>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</si>
  <si>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</si>
  <si>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</si>
  <si>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</si>
  <si>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</si>
  <si>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</si>
  <si>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</si>
  <si>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</si>
  <si>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</si>
  <si>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</si>
  <si>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</si>
  <si>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</si>
  <si>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</si>
  <si>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</si>
  <si>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</si>
  <si>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</si>
  <si>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</si>
  <si>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</si>
  <si>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</si>
  <si>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</si>
  <si>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</si>
  <si>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</si>
  <si>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</si>
  <si>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</si>
  <si>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</si>
  <si>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</si>
  <si>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</si>
  <si>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</si>
  <si>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</si>
  <si>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</si>
  <si>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</si>
  <si>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</si>
  <si>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</si>
  <si>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</si>
  <si>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</si>
  <si>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</si>
  <si>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</si>
  <si>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</si>
  <si>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</si>
  <si>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</si>
  <si>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</si>
  <si>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</si>
  <si>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</si>
  <si>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</si>
  <si>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</si>
  <si>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</si>
  <si>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</si>
  <si>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</si>
  <si>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</si>
  <si>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</si>
  <si>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</si>
  <si>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</si>
  <si>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</si>
  <si>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</si>
  <si>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</si>
  <si>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</si>
  <si>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</si>
  <si>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</si>
  <si>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</si>
  <si>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</si>
  <si>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</si>
  <si>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</si>
  <si>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</si>
  <si>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</si>
  <si>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</si>
  <si>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</si>
  <si>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</si>
  <si>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</si>
  <si>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</si>
  <si>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</si>
  <si>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</si>
  <si>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</si>
  <si>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</si>
  <si>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</si>
  <si>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</si>
  <si>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</si>
  <si>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</si>
  <si>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</si>
  <si>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</si>
  <si>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</si>
  <si>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</si>
  <si>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</si>
  <si>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</si>
  <si>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</si>
  <si>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</si>
  <si>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</si>
  <si>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</si>
  <si>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</si>
  <si>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</si>
  <si>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</si>
  <si>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</si>
  <si>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</si>
  <si>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</si>
  <si>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</si>
  <si>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</si>
  <si>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</si>
  <si>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</si>
  <si>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</si>
  <si>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</si>
  <si>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</si>
  <si>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</si>
  <si>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</si>
  <si>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</si>
  <si>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</si>
  <si>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</si>
  <si>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</si>
  <si>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</si>
  <si>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</si>
  <si>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</si>
  <si>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</si>
  <si>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</si>
  <si>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</si>
  <si>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</si>
  <si>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</si>
  <si>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</si>
  <si>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</si>
  <si>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</si>
  <si>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</si>
  <si>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</si>
  <si>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</si>
  <si>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</si>
  <si>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</si>
  <si>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</si>
  <si>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</si>
  <si>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</si>
  <si>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</si>
  <si>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</si>
  <si>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</si>
  <si>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</si>
  <si>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</si>
  <si>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</si>
  <si>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</si>
  <si>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</si>
  <si>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</si>
  <si>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</si>
  <si>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</si>
  <si>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</si>
  <si>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</si>
  <si>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</si>
  <si>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</si>
  <si>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</si>
  <si>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</si>
  <si>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</si>
  <si>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</si>
  <si>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</si>
  <si>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</si>
  <si>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</si>
  <si>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</si>
  <si>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</si>
  <si>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</si>
  <si>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</si>
  <si>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</si>
  <si>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</si>
  <si>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</si>
  <si>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</si>
  <si>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</si>
  <si>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</si>
  <si>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</si>
  <si>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</si>
  <si>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</si>
  <si>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</si>
  <si>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</si>
  <si>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</si>
  <si>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</si>
  <si>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</si>
  <si>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</si>
  <si>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</si>
  <si>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</si>
  <si>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</si>
  <si>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</si>
  <si>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</si>
  <si>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</si>
  <si>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</si>
  <si>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</si>
  <si>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</si>
  <si>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</si>
  <si>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</si>
  <si>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</si>
  <si>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</si>
  <si>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</si>
  <si>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</si>
  <si>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</si>
  <si>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</si>
  <si>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</si>
  <si>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</si>
  <si>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</si>
  <si>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</si>
  <si>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</si>
  <si>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</si>
  <si>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</si>
  <si>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</si>
  <si>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</si>
  <si>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</si>
  <si>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</si>
  <si>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</si>
  <si>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</si>
  <si>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</si>
  <si>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</si>
  <si>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</si>
  <si>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</si>
  <si>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</si>
  <si>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</si>
  <si>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</si>
  <si>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</si>
  <si>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</si>
  <si>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</si>
  <si>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</si>
  <si>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</si>
  <si>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</si>
  <si>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</si>
  <si>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</si>
  <si>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</si>
  <si>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</si>
  <si>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</si>
  <si>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</si>
  <si>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</si>
  <si>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</si>
  <si>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</si>
  <si>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</si>
  <si>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</si>
  <si>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</si>
  <si>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</si>
  <si>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</si>
  <si>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</si>
  <si>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</si>
  <si>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</si>
  <si>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</si>
  <si>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</si>
  <si>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</si>
  <si>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</si>
  <si>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</si>
  <si>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</si>
  <si>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</si>
  <si>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</si>
  <si>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</si>
  <si>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</si>
  <si>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</si>
  <si>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</si>
  <si>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</si>
  <si>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</si>
  <si>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</si>
  <si>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</si>
  <si>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</si>
  <si>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</si>
  <si>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</si>
  <si>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</si>
  <si>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</si>
  <si>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</si>
  <si>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</si>
  <si>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</si>
  <si>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</si>
  <si>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</si>
  <si>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</si>
  <si>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</si>
  <si>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</si>
  <si>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</si>
  <si>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</si>
  <si>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</si>
  <si>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</si>
  <si>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</si>
  <si>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</si>
  <si>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</si>
  <si>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</si>
  <si>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</si>
  <si>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</si>
  <si>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</si>
  <si>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</si>
  <si>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</si>
  <si>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</si>
  <si>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</si>
  <si>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</si>
  <si>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</si>
  <si>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</si>
  <si>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</si>
  <si>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</si>
  <si>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</si>
  <si>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</si>
  <si>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</si>
  <si>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</si>
  <si>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</si>
  <si>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</si>
  <si>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</si>
  <si>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</si>
  <si>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</si>
  <si>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</si>
  <si>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</si>
  <si>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</si>
  <si>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</si>
  <si>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</si>
  <si>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</si>
  <si>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</si>
  <si>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</si>
  <si>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</si>
  <si>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</si>
  <si>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</si>
  <si>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</si>
  <si>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</si>
  <si>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</si>
  <si>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</si>
  <si>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</si>
  <si>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</si>
  <si>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</si>
  <si>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</si>
  <si>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</si>
  <si>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</si>
  <si>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</si>
  <si>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</si>
  <si>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</si>
  <si>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</si>
  <si>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</si>
  <si>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</si>
  <si>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</si>
  <si>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</si>
  <si>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</si>
  <si>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</si>
  <si>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</si>
  <si>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</si>
  <si>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</si>
  <si>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</si>
  <si>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</si>
  <si>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</si>
  <si>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</si>
  <si>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</si>
  <si>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</si>
  <si>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</si>
  <si>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</si>
  <si>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</si>
  <si>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</si>
  <si>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</si>
  <si>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</si>
  <si>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</si>
  <si>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</si>
  <si>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</si>
  <si>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</si>
  <si>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</si>
  <si>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</si>
  <si>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</si>
  <si>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</si>
  <si>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</si>
  <si>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</si>
  <si>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</si>
  <si>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</si>
  <si>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</si>
  <si>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</si>
  <si>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</si>
  <si>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</si>
  <si>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</si>
  <si>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</si>
  <si>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</si>
  <si>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</si>
  <si>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</si>
  <si>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</si>
  <si>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</si>
  <si>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</si>
  <si>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</si>
  <si>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</si>
  <si>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</si>
  <si>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</si>
  <si>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</si>
  <si>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</si>
  <si>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</si>
  <si>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</si>
  <si>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</si>
  <si>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</si>
  <si>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</si>
  <si>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</si>
  <si>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</si>
  <si>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</si>
  <si>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</si>
  <si>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</si>
  <si>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</si>
  <si>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</si>
  <si>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</si>
  <si>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</si>
  <si>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</si>
  <si>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</si>
  <si>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</si>
  <si>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</si>
  <si>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</si>
  <si>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</si>
  <si>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</si>
  <si>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</si>
  <si>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</si>
  <si>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</si>
  <si>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</si>
  <si>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</si>
  <si>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</si>
  <si>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</si>
  <si>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</si>
  <si>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</si>
  <si>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</si>
  <si>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</si>
  <si>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</si>
  <si>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</si>
  <si>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</si>
  <si>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</si>
  <si>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</si>
  <si>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</si>
  <si>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</si>
  <si>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</si>
  <si>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</si>
  <si>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</si>
  <si>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</si>
  <si>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</si>
  <si>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</si>
  <si>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</si>
  <si>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</si>
  <si>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</si>
  <si>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</si>
  <si>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</si>
  <si>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</si>
  <si>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</si>
  <si>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</si>
  <si>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</si>
  <si>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</si>
  <si>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</si>
  <si>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</si>
  <si>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</si>
  <si>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</si>
  <si>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</si>
  <si>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</si>
  <si>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</si>
  <si>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</si>
  <si>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</si>
  <si>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</si>
  <si>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</si>
  <si>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</si>
  <si>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</si>
  <si>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</si>
  <si>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</si>
  <si>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</si>
  <si>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</si>
  <si>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</si>
  <si>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</si>
  <si>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</si>
  <si>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</si>
  <si>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</si>
  <si>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</si>
  <si>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</si>
  <si>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</si>
  <si>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</si>
  <si>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</si>
  <si>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</si>
  <si>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</si>
  <si>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</si>
  <si>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</si>
  <si>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</si>
  <si>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</si>
  <si>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</si>
  <si>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</si>
  <si>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</si>
  <si>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</si>
  <si>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</si>
  <si>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</si>
  <si>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</si>
  <si>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</si>
  <si>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</si>
  <si>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</si>
  <si>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</si>
  <si>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</si>
  <si>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</si>
  <si>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</si>
  <si>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</si>
  <si>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</si>
  <si>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</si>
  <si>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</si>
  <si>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</si>
  <si>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</si>
  <si>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</si>
  <si>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</si>
  <si>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</si>
  <si>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</si>
  <si>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</si>
  <si>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</si>
  <si>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</si>
  <si>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</si>
  <si>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</si>
  <si>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</si>
  <si>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</si>
  <si>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</si>
  <si>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</si>
  <si>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</si>
  <si>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</si>
  <si>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</si>
  <si>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</si>
  <si>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</si>
  <si>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</si>
  <si>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</si>
  <si>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</si>
  <si>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</si>
  <si>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</si>
  <si>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</si>
  <si>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</si>
  <si>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</si>
  <si>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</si>
  <si>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</si>
  <si>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</si>
  <si>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</si>
  <si>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</si>
  <si>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</si>
  <si>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</si>
  <si>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</si>
  <si>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</si>
  <si>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</si>
  <si>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</si>
  <si>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</si>
  <si>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</si>
  <si>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</si>
  <si>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</si>
  <si>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</si>
  <si>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</si>
  <si>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</si>
  <si>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</si>
  <si>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</si>
  <si>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</si>
  <si>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</si>
  <si>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</si>
  <si>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</si>
  <si>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</si>
  <si>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</si>
  <si>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</si>
  <si>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</si>
  <si>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</si>
  <si>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</si>
  <si>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</si>
  <si>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</si>
  <si>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</si>
  <si>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</si>
  <si>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</si>
  <si>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</si>
  <si>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</si>
  <si>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</si>
  <si>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</si>
  <si>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</si>
  <si>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</si>
  <si>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</si>
  <si>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</si>
  <si>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</si>
  <si>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</si>
  <si>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</si>
  <si>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</si>
  <si>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</si>
  <si>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</si>
  <si>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</si>
  <si>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</si>
  <si>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</si>
  <si>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</si>
  <si>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</si>
  <si>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</si>
  <si>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</si>
  <si>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</si>
  <si>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</si>
  <si>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</si>
  <si>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</si>
  <si>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</si>
  <si>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</si>
  <si>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</si>
  <si>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</si>
  <si>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</si>
  <si>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</si>
  <si>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</si>
  <si>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</si>
  <si>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</si>
  <si>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</si>
  <si>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</si>
  <si>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</si>
  <si>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</si>
  <si>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</si>
  <si>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</si>
  <si>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</si>
  <si>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</si>
  <si>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</si>
  <si>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</si>
  <si>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</si>
  <si>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</si>
  <si>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</si>
  <si>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</si>
  <si>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</si>
  <si>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</si>
  <si>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</si>
  <si>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</si>
  <si>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</si>
  <si>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</si>
  <si>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</si>
  <si>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</si>
  <si>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</si>
  <si>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</si>
  <si>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</si>
  <si>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</si>
  <si>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</si>
  <si>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</si>
  <si>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</si>
  <si>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</si>
  <si>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</si>
  <si>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</si>
  <si>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</si>
  <si>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</si>
  <si>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</si>
  <si>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</si>
  <si>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</si>
  <si>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</si>
  <si>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</si>
  <si>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</si>
  <si>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</si>
  <si>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</si>
  <si>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</si>
  <si>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</si>
  <si>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</si>
  <si>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</si>
  <si>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</si>
  <si>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</si>
  <si>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</si>
  <si>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</si>
  <si>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</si>
  <si>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</si>
  <si>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</si>
  <si>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</si>
  <si>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</si>
  <si>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</si>
  <si>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</si>
  <si>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</si>
  <si>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</si>
  <si>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</si>
  <si>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</si>
  <si>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</si>
  <si>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</si>
  <si>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</si>
  <si>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</si>
  <si>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</si>
  <si>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</si>
  <si>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</si>
  <si>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</si>
  <si>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</si>
  <si>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</si>
  <si>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</si>
  <si>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</si>
  <si>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</si>
  <si>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</si>
  <si>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</si>
  <si>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</si>
  <si>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</si>
  <si>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</si>
  <si>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</si>
  <si>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</si>
  <si>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</si>
  <si>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</si>
  <si>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</si>
  <si>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</si>
  <si>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</si>
  <si>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</si>
  <si>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</si>
  <si>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</si>
  <si>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</si>
  <si>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</si>
  <si>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</si>
  <si>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</si>
  <si>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</si>
  <si>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</si>
  <si>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</si>
  <si>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</si>
  <si>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</si>
  <si>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</si>
  <si>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</si>
  <si>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</si>
  <si>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</si>
  <si>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</si>
  <si>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</si>
  <si>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</si>
  <si>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</si>
  <si>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</si>
  <si>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</si>
  <si>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</si>
  <si>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</si>
  <si>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</si>
  <si>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</si>
  <si>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</si>
  <si>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</si>
  <si>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</si>
  <si>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</si>
  <si>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</si>
  <si>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</si>
  <si>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</si>
  <si>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</si>
  <si>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</si>
  <si>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</si>
  <si>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</si>
  <si>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</si>
  <si>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</si>
  <si>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</si>
  <si>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</si>
  <si>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</si>
  <si>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</si>
  <si>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</si>
  <si>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</si>
  <si>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</si>
  <si>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</si>
  <si>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</si>
  <si>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</si>
  <si>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</si>
  <si>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</si>
  <si>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</si>
  <si>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</si>
  <si>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</si>
  <si>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</si>
  <si>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</si>
  <si>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</si>
  <si>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</si>
  <si>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</si>
  <si>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</si>
  <si>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</si>
  <si>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</si>
  <si>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</si>
  <si>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</si>
  <si>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</si>
  <si>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</si>
  <si>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</si>
  <si>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</si>
  <si>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</si>
  <si>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</si>
  <si>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</si>
  <si>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</si>
  <si>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</si>
  <si>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</si>
  <si>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</si>
  <si>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</si>
  <si>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</si>
  <si>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</si>
  <si>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</si>
  <si>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</si>
  <si>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</si>
  <si>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</si>
  <si>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</si>
  <si>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</si>
  <si>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</si>
  <si>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</si>
  <si>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</si>
  <si>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</si>
  <si>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</si>
  <si>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</si>
  <si>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</si>
  <si>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</si>
  <si>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</si>
  <si>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</si>
  <si>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</si>
  <si>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</si>
  <si>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</si>
  <si>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</si>
  <si>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</si>
  <si>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</si>
  <si>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</si>
  <si>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</si>
  <si>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</si>
  <si>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</si>
  <si>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</si>
  <si>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</si>
  <si>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</si>
  <si>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</si>
  <si>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</si>
  <si>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</si>
  <si>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</si>
  <si>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</si>
  <si>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</si>
  <si>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</si>
  <si>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</si>
  <si>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</si>
  <si>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</si>
  <si>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</si>
  <si>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</si>
  <si>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</si>
  <si>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</si>
  <si>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</si>
  <si>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</si>
  <si>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</si>
  <si>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</si>
  <si>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</si>
  <si>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</si>
  <si>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</si>
  <si>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</si>
  <si>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</si>
  <si>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</si>
  <si>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</si>
  <si>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</si>
  <si>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</si>
  <si>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</si>
  <si>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</si>
  <si>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</si>
  <si>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</si>
  <si>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</si>
  <si>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</si>
  <si>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</si>
  <si>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</si>
  <si>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</si>
  <si>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</si>
  <si>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</si>
  <si>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</si>
  <si>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</si>
  <si>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</si>
  <si>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</si>
  <si>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</si>
  <si>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</si>
  <si>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</si>
  <si>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</si>
  <si>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</si>
  <si>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</si>
  <si>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</si>
  <si>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</si>
  <si>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</si>
  <si>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</si>
  <si>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</si>
  <si>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</si>
  <si>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</si>
  <si>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</si>
  <si>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</si>
  <si>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</si>
  <si>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</si>
  <si>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</si>
  <si>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</si>
  <si>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</si>
  <si>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</si>
  <si>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</si>
  <si>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</si>
  <si>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</si>
  <si>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</si>
  <si>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</si>
  <si>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</si>
  <si>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</si>
  <si>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</si>
  <si>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</si>
  <si>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</si>
  <si>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</si>
  <si>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</si>
  <si>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</si>
  <si>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</si>
  <si>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</si>
  <si>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</si>
  <si>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</si>
  <si>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</si>
  <si>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</si>
  <si>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</si>
  <si>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</si>
  <si>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</si>
  <si>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</si>
  <si>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</si>
  <si>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</si>
  <si>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</si>
  <si>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</si>
  <si>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</si>
  <si>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</si>
  <si>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</si>
  <si>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</si>
  <si>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</si>
  <si>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</si>
  <si>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</si>
  <si>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</si>
  <si>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</si>
  <si>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</si>
  <si>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</si>
  <si>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</si>
  <si>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</si>
  <si>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</si>
  <si>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</si>
  <si>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</si>
  <si>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</si>
  <si>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</si>
  <si>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</si>
  <si>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</si>
  <si>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</si>
  <si>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</si>
  <si>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</si>
  <si>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</si>
  <si>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</si>
  <si>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</si>
  <si>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</si>
  <si>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</si>
  <si>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</si>
  <si>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</si>
  <si>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</si>
  <si>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</si>
  <si>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</si>
  <si>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</si>
  <si>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</si>
  <si>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</si>
  <si>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</si>
  <si>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</si>
  <si>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</si>
  <si>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</si>
  <si>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</si>
  <si>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</si>
  <si>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</si>
  <si>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</si>
  <si>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</si>
  <si>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</si>
  <si>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</si>
  <si>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</si>
  <si>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</si>
  <si>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</si>
  <si>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</si>
  <si>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</si>
  <si>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</si>
  <si>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</si>
  <si>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</si>
  <si>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</si>
  <si>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</si>
  <si>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</si>
  <si>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</si>
  <si>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</si>
  <si>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</si>
  <si>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</si>
  <si>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</si>
  <si>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</si>
  <si>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</si>
  <si>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</si>
  <si>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</si>
  <si>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</si>
  <si>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</si>
  <si>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</si>
  <si>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</si>
  <si>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</si>
  <si>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</si>
  <si>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</si>
  <si>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</si>
  <si>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</si>
  <si>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</si>
  <si>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</si>
  <si>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</si>
  <si>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</si>
  <si>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</si>
  <si>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</si>
  <si>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</si>
  <si>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</si>
  <si>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</si>
  <si>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</si>
  <si>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</si>
  <si>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</si>
  <si>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</si>
  <si>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</si>
  <si>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</si>
  <si>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</si>
  <si>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</si>
  <si>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</si>
  <si>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</si>
  <si>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</si>
  <si>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</si>
  <si>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</si>
  <si>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</si>
  <si>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</si>
  <si>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</si>
  <si>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</si>
  <si>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</si>
  <si>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</si>
  <si>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</si>
  <si>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</si>
  <si>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</si>
  <si>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</si>
  <si>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</si>
  <si>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</si>
  <si>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</si>
  <si>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</si>
  <si>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</si>
  <si>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</si>
  <si>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</si>
  <si>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</si>
  <si>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</si>
  <si>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</si>
  <si>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</si>
  <si>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</si>
  <si>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</si>
  <si>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</si>
  <si>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</si>
  <si>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</si>
  <si>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</si>
  <si>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</si>
  <si>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</si>
  <si>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</si>
  <si>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</si>
  <si>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</si>
  <si>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</si>
  <si>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</si>
  <si>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</si>
  <si>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</si>
  <si>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</si>
  <si>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</si>
  <si>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</si>
  <si>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</si>
  <si>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</si>
  <si>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</si>
  <si>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</si>
  <si>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</si>
  <si>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</si>
  <si>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</si>
  <si>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</si>
  <si>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</si>
  <si>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</si>
  <si>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</si>
  <si>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</si>
  <si>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</si>
  <si>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</si>
  <si>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</si>
  <si>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</si>
  <si>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</si>
  <si>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</si>
  <si>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</si>
  <si>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</si>
  <si>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</si>
  <si>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</si>
  <si>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</si>
  <si>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</si>
  <si>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</si>
  <si>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</si>
  <si>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</si>
  <si>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</si>
  <si>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</si>
  <si>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</si>
  <si>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</si>
  <si>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</si>
  <si>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</si>
  <si>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</si>
  <si>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</si>
  <si>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</si>
  <si>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</si>
  <si>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</si>
  <si>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</si>
  <si>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</si>
  <si>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</si>
  <si>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</si>
  <si>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</si>
  <si>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</si>
  <si>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</si>
  <si>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</si>
  <si>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</si>
  <si>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</si>
  <si>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</si>
  <si>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</si>
  <si>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</si>
  <si>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</si>
  <si>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</si>
  <si>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</si>
  <si>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</si>
  <si>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</si>
  <si>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</si>
  <si>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</si>
  <si>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</si>
  <si>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</si>
  <si>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</si>
  <si>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</si>
  <si>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</si>
  <si>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</si>
  <si>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</si>
  <si>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</si>
  <si>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</si>
  <si>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</si>
  <si>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</si>
  <si>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</si>
  <si>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</si>
  <si>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</si>
  <si>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</si>
  <si>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</si>
  <si>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</si>
  <si>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</si>
  <si>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</si>
  <si>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</si>
  <si>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</si>
  <si>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</si>
  <si>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</si>
  <si>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</si>
  <si>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</si>
  <si>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</si>
  <si>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</si>
  <si>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</si>
  <si>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</si>
  <si>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</si>
  <si>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</si>
  <si>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</si>
  <si>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</si>
  <si>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</si>
  <si>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</si>
  <si>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</si>
  <si>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</si>
  <si>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</si>
  <si>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</si>
  <si>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</si>
  <si>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</si>
  <si>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</si>
  <si>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</si>
  <si>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</si>
  <si>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</si>
  <si>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</si>
  <si>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</si>
  <si>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</si>
  <si>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</si>
  <si>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</si>
  <si>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</si>
  <si>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</si>
  <si>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</si>
  <si>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</si>
  <si>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</si>
  <si>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</si>
  <si>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</si>
  <si>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</si>
  <si>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</si>
  <si>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</si>
  <si>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</si>
  <si>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</si>
  <si>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</si>
  <si>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</si>
  <si>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</si>
  <si>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</si>
  <si>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</si>
  <si>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</si>
  <si>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</si>
  <si>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</si>
  <si>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</si>
  <si>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</si>
  <si>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</si>
  <si>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</si>
  <si>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</si>
  <si>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</si>
  <si>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</si>
  <si>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</si>
  <si>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</si>
  <si>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</si>
  <si>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</si>
  <si>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</si>
  <si>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</si>
  <si>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</si>
  <si>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</si>
  <si>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</si>
  <si>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</si>
  <si>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</si>
  <si>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</si>
  <si>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</si>
  <si>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</si>
  <si>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</si>
  <si>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</si>
  <si>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</si>
  <si>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</si>
  <si>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</si>
  <si>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</si>
  <si>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</si>
  <si>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</si>
  <si>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</si>
  <si>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</si>
  <si>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</si>
  <si>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</si>
  <si>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</si>
  <si>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</si>
  <si>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</si>
  <si>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</si>
  <si>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</si>
  <si>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</si>
  <si>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</si>
  <si>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</si>
  <si>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</si>
  <si>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</si>
  <si>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</si>
  <si>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</si>
  <si>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</si>
  <si>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</si>
  <si>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</si>
  <si>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</si>
  <si>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</si>
  <si>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</si>
  <si>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</si>
  <si>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</si>
  <si>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</si>
  <si>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</si>
  <si>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</si>
  <si>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</si>
  <si>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</si>
  <si>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</si>
  <si>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</si>
  <si>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</si>
  <si>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</si>
  <si>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</si>
  <si>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</si>
  <si>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</si>
  <si>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</si>
  <si>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</si>
  <si>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</si>
  <si>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</si>
  <si>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</si>
  <si>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</si>
  <si>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</si>
  <si>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</si>
  <si>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</si>
  <si>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</si>
  <si>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</si>
  <si>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</si>
  <si>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</si>
  <si>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</si>
  <si>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</si>
  <si>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</si>
  <si>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</si>
  <si>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</si>
  <si>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</si>
  <si>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</si>
  <si>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</si>
  <si>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</si>
  <si>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</si>
  <si>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</si>
  <si>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</si>
  <si>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</si>
  <si>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</si>
  <si>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</si>
  <si>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</si>
  <si>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</si>
  <si>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</si>
  <si>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</si>
  <si>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</si>
  <si>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</si>
  <si>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</si>
  <si>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</si>
  <si>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</si>
  <si>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</si>
  <si>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</si>
  <si>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</si>
  <si>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</si>
  <si>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</si>
  <si>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</si>
  <si>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</si>
  <si>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</si>
  <si>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</si>
  <si>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</si>
  <si>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</si>
  <si>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</si>
  <si>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</si>
  <si>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</si>
  <si>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</si>
  <si>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</si>
  <si>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</si>
  <si>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</si>
  <si>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</si>
  <si>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</si>
  <si>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</si>
  <si>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</si>
  <si>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</si>
  <si>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</si>
  <si>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</si>
  <si>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</si>
  <si>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</si>
  <si>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</si>
  <si>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</si>
  <si>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</si>
  <si>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</si>
  <si>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</si>
  <si>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</si>
  <si>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</si>
  <si>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</si>
  <si>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</si>
  <si>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</si>
  <si>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</si>
  <si>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</si>
  <si>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</si>
  <si>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</si>
  <si>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</si>
  <si>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</si>
  <si>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</si>
  <si>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</si>
  <si>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</si>
  <si>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</si>
  <si>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</si>
  <si>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</si>
  <si>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</si>
  <si>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</si>
  <si>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</si>
  <si>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</si>
  <si>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</si>
  <si>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</si>
  <si>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</si>
  <si>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</si>
  <si>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</si>
  <si>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</si>
  <si>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</si>
  <si>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</si>
  <si>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</si>
  <si>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</si>
  <si>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</si>
  <si>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</si>
  <si>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</si>
  <si>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</si>
  <si>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</si>
  <si>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</si>
  <si>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</si>
  <si>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</si>
  <si>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</si>
  <si>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</si>
  <si>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</si>
  <si>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</si>
  <si>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</si>
  <si>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</si>
  <si>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</si>
  <si>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</si>
  <si>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</si>
  <si>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</si>
  <si>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</si>
  <si>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</si>
  <si>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</si>
  <si>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</si>
  <si>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</si>
  <si>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</si>
  <si>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</si>
  <si>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</si>
  <si>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</si>
  <si>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</si>
  <si>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</si>
  <si>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</si>
  <si>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</si>
  <si>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</si>
  <si>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</si>
  <si>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</si>
  <si>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</si>
  <si>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</si>
  <si>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</si>
  <si>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</si>
  <si>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</si>
  <si>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</si>
  <si>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</si>
  <si>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</si>
  <si>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</si>
  <si>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</si>
  <si>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</si>
  <si>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</si>
  <si>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</si>
  <si>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</si>
  <si>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</si>
  <si>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</si>
  <si>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</si>
  <si>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</si>
  <si>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</si>
  <si>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</si>
  <si>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</si>
  <si>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</si>
  <si>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</si>
  <si>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</si>
  <si>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</si>
  <si>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</si>
  <si>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</si>
  <si>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</si>
  <si>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</si>
  <si>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</si>
  <si>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</si>
  <si>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</si>
  <si>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</si>
  <si>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</si>
  <si>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</si>
  <si>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</si>
  <si>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</si>
  <si>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</si>
  <si>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</si>
  <si>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</si>
  <si>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</si>
  <si>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</si>
  <si>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</si>
  <si>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</si>
  <si>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</si>
  <si>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</si>
  <si>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</si>
  <si>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</si>
  <si>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</si>
  <si>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</si>
  <si>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</si>
  <si>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</si>
  <si>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</si>
  <si>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</si>
  <si>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</si>
  <si>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</si>
  <si>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</si>
  <si>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</si>
  <si>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</si>
  <si>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</si>
  <si>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</si>
  <si>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</si>
  <si>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</si>
  <si>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</si>
  <si>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</si>
  <si>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</si>
  <si>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</si>
  <si>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</si>
  <si>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</si>
  <si>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</si>
  <si>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</si>
  <si>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</si>
  <si>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</si>
  <si>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</si>
  <si>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</si>
  <si>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</si>
  <si>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</si>
  <si>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</si>
  <si>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</si>
  <si>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</si>
  <si>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</si>
  <si>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</si>
  <si>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</si>
  <si>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</si>
  <si>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</si>
  <si>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</si>
  <si>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</si>
  <si>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</si>
  <si>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</si>
  <si>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</si>
  <si>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</si>
  <si>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</si>
  <si>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</si>
  <si>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</si>
  <si>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</si>
  <si>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</si>
  <si>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</si>
  <si>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</si>
  <si>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</si>
  <si>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</si>
  <si>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</si>
  <si>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</si>
  <si>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</si>
  <si>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</si>
  <si>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</si>
  <si>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</si>
  <si>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</si>
  <si>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</si>
  <si>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</si>
  <si>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</si>
  <si>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</si>
  <si>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</si>
  <si>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</si>
  <si>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</si>
  <si>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</si>
  <si>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</si>
  <si>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</si>
  <si>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</si>
  <si>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</si>
  <si>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</si>
  <si>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</si>
  <si>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</si>
  <si>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</si>
  <si>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</si>
  <si>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</si>
  <si>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</si>
  <si>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</si>
  <si>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</si>
  <si>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</si>
  <si>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</si>
  <si>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</si>
  <si>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</si>
  <si>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</si>
  <si>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</si>
  <si>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</si>
  <si>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</si>
  <si>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</si>
  <si>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</si>
  <si>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</si>
  <si>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</si>
  <si>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</si>
  <si>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</si>
  <si>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</si>
  <si>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</si>
  <si>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</si>
  <si>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</si>
  <si>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</si>
  <si>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</si>
  <si>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</si>
  <si>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</si>
  <si>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</si>
  <si>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</si>
  <si>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</si>
  <si>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</si>
  <si>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</si>
  <si>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</si>
  <si>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</si>
  <si>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</si>
  <si>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</si>
  <si>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</si>
  <si>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</si>
  <si>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</si>
  <si>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</si>
  <si>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</si>
  <si>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</si>
  <si>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</si>
  <si>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</si>
  <si>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</si>
  <si>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</si>
  <si>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</si>
  <si>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</si>
  <si>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</si>
  <si>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</si>
  <si>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</si>
  <si>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</si>
  <si>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</si>
  <si>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</si>
  <si>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</si>
  <si>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</si>
  <si>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</si>
  <si>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</si>
  <si>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</si>
  <si>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</si>
  <si>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</si>
  <si>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</si>
  <si>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</si>
  <si>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</si>
  <si>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</si>
  <si>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</si>
  <si>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</si>
  <si>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</si>
  <si>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</si>
  <si>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</si>
  <si>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</si>
  <si>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</si>
  <si>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</si>
  <si>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</si>
  <si>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</si>
  <si>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</si>
  <si>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</si>
  <si>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</si>
  <si>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</si>
  <si>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</si>
  <si>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</si>
  <si>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</si>
  <si>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</si>
  <si>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</si>
  <si>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</si>
  <si>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</si>
  <si>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</si>
  <si>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</si>
  <si>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</si>
  <si>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</si>
  <si>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</si>
  <si>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</si>
  <si>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</si>
  <si>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</si>
  <si>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</si>
  <si>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</si>
  <si>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</si>
  <si>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</si>
  <si>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</si>
  <si>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</si>
  <si>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</si>
  <si>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</si>
  <si>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</si>
  <si>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</si>
  <si>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</si>
  <si>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</si>
  <si>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</si>
  <si>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</si>
  <si>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</si>
  <si>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</si>
  <si>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</si>
  <si>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</si>
  <si>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</si>
  <si>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</si>
  <si>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</si>
  <si>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</si>
  <si>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</si>
  <si>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</si>
  <si>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</si>
  <si>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</si>
  <si>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</si>
  <si>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</si>
  <si>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</si>
  <si>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</si>
  <si>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</si>
  <si>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</si>
  <si>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</si>
  <si>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</si>
  <si>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</si>
  <si>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</si>
  <si>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</si>
  <si>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</si>
  <si>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</si>
  <si>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</si>
  <si>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</si>
  <si>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</si>
  <si>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</si>
  <si>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</si>
  <si>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</si>
  <si>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</si>
  <si>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</si>
  <si>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</si>
  <si>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</si>
  <si>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</si>
  <si>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</si>
  <si>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</si>
  <si>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</si>
  <si>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</si>
  <si>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</si>
  <si>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</si>
  <si>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</si>
  <si>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</si>
  <si>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</si>
  <si>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</si>
  <si>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</si>
  <si>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</si>
  <si>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</si>
  <si>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</si>
  <si>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</si>
  <si>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</si>
  <si>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</si>
  <si>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</si>
  <si>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</si>
  <si>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</si>
  <si>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</si>
  <si>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</si>
  <si>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</si>
  <si>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</si>
  <si>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</si>
  <si>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</si>
  <si>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</si>
  <si>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</si>
  <si>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</si>
  <si>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</si>
  <si>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</si>
  <si>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</si>
  <si>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</si>
  <si>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</si>
  <si>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</si>
  <si>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</si>
  <si>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</si>
  <si>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</si>
  <si>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</si>
  <si>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</si>
  <si>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</si>
  <si>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</si>
  <si>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</si>
  <si>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</si>
  <si>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</si>
  <si>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</si>
  <si>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</si>
  <si>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</si>
  <si>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</si>
  <si>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</si>
  <si>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</si>
  <si>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</si>
  <si>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</si>
  <si>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</si>
  <si>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</si>
  <si>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</si>
  <si>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</si>
  <si>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</si>
  <si>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</si>
  <si>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</si>
  <si>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</si>
  <si>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</si>
  <si>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</si>
  <si>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</si>
  <si>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</si>
  <si>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</si>
  <si>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</si>
  <si>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</si>
  <si>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</si>
  <si>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</si>
  <si>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</si>
  <si>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</si>
  <si>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</si>
  <si>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</si>
  <si>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</si>
  <si>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</si>
  <si>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</si>
  <si>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</si>
  <si>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</si>
  <si>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</si>
  <si>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</si>
  <si>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</si>
  <si>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</si>
  <si>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</si>
  <si>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</si>
  <si>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</si>
  <si>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</si>
  <si>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</si>
  <si>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</si>
  <si>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</si>
  <si>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</si>
  <si>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</si>
  <si>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</si>
  <si>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</si>
  <si>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</si>
  <si>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</si>
  <si>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</si>
  <si>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</si>
  <si>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</si>
  <si>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</si>
  <si>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</si>
  <si>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</si>
  <si>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</si>
  <si>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</si>
  <si>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</si>
  <si>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</si>
  <si>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</si>
  <si>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</si>
  <si>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</si>
  <si>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</si>
  <si>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</si>
  <si>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</si>
  <si>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</si>
  <si>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</si>
  <si>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</si>
  <si>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</si>
  <si>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</si>
  <si>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</si>
  <si>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</si>
  <si>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</si>
  <si>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</si>
  <si>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</si>
  <si>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</si>
  <si>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</si>
  <si>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</si>
  <si>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</si>
  <si>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</si>
  <si>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</si>
  <si>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</si>
  <si>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</si>
  <si>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</si>
  <si>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</si>
  <si>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</si>
  <si>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</si>
  <si>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</si>
  <si>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</si>
  <si>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</si>
  <si>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</si>
  <si>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</si>
  <si>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</si>
  <si>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</si>
  <si>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</si>
  <si>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</si>
  <si>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</si>
  <si>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</si>
  <si>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</si>
  <si>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</si>
  <si>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</si>
  <si>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</si>
  <si>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</si>
  <si>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</si>
  <si>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</si>
  <si>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</si>
  <si>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</si>
  <si>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</si>
  <si>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</si>
  <si>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</si>
  <si>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</si>
  <si>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</si>
  <si>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</si>
  <si>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</si>
  <si>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</si>
  <si>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</si>
  <si>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</si>
  <si>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</si>
  <si>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</si>
  <si>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</si>
  <si>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</si>
  <si>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</si>
  <si>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</si>
  <si>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</si>
  <si>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</si>
  <si>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</si>
  <si>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</si>
  <si>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</si>
  <si>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</si>
  <si>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</si>
  <si>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</si>
  <si>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</si>
  <si>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</si>
  <si>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</si>
  <si>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</si>
  <si>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</si>
  <si>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</si>
  <si>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</si>
  <si>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</si>
  <si>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</si>
  <si>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</si>
  <si>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</si>
  <si>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</si>
  <si>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</si>
  <si>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</si>
  <si>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</si>
  <si>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</si>
  <si>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</si>
  <si>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</si>
  <si>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</si>
  <si>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</si>
  <si>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</si>
  <si>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</si>
  <si>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</si>
  <si>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</si>
  <si>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</si>
  <si>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</si>
  <si>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</si>
  <si>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</si>
  <si>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</si>
  <si>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</si>
  <si>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</si>
  <si>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</si>
  <si>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</si>
  <si>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</si>
  <si>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</si>
  <si>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</si>
  <si>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</si>
  <si>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</si>
  <si>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</si>
  <si>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</si>
  <si>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</si>
  <si>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</si>
  <si>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</si>
  <si>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</si>
  <si>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</si>
  <si>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</si>
  <si>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</si>
  <si>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</si>
  <si>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</si>
  <si>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</si>
  <si>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</si>
  <si>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</si>
  <si>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</si>
  <si>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</si>
  <si>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</si>
  <si>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</si>
  <si>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</si>
  <si>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</si>
  <si>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</si>
  <si>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</si>
  <si>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</si>
  <si>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</si>
  <si>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</si>
  <si>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</si>
  <si>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</si>
  <si>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</si>
  <si>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</si>
  <si>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</si>
  <si>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</si>
  <si>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</si>
  <si>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</si>
  <si>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</si>
  <si>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</si>
  <si>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</si>
  <si>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</si>
  <si>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</si>
  <si>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</si>
  <si>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</si>
  <si>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</si>
  <si>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</si>
  <si>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</si>
  <si>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</si>
  <si>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</si>
  <si>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</si>
  <si>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</si>
  <si>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</si>
  <si>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</si>
  <si>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</si>
  <si>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</si>
  <si>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</si>
  <si>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</si>
  <si>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</si>
  <si>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</si>
  <si>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</si>
  <si>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</si>
  <si>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</si>
  <si>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</si>
  <si>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</si>
  <si>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</si>
  <si>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</si>
  <si>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</si>
  <si>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</si>
  <si>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</si>
  <si>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</si>
  <si>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</si>
  <si>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</si>
  <si>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</si>
  <si>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</si>
  <si>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</si>
  <si>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</si>
  <si>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</si>
  <si>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</si>
  <si>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</si>
  <si>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</si>
  <si>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</si>
  <si>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</si>
  <si>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</si>
  <si>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</si>
  <si>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</si>
  <si>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</si>
  <si>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</si>
  <si>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</si>
  <si>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</si>
  <si>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</si>
  <si>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</si>
  <si>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</si>
  <si>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</si>
  <si>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</si>
  <si>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</si>
  <si>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</si>
  <si>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</si>
  <si>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</si>
  <si>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</si>
  <si>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</si>
  <si>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</si>
  <si>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</si>
  <si>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</si>
  <si>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</si>
  <si>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</si>
  <si>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</si>
  <si>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</si>
  <si>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</si>
  <si>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</si>
  <si>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</si>
  <si>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</si>
  <si>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</si>
  <si>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</si>
  <si>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</si>
  <si>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</si>
  <si>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</si>
  <si>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</si>
  <si>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</si>
  <si>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</si>
  <si>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</si>
  <si>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</si>
  <si>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</si>
  <si>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</si>
  <si>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</si>
  <si>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</si>
  <si>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</si>
  <si>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</si>
  <si>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</si>
  <si>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</si>
  <si>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</si>
  <si>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</si>
  <si>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</si>
  <si>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</si>
  <si>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</si>
  <si>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</si>
  <si>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</si>
  <si>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</si>
  <si>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</si>
  <si>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</si>
  <si>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</si>
  <si>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</si>
  <si>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</si>
  <si>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</si>
  <si>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</si>
  <si>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</si>
  <si>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</si>
  <si>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</si>
  <si>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</si>
  <si>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</si>
  <si>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</si>
  <si>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</si>
  <si>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</si>
  <si>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</si>
  <si>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</si>
  <si>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</si>
  <si>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</si>
  <si>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</si>
  <si>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</si>
  <si>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</si>
  <si>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</si>
  <si>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</si>
  <si>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</si>
  <si>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</si>
  <si>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</si>
  <si>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</si>
  <si>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</si>
  <si>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</si>
  <si>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</si>
  <si>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</si>
  <si>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</si>
  <si>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</si>
  <si>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</si>
  <si>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</si>
  <si>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</si>
  <si>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</si>
  <si>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</si>
  <si>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</si>
  <si>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</si>
  <si>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</si>
  <si>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</si>
  <si>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</si>
  <si>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</si>
  <si>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</si>
  <si>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</si>
  <si>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</si>
  <si>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</si>
  <si>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</si>
  <si>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</si>
  <si>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</si>
  <si>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</si>
  <si>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</si>
  <si>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</si>
  <si>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</si>
  <si>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</si>
  <si>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</si>
  <si>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</si>
  <si>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</si>
  <si>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</si>
  <si>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</si>
  <si>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</si>
  <si>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</si>
  <si>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</si>
  <si>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</si>
  <si>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</si>
  <si>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</si>
  <si>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</si>
  <si>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</si>
  <si>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</si>
  <si>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</si>
  <si>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</si>
  <si>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</si>
  <si>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</si>
  <si>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</si>
  <si>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</si>
  <si>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</si>
  <si>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</si>
  <si>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</si>
  <si>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</si>
  <si>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</si>
  <si>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</si>
  <si>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</si>
  <si>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</si>
  <si>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</si>
  <si>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</si>
  <si>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</si>
  <si>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</si>
  <si>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</si>
  <si>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</si>
  <si>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</si>
  <si>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</si>
  <si>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</si>
  <si>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</si>
  <si>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</si>
  <si>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</si>
  <si>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</si>
  <si>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</si>
  <si>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</si>
  <si>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</si>
  <si>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</si>
  <si>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</si>
  <si>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</si>
  <si>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</si>
  <si>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</si>
  <si>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</si>
  <si>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</si>
  <si>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</si>
  <si>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</si>
  <si>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</si>
  <si>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</si>
  <si>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</si>
  <si>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</si>
  <si>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</si>
  <si>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</si>
  <si>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</si>
  <si>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</si>
  <si>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</si>
  <si>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</si>
  <si>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</si>
  <si>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</si>
  <si>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</si>
  <si>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</si>
  <si>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</si>
  <si>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</si>
  <si>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</si>
  <si>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</si>
  <si>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</si>
  <si>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</si>
  <si>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</si>
  <si>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</si>
  <si>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</si>
  <si>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</si>
  <si>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</si>
  <si>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</si>
  <si>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</si>
  <si>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</si>
  <si>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</si>
  <si>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</si>
  <si>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</si>
  <si>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</si>
  <si>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</si>
  <si>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</si>
  <si>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</si>
  <si>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</si>
  <si>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</si>
  <si>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</si>
  <si>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</si>
  <si>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</si>
  <si>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</si>
  <si>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</si>
  <si>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</si>
  <si>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</si>
  <si>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</si>
  <si>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</si>
  <si>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</si>
  <si>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</si>
  <si>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</si>
  <si>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</si>
  <si>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</si>
  <si>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</si>
  <si>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</si>
  <si>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</si>
  <si>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</si>
  <si>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</si>
  <si>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</si>
  <si>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</si>
  <si>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</si>
  <si>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</si>
  <si>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</si>
  <si>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</si>
  <si>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</si>
  <si>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</si>
  <si>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</si>
  <si>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</si>
  <si>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</si>
  <si>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</si>
  <si>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</si>
  <si>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</si>
  <si>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</si>
  <si>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</si>
  <si>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</si>
  <si>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</si>
  <si>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</si>
  <si>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</si>
  <si>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</si>
  <si>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</si>
  <si>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</si>
  <si>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</si>
  <si>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</si>
  <si>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</si>
  <si>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</si>
  <si>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</si>
  <si>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</si>
  <si>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</si>
  <si>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</si>
  <si>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</si>
  <si>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</si>
  <si>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</si>
  <si>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</si>
  <si>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</si>
  <si>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</si>
  <si>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</si>
  <si>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</si>
  <si>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</si>
  <si>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</si>
  <si>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</si>
  <si>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</si>
  <si>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</si>
  <si>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</si>
  <si>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</si>
  <si>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</si>
  <si>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</si>
  <si>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</si>
  <si>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</si>
  <si>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</si>
  <si>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</si>
  <si>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</si>
  <si>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</si>
  <si>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</si>
  <si>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</si>
  <si>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</si>
  <si>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</si>
  <si>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</si>
  <si>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</si>
  <si>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</si>
  <si>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</si>
  <si>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</si>
  <si>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</si>
  <si>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</si>
  <si>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</si>
  <si>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</si>
  <si>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</si>
  <si>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</si>
  <si>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</si>
  <si>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</si>
  <si>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</si>
  <si>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</si>
  <si>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</si>
  <si>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</si>
  <si>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</si>
  <si>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</si>
  <si>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</si>
  <si>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</si>
  <si>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</si>
  <si>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</si>
  <si>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</si>
  <si>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</si>
  <si>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</si>
  <si>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</si>
  <si>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</si>
  <si>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</si>
  <si>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</si>
  <si>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</si>
  <si>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</si>
  <si>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</si>
  <si>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</si>
  <si>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</si>
  <si>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</si>
  <si>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</si>
  <si>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</si>
  <si>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</si>
  <si>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</si>
  <si>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</si>
  <si>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</si>
  <si>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</si>
  <si>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</si>
  <si>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</si>
  <si>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</si>
  <si>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</si>
  <si>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</si>
  <si>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</si>
  <si>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</si>
  <si>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</si>
  <si>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</si>
  <si>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</si>
  <si>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</si>
  <si>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</si>
  <si>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</si>
  <si>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</si>
  <si>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</si>
  <si>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</si>
  <si>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</si>
  <si>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</si>
  <si>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</si>
  <si>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</si>
  <si>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</si>
  <si>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</si>
  <si>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</si>
  <si>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</si>
  <si>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</si>
  <si>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</si>
  <si>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</si>
  <si>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</si>
  <si>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</si>
  <si>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</si>
  <si>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</si>
  <si>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</si>
  <si>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</si>
  <si>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</si>
  <si>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</si>
  <si>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</si>
  <si>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</si>
  <si>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</si>
  <si>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</si>
  <si>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</si>
  <si>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</si>
  <si>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</si>
  <si>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</si>
  <si>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</si>
  <si>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</si>
  <si>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</si>
  <si>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</si>
  <si>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</si>
  <si>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</si>
  <si>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</si>
  <si>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</si>
  <si>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</si>
  <si>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</si>
  <si>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</si>
  <si>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</si>
  <si>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</si>
  <si>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</si>
  <si>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Maruti Suzuki</t>
  </si>
  <si>
    <t>Hyundai Motor I</t>
  </si>
  <si>
    <t>Tata Motors PVeh</t>
  </si>
  <si>
    <t>Force Motors</t>
  </si>
  <si>
    <t>Olectra Greentec</t>
  </si>
  <si>
    <t>Mercury EV-Tech</t>
  </si>
  <si>
    <t>Cash Flow Statement - MAHINDRA &amp; MAHINDRA LTD</t>
  </si>
  <si>
    <t>MAHINDRA &amp; MAHINDRA LTD Comparable Valuation</t>
  </si>
  <si>
    <t>HYUNDAI</t>
  </si>
  <si>
    <t>TMPV</t>
  </si>
  <si>
    <t>FORCEMOT</t>
  </si>
  <si>
    <t>MERCURYEV</t>
  </si>
  <si>
    <t>Verdict</t>
  </si>
  <si>
    <t>52 Week (High - INR - 3,840.00 &amp; low INR - 2,896.00)</t>
  </si>
  <si>
    <t>Mahindra Automotive is an Indian automobile manufacturing company headquartered in Mumbai. It was established in 1945 as Mahindra &amp; Mohammed and later renamed Mahindra &amp; Mahindra. Part of the Mahindra Group, Mahindra Automotive is one of the largest SUV manufacturers by production in India and the Mahindra Tractors subsidiary is the largest manufacturer of tractors in the world by volume. It was ranked 18th on a list of top companies in India by Fortune India 500 in 2025. Its major competitors in the Indian vehicular market include Maruti Suzuki and Tata Motors. Anish Shah is the current CEO and Managing Director of Mahindra Automotive.</t>
  </si>
  <si>
    <t>Mahindra's Rajesh Jejurikar on How it Became A Design First Auto-Maker</t>
  </si>
  <si>
    <t>‘When we stop asking 'Who will fix this?’: Anand Mahindra praises Maharashtra town's people who revived a dying river and won Rs 1 crore prize</t>
  </si>
  <si>
    <t>M&amp;M Share Price Today, M&amp;M Stock Price Live NSE/BSE Updates</t>
  </si>
  <si>
    <t>Why Traditional Research Doesn’t Work in Mahindra: The Brand Equity Show</t>
  </si>
  <si>
    <t>Mahindra XUV 3XO REVX EDGE launched at ₹9.39 lakh; petrol automatic variant added to REVX M(O)</t>
  </si>
  <si>
    <t>MAHINDRA &amp; MAHINDRA LTD continued strategic operational investments and customer engagements to drive sustainable long-term business performance.</t>
  </si>
  <si>
    <t>MAHINDRA &amp; MAHINDRA LTD (M&amp;M)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</si>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</sst>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121362</c:v>
                </c:pt>
                <c:pt idx="1">
                  <c:v>139078</c:v>
                </c:pt>
                <c:pt idx="2">
                  <c:v>159211</c:v>
                </c:pt>
                <c:pt idx="3">
                  <c:v>198639</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11374</c:v>
                </c:pt>
                <c:pt idx="1">
                  <c:v>12270</c:v>
                </c:pt>
                <c:pt idx="2">
                  <c:v>14073</c:v>
                </c:pt>
                <c:pt idx="3">
                  <c:v>18622</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188335.5</c:v>
                </c:pt>
                <c:pt idx="1">
                  <c:v>219502.5</c:v>
                </c:pt>
                <c:pt idx="2">
                  <c:v>255367.5</c:v>
                </c:pt>
                <c:pt idx="3">
                  <c:v>296033.5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121362</c:v>
                </c:pt>
                <c:pt idx="1">
                  <c:v>139078</c:v>
                </c:pt>
                <c:pt idx="2">
                  <c:v>159211</c:v>
                </c:pt>
                <c:pt idx="3">
                  <c:v>198639</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0.21981080114794807</c:v>
                </c:pt>
                <c:pt idx="1">
                  <c:v>0.20023499461470676</c:v>
                </c:pt>
                <c:pt idx="2">
                  <c:v>0.19651048321219866</c:v>
                </c:pt>
                <c:pt idx="3">
                  <c:v>0.21890722715944891</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121362</c:v>
                </c:pt>
                <c:pt idx="1">
                  <c:v>139078</c:v>
                </c:pt>
                <c:pt idx="2">
                  <c:v>159211</c:v>
                </c:pt>
                <c:pt idx="3">
                  <c:v>198639</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121362</c:v>
                </c:pt>
                <c:pt idx="1">
                  <c:v>139078</c:v>
                </c:pt>
                <c:pt idx="2">
                  <c:v>159211</c:v>
                </c:pt>
                <c:pt idx="3">
                  <c:v>198639</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6.0392225576165935E-2</c:v>
                </c:pt>
                <c:pt idx="1">
                  <c:v>5.5899135545153245E-2</c:v>
                </c:pt>
                <c:pt idx="2">
                  <c:v>5.5108813768392613E-2</c:v>
                </c:pt>
                <c:pt idx="3">
                  <c:v>6.290504284143518E-2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3.6397201634956371</c:v>
                </c:pt>
                <c:pt idx="1">
                  <c:v>3.582076764907471</c:v>
                </c:pt>
                <c:pt idx="2">
                  <c:v>3.5658630584588318</c:v>
                </c:pt>
                <c:pt idx="3">
                  <c:v>3.479963088352847</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204283</c:v>
                </c:pt>
                <c:pt idx="1">
                  <c:v>234722</c:v>
                </c:pt>
                <c:pt idx="2">
                  <c:v>276013</c:v>
                </c:pt>
                <c:pt idx="3">
                  <c:v>316054</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55809</c:v>
                </c:pt>
                <c:pt idx="1">
                  <c:v>65633</c:v>
                </c:pt>
                <c:pt idx="2">
                  <c:v>76481</c:v>
                </c:pt>
                <c:pt idx="3">
                  <c:v>92538</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204283</c:v>
                </c:pt>
                <c:pt idx="1">
                  <c:v>234722</c:v>
                </c:pt>
                <c:pt idx="2">
                  <c:v>276013</c:v>
                </c:pt>
                <c:pt idx="3">
                  <c:v>316054</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204283</c:v>
                </c:pt>
                <c:pt idx="1">
                  <c:v>234722</c:v>
                </c:pt>
                <c:pt idx="2">
                  <c:v>276013</c:v>
                </c:pt>
                <c:pt idx="3">
                  <c:v>316054</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0.7824817189021761</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1.1479553398189524</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1.5567425874171514</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1.738990501319261</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2.0395950340200129</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204283</c:v>
                </c:pt>
                <c:pt idx="1">
                  <c:v>234722</c:v>
                </c:pt>
                <c:pt idx="2">
                  <c:v>276013</c:v>
                </c:pt>
                <c:pt idx="3">
                  <c:v>316054</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204283</c:v>
                </c:pt>
                <c:pt idx="1">
                  <c:v>234722</c:v>
                </c:pt>
                <c:pt idx="2">
                  <c:v>276013</c:v>
                </c:pt>
                <c:pt idx="3">
                  <c:v>316054</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0.52307005127967143</c:v>
                </c:pt>
                <c:pt idx="1">
                  <c:v>0.59408761375151142</c:v>
                </c:pt>
                <c:pt idx="2">
                  <c:v>0.5925222177725139</c:v>
                </c:pt>
                <c:pt idx="3">
                  <c:v>0.57682428001579633</c:v>
                </c:pt>
                <c:pt idx="4">
                  <c:v>0.62849702898871707</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2.0772227483053634</c:v>
                </c:pt>
                <c:pt idx="1">
                  <c:v>2.472034659812814</c:v>
                </c:pt>
                <c:pt idx="2">
                  <c:v>2.7768860190448152</c:v>
                </c:pt>
                <c:pt idx="3">
                  <c:v>2.8744946475143562</c:v>
                </c:pt>
                <c:pt idx="4">
                  <c:v>3.1701490926528275</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11A1-913E-4307-B804-1B1857D3DE23}">
  <dimension ref="A1:G39"/>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2" t="s">
        <v>8632</v>
      </c>
      <c r="B1" s="173"/>
      <c r="C1" s="173"/>
      <c r="D1" s="173"/>
      <c r="E1" s="173"/>
      <c r="F1" s="173"/>
      <c r="G1" s="173"/>
    </row>
    <row r="2" spans="1:7" x14ac:dyDescent="0.3">
      <c r="A2" s="173"/>
      <c r="B2" s="173"/>
      <c r="C2" s="173"/>
      <c r="D2" s="173"/>
      <c r="E2" s="173"/>
      <c r="F2" s="173"/>
      <c r="G2" s="173"/>
    </row>
    <row r="4" spans="1:7" x14ac:dyDescent="0.3">
      <c r="A4" s="174" t="s">
        <v>43</v>
      </c>
      <c r="B4" s="174" t="s">
        <v>8633</v>
      </c>
      <c r="C4" s="174" t="s">
        <v>8634</v>
      </c>
      <c r="D4" s="174" t="s">
        <v>8623</v>
      </c>
      <c r="E4" s="174" t="s">
        <v>238</v>
      </c>
      <c r="F4" s="174" t="s">
        <v>8635</v>
      </c>
      <c r="G4" s="174" t="s">
        <v>8636</v>
      </c>
    </row>
    <row r="5" spans="1:7" ht="15.6" x14ac:dyDescent="0.3">
      <c r="A5" s="176">
        <f>DCF!D44</f>
        <v>3055</v>
      </c>
      <c r="B5" s="176">
        <f>DCF!D42</f>
        <v>917.42829472921278</v>
      </c>
      <c r="C5" s="178">
        <f>(B5-A5)/A5</f>
        <v>-0.69969613920484042</v>
      </c>
      <c r="D5" s="179" t="str">
        <f>IF(C5&gt;0.15,"UNDERVALUED / BUY",IF(C5&lt;-0.15,"OVERVALUED / SELL","FAIRLY VALUED / HOLD"))</f>
        <v>OVERVALUED / SELL</v>
      </c>
      <c r="E5" s="180">
        <f>DCF!D20</f>
        <v>0.11887681044402215</v>
      </c>
      <c r="F5" s="181">
        <f>'Altman''s Z Score'!I89</f>
        <v>3.1701490926528275</v>
      </c>
      <c r="G5" s="180">
        <f>'Dupont Analysis'!I78</f>
        <v>0.21890722715944891</v>
      </c>
    </row>
    <row r="7" spans="1:7" x14ac:dyDescent="0.3">
      <c r="B7" s="37" t="s">
        <v>8637</v>
      </c>
    </row>
    <row r="8" spans="1:7" x14ac:dyDescent="0.3">
      <c r="B8" s="37" t="s">
        <v>8638</v>
      </c>
      <c r="C8" s="46">
        <f>WACC!K46</f>
        <v>0.11887681044402215</v>
      </c>
      <c r="D8" s="182">
        <v>0</v>
      </c>
    </row>
    <row r="9" spans="1:7" x14ac:dyDescent="0.3">
      <c r="B9" s="37" t="s">
        <v>8639</v>
      </c>
      <c r="C9" s="46">
        <f>WACC!K29</f>
        <v>0.13579955288942702</v>
      </c>
      <c r="D9" s="182">
        <v>0</v>
      </c>
    </row>
    <row r="10" spans="1:7" x14ac:dyDescent="0.3">
      <c r="B10" s="37" t="s">
        <v>8640</v>
      </c>
      <c r="C10" s="46">
        <f>WACC!K26</f>
        <v>7.0000000000000007E-2</v>
      </c>
      <c r="D10" s="182">
        <v>0</v>
      </c>
    </row>
    <row r="11" spans="1:7" x14ac:dyDescent="0.3">
      <c r="B11" s="37" t="s">
        <v>8641</v>
      </c>
      <c r="C11" s="46">
        <f>WACC!K27</f>
        <v>6.5000000000000002E-2</v>
      </c>
      <c r="D11" s="182">
        <v>0</v>
      </c>
    </row>
    <row r="12" spans="1:7" x14ac:dyDescent="0.3">
      <c r="B12" s="37" t="s">
        <v>224</v>
      </c>
      <c r="C12" s="47">
        <f>WACC!K28</f>
        <v>1.0123008136834928</v>
      </c>
      <c r="D12" s="183">
        <v>0</v>
      </c>
    </row>
    <row r="13" spans="1:7" x14ac:dyDescent="0.3">
      <c r="B13" s="37" t="s">
        <v>306</v>
      </c>
      <c r="C13" s="46">
        <f>DCF!D19</f>
        <v>0.04</v>
      </c>
      <c r="D13" s="182">
        <v>0</v>
      </c>
    </row>
    <row r="14" spans="1:7" x14ac:dyDescent="0.3">
      <c r="B14" s="37" t="s">
        <v>8642</v>
      </c>
      <c r="C14" s="46">
        <f>WACC!K39</f>
        <v>0</v>
      </c>
      <c r="D14" s="182">
        <v>0</v>
      </c>
    </row>
    <row r="15" spans="1:7" x14ac:dyDescent="0.3">
      <c r="B15" s="37" t="s">
        <v>8643</v>
      </c>
      <c r="C15" s="184">
        <f>'Data Sheet'!K69</f>
        <v>31979</v>
      </c>
      <c r="D15" s="183" t="s">
        <v>8644</v>
      </c>
    </row>
    <row r="16" spans="1:7" x14ac:dyDescent="0.3">
      <c r="B16" s="37" t="s">
        <v>8645</v>
      </c>
      <c r="C16" s="184">
        <f>'Data Sheet'!K59</f>
        <v>136936</v>
      </c>
      <c r="D16" s="183" t="s">
        <v>8644</v>
      </c>
    </row>
    <row r="17" spans="1:7" x14ac:dyDescent="0.3">
      <c r="B17" s="37" t="s">
        <v>8646</v>
      </c>
      <c r="C17" s="184">
        <f>'Data Sheet'!K70/10000000</f>
        <v>111.8</v>
      </c>
      <c r="D17" s="183" t="s">
        <v>8644</v>
      </c>
    </row>
    <row r="18" spans="1:7" x14ac:dyDescent="0.3">
      <c r="B18" s="37" t="s">
        <v>8647</v>
      </c>
      <c r="C18" s="158">
        <f>Comp_Valuation!O25</f>
        <v>3.0308711895868861</v>
      </c>
      <c r="D18" s="183" t="s">
        <v>8648</v>
      </c>
    </row>
    <row r="19" spans="1:7" x14ac:dyDescent="0.3">
      <c r="B19" s="37" t="s">
        <v>8649</v>
      </c>
      <c r="C19" s="158">
        <f>Comp_Valuation!P25</f>
        <v>20.205780181368659</v>
      </c>
      <c r="D19" s="183" t="s">
        <v>8648</v>
      </c>
    </row>
    <row r="20" spans="1:7" x14ac:dyDescent="0.3">
      <c r="A20" s="37" t="s">
        <v>8651</v>
      </c>
      <c r="B20" s="37" t="s">
        <v>8650</v>
      </c>
      <c r="C20" s="158">
        <f>Comp_Valuation!Q25</f>
        <v>41.122954734516412</v>
      </c>
      <c r="D20" s="183" t="s">
        <v>8648</v>
      </c>
    </row>
    <row r="21" spans="1:7" x14ac:dyDescent="0.3">
      <c r="A21" s="185" t="s">
        <v>188</v>
      </c>
      <c r="B21" s="185" t="s">
        <v>106</v>
      </c>
      <c r="C21" s="185" t="s">
        <v>8652</v>
      </c>
      <c r="D21" s="185" t="s">
        <v>8653</v>
      </c>
      <c r="E21" s="185" t="s">
        <v>8654</v>
      </c>
      <c r="F21" s="185" t="s">
        <v>8655</v>
      </c>
      <c r="G21" s="185" t="s">
        <v>302</v>
      </c>
    </row>
    <row r="22" spans="1:7" x14ac:dyDescent="0.3">
      <c r="A22" s="160" t="s">
        <v>8656</v>
      </c>
      <c r="B22" s="184">
        <f>DCF!I8</f>
        <v>36584.351999999999</v>
      </c>
      <c r="C22" s="184">
        <f>DCF!I10</f>
        <v>25609.046399999999</v>
      </c>
      <c r="D22" s="46">
        <f>DCF!I11</f>
        <v>0.85</v>
      </c>
      <c r="E22" s="184">
        <f>DCF!I12</f>
        <v>3841.3569600000005</v>
      </c>
      <c r="F22" s="186">
        <f>DCF!I14</f>
        <v>0.94538534024263443</v>
      </c>
      <c r="G22" s="184">
        <f>DCF!I16</f>
        <v>3631.5625566230124</v>
      </c>
    </row>
    <row r="23" spans="1:7" x14ac:dyDescent="0.3">
      <c r="A23" s="160" t="s">
        <v>8657</v>
      </c>
      <c r="B23" s="184">
        <f>DCF!J8</f>
        <v>38486.738303999999</v>
      </c>
      <c r="C23" s="184">
        <f>DCF!J10</f>
        <v>26940.716812799998</v>
      </c>
      <c r="D23" s="46">
        <f>DCF!J11</f>
        <v>0.72162069572398979</v>
      </c>
      <c r="E23" s="184">
        <f>DCF!J12</f>
        <v>7499.7380030442746</v>
      </c>
      <c r="F23" s="186">
        <f>DCF!J14</f>
        <v>0.84494140142868979</v>
      </c>
      <c r="G23" s="184">
        <f>DCF!J16</f>
        <v>6336.8391386402327</v>
      </c>
    </row>
    <row r="24" spans="1:7" x14ac:dyDescent="0.3">
      <c r="A24" s="160" t="s">
        <v>8658</v>
      </c>
      <c r="B24" s="184">
        <f>DCF!K8</f>
        <v>40488.048695808</v>
      </c>
      <c r="C24" s="184">
        <f>DCF!K10</f>
        <v>28341.634087065599</v>
      </c>
      <c r="D24" s="46">
        <f>DCF!K11</f>
        <v>0.5932413914479796</v>
      </c>
      <c r="E24" s="184">
        <f>DCF!K12</f>
        <v>11528.203645345313</v>
      </c>
      <c r="F24" s="186">
        <f>DCF!K14</f>
        <v>0.75516928543132278</v>
      </c>
      <c r="G24" s="184">
        <f>DCF!K16</f>
        <v>8705.7453091621901</v>
      </c>
    </row>
    <row r="25" spans="1:7" x14ac:dyDescent="0.3">
      <c r="A25" s="160" t="s">
        <v>8659</v>
      </c>
      <c r="B25" s="184">
        <f>DCF!L8</f>
        <v>42593.427227990018</v>
      </c>
      <c r="C25" s="184">
        <f>DCF!L10</f>
        <v>29815.399059593012</v>
      </c>
      <c r="D25" s="46">
        <f>DCF!L11</f>
        <v>0.46486208717196942</v>
      </c>
      <c r="E25" s="184">
        <f>DCF!L12</f>
        <v>15955.350422885431</v>
      </c>
      <c r="F25" s="186">
        <f>DCF!L14</f>
        <v>0.6749351478038379</v>
      </c>
      <c r="G25" s="184">
        <f>DCF!L16</f>
        <v>10768.826795932206</v>
      </c>
    </row>
    <row r="26" spans="1:7" x14ac:dyDescent="0.3">
      <c r="A26" s="160" t="s">
        <v>8660</v>
      </c>
      <c r="B26" s="184">
        <f>DCF!M8</f>
        <v>44808.285443845503</v>
      </c>
      <c r="C26" s="184">
        <f>DCF!M10</f>
        <v>31365.799810691849</v>
      </c>
      <c r="D26" s="46">
        <f>DCF!M11</f>
        <v>0.33648278289595918</v>
      </c>
      <c r="E26" s="184">
        <f>DCF!M12</f>
        <v>20811.748202632709</v>
      </c>
      <c r="F26" s="186">
        <f>DCF!M14</f>
        <v>0.60322561116982343</v>
      </c>
      <c r="G26" s="184">
        <f>DCF!M16</f>
        <v>12554.17952904559</v>
      </c>
    </row>
    <row r="28" spans="1:7" x14ac:dyDescent="0.3">
      <c r="B28" s="37" t="s">
        <v>8661</v>
      </c>
    </row>
    <row r="29" spans="1:7" x14ac:dyDescent="0.3">
      <c r="B29" s="37" t="s">
        <v>8662</v>
      </c>
      <c r="C29" s="175">
        <f>DCF!D33</f>
        <v>41997.153329403234</v>
      </c>
      <c r="D29" s="183" t="s">
        <v>8663</v>
      </c>
    </row>
    <row r="30" spans="1:7" x14ac:dyDescent="0.3">
      <c r="B30" s="37" t="s">
        <v>8664</v>
      </c>
      <c r="C30" s="175">
        <f>DCF!D29</f>
        <v>274405.34180953784</v>
      </c>
      <c r="D30" s="183" t="s">
        <v>8663</v>
      </c>
    </row>
    <row r="31" spans="1:7" x14ac:dyDescent="0.3">
      <c r="B31" s="37" t="s">
        <v>8665</v>
      </c>
      <c r="C31" s="175">
        <f>DCF!D34</f>
        <v>165528.33002132276</v>
      </c>
      <c r="D31" s="183" t="s">
        <v>8663</v>
      </c>
    </row>
    <row r="32" spans="1:7" x14ac:dyDescent="0.3">
      <c r="B32" s="37" t="s">
        <v>8666</v>
      </c>
      <c r="C32" s="175">
        <f>DCF!D35</f>
        <v>207525.48335072599</v>
      </c>
      <c r="D32" s="183" t="s">
        <v>8663</v>
      </c>
    </row>
    <row r="33" spans="2:4" x14ac:dyDescent="0.3">
      <c r="B33" s="37" t="s">
        <v>8667</v>
      </c>
      <c r="C33" s="175">
        <f>DCF!D37</f>
        <v>31979</v>
      </c>
      <c r="D33" s="183" t="s">
        <v>8663</v>
      </c>
    </row>
    <row r="34" spans="2:4" x14ac:dyDescent="0.3">
      <c r="B34" s="37" t="s">
        <v>8668</v>
      </c>
      <c r="C34" s="175">
        <f>DCF!D38</f>
        <v>136936</v>
      </c>
      <c r="D34" s="183" t="s">
        <v>8663</v>
      </c>
    </row>
    <row r="35" spans="2:4" x14ac:dyDescent="0.3">
      <c r="B35" s="37" t="s">
        <v>8669</v>
      </c>
      <c r="C35" s="175">
        <f>DCF!D39</f>
        <v>102568.48335072599</v>
      </c>
      <c r="D35" s="183" t="s">
        <v>8663</v>
      </c>
    </row>
    <row r="36" spans="2:4" x14ac:dyDescent="0.3">
      <c r="B36" s="37" t="s">
        <v>8646</v>
      </c>
      <c r="C36" s="184">
        <f>DCF!D40</f>
        <v>111.8</v>
      </c>
      <c r="D36" s="183" t="s">
        <v>8670</v>
      </c>
    </row>
    <row r="37" spans="2:4" x14ac:dyDescent="0.3">
      <c r="B37" s="37" t="s">
        <v>8671</v>
      </c>
      <c r="C37" s="175">
        <f>DCF!D42</f>
        <v>917.42829472921278</v>
      </c>
      <c r="D37" s="183" t="s">
        <v>8672</v>
      </c>
    </row>
    <row r="38" spans="2:4" x14ac:dyDescent="0.3">
      <c r="B38" s="37" t="s">
        <v>8673</v>
      </c>
      <c r="C38" s="175">
        <f>DCF!D44</f>
        <v>3055</v>
      </c>
      <c r="D38" s="183" t="s">
        <v>8672</v>
      </c>
    </row>
    <row r="39" spans="2:4" x14ac:dyDescent="0.3">
      <c r="B39" s="37" t="s">
        <v>8674</v>
      </c>
      <c r="C39" s="177">
        <f>(C37-C38)/C38</f>
        <v>-0.69969613920484042</v>
      </c>
      <c r="D39" s="183" t="s">
        <v>8675</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MAHINDRA &amp; MAHINDRA LTD</v>
      </c>
      <c r="H1" t="str">
        <f>UPDATE</f>
        <v/>
      </c>
      <c r="J1" s="3"/>
      <c r="K1" s="3"/>
      <c r="M1" s="8" t="s">
        <v>1</v>
      </c>
    </row>
    <row r="3" spans="1:14" s="2" customFormat="1" x14ac:dyDescent="0.3">
      <c r="A3" s="15" t="s">
        <v>2</v>
      </c>
      <c r="B3" s="16">
        <f>'Data Sheet'!B16</f>
        <v>42795</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83773</v>
      </c>
      <c r="C4" s="1">
        <f>'Data Sheet'!C17</f>
        <v>92094</v>
      </c>
      <c r="D4" s="1">
        <f>'Data Sheet'!D17</f>
        <v>104721</v>
      </c>
      <c r="E4" s="1">
        <f>'Data Sheet'!E17</f>
        <v>75382</v>
      </c>
      <c r="F4" s="1">
        <f>'Data Sheet'!F17</f>
        <v>74278</v>
      </c>
      <c r="G4" s="1">
        <f>'Data Sheet'!G17</f>
        <v>90171</v>
      </c>
      <c r="H4" s="1">
        <f>'Data Sheet'!H17</f>
        <v>121362</v>
      </c>
      <c r="I4" s="1">
        <f>'Data Sheet'!I17</f>
        <v>139078</v>
      </c>
      <c r="J4" s="1">
        <f>'Data Sheet'!J17</f>
        <v>159211</v>
      </c>
      <c r="K4" s="1">
        <f>'Data Sheet'!K17</f>
        <v>198639</v>
      </c>
      <c r="L4" s="1">
        <f>SUM(Quarters!H4:K4)</f>
        <v>211376</v>
      </c>
      <c r="M4" s="1">
        <f>$K4+M23*K4</f>
        <v>247831.19458454504</v>
      </c>
      <c r="N4" s="1">
        <f>$K4+N23*L4</f>
        <v>218882.09068755733</v>
      </c>
    </row>
    <row r="5" spans="1:14" x14ac:dyDescent="0.3">
      <c r="A5" s="6" t="s">
        <v>7</v>
      </c>
      <c r="B5" s="9">
        <f>SUM('Data Sheet'!B18,'Data Sheet'!B20:B24, -1*'Data Sheet'!B19)</f>
        <v>72882.510000000009</v>
      </c>
      <c r="C5" s="9">
        <f>SUM('Data Sheet'!C18,'Data Sheet'!C20:C24, -1*'Data Sheet'!C19)</f>
        <v>79200.84</v>
      </c>
      <c r="D5" s="9">
        <f>SUM('Data Sheet'!D18,'Data Sheet'!D20:D24, -1*'Data Sheet'!D19)</f>
        <v>89012.85</v>
      </c>
      <c r="E5" s="9">
        <f>SUM('Data Sheet'!E18,'Data Sheet'!E20:E24, -1*'Data Sheet'!E19)</f>
        <v>65582.34</v>
      </c>
      <c r="F5" s="9">
        <f>SUM('Data Sheet'!F18,'Data Sheet'!F20:F24, -1*'Data Sheet'!F19)</f>
        <v>63136.3</v>
      </c>
      <c r="G5" s="9">
        <f>SUM('Data Sheet'!G18,'Data Sheet'!G20:G24, -1*'Data Sheet'!G19)</f>
        <v>74841.929999999993</v>
      </c>
      <c r="H5" s="9">
        <f>SUM('Data Sheet'!H18,'Data Sheet'!H20:H24, -1*'Data Sheet'!H19)</f>
        <v>100730.46</v>
      </c>
      <c r="I5" s="9">
        <f>SUM('Data Sheet'!I18,'Data Sheet'!I20:I24, -1*'Data Sheet'!I19)</f>
        <v>114043.96</v>
      </c>
      <c r="J5" s="9">
        <f>SUM('Data Sheet'!J18,'Data Sheet'!J20:J24, -1*'Data Sheet'!J19)</f>
        <v>128960.91</v>
      </c>
      <c r="K5" s="9">
        <f>SUM('Data Sheet'!K18,'Data Sheet'!K20:K24, -1*'Data Sheet'!K19)</f>
        <v>160897.59</v>
      </c>
      <c r="L5" s="9">
        <f>SUM(Quarters!H5:K5)</f>
        <v>171320</v>
      </c>
      <c r="M5" s="9">
        <f t="shared" ref="M5:N5" si="0">M4-M6</f>
        <v>200869.23737138289</v>
      </c>
      <c r="N5" s="9">
        <f t="shared" si="0"/>
        <v>182472.00295715866</v>
      </c>
    </row>
    <row r="6" spans="1:14" s="8" customFormat="1" x14ac:dyDescent="0.3">
      <c r="A6" s="8" t="s">
        <v>8</v>
      </c>
      <c r="B6" s="1">
        <f>B4-B5</f>
        <v>10890.489999999991</v>
      </c>
      <c r="C6" s="1">
        <f t="shared" ref="C6:K6" si="1">C4-C5</f>
        <v>12893.160000000003</v>
      </c>
      <c r="D6" s="1">
        <f t="shared" si="1"/>
        <v>15708.149999999994</v>
      </c>
      <c r="E6" s="1">
        <f t="shared" si="1"/>
        <v>9799.6600000000035</v>
      </c>
      <c r="F6" s="1">
        <f t="shared" si="1"/>
        <v>11141.699999999997</v>
      </c>
      <c r="G6" s="1">
        <f t="shared" si="1"/>
        <v>15329.070000000007</v>
      </c>
      <c r="H6" s="1">
        <f t="shared" si="1"/>
        <v>20631.539999999994</v>
      </c>
      <c r="I6" s="1">
        <f t="shared" si="1"/>
        <v>25034.039999999994</v>
      </c>
      <c r="J6" s="1">
        <f t="shared" si="1"/>
        <v>30250.089999999997</v>
      </c>
      <c r="K6" s="1">
        <f t="shared" si="1"/>
        <v>37741.410000000003</v>
      </c>
      <c r="L6" s="1">
        <f>SUM(Quarters!H6:K6)</f>
        <v>40054</v>
      </c>
      <c r="M6" s="1">
        <f>M4*M24</f>
        <v>46961.957213162168</v>
      </c>
      <c r="N6" s="1">
        <f>N4*N24</f>
        <v>36410.087730398664</v>
      </c>
    </row>
    <row r="7" spans="1:14" x14ac:dyDescent="0.3">
      <c r="A7" s="6" t="s">
        <v>9</v>
      </c>
      <c r="B7" s="9">
        <f>'Data Sheet'!B25</f>
        <v>2077</v>
      </c>
      <c r="C7" s="9">
        <f>'Data Sheet'!C25</f>
        <v>4366</v>
      </c>
      <c r="D7" s="9">
        <f>'Data Sheet'!D25</f>
        <v>2676</v>
      </c>
      <c r="E7" s="9">
        <f>'Data Sheet'!E25</f>
        <v>885</v>
      </c>
      <c r="F7" s="9">
        <f>'Data Sheet'!F25</f>
        <v>1152</v>
      </c>
      <c r="G7" s="9">
        <f>'Data Sheet'!G25</f>
        <v>3204</v>
      </c>
      <c r="H7" s="9">
        <f>'Data Sheet'!H25</f>
        <v>3922</v>
      </c>
      <c r="I7" s="9">
        <f>'Data Sheet'!I25</f>
        <v>3298</v>
      </c>
      <c r="J7" s="9">
        <f>'Data Sheet'!J25</f>
        <v>3718</v>
      </c>
      <c r="K7" s="9">
        <f>'Data Sheet'!K25</f>
        <v>5118</v>
      </c>
      <c r="L7" s="9">
        <f>SUM(Quarters!H7:K7)</f>
        <v>4368</v>
      </c>
      <c r="M7" s="9">
        <v>0</v>
      </c>
      <c r="N7" s="9">
        <v>0</v>
      </c>
    </row>
    <row r="8" spans="1:14" x14ac:dyDescent="0.3">
      <c r="A8" s="6" t="s">
        <v>10</v>
      </c>
      <c r="B8" s="9">
        <f>'Data Sheet'!B26</f>
        <v>2813</v>
      </c>
      <c r="C8" s="9">
        <f>'Data Sheet'!C26</f>
        <v>3280</v>
      </c>
      <c r="D8" s="9">
        <f>'Data Sheet'!D26</f>
        <v>3991</v>
      </c>
      <c r="E8" s="9">
        <f>'Data Sheet'!E26</f>
        <v>3367</v>
      </c>
      <c r="F8" s="9">
        <f>'Data Sheet'!F26</f>
        <v>3378</v>
      </c>
      <c r="G8" s="9">
        <f>'Data Sheet'!G26</f>
        <v>3508</v>
      </c>
      <c r="H8" s="9">
        <f>'Data Sheet'!H26</f>
        <v>4357</v>
      </c>
      <c r="I8" s="9">
        <f>'Data Sheet'!I26</f>
        <v>4724</v>
      </c>
      <c r="J8" s="9">
        <f>'Data Sheet'!J26</f>
        <v>6074</v>
      </c>
      <c r="K8" s="9">
        <f>'Data Sheet'!K26</f>
        <v>7322</v>
      </c>
      <c r="L8" s="9">
        <f>SUM(Quarters!H8:K8)</f>
        <v>7535</v>
      </c>
      <c r="M8" s="9">
        <f>+$L8</f>
        <v>7535</v>
      </c>
      <c r="N8" s="9">
        <f>+$L8</f>
        <v>7535</v>
      </c>
    </row>
    <row r="9" spans="1:14" x14ac:dyDescent="0.3">
      <c r="A9" s="6" t="s">
        <v>11</v>
      </c>
      <c r="B9" s="9">
        <f>'Data Sheet'!B27</f>
        <v>3648</v>
      </c>
      <c r="C9" s="9">
        <f>'Data Sheet'!C27</f>
        <v>3987</v>
      </c>
      <c r="D9" s="9">
        <f>'Data Sheet'!D27</f>
        <v>5021</v>
      </c>
      <c r="E9" s="9">
        <f>'Data Sheet'!E27</f>
        <v>6021</v>
      </c>
      <c r="F9" s="9">
        <f>'Data Sheet'!F27</f>
        <v>6102</v>
      </c>
      <c r="G9" s="9">
        <f>'Data Sheet'!G27</f>
        <v>5018</v>
      </c>
      <c r="H9" s="9">
        <f>'Data Sheet'!H27</f>
        <v>5830</v>
      </c>
      <c r="I9" s="9">
        <f>'Data Sheet'!I27</f>
        <v>7488</v>
      </c>
      <c r="J9" s="9">
        <f>'Data Sheet'!J27</f>
        <v>9083</v>
      </c>
      <c r="K9" s="9">
        <f>'Data Sheet'!K27</f>
        <v>9591</v>
      </c>
      <c r="L9" s="9">
        <f>SUM(Quarters!H9:K9)</f>
        <v>9719</v>
      </c>
      <c r="M9" s="9">
        <f>+$L9</f>
        <v>9719</v>
      </c>
      <c r="N9" s="9">
        <f>+$L9</f>
        <v>9719</v>
      </c>
    </row>
    <row r="10" spans="1:14" x14ac:dyDescent="0.3">
      <c r="A10" s="6" t="s">
        <v>12</v>
      </c>
      <c r="B10" s="9">
        <f>'Data Sheet'!B28</f>
        <v>6350</v>
      </c>
      <c r="C10" s="9">
        <f>'Data Sheet'!C28</f>
        <v>10326</v>
      </c>
      <c r="D10" s="9">
        <f>'Data Sheet'!D28</f>
        <v>8871</v>
      </c>
      <c r="E10" s="9">
        <f>'Data Sheet'!E28</f>
        <v>1655</v>
      </c>
      <c r="F10" s="9">
        <f>'Data Sheet'!F28</f>
        <v>3158</v>
      </c>
      <c r="G10" s="9">
        <f>'Data Sheet'!G28</f>
        <v>9362</v>
      </c>
      <c r="H10" s="9">
        <f>'Data Sheet'!H28</f>
        <v>14060</v>
      </c>
      <c r="I10" s="9">
        <f>'Data Sheet'!I28</f>
        <v>15978</v>
      </c>
      <c r="J10" s="9">
        <f>'Data Sheet'!J28</f>
        <v>19080</v>
      </c>
      <c r="K10" s="9">
        <f>'Data Sheet'!K28</f>
        <v>25185</v>
      </c>
      <c r="L10" s="9">
        <f>SUM(Quarters!H10:K10)</f>
        <v>27169</v>
      </c>
      <c r="M10" s="9">
        <f>M6+M7-SUM(M8:M9)</f>
        <v>29707.957213162168</v>
      </c>
      <c r="N10" s="9">
        <f>N6+N7-SUM(N8:N9)</f>
        <v>19156.087730398664</v>
      </c>
    </row>
    <row r="11" spans="1:14" x14ac:dyDescent="0.3">
      <c r="A11" s="6" t="s">
        <v>13</v>
      </c>
      <c r="B11" s="9">
        <f>'Data Sheet'!B29</f>
        <v>6350</v>
      </c>
      <c r="C11" s="9">
        <f>'Data Sheet'!C29</f>
        <v>10326</v>
      </c>
      <c r="D11" s="9">
        <f>'Data Sheet'!D29</f>
        <v>8871</v>
      </c>
      <c r="E11" s="9">
        <f>'Data Sheet'!E29</f>
        <v>1655</v>
      </c>
      <c r="F11" s="9">
        <f>'Data Sheet'!F29</f>
        <v>3158</v>
      </c>
      <c r="G11" s="9">
        <f>'Data Sheet'!G29</f>
        <v>9362</v>
      </c>
      <c r="H11" s="9">
        <f>'Data Sheet'!H29</f>
        <v>14060</v>
      </c>
      <c r="I11" s="9">
        <f>'Data Sheet'!I29</f>
        <v>15978</v>
      </c>
      <c r="J11" s="9">
        <f>'Data Sheet'!J29</f>
        <v>19080</v>
      </c>
      <c r="K11" s="9">
        <f>'Data Sheet'!K29</f>
        <v>25185</v>
      </c>
      <c r="L11" s="9">
        <f>SUM(Quarters!H11:K11)</f>
        <v>27169</v>
      </c>
      <c r="M11" s="10">
        <f>IF($L10&gt;0,$L11/$L10,0)</f>
        <v>1</v>
      </c>
      <c r="N11" s="10">
        <f>IF($L10&gt;0,$L11/$L10,0)</f>
        <v>1</v>
      </c>
    </row>
    <row r="12" spans="1:14" s="8" customFormat="1" x14ac:dyDescent="0.3">
      <c r="A12" s="8" t="s">
        <v>14</v>
      </c>
      <c r="B12" s="1">
        <f>'Data Sheet'!B30</f>
        <v>4051</v>
      </c>
      <c r="C12" s="1">
        <f>'Data Sheet'!C30</f>
        <v>7958</v>
      </c>
      <c r="D12" s="1">
        <f>'Data Sheet'!D30</f>
        <v>6017</v>
      </c>
      <c r="E12" s="1">
        <f>'Data Sheet'!E30</f>
        <v>-321</v>
      </c>
      <c r="F12" s="1">
        <f>'Data Sheet'!F30</f>
        <v>1512</v>
      </c>
      <c r="G12" s="1">
        <f>'Data Sheet'!G30</f>
        <v>7253</v>
      </c>
      <c r="H12" s="1">
        <f>'Data Sheet'!H30</f>
        <v>11374</v>
      </c>
      <c r="I12" s="1">
        <f>'Data Sheet'!I30</f>
        <v>12270</v>
      </c>
      <c r="J12" s="1">
        <f>'Data Sheet'!J30</f>
        <v>14073</v>
      </c>
      <c r="K12" s="1">
        <f>'Data Sheet'!K30</f>
        <v>18622</v>
      </c>
      <c r="L12" s="1">
        <f>SUM(Quarters!H12:K12)</f>
        <v>20243</v>
      </c>
      <c r="M12" s="1">
        <f>M10-M11*M10</f>
        <v>0</v>
      </c>
      <c r="N12" s="1">
        <f>N10-N11*N10</f>
        <v>0</v>
      </c>
    </row>
    <row r="13" spans="1:14" x14ac:dyDescent="0.3">
      <c r="A13" s="11" t="s">
        <v>57</v>
      </c>
      <c r="B13" s="9">
        <f>IF('Data Sheet'!B93&gt;0,B12/'Data Sheet'!B93,0)</f>
        <v>30.265222263728056</v>
      </c>
      <c r="C13" s="9">
        <f>IF('Data Sheet'!C93&gt;0,C12/'Data Sheet'!C93,0)</f>
        <v>59.454613373178937</v>
      </c>
      <c r="D13" s="9">
        <f>IF('Data Sheet'!D93&gt;0,D12/'Data Sheet'!D93,0)</f>
        <v>44.953305939484501</v>
      </c>
      <c r="E13" s="9">
        <f>IF('Data Sheet'!E93&gt;0,E12/'Data Sheet'!E93,0)</f>
        <v>-2.3982069480762047</v>
      </c>
      <c r="F13" s="9">
        <f>IF('Data Sheet'!F93&gt;0,F12/'Data Sheet'!F93,0)</f>
        <v>11.296227119910348</v>
      </c>
      <c r="G13" s="9">
        <f>IF('Data Sheet'!G93&gt;0,G12/'Data Sheet'!G93,0)</f>
        <v>54.187523347030258</v>
      </c>
      <c r="H13" s="9">
        <f>IF('Data Sheet'!H93&gt;0,H12/'Data Sheet'!H93,0)</f>
        <v>84.975719088531946</v>
      </c>
      <c r="I13" s="9">
        <f>IF('Data Sheet'!I93&gt;0,I12/'Data Sheet'!I93,0)</f>
        <v>91.669779604034375</v>
      </c>
      <c r="J13" s="9">
        <f>IF('Data Sheet'!J93&gt;0,J12/'Data Sheet'!J93,0)</f>
        <v>105.14008218154652</v>
      </c>
      <c r="K13" s="9">
        <f>IF('Data Sheet'!K93&gt;0,K12/'Data Sheet'!K93,0)</f>
        <v>139.1258871871498</v>
      </c>
      <c r="L13" s="9">
        <f>IF('Data Sheet'!$B6&gt;0,'Profit &amp; Loss'!L12/'Data Sheet'!$B6,0)</f>
        <v>162.82662155579837</v>
      </c>
      <c r="M13" s="9">
        <f>IF('Data Sheet'!$B6&gt;0,'Profit &amp; Loss'!M12/'Data Sheet'!$B6,0)</f>
        <v>0</v>
      </c>
      <c r="N13" s="9">
        <f>IF('Data Sheet'!$B6&gt;0,'Profit &amp; Loss'!N12/'Data Sheet'!$B6,0)</f>
        <v>0</v>
      </c>
    </row>
    <row r="14" spans="1:14" x14ac:dyDescent="0.3">
      <c r="A14" s="6" t="s">
        <v>16</v>
      </c>
      <c r="B14" s="9">
        <f>IF(B15&gt;0,B15/B13,"")</f>
        <v>21.841240557886938</v>
      </c>
      <c r="C14" s="9">
        <f t="shared" ref="C14:K14" si="2">IF(C15&gt;0,C15/C13,"")</f>
        <v>12.321163294797685</v>
      </c>
      <c r="D14" s="9">
        <f t="shared" si="2"/>
        <v>14.452774638524181</v>
      </c>
      <c r="E14" s="9">
        <f t="shared" si="2"/>
        <v>-190.57988317757011</v>
      </c>
      <c r="F14" s="9">
        <f t="shared" si="2"/>
        <v>71.386666666666656</v>
      </c>
      <c r="G14" s="9">
        <f t="shared" si="2"/>
        <v>13.514181028539914</v>
      </c>
      <c r="H14" s="9">
        <f t="shared" si="2"/>
        <v>14.928970458941443</v>
      </c>
      <c r="I14" s="9">
        <f t="shared" si="2"/>
        <v>21.382182966585166</v>
      </c>
      <c r="J14" s="9">
        <f t="shared" si="2"/>
        <v>24.58719782562353</v>
      </c>
      <c r="K14" s="9">
        <f t="shared" si="2"/>
        <v>24.419610675545055</v>
      </c>
      <c r="L14" s="9">
        <f t="shared" ref="L14" si="3">IF(L13&gt;0,L15/L13,0)</f>
        <v>18.762288198389566</v>
      </c>
      <c r="M14" s="9">
        <f>M25</f>
        <v>22.287819916535831</v>
      </c>
      <c r="N14" s="9">
        <f>N25</f>
        <v>18.762288198389566</v>
      </c>
    </row>
    <row r="15" spans="1:14" s="8" customFormat="1" x14ac:dyDescent="0.3">
      <c r="A15" s="8" t="s">
        <v>58</v>
      </c>
      <c r="B15" s="1">
        <f>'Data Sheet'!B90</f>
        <v>661.03</v>
      </c>
      <c r="C15" s="1">
        <f>'Data Sheet'!C90</f>
        <v>732.55</v>
      </c>
      <c r="D15" s="1">
        <f>'Data Sheet'!D90</f>
        <v>649.70000000000005</v>
      </c>
      <c r="E15" s="1">
        <f>'Data Sheet'!E90</f>
        <v>457.05</v>
      </c>
      <c r="F15" s="1">
        <f>'Data Sheet'!F90</f>
        <v>806.4</v>
      </c>
      <c r="G15" s="1">
        <f>'Data Sheet'!G90</f>
        <v>732.3</v>
      </c>
      <c r="H15" s="1">
        <f>'Data Sheet'!H90</f>
        <v>1268.5999999999999</v>
      </c>
      <c r="I15" s="1">
        <f>'Data Sheet'!I90</f>
        <v>1960.1</v>
      </c>
      <c r="J15" s="1">
        <f>'Data Sheet'!J90</f>
        <v>2585.1</v>
      </c>
      <c r="K15" s="1">
        <f>'Data Sheet'!K90</f>
        <v>3397.4</v>
      </c>
      <c r="L15" s="1">
        <f>'Data Sheet'!B8</f>
        <v>3055</v>
      </c>
      <c r="M15" s="12">
        <f>M13*M14</f>
        <v>0</v>
      </c>
      <c r="N15" s="13">
        <f>N13*N14</f>
        <v>0</v>
      </c>
    </row>
    <row r="17" spans="1:14" s="8" customFormat="1" x14ac:dyDescent="0.3">
      <c r="A17" s="8" t="s">
        <v>15</v>
      </c>
    </row>
    <row r="18" spans="1:14" x14ac:dyDescent="0.3">
      <c r="A18" s="6" t="s">
        <v>17</v>
      </c>
      <c r="B18" s="7">
        <f>IF('Data Sheet'!B30&gt;0, 'Data Sheet'!B31/'Data Sheet'!B30, 0)</f>
        <v>0.22</v>
      </c>
      <c r="C18" s="7">
        <f>IF('Data Sheet'!C30&gt;0, 'Data Sheet'!C31/'Data Sheet'!C30, 0)</f>
        <v>0.11</v>
      </c>
      <c r="D18" s="7">
        <f>IF('Data Sheet'!D30&gt;0, 'Data Sheet'!D31/'Data Sheet'!D30, 0)</f>
        <v>0.16999999999999998</v>
      </c>
      <c r="E18" s="7">
        <f>IF('Data Sheet'!E30&gt;0, 'Data Sheet'!E31/'Data Sheet'!E30, 0)</f>
        <v>0</v>
      </c>
      <c r="F18" s="7">
        <f>IF('Data Sheet'!F30&gt;0, 'Data Sheet'!F31/'Data Sheet'!F30, 0)</f>
        <v>0.54</v>
      </c>
      <c r="G18" s="7">
        <f>IF('Data Sheet'!G30&gt;0, 'Data Sheet'!G31/'Data Sheet'!G30, 0)</f>
        <v>0.19999999999999998</v>
      </c>
      <c r="H18" s="7">
        <f>IF('Data Sheet'!H30&gt;0, 'Data Sheet'!H31/'Data Sheet'!H30, 0)</f>
        <v>0.18</v>
      </c>
      <c r="I18" s="7">
        <f>IF('Data Sheet'!I30&gt;0, 'Data Sheet'!I31/'Data Sheet'!I30, 0)</f>
        <v>0.21</v>
      </c>
      <c r="J18" s="7">
        <f>IF('Data Sheet'!J30&gt;0, 'Data Sheet'!J31/'Data Sheet'!J30, 0)</f>
        <v>0.22</v>
      </c>
      <c r="K18" s="7">
        <f>IF('Data Sheet'!K30&gt;0, 'Data Sheet'!K31/'Data Sheet'!K30, 0)</f>
        <v>0.22</v>
      </c>
    </row>
    <row r="19" spans="1:14" x14ac:dyDescent="0.3">
      <c r="A19" s="6" t="s">
        <v>18</v>
      </c>
      <c r="B19" s="7">
        <f t="shared" ref="B19:L19" si="4">IF(B6&gt;0,B6/B4,0)</f>
        <v>0.12999999999999989</v>
      </c>
      <c r="C19" s="7">
        <f t="shared" ref="C19:K19" si="5">IF(C6&gt;0,C6/C4,0)</f>
        <v>0.14000000000000004</v>
      </c>
      <c r="D19" s="7">
        <f t="shared" si="5"/>
        <v>0.14999999999999994</v>
      </c>
      <c r="E19" s="7">
        <f t="shared" si="5"/>
        <v>0.13000000000000006</v>
      </c>
      <c r="F19" s="7">
        <f t="shared" si="5"/>
        <v>0.14999999999999997</v>
      </c>
      <c r="G19" s="7">
        <f t="shared" si="5"/>
        <v>0.17000000000000007</v>
      </c>
      <c r="H19" s="7">
        <f t="shared" si="5"/>
        <v>0.16999999999999996</v>
      </c>
      <c r="I19" s="7">
        <f t="shared" si="5"/>
        <v>0.17999999999999997</v>
      </c>
      <c r="J19" s="7">
        <f t="shared" si="5"/>
        <v>0.18999999999999997</v>
      </c>
      <c r="K19" s="7">
        <f t="shared" si="5"/>
        <v>0.19000000000000003</v>
      </c>
      <c r="L19" s="7">
        <f t="shared" si="4"/>
        <v>0.1894917114525774</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0.10068303438878679</v>
      </c>
      <c r="I23" s="7">
        <f>IF(D4=0,"",POWER($K4/D4,1/7)-1)</f>
        <v>9.5768160470239394E-2</v>
      </c>
      <c r="J23" s="7">
        <f>IF(F4=0,"",POWER($K4/F4,1/5)-1)</f>
        <v>0.21742120987172275</v>
      </c>
      <c r="K23" s="7">
        <f>IF(H4=0,"",POWER($K4/H4, 1/3)-1)</f>
        <v>0.17849369974535056</v>
      </c>
      <c r="L23" s="7">
        <f>IF(ISERROR(MAX(IF(J4=0,"",(K4-J4)/J4),IF(K4=0,"",(L4-K4)/K4))),"",MAX(IF(J4=0,"",(K4-J4)/J4),IF(K4=0,"",(L4-K4)/K4)))</f>
        <v>0.24764620535013285</v>
      </c>
      <c r="M23" s="22">
        <f>MAX(K23:L23)</f>
        <v>0.24764620535013285</v>
      </c>
      <c r="N23" s="22">
        <f>MIN(H23:L23)</f>
        <v>9.5768160470239394E-2</v>
      </c>
    </row>
    <row r="24" spans="1:14" x14ac:dyDescent="0.3">
      <c r="G24" s="6" t="s">
        <v>18</v>
      </c>
      <c r="H24" s="7">
        <f>IF(SUM(B4:$K$4)=0,"",SUMPRODUCT(B19:$K$19,B4:$K$4)/SUM(B4:$K$4))</f>
        <v>0.16634566864756489</v>
      </c>
      <c r="I24" s="7">
        <f>IF(SUM(E4:$K$4)=0,"",SUMPRODUCT(E19:$K$19,E4:$K$4)/SUM(E4:$K$4))</f>
        <v>0.17471604820299236</v>
      </c>
      <c r="J24" s="7">
        <f>IF(SUM(G4:$K$4)=0,"",SUMPRODUCT(G19:$K$19,G4:$K$4)/SUM(G4:$K$4))</f>
        <v>0.18206527952844262</v>
      </c>
      <c r="K24" s="7">
        <f>IF(SUM(I4:$K$4)=0, "", SUMPRODUCT(I19:$K$19,I4:$K$4)/SUM(I4:$K$4))</f>
        <v>0.18720124444587544</v>
      </c>
      <c r="L24" s="7">
        <f>L19</f>
        <v>0.1894917114525774</v>
      </c>
      <c r="M24" s="22">
        <f>MAX(K24:L24)</f>
        <v>0.1894917114525774</v>
      </c>
      <c r="N24" s="22">
        <f>MIN(H24:L24)</f>
        <v>0.16634566864756489</v>
      </c>
    </row>
    <row r="25" spans="1:14" x14ac:dyDescent="0.3">
      <c r="G25" s="6" t="s">
        <v>23</v>
      </c>
      <c r="H25" s="9">
        <f>IF(ISERROR(AVERAGEIF(B14:$L14,"&gt;0")),"",AVERAGEIF(B14:$L14,"&gt;0"))</f>
        <v>23.759627631150014</v>
      </c>
      <c r="I25" s="9">
        <f>IF(ISERROR(AVERAGEIF(E14:$L14,"&gt;0")),"",AVERAGEIF(E14:$L14,"&gt;0"))</f>
        <v>26.997299688613044</v>
      </c>
      <c r="J25" s="9">
        <f>IF(ISERROR(AVERAGEIF(G14:$L14,"&gt;0")),"",AVERAGEIF(G14:$L14,"&gt;0"))</f>
        <v>19.599071858937446</v>
      </c>
      <c r="K25" s="9">
        <f>IF(ISERROR(AVERAGEIF(I14:$L14,"&gt;0")),"",AVERAGEIF(I14:$L14,"&gt;0"))</f>
        <v>22.287819916535831</v>
      </c>
      <c r="L25" s="9">
        <f>L14</f>
        <v>18.762288198389566</v>
      </c>
      <c r="M25" s="1">
        <f>MAX(K25:L25)</f>
        <v>22.287819916535831</v>
      </c>
      <c r="N25" s="1">
        <f>MIN(H25:L25)</f>
        <v>18.762288198389566</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MAHINDRA &amp; MAHINDRA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35452</v>
      </c>
      <c r="C4" s="1">
        <f>'Data Sheet'!C42</f>
        <v>37218</v>
      </c>
      <c r="D4" s="1">
        <f>'Data Sheet'!D42</f>
        <v>37924</v>
      </c>
      <c r="E4" s="1">
        <f>'Data Sheet'!E42</f>
        <v>41470</v>
      </c>
      <c r="F4" s="1">
        <f>'Data Sheet'!F42</f>
        <v>42599</v>
      </c>
      <c r="G4" s="1">
        <f>'Data Sheet'!G42</f>
        <v>45529</v>
      </c>
      <c r="H4" s="1">
        <f>'Data Sheet'!H42</f>
        <v>46106</v>
      </c>
      <c r="I4" s="1">
        <f>'Data Sheet'!I42</f>
        <v>52100</v>
      </c>
      <c r="J4" s="1">
        <f>'Data Sheet'!J42</f>
        <v>54982</v>
      </c>
      <c r="K4" s="1">
        <f>'Data Sheet'!K42</f>
        <v>58188</v>
      </c>
    </row>
    <row r="5" spans="1:11" x14ac:dyDescent="0.3">
      <c r="A5" s="6" t="s">
        <v>7</v>
      </c>
      <c r="B5" s="9">
        <f>'Data Sheet'!B43</f>
        <v>28848</v>
      </c>
      <c r="C5" s="9">
        <f>'Data Sheet'!C43</f>
        <v>29975</v>
      </c>
      <c r="D5" s="9">
        <f>'Data Sheet'!D43</f>
        <v>30790</v>
      </c>
      <c r="E5" s="9">
        <f>'Data Sheet'!E43</f>
        <v>33239</v>
      </c>
      <c r="F5" s="9">
        <f>'Data Sheet'!F43</f>
        <v>34658</v>
      </c>
      <c r="G5" s="9">
        <f>'Data Sheet'!G43</f>
        <v>37117</v>
      </c>
      <c r="H5" s="9">
        <f>'Data Sheet'!H43</f>
        <v>37166</v>
      </c>
      <c r="I5" s="9">
        <f>'Data Sheet'!I43</f>
        <v>41939</v>
      </c>
      <c r="J5" s="9">
        <f>'Data Sheet'!J43</f>
        <v>44855</v>
      </c>
      <c r="K5" s="9">
        <f>'Data Sheet'!K43</f>
        <v>47360</v>
      </c>
    </row>
    <row r="6" spans="1:11" s="8" customFormat="1" x14ac:dyDescent="0.3">
      <c r="A6" s="8" t="s">
        <v>8</v>
      </c>
      <c r="B6" s="1">
        <f>'Data Sheet'!B50</f>
        <v>6604</v>
      </c>
      <c r="C6" s="1">
        <f>'Data Sheet'!C50</f>
        <v>7243</v>
      </c>
      <c r="D6" s="1">
        <f>'Data Sheet'!D50</f>
        <v>7133</v>
      </c>
      <c r="E6" s="1">
        <f>'Data Sheet'!E50</f>
        <v>8231</v>
      </c>
      <c r="F6" s="1">
        <f>'Data Sheet'!F50</f>
        <v>7942</v>
      </c>
      <c r="G6" s="1">
        <f>'Data Sheet'!G50</f>
        <v>8412</v>
      </c>
      <c r="H6" s="1">
        <f>'Data Sheet'!H50</f>
        <v>8940</v>
      </c>
      <c r="I6" s="1">
        <f>'Data Sheet'!I50</f>
        <v>10160</v>
      </c>
      <c r="J6" s="1">
        <f>'Data Sheet'!J50</f>
        <v>10127</v>
      </c>
      <c r="K6" s="1">
        <f>'Data Sheet'!K50</f>
        <v>10827</v>
      </c>
    </row>
    <row r="7" spans="1:11" x14ac:dyDescent="0.3">
      <c r="A7" s="6" t="s">
        <v>9</v>
      </c>
      <c r="B7" s="9">
        <f>'Data Sheet'!B44</f>
        <v>750</v>
      </c>
      <c r="C7" s="9">
        <f>'Data Sheet'!C44</f>
        <v>733</v>
      </c>
      <c r="D7" s="9">
        <f>'Data Sheet'!D44</f>
        <v>1126</v>
      </c>
      <c r="E7" s="9">
        <f>'Data Sheet'!E44</f>
        <v>719</v>
      </c>
      <c r="F7" s="9">
        <f>'Data Sheet'!F44</f>
        <v>1110</v>
      </c>
      <c r="G7" s="9">
        <f>'Data Sheet'!G44</f>
        <v>1210</v>
      </c>
      <c r="H7" s="9">
        <f>'Data Sheet'!H44</f>
        <v>1134</v>
      </c>
      <c r="I7" s="9">
        <f>'Data Sheet'!I44</f>
        <v>976</v>
      </c>
      <c r="J7" s="9">
        <f>'Data Sheet'!J44</f>
        <v>1137</v>
      </c>
      <c r="K7" s="9">
        <f>'Data Sheet'!K44</f>
        <v>1121</v>
      </c>
    </row>
    <row r="8" spans="1:11" x14ac:dyDescent="0.3">
      <c r="A8" s="6" t="s">
        <v>10</v>
      </c>
      <c r="B8" s="9">
        <f>'Data Sheet'!B45</f>
        <v>1335</v>
      </c>
      <c r="C8" s="9">
        <f>'Data Sheet'!C45</f>
        <v>1248</v>
      </c>
      <c r="D8" s="9">
        <f>'Data Sheet'!D45</f>
        <v>1302</v>
      </c>
      <c r="E8" s="9">
        <f>'Data Sheet'!E45</f>
        <v>1495</v>
      </c>
      <c r="F8" s="9">
        <f>'Data Sheet'!F45</f>
        <v>2029</v>
      </c>
      <c r="G8" s="9">
        <f>'Data Sheet'!G45</f>
        <v>1548</v>
      </c>
      <c r="H8" s="9">
        <f>'Data Sheet'!H45</f>
        <v>1669</v>
      </c>
      <c r="I8" s="9">
        <f>'Data Sheet'!I45</f>
        <v>2163</v>
      </c>
      <c r="J8" s="9">
        <f>'Data Sheet'!J45</f>
        <v>1943</v>
      </c>
      <c r="K8" s="9">
        <f>'Data Sheet'!K45</f>
        <v>1760</v>
      </c>
    </row>
    <row r="9" spans="1:11" x14ac:dyDescent="0.3">
      <c r="A9" s="6" t="s">
        <v>11</v>
      </c>
      <c r="B9" s="9">
        <f>'Data Sheet'!B46</f>
        <v>1989</v>
      </c>
      <c r="C9" s="9">
        <f>'Data Sheet'!C46</f>
        <v>2108</v>
      </c>
      <c r="D9" s="9">
        <f>'Data Sheet'!D46</f>
        <v>2217</v>
      </c>
      <c r="E9" s="9">
        <f>'Data Sheet'!E46</f>
        <v>2362</v>
      </c>
      <c r="F9" s="9">
        <f>'Data Sheet'!F46</f>
        <v>2397</v>
      </c>
      <c r="G9" s="9">
        <f>'Data Sheet'!G46</f>
        <v>2431</v>
      </c>
      <c r="H9" s="9">
        <f>'Data Sheet'!H46</f>
        <v>2347</v>
      </c>
      <c r="I9" s="9">
        <f>'Data Sheet'!I46</f>
        <v>2405</v>
      </c>
      <c r="J9" s="9">
        <f>'Data Sheet'!J46</f>
        <v>2407</v>
      </c>
      <c r="K9" s="9">
        <f>'Data Sheet'!K46</f>
        <v>2560</v>
      </c>
    </row>
    <row r="10" spans="1:11" x14ac:dyDescent="0.3">
      <c r="A10" s="6" t="s">
        <v>12</v>
      </c>
      <c r="B10" s="9">
        <f>'Data Sheet'!B47</f>
        <v>4030</v>
      </c>
      <c r="C10" s="9">
        <f>'Data Sheet'!C47</f>
        <v>4621</v>
      </c>
      <c r="D10" s="9">
        <f>'Data Sheet'!D47</f>
        <v>4740</v>
      </c>
      <c r="E10" s="9">
        <f>'Data Sheet'!E47</f>
        <v>5092</v>
      </c>
      <c r="F10" s="9">
        <f>'Data Sheet'!F47</f>
        <v>4627</v>
      </c>
      <c r="G10" s="9">
        <f>'Data Sheet'!G47</f>
        <v>5644</v>
      </c>
      <c r="H10" s="9">
        <f>'Data Sheet'!H47</f>
        <v>6058</v>
      </c>
      <c r="I10" s="9">
        <f>'Data Sheet'!I47</f>
        <v>6569</v>
      </c>
      <c r="J10" s="9">
        <f>'Data Sheet'!J47</f>
        <v>6914</v>
      </c>
      <c r="K10" s="9">
        <f>'Data Sheet'!K47</f>
        <v>7628</v>
      </c>
    </row>
    <row r="11" spans="1:11" x14ac:dyDescent="0.3">
      <c r="A11" s="6" t="s">
        <v>13</v>
      </c>
      <c r="B11" s="9">
        <f>'Data Sheet'!B48</f>
        <v>4030</v>
      </c>
      <c r="C11" s="9">
        <f>'Data Sheet'!C48</f>
        <v>4621</v>
      </c>
      <c r="D11" s="9">
        <f>'Data Sheet'!D48</f>
        <v>4740</v>
      </c>
      <c r="E11" s="9">
        <f>'Data Sheet'!E48</f>
        <v>5092</v>
      </c>
      <c r="F11" s="9">
        <f>'Data Sheet'!F48</f>
        <v>4627</v>
      </c>
      <c r="G11" s="9">
        <f>'Data Sheet'!G48</f>
        <v>5644</v>
      </c>
      <c r="H11" s="9">
        <f>'Data Sheet'!H48</f>
        <v>6058</v>
      </c>
      <c r="I11" s="9">
        <f>'Data Sheet'!I48</f>
        <v>6569</v>
      </c>
      <c r="J11" s="9">
        <f>'Data Sheet'!J48</f>
        <v>6914</v>
      </c>
      <c r="K11" s="9">
        <f>'Data Sheet'!K48</f>
        <v>7628</v>
      </c>
    </row>
    <row r="12" spans="1:11" s="8" customFormat="1" x14ac:dyDescent="0.3">
      <c r="A12" s="8" t="s">
        <v>14</v>
      </c>
      <c r="B12" s="1">
        <f>'Data Sheet'!B49</f>
        <v>3125</v>
      </c>
      <c r="C12" s="1">
        <f>'Data Sheet'!C49</f>
        <v>3546</v>
      </c>
      <c r="D12" s="1">
        <f>'Data Sheet'!D49</f>
        <v>3361</v>
      </c>
      <c r="E12" s="1">
        <f>'Data Sheet'!E49</f>
        <v>3624</v>
      </c>
      <c r="F12" s="1">
        <f>'Data Sheet'!F49</f>
        <v>3542</v>
      </c>
      <c r="G12" s="1">
        <f>'Data Sheet'!G49</f>
        <v>4377</v>
      </c>
      <c r="H12" s="1">
        <f>'Data Sheet'!H49</f>
        <v>3964</v>
      </c>
      <c r="I12" s="1">
        <f>'Data Sheet'!I49</f>
        <v>5021</v>
      </c>
      <c r="J12" s="1">
        <f>'Data Sheet'!J49</f>
        <v>5260</v>
      </c>
      <c r="K12" s="1">
        <f>'Data Sheet'!K49</f>
        <v>5998</v>
      </c>
    </row>
    <row r="14" spans="1:11" s="8" customFormat="1" x14ac:dyDescent="0.3">
      <c r="A14" s="2" t="s">
        <v>18</v>
      </c>
      <c r="B14" s="14">
        <f>IF(B4&gt;0,B6/B4,"")</f>
        <v>0.18628004061830081</v>
      </c>
      <c r="C14" s="14">
        <f t="shared" ref="C14:K14" si="0">IF(C4&gt;0,C6/C4,"")</f>
        <v>0.19461013488097156</v>
      </c>
      <c r="D14" s="14">
        <f t="shared" si="0"/>
        <v>0.18808669971521991</v>
      </c>
      <c r="E14" s="14">
        <f t="shared" si="0"/>
        <v>0.19848082951531226</v>
      </c>
      <c r="F14" s="14">
        <f t="shared" si="0"/>
        <v>0.18643630132162728</v>
      </c>
      <c r="G14" s="14">
        <f t="shared" si="0"/>
        <v>0.18476136089086076</v>
      </c>
      <c r="H14" s="14">
        <f t="shared" si="0"/>
        <v>0.19390101071444063</v>
      </c>
      <c r="I14" s="14">
        <f t="shared" si="0"/>
        <v>0.19500959692898273</v>
      </c>
      <c r="J14" s="14">
        <f t="shared" si="0"/>
        <v>0.18418755228984032</v>
      </c>
      <c r="K14" s="14">
        <f t="shared" si="0"/>
        <v>0.18606929263765726</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MAHINDRA &amp; MAHINDRA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311</v>
      </c>
      <c r="C4" s="19">
        <f>'Data Sheet'!C57</f>
        <v>543</v>
      </c>
      <c r="D4" s="19">
        <f>'Data Sheet'!D57</f>
        <v>544</v>
      </c>
      <c r="E4" s="19">
        <f>'Data Sheet'!E57</f>
        <v>554</v>
      </c>
      <c r="F4" s="19">
        <f>'Data Sheet'!F57</f>
        <v>555</v>
      </c>
      <c r="G4" s="19">
        <f>'Data Sheet'!G57</f>
        <v>556</v>
      </c>
      <c r="H4" s="19">
        <f>'Data Sheet'!H57</f>
        <v>557</v>
      </c>
      <c r="I4" s="19">
        <f>'Data Sheet'!I57</f>
        <v>557</v>
      </c>
      <c r="J4" s="19">
        <f>'Data Sheet'!J57</f>
        <v>558</v>
      </c>
      <c r="K4" s="19">
        <f>'Data Sheet'!K57</f>
        <v>559</v>
      </c>
    </row>
    <row r="5" spans="1:11" s="6" customFormat="1" x14ac:dyDescent="0.3">
      <c r="A5" s="6" t="s">
        <v>25</v>
      </c>
      <c r="B5" s="19">
        <f>'Data Sheet'!B58</f>
        <v>29467</v>
      </c>
      <c r="C5" s="19">
        <f>'Data Sheet'!C58</f>
        <v>36232</v>
      </c>
      <c r="D5" s="19">
        <f>'Data Sheet'!D58</f>
        <v>39439</v>
      </c>
      <c r="E5" s="19">
        <f>'Data Sheet'!E58</f>
        <v>39415</v>
      </c>
      <c r="F5" s="19">
        <f>'Data Sheet'!F58</f>
        <v>41027</v>
      </c>
      <c r="G5" s="19">
        <f>'Data Sheet'!G58</f>
        <v>46567</v>
      </c>
      <c r="H5" s="19">
        <f>'Data Sheet'!H58</f>
        <v>55809</v>
      </c>
      <c r="I5" s="19">
        <f>'Data Sheet'!I58</f>
        <v>65633</v>
      </c>
      <c r="J5" s="19">
        <f>'Data Sheet'!J58</f>
        <v>76481</v>
      </c>
      <c r="K5" s="19">
        <f>'Data Sheet'!K58</f>
        <v>92538</v>
      </c>
    </row>
    <row r="6" spans="1:11" x14ac:dyDescent="0.3">
      <c r="A6" s="11" t="s">
        <v>71</v>
      </c>
      <c r="B6" s="19">
        <f>'Data Sheet'!B59</f>
        <v>48762</v>
      </c>
      <c r="C6" s="19">
        <f>'Data Sheet'!C59</f>
        <v>55898</v>
      </c>
      <c r="D6" s="19">
        <f>'Data Sheet'!D59</f>
        <v>70848</v>
      </c>
      <c r="E6" s="19">
        <f>'Data Sheet'!E59</f>
        <v>82092</v>
      </c>
      <c r="F6" s="19">
        <f>'Data Sheet'!F59</f>
        <v>80625</v>
      </c>
      <c r="G6" s="19">
        <f>'Data Sheet'!G59</f>
        <v>77605</v>
      </c>
      <c r="H6" s="19">
        <f>'Data Sheet'!H59</f>
        <v>92647</v>
      </c>
      <c r="I6" s="19">
        <f>'Data Sheet'!I59</f>
        <v>108647</v>
      </c>
      <c r="J6" s="19">
        <f>'Data Sheet'!J59</f>
        <v>129025</v>
      </c>
      <c r="K6" s="19">
        <f>'Data Sheet'!K59</f>
        <v>136936</v>
      </c>
    </row>
    <row r="7" spans="1:11" s="6" customFormat="1" x14ac:dyDescent="0.3">
      <c r="A7" s="11" t="s">
        <v>72</v>
      </c>
      <c r="B7" s="19">
        <f>'Data Sheet'!B60</f>
        <v>35296</v>
      </c>
      <c r="C7" s="19">
        <f>'Data Sheet'!C60</f>
        <v>43696</v>
      </c>
      <c r="D7" s="19">
        <f>'Data Sheet'!D60</f>
        <v>51057</v>
      </c>
      <c r="E7" s="19">
        <f>'Data Sheet'!E60</f>
        <v>43655</v>
      </c>
      <c r="F7" s="19">
        <f>'Data Sheet'!F60</f>
        <v>42762</v>
      </c>
      <c r="G7" s="19">
        <f>'Data Sheet'!G60</f>
        <v>47661</v>
      </c>
      <c r="H7" s="19">
        <f>'Data Sheet'!H60</f>
        <v>55270</v>
      </c>
      <c r="I7" s="19">
        <f>'Data Sheet'!I60</f>
        <v>59884</v>
      </c>
      <c r="J7" s="19">
        <f>'Data Sheet'!J60</f>
        <v>69950</v>
      </c>
      <c r="K7" s="19">
        <f>'Data Sheet'!K60</f>
        <v>86021</v>
      </c>
    </row>
    <row r="8" spans="1:11" s="8" customFormat="1" x14ac:dyDescent="0.3">
      <c r="A8" s="8" t="s">
        <v>26</v>
      </c>
      <c r="B8" s="20">
        <f>'Data Sheet'!B61</f>
        <v>113835</v>
      </c>
      <c r="C8" s="20">
        <f>'Data Sheet'!C61</f>
        <v>136369</v>
      </c>
      <c r="D8" s="20">
        <f>'Data Sheet'!D61</f>
        <v>161889</v>
      </c>
      <c r="E8" s="20">
        <f>'Data Sheet'!E61</f>
        <v>165716</v>
      </c>
      <c r="F8" s="20">
        <f>'Data Sheet'!F61</f>
        <v>164968</v>
      </c>
      <c r="G8" s="20">
        <f>'Data Sheet'!G61</f>
        <v>172388</v>
      </c>
      <c r="H8" s="20">
        <f>'Data Sheet'!H61</f>
        <v>204283</v>
      </c>
      <c r="I8" s="20">
        <f>'Data Sheet'!I61</f>
        <v>234722</v>
      </c>
      <c r="J8" s="20">
        <f>'Data Sheet'!J61</f>
        <v>276013</v>
      </c>
      <c r="K8" s="20">
        <f>'Data Sheet'!K61</f>
        <v>316054</v>
      </c>
    </row>
    <row r="9" spans="1:11" s="8" customFormat="1" x14ac:dyDescent="0.3">
      <c r="B9" s="20"/>
      <c r="C9" s="20"/>
      <c r="D9" s="20"/>
      <c r="E9" s="20"/>
      <c r="F9" s="20"/>
      <c r="G9" s="20"/>
      <c r="H9" s="20"/>
      <c r="I9" s="20"/>
      <c r="J9" s="20"/>
      <c r="K9" s="20"/>
    </row>
    <row r="10" spans="1:11" x14ac:dyDescent="0.3">
      <c r="A10" s="6" t="s">
        <v>27</v>
      </c>
      <c r="B10" s="19">
        <f>'Data Sheet'!B62</f>
        <v>20989</v>
      </c>
      <c r="C10" s="19">
        <f>'Data Sheet'!C62</f>
        <v>26182</v>
      </c>
      <c r="D10" s="19">
        <f>'Data Sheet'!D62</f>
        <v>28983</v>
      </c>
      <c r="E10" s="19">
        <f>'Data Sheet'!E62</f>
        <v>29689</v>
      </c>
      <c r="F10" s="19">
        <f>'Data Sheet'!F62</f>
        <v>21380</v>
      </c>
      <c r="G10" s="19">
        <f>'Data Sheet'!G62</f>
        <v>26018</v>
      </c>
      <c r="H10" s="19">
        <f>'Data Sheet'!H62</f>
        <v>27140</v>
      </c>
      <c r="I10" s="19">
        <f>'Data Sheet'!I62</f>
        <v>28129</v>
      </c>
      <c r="J10" s="19">
        <f>'Data Sheet'!J62</f>
        <v>34636</v>
      </c>
      <c r="K10" s="19">
        <f>'Data Sheet'!K62</f>
        <v>38459</v>
      </c>
    </row>
    <row r="11" spans="1:11" x14ac:dyDescent="0.3">
      <c r="A11" s="6" t="s">
        <v>28</v>
      </c>
      <c r="B11" s="19">
        <f>'Data Sheet'!B63</f>
        <v>4279</v>
      </c>
      <c r="C11" s="19">
        <f>'Data Sheet'!C63</f>
        <v>4269</v>
      </c>
      <c r="D11" s="19">
        <f>'Data Sheet'!D63</f>
        <v>4760</v>
      </c>
      <c r="E11" s="19">
        <f>'Data Sheet'!E63</f>
        <v>6856</v>
      </c>
      <c r="F11" s="19">
        <f>'Data Sheet'!F63</f>
        <v>7873</v>
      </c>
      <c r="G11" s="19">
        <f>'Data Sheet'!G63</f>
        <v>6703</v>
      </c>
      <c r="H11" s="19">
        <f>'Data Sheet'!H63</f>
        <v>3969</v>
      </c>
      <c r="I11" s="19">
        <f>'Data Sheet'!I63</f>
        <v>8039</v>
      </c>
      <c r="J11" s="19">
        <f>'Data Sheet'!J63</f>
        <v>8298</v>
      </c>
      <c r="K11" s="19">
        <f>'Data Sheet'!K63</f>
        <v>7740</v>
      </c>
    </row>
    <row r="12" spans="1:11" x14ac:dyDescent="0.3">
      <c r="A12" s="6" t="s">
        <v>29</v>
      </c>
      <c r="B12" s="19">
        <f>'Data Sheet'!B64</f>
        <v>14662</v>
      </c>
      <c r="C12" s="19">
        <f>'Data Sheet'!C64</f>
        <v>16018</v>
      </c>
      <c r="D12" s="19">
        <f>'Data Sheet'!D64</f>
        <v>18268</v>
      </c>
      <c r="E12" s="19">
        <f>'Data Sheet'!E64</f>
        <v>19210</v>
      </c>
      <c r="F12" s="19">
        <f>'Data Sheet'!F64</f>
        <v>28778</v>
      </c>
      <c r="G12" s="19">
        <f>'Data Sheet'!G64</f>
        <v>30060</v>
      </c>
      <c r="H12" s="19">
        <f>'Data Sheet'!H64</f>
        <v>35272</v>
      </c>
      <c r="I12" s="19">
        <f>'Data Sheet'!I64</f>
        <v>35208</v>
      </c>
      <c r="J12" s="19">
        <f>'Data Sheet'!J64</f>
        <v>41309</v>
      </c>
      <c r="K12" s="19">
        <f>'Data Sheet'!K64</f>
        <v>40324</v>
      </c>
    </row>
    <row r="13" spans="1:11" x14ac:dyDescent="0.3">
      <c r="A13" s="11" t="s">
        <v>73</v>
      </c>
      <c r="B13" s="19">
        <f>'Data Sheet'!B65</f>
        <v>73905</v>
      </c>
      <c r="C13" s="19">
        <f>'Data Sheet'!C65</f>
        <v>89900</v>
      </c>
      <c r="D13" s="19">
        <f>'Data Sheet'!D65</f>
        <v>109878</v>
      </c>
      <c r="E13" s="19">
        <f>'Data Sheet'!E65</f>
        <v>109960</v>
      </c>
      <c r="F13" s="19">
        <f>'Data Sheet'!F65</f>
        <v>106938</v>
      </c>
      <c r="G13" s="19">
        <f>'Data Sheet'!G65</f>
        <v>109607</v>
      </c>
      <c r="H13" s="19">
        <f>'Data Sheet'!H65</f>
        <v>137902</v>
      </c>
      <c r="I13" s="19">
        <f>'Data Sheet'!I65</f>
        <v>163345</v>
      </c>
      <c r="J13" s="19">
        <f>'Data Sheet'!J65</f>
        <v>191771</v>
      </c>
      <c r="K13" s="19">
        <f>'Data Sheet'!K65</f>
        <v>229531</v>
      </c>
    </row>
    <row r="14" spans="1:11" s="8" customFormat="1" x14ac:dyDescent="0.3">
      <c r="A14" s="8" t="s">
        <v>26</v>
      </c>
      <c r="B14" s="19">
        <f>'Data Sheet'!B66</f>
        <v>113835</v>
      </c>
      <c r="C14" s="19">
        <f>'Data Sheet'!C66</f>
        <v>136369</v>
      </c>
      <c r="D14" s="19">
        <f>'Data Sheet'!D66</f>
        <v>161889</v>
      </c>
      <c r="E14" s="19">
        <f>'Data Sheet'!E66</f>
        <v>165716</v>
      </c>
      <c r="F14" s="19">
        <f>'Data Sheet'!F66</f>
        <v>164968</v>
      </c>
      <c r="G14" s="19">
        <f>'Data Sheet'!G66</f>
        <v>172388</v>
      </c>
      <c r="H14" s="19">
        <f>'Data Sheet'!H66</f>
        <v>204283</v>
      </c>
      <c r="I14" s="19">
        <f>'Data Sheet'!I66</f>
        <v>234722</v>
      </c>
      <c r="J14" s="19">
        <f>'Data Sheet'!J66</f>
        <v>276013</v>
      </c>
      <c r="K14" s="19">
        <f>'Data Sheet'!K66</f>
        <v>316054</v>
      </c>
    </row>
    <row r="15" spans="1:11" x14ac:dyDescent="0.3">
      <c r="A15" s="6"/>
      <c r="B15" s="21"/>
      <c r="C15" s="21"/>
      <c r="D15" s="21"/>
      <c r="E15" s="21"/>
      <c r="F15" s="21"/>
      <c r="G15" s="21"/>
      <c r="H15" s="21"/>
      <c r="I15" s="21"/>
      <c r="J15" s="21"/>
      <c r="K15" s="21"/>
    </row>
    <row r="16" spans="1:11" x14ac:dyDescent="0.3">
      <c r="A16" s="29" t="s">
        <v>30</v>
      </c>
      <c r="B16" s="21">
        <f>B13-B7</f>
        <v>38609</v>
      </c>
      <c r="C16" s="21">
        <f t="shared" ref="C16:K16" si="0">C13-C7</f>
        <v>46204</v>
      </c>
      <c r="D16" s="21">
        <f t="shared" si="0"/>
        <v>58821</v>
      </c>
      <c r="E16" s="21">
        <f t="shared" si="0"/>
        <v>66305</v>
      </c>
      <c r="F16" s="21">
        <f t="shared" si="0"/>
        <v>64176</v>
      </c>
      <c r="G16" s="21">
        <f t="shared" si="0"/>
        <v>61946</v>
      </c>
      <c r="H16" s="21">
        <f t="shared" si="0"/>
        <v>82632</v>
      </c>
      <c r="I16" s="21">
        <f t="shared" si="0"/>
        <v>103461</v>
      </c>
      <c r="J16" s="21">
        <f t="shared" si="0"/>
        <v>121821</v>
      </c>
      <c r="K16" s="21">
        <f t="shared" si="0"/>
        <v>143510</v>
      </c>
    </row>
    <row r="17" spans="1:11" x14ac:dyDescent="0.3">
      <c r="A17" s="11" t="s">
        <v>44</v>
      </c>
      <c r="B17" s="21">
        <f>'Data Sheet'!B67</f>
        <v>7199</v>
      </c>
      <c r="C17" s="21">
        <f>'Data Sheet'!C67</f>
        <v>8490</v>
      </c>
      <c r="D17" s="21">
        <f>'Data Sheet'!D67</f>
        <v>8678</v>
      </c>
      <c r="E17" s="21">
        <f>'Data Sheet'!E67</f>
        <v>6928</v>
      </c>
      <c r="F17" s="21">
        <f>'Data Sheet'!F67</f>
        <v>6008</v>
      </c>
      <c r="G17" s="21">
        <f>'Data Sheet'!G67</f>
        <v>6374</v>
      </c>
      <c r="H17" s="21">
        <f>'Data Sheet'!H67</f>
        <v>7028</v>
      </c>
      <c r="I17" s="21">
        <f>'Data Sheet'!I67</f>
        <v>7459</v>
      </c>
      <c r="J17" s="21">
        <f>'Data Sheet'!J67</f>
        <v>8280</v>
      </c>
      <c r="K17" s="21">
        <f>'Data Sheet'!K67</f>
        <v>9064</v>
      </c>
    </row>
    <row r="18" spans="1:11" x14ac:dyDescent="0.3">
      <c r="A18" s="11" t="s">
        <v>45</v>
      </c>
      <c r="B18" s="21">
        <f>'Data Sheet'!B68</f>
        <v>8886</v>
      </c>
      <c r="C18" s="21">
        <f>'Data Sheet'!C68</f>
        <v>9336</v>
      </c>
      <c r="D18" s="21">
        <f>'Data Sheet'!D68</f>
        <v>12200</v>
      </c>
      <c r="E18" s="21">
        <f>'Data Sheet'!E68</f>
        <v>11112</v>
      </c>
      <c r="F18" s="21">
        <f>'Data Sheet'!F68</f>
        <v>9615</v>
      </c>
      <c r="G18" s="21">
        <f>'Data Sheet'!G68</f>
        <v>11596</v>
      </c>
      <c r="H18" s="21">
        <f>'Data Sheet'!H68</f>
        <v>16855</v>
      </c>
      <c r="I18" s="21">
        <f>'Data Sheet'!I68</f>
        <v>18590</v>
      </c>
      <c r="J18" s="21">
        <f>'Data Sheet'!J68</f>
        <v>20331</v>
      </c>
      <c r="K18" s="21">
        <f>'Data Sheet'!K68</f>
        <v>22044</v>
      </c>
    </row>
    <row r="20" spans="1:11" x14ac:dyDescent="0.3">
      <c r="A20" s="11" t="s">
        <v>46</v>
      </c>
      <c r="B20" s="5">
        <f>IF('Profit &amp; Loss'!B4&gt;0,'Balance Sheet'!B17/('Profit &amp; Loss'!B4/365),0)</f>
        <v>31.366132286058754</v>
      </c>
      <c r="C20" s="5">
        <f>IF('Profit &amp; Loss'!C4&gt;0,'Balance Sheet'!C17/('Profit &amp; Loss'!C4/365),0)</f>
        <v>33.648771906964626</v>
      </c>
      <c r="D20" s="5">
        <f>IF('Profit &amp; Loss'!D4&gt;0,'Balance Sheet'!D17/('Profit &amp; Loss'!D4/365),0)</f>
        <v>30.246750890461321</v>
      </c>
      <c r="E20" s="5">
        <f>IF('Profit &amp; Loss'!E4&gt;0,'Balance Sheet'!E17/('Profit &amp; Loss'!E4/365),0)</f>
        <v>33.545408718261655</v>
      </c>
      <c r="F20" s="5">
        <f>IF('Profit &amp; Loss'!F4&gt;0,'Balance Sheet'!F17/('Profit &amp; Loss'!F4/365),0)</f>
        <v>29.523142787904895</v>
      </c>
      <c r="G20" s="5">
        <f>IF('Profit &amp; Loss'!G4&gt;0,'Balance Sheet'!G17/('Profit &amp; Loss'!G4/365),0)</f>
        <v>25.801089041931444</v>
      </c>
      <c r="H20" s="5">
        <f>IF('Profit &amp; Loss'!H4&gt;0,'Balance Sheet'!H17/('Profit &amp; Loss'!H4/365),0)</f>
        <v>21.136929187060201</v>
      </c>
      <c r="I20" s="5">
        <f>IF('Profit &amp; Loss'!I4&gt;0,'Balance Sheet'!I17/('Profit &amp; Loss'!I4/365),0)</f>
        <v>19.575597865945728</v>
      </c>
      <c r="J20" s="5">
        <f>IF('Profit &amp; Loss'!J4&gt;0,'Balance Sheet'!J17/('Profit &amp; Loss'!J4/365),0)</f>
        <v>18.9823567467072</v>
      </c>
      <c r="K20" s="5">
        <f>IF('Profit &amp; Loss'!K4&gt;0,'Balance Sheet'!K17/('Profit &amp; Loss'!K4/365),0)</f>
        <v>16.655138215556864</v>
      </c>
    </row>
    <row r="21" spans="1:11" x14ac:dyDescent="0.3">
      <c r="A21" s="11" t="s">
        <v>47</v>
      </c>
      <c r="B21" s="5">
        <f>IF('Balance Sheet'!B18&gt;0,'Profit &amp; Loss'!B4/'Balance Sheet'!B18,0)</f>
        <v>9.4275264460949817</v>
      </c>
      <c r="C21" s="5">
        <f>IF('Balance Sheet'!C18&gt;0,'Profit &amp; Loss'!C4/'Balance Sheet'!C18,0)</f>
        <v>9.8643958868894597</v>
      </c>
      <c r="D21" s="5">
        <f>IF('Balance Sheet'!D18&gt;0,'Profit &amp; Loss'!D4/'Balance Sheet'!D18,0)</f>
        <v>8.5836885245901637</v>
      </c>
      <c r="E21" s="5">
        <f>IF('Balance Sheet'!E18&gt;0,'Profit &amp; Loss'!E4/'Balance Sheet'!E18,0)</f>
        <v>6.7838372930165587</v>
      </c>
      <c r="F21" s="5">
        <f>IF('Balance Sheet'!F18&gt;0,'Profit &amp; Loss'!F4/'Balance Sheet'!F18,0)</f>
        <v>7.7252210088403537</v>
      </c>
      <c r="G21" s="5">
        <f>IF('Balance Sheet'!G18&gt;0,'Profit &amp; Loss'!G4/'Balance Sheet'!G18,0)</f>
        <v>7.7760434632631945</v>
      </c>
      <c r="H21" s="5">
        <f>IF('Balance Sheet'!H18&gt;0,'Profit &amp; Loss'!H4/'Balance Sheet'!H18,0)</f>
        <v>7.2003559774547616</v>
      </c>
      <c r="I21" s="5">
        <f>IF('Balance Sheet'!I18&gt;0,'Profit &amp; Loss'!I4/'Balance Sheet'!I18,0)</f>
        <v>7.4813340505648194</v>
      </c>
      <c r="J21" s="5">
        <f>IF('Balance Sheet'!J18&gt;0,'Profit &amp; Loss'!J4/'Balance Sheet'!J18,0)</f>
        <v>7.8309478136835375</v>
      </c>
      <c r="K21" s="5">
        <f>IF('Balance Sheet'!K18&gt;0,'Profit &amp; Loss'!K4/'Balance Sheet'!K18,0)</f>
        <v>9.0110234077299953</v>
      </c>
    </row>
    <row r="23" spans="1:11" s="8" customFormat="1" x14ac:dyDescent="0.3">
      <c r="A23" s="8" t="s">
        <v>59</v>
      </c>
      <c r="B23" s="14">
        <f>IF(SUM('Balance Sheet'!B4:B5)&gt;0,'Profit &amp; Loss'!B12/SUM('Balance Sheet'!B4:B5),"")</f>
        <v>0.13604002955201827</v>
      </c>
      <c r="C23" s="14">
        <f>IF(SUM('Balance Sheet'!C4:C5)&gt;0,'Profit &amp; Loss'!C12/SUM('Balance Sheet'!C4:C5),"")</f>
        <v>0.2163970088375255</v>
      </c>
      <c r="D23" s="14">
        <f>IF(SUM('Balance Sheet'!D4:D5)&gt;0,'Profit &amp; Loss'!D12/SUM('Balance Sheet'!D4:D5),"")</f>
        <v>0.150488957807068</v>
      </c>
      <c r="E23" s="14">
        <f>IF(SUM('Balance Sheet'!E4:E5)&gt;0,'Profit &amp; Loss'!E12/SUM('Balance Sheet'!E4:E5),"")</f>
        <v>-8.0312241987540341E-3</v>
      </c>
      <c r="F23" s="14">
        <f>IF(SUM('Balance Sheet'!F4:F5)&gt;0,'Profit &amp; Loss'!F12/SUM('Balance Sheet'!F4:F5),"")</f>
        <v>3.6361887355105572E-2</v>
      </c>
      <c r="G23" s="14">
        <f>IF(SUM('Balance Sheet'!G4:G5)&gt;0,'Profit &amp; Loss'!G12/SUM('Balance Sheet'!G4:G5),"")</f>
        <v>0.15391634658234832</v>
      </c>
      <c r="H23" s="14">
        <f>IF(SUM('Balance Sheet'!H4:H5)&gt;0,'Profit &amp; Loss'!H12/SUM('Balance Sheet'!H4:H5),"")</f>
        <v>0.20178831210304085</v>
      </c>
      <c r="I23" s="14">
        <f>IF(SUM('Balance Sheet'!I4:I5)&gt;0,'Profit &amp; Loss'!I12/SUM('Balance Sheet'!I4:I5),"")</f>
        <v>0.18537543435564285</v>
      </c>
      <c r="J23" s="14">
        <f>IF(SUM('Balance Sheet'!J4:J5)&gt;0,'Profit &amp; Loss'!J12/SUM('Balance Sheet'!J4:J5),"")</f>
        <v>0.18267371071794805</v>
      </c>
      <c r="K23" s="14">
        <f>IF(SUM('Balance Sheet'!K4:K5)&gt;0,'Profit &amp; Loss'!K12/SUM('Balance Sheet'!K4:K5),"")</f>
        <v>0.20002792786018883</v>
      </c>
    </row>
    <row r="24" spans="1:11" s="8" customFormat="1" x14ac:dyDescent="0.3">
      <c r="A24" s="8" t="s">
        <v>60</v>
      </c>
      <c r="B24" s="14"/>
      <c r="C24" s="14">
        <f>IF((B4+B5+B6+C4+C5+C6)&gt;0,('Profit &amp; Loss'!C10+'Profit &amp; Loss'!C9)*2/(B4+B5+B6+C4+C5+C6),"")</f>
        <v>0.16719524802439067</v>
      </c>
      <c r="D24" s="14">
        <f>IF((C4+C5+C6+D4+D5+D6)&gt;0,('Profit &amp; Loss'!D10+'Profit &amp; Loss'!D9)*2/(C4+C5+C6+D4+D5+D6),"")</f>
        <v>0.13652802893309224</v>
      </c>
      <c r="E24" s="14">
        <f>IF((D4+D5+D6+E4+E5+E6)&gt;0,('Profit &amp; Loss'!E10+'Profit &amp; Loss'!E9)*2/(D4+D5+D6+E4+E5+E6),"")</f>
        <v>6.5918966731360454E-2</v>
      </c>
      <c r="F24" s="14">
        <f>IF((E4+E5+E6+F4+F5+F6)&gt;0,('Profit &amp; Loss'!F10+'Profit &amp; Loss'!F9)*2/(E4+E5+E6+F4+F5+F6),"")</f>
        <v>7.5818363436880809E-2</v>
      </c>
      <c r="G24" s="14">
        <f>IF((F4+F5+F6+G4+G5+G6)&gt;0,('Profit &amp; Loss'!G10+'Profit &amp; Loss'!G9)*2/(F4+F5+F6+G4+G5+G6),"")</f>
        <v>0.11646789640998644</v>
      </c>
      <c r="H24" s="14">
        <f>IF((G4+G5+G6+H4+H5+H6)&gt;0,('Profit &amp; Loss'!H10+'Profit &amp; Loss'!H9)*2/(G4+G5+G6+H4+H5+H6),"")</f>
        <v>0.14531984613192764</v>
      </c>
      <c r="I24" s="14">
        <f>IF((H4+H5+H6+I4+I5+I6)&gt;0,('Profit &amp; Loss'!I10+'Profit &amp; Loss'!I9)*2/(H4+H5+H6+I4+I5+I6),"")</f>
        <v>0.14491894395553498</v>
      </c>
      <c r="J24" s="14">
        <f>IF((I4+I5+I6+J4+J5+J6)&gt;0,('Profit &amp; Loss'!J10+'Profit &amp; Loss'!J9)*2/(I4+I5+I6+J4+J5+J6),"")</f>
        <v>0.1478756947343273</v>
      </c>
      <c r="K24" s="14">
        <f>IF((J4+J5+J6+K4+K5+K6)&gt;0,('Profit &amp; Loss'!K10+'Profit &amp; Loss'!K9)*2/(J4+J5+J6+K4+K5+K6),"")</f>
        <v>0.15948745347938648</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MAHINDRA &amp; MAHINDRA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183</v>
      </c>
      <c r="C4" s="1">
        <f>'Data Sheet'!C82</f>
        <v>682</v>
      </c>
      <c r="D4" s="1">
        <f>'Data Sheet'!D82</f>
        <v>-4347</v>
      </c>
      <c r="E4" s="1">
        <f>'Data Sheet'!E82</f>
        <v>-1457</v>
      </c>
      <c r="F4" s="1">
        <f>'Data Sheet'!F82</f>
        <v>17909</v>
      </c>
      <c r="G4" s="1">
        <f>'Data Sheet'!G82</f>
        <v>9248</v>
      </c>
      <c r="H4" s="1">
        <f>'Data Sheet'!H82</f>
        <v>-7074</v>
      </c>
      <c r="I4" s="1">
        <f>'Data Sheet'!I82</f>
        <v>-5630</v>
      </c>
      <c r="J4" s="1">
        <f>'Data Sheet'!J82</f>
        <v>3176</v>
      </c>
      <c r="K4" s="1">
        <f>'Data Sheet'!K82</f>
        <v>11657</v>
      </c>
    </row>
    <row r="5" spans="1:11" x14ac:dyDescent="0.3">
      <c r="A5" s="6" t="s">
        <v>33</v>
      </c>
      <c r="B5" s="9">
        <f>'Data Sheet'!B83</f>
        <v>-5875</v>
      </c>
      <c r="C5" s="9">
        <f>'Data Sheet'!C83</f>
        <v>-5467</v>
      </c>
      <c r="D5" s="9">
        <f>'Data Sheet'!D83</f>
        <v>-7174</v>
      </c>
      <c r="E5" s="9">
        <f>'Data Sheet'!E83</f>
        <v>-6870</v>
      </c>
      <c r="F5" s="9">
        <f>'Data Sheet'!F83</f>
        <v>-19686</v>
      </c>
      <c r="G5" s="9">
        <f>'Data Sheet'!G83</f>
        <v>-3252</v>
      </c>
      <c r="H5" s="9">
        <f>'Data Sheet'!H83</f>
        <v>-8866</v>
      </c>
      <c r="I5" s="9">
        <f>'Data Sheet'!I83</f>
        <v>-5615</v>
      </c>
      <c r="J5" s="9">
        <f>'Data Sheet'!J83</f>
        <v>-18616</v>
      </c>
      <c r="K5" s="9">
        <f>'Data Sheet'!K83</f>
        <v>-17680</v>
      </c>
    </row>
    <row r="6" spans="1:11" x14ac:dyDescent="0.3">
      <c r="A6" s="6" t="s">
        <v>34</v>
      </c>
      <c r="B6" s="9">
        <f>'Data Sheet'!B84</f>
        <v>6108</v>
      </c>
      <c r="C6" s="9">
        <f>'Data Sheet'!C84</f>
        <v>6314</v>
      </c>
      <c r="D6" s="9">
        <f>'Data Sheet'!D84</f>
        <v>13194</v>
      </c>
      <c r="E6" s="9">
        <f>'Data Sheet'!E84</f>
        <v>6933</v>
      </c>
      <c r="F6" s="9">
        <f>'Data Sheet'!F84</f>
        <v>406</v>
      </c>
      <c r="G6" s="9">
        <f>'Data Sheet'!G84</f>
        <v>-5883</v>
      </c>
      <c r="H6" s="9">
        <f>'Data Sheet'!H84</f>
        <v>15946</v>
      </c>
      <c r="I6" s="9">
        <f>'Data Sheet'!I84</f>
        <v>12281</v>
      </c>
      <c r="J6" s="9">
        <f>'Data Sheet'!J84</f>
        <v>15834</v>
      </c>
      <c r="K6" s="9">
        <f>'Data Sheet'!K84</f>
        <v>5391</v>
      </c>
    </row>
    <row r="7" spans="1:11" s="8" customFormat="1" x14ac:dyDescent="0.3">
      <c r="A7" s="8" t="s">
        <v>35</v>
      </c>
      <c r="B7" s="1">
        <f>'Data Sheet'!B85</f>
        <v>416</v>
      </c>
      <c r="C7" s="1">
        <f>'Data Sheet'!C85</f>
        <v>1529</v>
      </c>
      <c r="D7" s="1">
        <f>'Data Sheet'!D85</f>
        <v>1672</v>
      </c>
      <c r="E7" s="1">
        <f>'Data Sheet'!E85</f>
        <v>-1394</v>
      </c>
      <c r="F7" s="1">
        <f>'Data Sheet'!F85</f>
        <v>-1370</v>
      </c>
      <c r="G7" s="1">
        <f>'Data Sheet'!G85</f>
        <v>113</v>
      </c>
      <c r="H7" s="1">
        <f>'Data Sheet'!H85</f>
        <v>6</v>
      </c>
      <c r="I7" s="1">
        <f>'Data Sheet'!I85</f>
        <v>1037</v>
      </c>
      <c r="J7" s="1">
        <f>'Data Sheet'!J85</f>
        <v>394</v>
      </c>
      <c r="K7" s="1">
        <f>'Data Sheet'!K85</f>
        <v>-632</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MAHINDRA &amp; MAHINDRA LTD</v>
      </c>
      <c r="C2" s="161"/>
      <c r="D2" s="161"/>
      <c r="E2" s="161"/>
      <c r="F2" s="161"/>
      <c r="G2" s="161"/>
      <c r="H2" s="161"/>
      <c r="I2" s="161"/>
      <c r="J2" s="161"/>
      <c r="K2" s="161"/>
      <c r="L2" s="161"/>
    </row>
    <row r="4" spans="2:12" x14ac:dyDescent="0.3">
      <c r="B4" s="37" t="s">
        <v>93</v>
      </c>
      <c r="C4" s="38">
        <f>'Data Sheet'!B$16</f>
        <v>42795</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0.60000000000000009</v>
      </c>
      <c r="D7" s="36">
        <f>'Data Sheet'!C18/'Data Sheet'!C$17</f>
        <v>0.57999999999999996</v>
      </c>
      <c r="E7" s="36">
        <f>'Data Sheet'!D18/'Data Sheet'!D$17</f>
        <v>0.57000000000000006</v>
      </c>
      <c r="F7" s="36">
        <f>'Data Sheet'!E18/'Data Sheet'!E$17</f>
        <v>0.51</v>
      </c>
      <c r="G7" s="36">
        <f>'Data Sheet'!F18/'Data Sheet'!F$17</f>
        <v>0.52</v>
      </c>
      <c r="H7" s="36">
        <f>'Data Sheet'!G18/'Data Sheet'!G$17</f>
        <v>0.57000000000000006</v>
      </c>
      <c r="I7" s="36">
        <f>'Data Sheet'!H18/'Data Sheet'!H$17</f>
        <v>0.6100000000000001</v>
      </c>
      <c r="J7" s="36">
        <f>'Data Sheet'!I18/'Data Sheet'!I$17</f>
        <v>0.6</v>
      </c>
      <c r="K7" s="36">
        <f>'Data Sheet'!J18/'Data Sheet'!J$17</f>
        <v>0.60000000000000009</v>
      </c>
      <c r="L7" s="36">
        <f>'Data Sheet'!K18/'Data Sheet'!K$17</f>
        <v>0.62</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4.9999999999999996E-2</v>
      </c>
      <c r="D10" s="36">
        <f>'Data Sheet'!C21/'Data Sheet'!C$17</f>
        <v>4.9999999999999996E-2</v>
      </c>
      <c r="E10" s="36">
        <f>'Data Sheet'!D21/'Data Sheet'!D$17</f>
        <v>0.05</v>
      </c>
      <c r="F10" s="36">
        <f>'Data Sheet'!E21/'Data Sheet'!E$17</f>
        <v>4.9999999999999996E-2</v>
      </c>
      <c r="G10" s="36">
        <f>'Data Sheet'!F21/'Data Sheet'!F$17</f>
        <v>0.04</v>
      </c>
      <c r="H10" s="36">
        <f>'Data Sheet'!G21/'Data Sheet'!G$17</f>
        <v>0.04</v>
      </c>
      <c r="I10" s="36">
        <f>'Data Sheet'!H21/'Data Sheet'!H$17</f>
        <v>3.9999999999999994E-2</v>
      </c>
      <c r="J10" s="36">
        <f>'Data Sheet'!I21/'Data Sheet'!I$17</f>
        <v>3.0000000000000002E-2</v>
      </c>
      <c r="K10" s="36">
        <f>'Data Sheet'!J21/'Data Sheet'!J$17</f>
        <v>0.03</v>
      </c>
      <c r="L10" s="36">
        <f>'Data Sheet'!K21/'Data Sheet'!K$17</f>
        <v>0.03</v>
      </c>
    </row>
    <row r="11" spans="2:12" x14ac:dyDescent="0.3">
      <c r="B11" s="33" t="str">
        <f>'Data Sheet'!A22</f>
        <v>Employee Cost</v>
      </c>
      <c r="C11" s="36">
        <f>'Data Sheet'!B22/'Data Sheet'!B$17</f>
        <v>0.11000000000000001</v>
      </c>
      <c r="D11" s="36">
        <f>'Data Sheet'!C22/'Data Sheet'!C$17</f>
        <v>0.11</v>
      </c>
      <c r="E11" s="36">
        <f>'Data Sheet'!D22/'Data Sheet'!D$17</f>
        <v>0.11</v>
      </c>
      <c r="F11" s="36">
        <f>'Data Sheet'!E22/'Data Sheet'!E$17</f>
        <v>0.11</v>
      </c>
      <c r="G11" s="36">
        <f>'Data Sheet'!F22/'Data Sheet'!F$17</f>
        <v>0.11</v>
      </c>
      <c r="H11" s="36">
        <f>'Data Sheet'!G22/'Data Sheet'!G$17</f>
        <v>9.0000000000000011E-2</v>
      </c>
      <c r="I11" s="36">
        <f>'Data Sheet'!H22/'Data Sheet'!H$17</f>
        <v>7.9999999999999988E-2</v>
      </c>
      <c r="J11" s="36">
        <f>'Data Sheet'!I22/'Data Sheet'!I$17</f>
        <v>0.08</v>
      </c>
      <c r="K11" s="36">
        <f>'Data Sheet'!J22/'Data Sheet'!J$17</f>
        <v>7.0000000000000007E-2</v>
      </c>
      <c r="L11" s="36">
        <f>'Data Sheet'!K22/'Data Sheet'!K$17</f>
        <v>0.06</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0.11000000000000001</v>
      </c>
      <c r="D13" s="36">
        <f>'Data Sheet'!C24/'Data Sheet'!C$17</f>
        <v>0.12000000000000001</v>
      </c>
      <c r="E13" s="36">
        <f>'Data Sheet'!D24/'Data Sheet'!D$17</f>
        <v>0.12000000000000001</v>
      </c>
      <c r="F13" s="36">
        <f>'Data Sheet'!E24/'Data Sheet'!E$17</f>
        <v>0.19999999999999998</v>
      </c>
      <c r="G13" s="36">
        <f>'Data Sheet'!F24/'Data Sheet'!F$17</f>
        <v>0.18000000000000002</v>
      </c>
      <c r="H13" s="36">
        <f>'Data Sheet'!G24/'Data Sheet'!G$17</f>
        <v>0.13</v>
      </c>
      <c r="I13" s="36">
        <f>'Data Sheet'!H24/'Data Sheet'!H$17</f>
        <v>0.1</v>
      </c>
      <c r="J13" s="36">
        <f>'Data Sheet'!I24/'Data Sheet'!I$17</f>
        <v>0.11</v>
      </c>
      <c r="K13" s="36">
        <f>'Data Sheet'!J24/'Data Sheet'!J$17</f>
        <v>0.11</v>
      </c>
      <c r="L13" s="36">
        <f>'Data Sheet'!K24/'Data Sheet'!K$17</f>
        <v>0.1</v>
      </c>
    </row>
    <row r="14" spans="2:12" x14ac:dyDescent="0.3">
      <c r="B14" s="33" t="str">
        <f>'Data Sheet'!A25</f>
        <v>Other Income</v>
      </c>
      <c r="C14" s="36">
        <f>'Data Sheet'!B25/'Data Sheet'!B$17</f>
        <v>2.4793191123631719E-2</v>
      </c>
      <c r="D14" s="36">
        <f>'Data Sheet'!C25/'Data Sheet'!C$17</f>
        <v>4.740808304558386E-2</v>
      </c>
      <c r="E14" s="36">
        <f>'Data Sheet'!D25/'Data Sheet'!D$17</f>
        <v>2.5553613888331852E-2</v>
      </c>
      <c r="F14" s="36">
        <f>'Data Sheet'!E25/'Data Sheet'!E$17</f>
        <v>1.1740203231540685E-2</v>
      </c>
      <c r="G14" s="36">
        <f>'Data Sheet'!F25/'Data Sheet'!F$17</f>
        <v>1.5509302889146181E-2</v>
      </c>
      <c r="H14" s="36">
        <f>'Data Sheet'!G25/'Data Sheet'!G$17</f>
        <v>3.5532488272282663E-2</v>
      </c>
      <c r="I14" s="36">
        <f>'Data Sheet'!H25/'Data Sheet'!H$17</f>
        <v>3.2316540597551131E-2</v>
      </c>
      <c r="J14" s="36">
        <f>'Data Sheet'!I25/'Data Sheet'!I$17</f>
        <v>2.3713311954442831E-2</v>
      </c>
      <c r="K14" s="36">
        <f>'Data Sheet'!J25/'Data Sheet'!J$17</f>
        <v>2.3352657793745409E-2</v>
      </c>
      <c r="L14" s="36">
        <f>'Data Sheet'!K25/'Data Sheet'!K$17</f>
        <v>2.5765333091688943E-2</v>
      </c>
    </row>
    <row r="15" spans="2:12" x14ac:dyDescent="0.3">
      <c r="B15" s="33" t="str">
        <f>'Data Sheet'!A26</f>
        <v>Depreciation</v>
      </c>
      <c r="C15" s="36">
        <f>'Data Sheet'!B26/'Data Sheet'!B$17</f>
        <v>3.3578838050445849E-2</v>
      </c>
      <c r="D15" s="36">
        <f>'Data Sheet'!C26/'Data Sheet'!C$17</f>
        <v>3.5615783872999324E-2</v>
      </c>
      <c r="E15" s="36">
        <f>'Data Sheet'!D26/'Data Sheet'!D$17</f>
        <v>3.811078962194784E-2</v>
      </c>
      <c r="F15" s="36">
        <f>'Data Sheet'!E26/'Data Sheet'!E$17</f>
        <v>4.4665835345307901E-2</v>
      </c>
      <c r="G15" s="36">
        <f>'Data Sheet'!F26/'Data Sheet'!F$17</f>
        <v>4.5477799617652602E-2</v>
      </c>
      <c r="H15" s="36">
        <f>'Data Sheet'!G26/'Data Sheet'!G$17</f>
        <v>3.89038604429362E-2</v>
      </c>
      <c r="I15" s="36">
        <f>'Data Sheet'!H26/'Data Sheet'!H$17</f>
        <v>3.5900858588355497E-2</v>
      </c>
      <c r="J15" s="36">
        <f>'Data Sheet'!I26/'Data Sheet'!I$17</f>
        <v>3.3966551143962381E-2</v>
      </c>
      <c r="K15" s="36">
        <f>'Data Sheet'!J26/'Data Sheet'!J$17</f>
        <v>3.8150630295645402E-2</v>
      </c>
      <c r="L15" s="36">
        <f>'Data Sheet'!K26/'Data Sheet'!K$17</f>
        <v>3.6860838002607747E-2</v>
      </c>
    </row>
    <row r="16" spans="2:12" x14ac:dyDescent="0.3">
      <c r="B16" s="33" t="str">
        <f>'Data Sheet'!A27</f>
        <v>Interest</v>
      </c>
      <c r="C16" s="36">
        <f>'Data Sheet'!B27/'Data Sheet'!B$17</f>
        <v>4.3546249985078722E-2</v>
      </c>
      <c r="D16" s="36">
        <f>'Data Sheet'!C27/'Data Sheet'!C$17</f>
        <v>4.3292722652941561E-2</v>
      </c>
      <c r="E16" s="36">
        <f>'Data Sheet'!D27/'Data Sheet'!D$17</f>
        <v>4.7946448181358084E-2</v>
      </c>
      <c r="F16" s="36">
        <f>'Data Sheet'!E27/'Data Sheet'!E$17</f>
        <v>7.987317927356663E-2</v>
      </c>
      <c r="G16" s="36">
        <f>'Data Sheet'!F27/'Data Sheet'!F$17</f>
        <v>8.2150838740946169E-2</v>
      </c>
      <c r="H16" s="36">
        <f>'Data Sheet'!G27/'Data Sheet'!G$17</f>
        <v>5.5649820895853436E-2</v>
      </c>
      <c r="I16" s="36">
        <f>'Data Sheet'!H27/'Data Sheet'!H$17</f>
        <v>4.8038100888251674E-2</v>
      </c>
      <c r="J16" s="36">
        <f>'Data Sheet'!I27/'Data Sheet'!I$17</f>
        <v>5.3840291059693124E-2</v>
      </c>
      <c r="K16" s="36">
        <f>'Data Sheet'!J27/'Data Sheet'!J$17</f>
        <v>5.7050078198114453E-2</v>
      </c>
      <c r="L16" s="36">
        <f>'Data Sheet'!K27/'Data Sheet'!K$17</f>
        <v>4.8283569691752376E-2</v>
      </c>
    </row>
    <row r="17" spans="2:12" x14ac:dyDescent="0.3">
      <c r="B17" s="33" t="str">
        <f>'Data Sheet'!A28</f>
        <v>Profit before tax</v>
      </c>
      <c r="C17" s="36">
        <f>'Data Sheet'!B28/'Data Sheet'!B$17</f>
        <v>7.5800078784333855E-2</v>
      </c>
      <c r="D17" s="36">
        <f>'Data Sheet'!C28/'Data Sheet'!C$17</f>
        <v>0.11212456837578995</v>
      </c>
      <c r="E17" s="36">
        <f>'Data Sheet'!D28/'Data Sheet'!D$17</f>
        <v>8.4710802990804135E-2</v>
      </c>
      <c r="F17" s="36">
        <f>'Data Sheet'!E28/'Data Sheet'!E$17</f>
        <v>2.195484333129925E-2</v>
      </c>
      <c r="G17" s="36">
        <f>'Data Sheet'!F28/'Data Sheet'!F$17</f>
        <v>4.2515953579794825E-2</v>
      </c>
      <c r="H17" s="36">
        <f>'Data Sheet'!G28/'Data Sheet'!G$17</f>
        <v>0.10382495480808686</v>
      </c>
      <c r="I17" s="36">
        <f>'Data Sheet'!H28/'Data Sheet'!H$17</f>
        <v>0.11585174931197574</v>
      </c>
      <c r="J17" s="36">
        <f>'Data Sheet'!I28/'Data Sheet'!I$17</f>
        <v>0.11488517234932916</v>
      </c>
      <c r="K17" s="36">
        <f>'Data Sheet'!J28/'Data Sheet'!J$17</f>
        <v>0.11984096576241592</v>
      </c>
      <c r="L17" s="36">
        <f>'Data Sheet'!K28/'Data Sheet'!K$17</f>
        <v>0.1267877909171915</v>
      </c>
    </row>
    <row r="18" spans="2:12" x14ac:dyDescent="0.3">
      <c r="B18" s="33" t="str">
        <f>'Data Sheet'!A29</f>
        <v>Tax</v>
      </c>
      <c r="C18" s="36">
        <f>'Data Sheet'!B29/'Data Sheet'!B$17</f>
        <v>7.5800078784333855E-2</v>
      </c>
      <c r="D18" s="36">
        <f>'Data Sheet'!C29/'Data Sheet'!C$17</f>
        <v>0.11212456837578995</v>
      </c>
      <c r="E18" s="36">
        <f>'Data Sheet'!D29/'Data Sheet'!D$17</f>
        <v>8.4710802990804135E-2</v>
      </c>
      <c r="F18" s="36">
        <f>'Data Sheet'!E29/'Data Sheet'!E$17</f>
        <v>2.195484333129925E-2</v>
      </c>
      <c r="G18" s="36">
        <f>'Data Sheet'!F29/'Data Sheet'!F$17</f>
        <v>4.2515953579794825E-2</v>
      </c>
      <c r="H18" s="36">
        <f>'Data Sheet'!G29/'Data Sheet'!G$17</f>
        <v>0.10382495480808686</v>
      </c>
      <c r="I18" s="36">
        <f>'Data Sheet'!H29/'Data Sheet'!H$17</f>
        <v>0.11585174931197574</v>
      </c>
      <c r="J18" s="36">
        <f>'Data Sheet'!I29/'Data Sheet'!I$17</f>
        <v>0.11488517234932916</v>
      </c>
      <c r="K18" s="36">
        <f>'Data Sheet'!J29/'Data Sheet'!J$17</f>
        <v>0.11984096576241592</v>
      </c>
      <c r="L18" s="36">
        <f>'Data Sheet'!K29/'Data Sheet'!K$17</f>
        <v>0.1267877909171915</v>
      </c>
    </row>
    <row r="19" spans="2:12" x14ac:dyDescent="0.3">
      <c r="B19" s="33" t="str">
        <f>'Data Sheet'!A30</f>
        <v>Net profit</v>
      </c>
      <c r="C19" s="36">
        <f>'Data Sheet'!B30/'Data Sheet'!B$17</f>
        <v>4.8356869158320701E-2</v>
      </c>
      <c r="D19" s="36">
        <f>'Data Sheet'!C30/'Data Sheet'!C$17</f>
        <v>8.6411709774795314E-2</v>
      </c>
      <c r="E19" s="36">
        <f>'Data Sheet'!D30/'Data Sheet'!D$17</f>
        <v>5.7457434516477113E-2</v>
      </c>
      <c r="F19" s="36">
        <f>'Data Sheet'!E30/'Data Sheet'!E$17</f>
        <v>-4.2583110026266219E-3</v>
      </c>
      <c r="G19" s="36">
        <f>'Data Sheet'!F30/'Data Sheet'!F$17</f>
        <v>2.0355960042004361E-2</v>
      </c>
      <c r="H19" s="36">
        <f>'Data Sheet'!G30/'Data Sheet'!G$17</f>
        <v>8.0436060374177956E-2</v>
      </c>
      <c r="I19" s="36">
        <f>'Data Sheet'!H30/'Data Sheet'!H$17</f>
        <v>9.3719615695192895E-2</v>
      </c>
      <c r="J19" s="36">
        <f>'Data Sheet'!I30/'Data Sheet'!I$17</f>
        <v>8.8223874372654193E-2</v>
      </c>
      <c r="K19" s="36">
        <f>'Data Sheet'!J30/'Data Sheet'!J$17</f>
        <v>8.8392133709354254E-2</v>
      </c>
      <c r="L19" s="36">
        <f>'Data Sheet'!K30/'Data Sheet'!K$17</f>
        <v>9.3747954832636093E-2</v>
      </c>
    </row>
    <row r="20" spans="2:12" x14ac:dyDescent="0.3">
      <c r="B20" s="33" t="str">
        <f>'Data Sheet'!A31</f>
        <v>Dividend Amount</v>
      </c>
      <c r="C20" s="36">
        <f>'Data Sheet'!B31/'Data Sheet'!B$17</f>
        <v>1.0638511214830554E-2</v>
      </c>
      <c r="D20" s="36">
        <f>'Data Sheet'!C31/'Data Sheet'!C$17</f>
        <v>9.5052880752274846E-3</v>
      </c>
      <c r="E20" s="36">
        <f>'Data Sheet'!D31/'Data Sheet'!D$17</f>
        <v>9.7677638678011092E-3</v>
      </c>
      <c r="F20" s="36">
        <f>'Data Sheet'!E31/'Data Sheet'!E$17</f>
        <v>-8.7295375553845742E-3</v>
      </c>
      <c r="G20" s="36">
        <f>'Data Sheet'!F31/'Data Sheet'!F$17</f>
        <v>1.0992218422682356E-2</v>
      </c>
      <c r="H20" s="36">
        <f>'Data Sheet'!G31/'Data Sheet'!G$17</f>
        <v>1.6087212074835589E-2</v>
      </c>
      <c r="I20" s="36">
        <f>'Data Sheet'!H31/'Data Sheet'!H$17</f>
        <v>1.6869530825134722E-2</v>
      </c>
      <c r="J20" s="36">
        <f>'Data Sheet'!I31/'Data Sheet'!I$17</f>
        <v>1.8527013618257378E-2</v>
      </c>
      <c r="K20" s="36">
        <f>'Data Sheet'!J31/'Data Sheet'!J$17</f>
        <v>1.9446269416057937E-2</v>
      </c>
      <c r="L20" s="36">
        <f>'Data Sheet'!K31/'Data Sheet'!K$17</f>
        <v>2.0624550063179939E-2</v>
      </c>
    </row>
    <row r="21" spans="2:12" x14ac:dyDescent="0.3">
      <c r="B21" s="33" t="str">
        <f>'Data Sheet'!A32</f>
        <v>EBITDA</v>
      </c>
      <c r="C21" s="36">
        <f>'Data Sheet'!B32/'Data Sheet'!B$17</f>
        <v>0</v>
      </c>
      <c r="D21" s="36">
        <f>'Data Sheet'!C32/'Data Sheet'!C$17</f>
        <v>0</v>
      </c>
      <c r="E21" s="36">
        <f>'Data Sheet'!D32/'Data Sheet'!D$17</f>
        <v>0</v>
      </c>
      <c r="F21" s="36">
        <f>'Data Sheet'!E32/'Data Sheet'!E$17</f>
        <v>0</v>
      </c>
      <c r="G21" s="36">
        <f>'Data Sheet'!F32/'Data Sheet'!F$17</f>
        <v>0</v>
      </c>
      <c r="H21" s="36">
        <f>'Data Sheet'!G32/'Data Sheet'!G$17</f>
        <v>0</v>
      </c>
      <c r="I21" s="36">
        <f>'Data Sheet'!H32/'Data Sheet'!H$17</f>
        <v>0</v>
      </c>
      <c r="J21" s="36">
        <f>'Data Sheet'!I32/'Data Sheet'!I$17</f>
        <v>0</v>
      </c>
      <c r="K21" s="36">
        <f>'Data Sheet'!J32/'Data Sheet'!J$17</f>
        <v>0</v>
      </c>
      <c r="L21" s="36">
        <f>'Data Sheet'!K32/'Data Sheet'!K$17</f>
        <v>0</v>
      </c>
    </row>
    <row r="23" spans="2:12" x14ac:dyDescent="0.3">
      <c r="B23" s="161" t="str">
        <f>"Common Size Balance Sheet - "&amp;'Data Sheet'!$B$1</f>
        <v>Common Size Balance Sheet - MAHINDRA &amp; MAHINDRA LTD</v>
      </c>
      <c r="C23" s="161"/>
      <c r="D23" s="161"/>
      <c r="E23" s="161"/>
      <c r="F23" s="161"/>
      <c r="G23" s="161"/>
      <c r="H23" s="161"/>
      <c r="I23" s="161"/>
      <c r="J23" s="161"/>
      <c r="K23" s="161"/>
      <c r="L23" s="161"/>
    </row>
    <row r="25" spans="2:12" x14ac:dyDescent="0.3">
      <c r="B25" s="37" t="s">
        <v>93</v>
      </c>
      <c r="C25" s="38">
        <f>'Data Sheet'!B$16</f>
        <v>42795</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2.7320244213115473E-3</v>
      </c>
      <c r="D28" s="36">
        <f>'Data Sheet'!C57/'Data Sheet'!C$61</f>
        <v>3.9818433808270206E-3</v>
      </c>
      <c r="E28" s="36">
        <f>'Data Sheet'!D57/'Data Sheet'!D$61</f>
        <v>3.3603271377301729E-3</v>
      </c>
      <c r="F28" s="36">
        <f>'Data Sheet'!E57/'Data Sheet'!E$61</f>
        <v>3.3430688648048469E-3</v>
      </c>
      <c r="G28" s="36">
        <f>'Data Sheet'!F57/'Data Sheet'!F$61</f>
        <v>3.3642888317734349E-3</v>
      </c>
      <c r="H28" s="36">
        <f>'Data Sheet'!G57/'Data Sheet'!G$61</f>
        <v>3.2252825022623384E-3</v>
      </c>
      <c r="I28" s="36">
        <f>'Data Sheet'!H57/'Data Sheet'!H$61</f>
        <v>2.7266096542541475E-3</v>
      </c>
      <c r="J28" s="36">
        <f>'Data Sheet'!I57/'Data Sheet'!I$61</f>
        <v>2.3730199981254422E-3</v>
      </c>
      <c r="K28" s="36">
        <f>'Data Sheet'!J57/'Data Sheet'!J$61</f>
        <v>2.0216439080767935E-3</v>
      </c>
      <c r="L28" s="36">
        <f>'Data Sheet'!K57/'Data Sheet'!K$61</f>
        <v>1.7686850981161446E-3</v>
      </c>
    </row>
    <row r="29" spans="2:12" x14ac:dyDescent="0.3">
      <c r="B29" s="33" t="str">
        <f>'Data Sheet'!A58</f>
        <v>Reserves</v>
      </c>
      <c r="C29" s="36">
        <f>'Data Sheet'!B58/'Data Sheet'!B$61</f>
        <v>0.25885711775815873</v>
      </c>
      <c r="D29" s="36">
        <f>'Data Sheet'!C58/'Data Sheet'!C$61</f>
        <v>0.26569088282527553</v>
      </c>
      <c r="E29" s="36">
        <f>'Data Sheet'!D58/'Data Sheet'!D$61</f>
        <v>0.24361754041349321</v>
      </c>
      <c r="F29" s="36">
        <f>'Data Sheet'!E58/'Data Sheet'!E$61</f>
        <v>0.23784667744816432</v>
      </c>
      <c r="G29" s="36">
        <f>'Data Sheet'!F58/'Data Sheet'!F$61</f>
        <v>0.24869671693904272</v>
      </c>
      <c r="H29" s="36">
        <f>'Data Sheet'!G58/'Data Sheet'!G$61</f>
        <v>0.27012901130009048</v>
      </c>
      <c r="I29" s="36">
        <f>'Data Sheet'!H58/'Data Sheet'!H$61</f>
        <v>0.27319453894841961</v>
      </c>
      <c r="J29" s="36">
        <f>'Data Sheet'!I58/'Data Sheet'!I$61</f>
        <v>0.27962014638593741</v>
      </c>
      <c r="K29" s="36">
        <f>'Data Sheet'!J58/'Data Sheet'!J$61</f>
        <v>0.27709202102799507</v>
      </c>
      <c r="L29" s="36">
        <f>'Data Sheet'!K58/'Data Sheet'!K$61</f>
        <v>0.29279173812070092</v>
      </c>
    </row>
    <row r="30" spans="2:12" x14ac:dyDescent="0.3">
      <c r="B30" s="33" t="str">
        <f>'Data Sheet'!A59</f>
        <v>Borrowings</v>
      </c>
      <c r="C30" s="36">
        <f>'Data Sheet'!B59/'Data Sheet'!B$61</f>
        <v>0.42835683225721438</v>
      </c>
      <c r="D30" s="36">
        <f>'Data Sheet'!C59/'Data Sheet'!C$61</f>
        <v>0.4099025438332759</v>
      </c>
      <c r="E30" s="36">
        <f>'Data Sheet'!D59/'Data Sheet'!D$61</f>
        <v>0.43763319311380022</v>
      </c>
      <c r="F30" s="36">
        <f>'Data Sheet'!E59/'Data Sheet'!E$61</f>
        <v>0.4953776340244756</v>
      </c>
      <c r="G30" s="36">
        <f>'Data Sheet'!F59/'Data Sheet'!F$61</f>
        <v>0.4887311478589787</v>
      </c>
      <c r="H30" s="36">
        <f>'Data Sheet'!G59/'Data Sheet'!G$61</f>
        <v>0.45017634638141868</v>
      </c>
      <c r="I30" s="36">
        <f>'Data Sheet'!H59/'Data Sheet'!H$61</f>
        <v>0.45352280904431597</v>
      </c>
      <c r="J30" s="36">
        <f>'Data Sheet'!I59/'Data Sheet'!I$61</f>
        <v>0.46287523112447915</v>
      </c>
      <c r="K30" s="36">
        <f>'Data Sheet'!J59/'Data Sheet'!J$61</f>
        <v>0.46745986602080336</v>
      </c>
      <c r="L30" s="36">
        <f>'Data Sheet'!K59/'Data Sheet'!K$61</f>
        <v>0.43326773272921715</v>
      </c>
    </row>
    <row r="31" spans="2:12" x14ac:dyDescent="0.3">
      <c r="B31" s="33" t="str">
        <f>'Data Sheet'!A60</f>
        <v>Other Liabilities</v>
      </c>
      <c r="C31" s="36">
        <f>'Data Sheet'!B60/'Data Sheet'!B$61</f>
        <v>0.31006281020775683</v>
      </c>
      <c r="D31" s="36">
        <f>'Data Sheet'!C60/'Data Sheet'!C$61</f>
        <v>0.32042472996062155</v>
      </c>
      <c r="E31" s="36">
        <f>'Data Sheet'!D60/'Data Sheet'!D$61</f>
        <v>0.31538276226303208</v>
      </c>
      <c r="F31" s="36">
        <f>'Data Sheet'!E60/'Data Sheet'!E$61</f>
        <v>0.26343261966255521</v>
      </c>
      <c r="G31" s="36">
        <f>'Data Sheet'!F60/'Data Sheet'!F$61</f>
        <v>0.259213908151884</v>
      </c>
      <c r="H31" s="36">
        <f>'Data Sheet'!G60/'Data Sheet'!G$61</f>
        <v>0.27647516068403832</v>
      </c>
      <c r="I31" s="36">
        <f>'Data Sheet'!H60/'Data Sheet'!H$61</f>
        <v>0.27055604235301028</v>
      </c>
      <c r="J31" s="36">
        <f>'Data Sheet'!I60/'Data Sheet'!I$61</f>
        <v>0.25512734213239491</v>
      </c>
      <c r="K31" s="36">
        <f>'Data Sheet'!J60/'Data Sheet'!J$61</f>
        <v>0.25343009206088118</v>
      </c>
      <c r="L31" s="36">
        <f>'Data Sheet'!K60/'Data Sheet'!K$61</f>
        <v>0.27217184405196582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0.18438090218298414</v>
      </c>
      <c r="D34" s="36">
        <f>'Data Sheet'!C62/'Data Sheet'!C$66</f>
        <v>0.1919937815779246</v>
      </c>
      <c r="E34" s="36">
        <f>'Data Sheet'!D62/'Data Sheet'!D$66</f>
        <v>0.17903007616329708</v>
      </c>
      <c r="F34" s="36">
        <f>'Data Sheet'!E62/'Data Sheet'!E$66</f>
        <v>0.17915590528373845</v>
      </c>
      <c r="G34" s="36">
        <f>'Data Sheet'!F62/'Data Sheet'!F$66</f>
        <v>0.12960089229426314</v>
      </c>
      <c r="H34" s="36">
        <f>'Data Sheet'!G62/'Data Sheet'!G$66</f>
        <v>0.15092697867600993</v>
      </c>
      <c r="I34" s="36">
        <f>'Data Sheet'!H62/'Data Sheet'!H$66</f>
        <v>0.1328549120582721</v>
      </c>
      <c r="J34" s="36">
        <f>'Data Sheet'!I62/'Data Sheet'!I$66</f>
        <v>0.11983964008486635</v>
      </c>
      <c r="K34" s="36">
        <f>'Data Sheet'!J62/'Data Sheet'!J$66</f>
        <v>0.12548684301101759</v>
      </c>
      <c r="L34" s="36">
        <f>'Data Sheet'!K62/'Data Sheet'!K$66</f>
        <v>0.12168490194713562</v>
      </c>
    </row>
    <row r="35" spans="2:12" x14ac:dyDescent="0.3">
      <c r="B35" s="33" t="str">
        <f>'Data Sheet'!A63</f>
        <v>Capital Work in Progress</v>
      </c>
      <c r="C35" s="36">
        <f>'Data Sheet'!B63/'Data Sheet'!B$66</f>
        <v>3.7589493565247947E-2</v>
      </c>
      <c r="D35" s="36">
        <f>'Data Sheet'!C63/'Data Sheet'!C$66</f>
        <v>3.1304768679098621E-2</v>
      </c>
      <c r="E35" s="36">
        <f>'Data Sheet'!D63/'Data Sheet'!D$66</f>
        <v>2.9402862455139015E-2</v>
      </c>
      <c r="F35" s="36">
        <f>'Data Sheet'!E63/'Data Sheet'!E$66</f>
        <v>4.1371985807043377E-2</v>
      </c>
      <c r="G35" s="36">
        <f>'Data Sheet'!F63/'Data Sheet'!F$66</f>
        <v>4.7724407157751808E-2</v>
      </c>
      <c r="H35" s="36">
        <f>'Data Sheet'!G63/'Data Sheet'!G$66</f>
        <v>3.8883216929252618E-2</v>
      </c>
      <c r="I35" s="36">
        <f>'Data Sheet'!H63/'Data Sheet'!H$66</f>
        <v>1.9428929475286735E-2</v>
      </c>
      <c r="J35" s="36">
        <f>'Data Sheet'!I63/'Data Sheet'!I$66</f>
        <v>3.424902650795409E-2</v>
      </c>
      <c r="K35" s="36">
        <f>'Data Sheet'!J63/'Data Sheet'!J$66</f>
        <v>3.0063801342690381E-2</v>
      </c>
      <c r="L35" s="36">
        <f>'Data Sheet'!K63/'Data Sheet'!K$66</f>
        <v>2.4489485973915849E-2</v>
      </c>
    </row>
    <row r="36" spans="2:12" x14ac:dyDescent="0.3">
      <c r="B36" s="33" t="str">
        <f>'Data Sheet'!A64</f>
        <v>Investments</v>
      </c>
      <c r="C36" s="36">
        <f>'Data Sheet'!B64/'Data Sheet'!B$66</f>
        <v>0.12880045680151095</v>
      </c>
      <c r="D36" s="36">
        <f>'Data Sheet'!C64/'Data Sheet'!C$66</f>
        <v>0.117460713211947</v>
      </c>
      <c r="E36" s="36">
        <f>'Data Sheet'!D64/'Data Sheet'!D$66</f>
        <v>0.1128427502795125</v>
      </c>
      <c r="F36" s="36">
        <f>'Data Sheet'!E64/'Data Sheet'!E$66</f>
        <v>0.11592121460812474</v>
      </c>
      <c r="G36" s="36">
        <f>'Data Sheet'!F64/'Data Sheet'!F$66</f>
        <v>0.17444595315455119</v>
      </c>
      <c r="H36" s="36">
        <f>'Data Sheet'!G64/'Data Sheet'!G$66</f>
        <v>0.17437408636331994</v>
      </c>
      <c r="I36" s="36">
        <f>'Data Sheet'!H64/'Data Sheet'!H$66</f>
        <v>0.1726624339763955</v>
      </c>
      <c r="J36" s="36">
        <f>'Data Sheet'!I64/'Data Sheet'!I$66</f>
        <v>0.14999872189228108</v>
      </c>
      <c r="K36" s="36">
        <f>'Data Sheet'!J64/'Data Sheet'!J$66</f>
        <v>0.14966324049954169</v>
      </c>
      <c r="L36" s="36">
        <f>'Data Sheet'!K64/'Data Sheet'!K$66</f>
        <v>0.12758579230131559</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6.3240655334475343E-2</v>
      </c>
      <c r="D38" s="36">
        <f>'Data Sheet'!C67/'Data Sheet'!C$66</f>
        <v>6.2257551202986018E-2</v>
      </c>
      <c r="E38" s="36">
        <f>'Data Sheet'!D67/'Data Sheet'!D$66</f>
        <v>5.360463033312949E-2</v>
      </c>
      <c r="F38" s="36">
        <f>'Data Sheet'!E67/'Data Sheet'!E$66</f>
        <v>4.1806464071061332E-2</v>
      </c>
      <c r="G38" s="36">
        <f>'Data Sheet'!F67/'Data Sheet'!F$66</f>
        <v>3.6419184326657292E-2</v>
      </c>
      <c r="H38" s="36">
        <f>'Data Sheet'!G67/'Data Sheet'!G$66</f>
        <v>3.6974731419820404E-2</v>
      </c>
      <c r="I38" s="36">
        <f>'Data Sheet'!H67/'Data Sheet'!H$66</f>
        <v>3.4403254308973334E-2</v>
      </c>
      <c r="J38" s="36">
        <f>'Data Sheet'!I67/'Data Sheet'!I$66</f>
        <v>3.1778018251378229E-2</v>
      </c>
      <c r="K38" s="36">
        <f>'Data Sheet'!J67/'Data Sheet'!J$66</f>
        <v>2.9998587023075E-2</v>
      </c>
      <c r="L38" s="36">
        <f>'Data Sheet'!K67/'Data Sheet'!K$66</f>
        <v>2.8678643522942283E-2</v>
      </c>
    </row>
    <row r="39" spans="2:12" x14ac:dyDescent="0.3">
      <c r="B39" s="33" t="str">
        <f>'Data Sheet'!A68</f>
        <v>Inventory</v>
      </c>
      <c r="C39" s="36">
        <f>'Data Sheet'!B68/'Data Sheet'!B$66</f>
        <v>7.806035050731322E-2</v>
      </c>
      <c r="D39" s="36">
        <f>'Data Sheet'!C68/'Data Sheet'!C$66</f>
        <v>6.8461307188583911E-2</v>
      </c>
      <c r="E39" s="36">
        <f>'Data Sheet'!D68/'Data Sheet'!D$66</f>
        <v>7.5360277721154612E-2</v>
      </c>
      <c r="F39" s="36">
        <f>'Data Sheet'!E68/'Data Sheet'!E$66</f>
        <v>6.705447874677159E-2</v>
      </c>
      <c r="G39" s="36">
        <f>'Data Sheet'!F68/'Data Sheet'!F$66</f>
        <v>5.828403084234518E-2</v>
      </c>
      <c r="H39" s="36">
        <f>'Data Sheet'!G68/'Data Sheet'!G$66</f>
        <v>6.7266863122723161E-2</v>
      </c>
      <c r="I39" s="36">
        <f>'Data Sheet'!H68/'Data Sheet'!H$66</f>
        <v>8.2508089268318943E-2</v>
      </c>
      <c r="J39" s="36">
        <f>'Data Sheet'!I68/'Data Sheet'!I$66</f>
        <v>7.9200074982319513E-2</v>
      </c>
      <c r="K39" s="36">
        <f>'Data Sheet'!J68/'Data Sheet'!J$66</f>
        <v>7.3659574005572201E-2</v>
      </c>
      <c r="L39" s="36">
        <f>'Data Sheet'!K68/'Data Sheet'!K$66</f>
        <v>6.9747574781524671E-2</v>
      </c>
    </row>
    <row r="40" spans="2:12" x14ac:dyDescent="0.3">
      <c r="B40" s="33" t="str">
        <f>'Data Sheet'!A69</f>
        <v>Cash &amp; Bank</v>
      </c>
      <c r="C40" s="36">
        <f>'Data Sheet'!B69/'Data Sheet'!B$66</f>
        <v>4.088373523081653E-2</v>
      </c>
      <c r="D40" s="36">
        <f>'Data Sheet'!C69/'Data Sheet'!C$66</f>
        <v>4.8016778006731736E-2</v>
      </c>
      <c r="E40" s="36">
        <f>'Data Sheet'!D69/'Data Sheet'!D$66</f>
        <v>5.3956723433957833E-2</v>
      </c>
      <c r="F40" s="36">
        <f>'Data Sheet'!E69/'Data Sheet'!E$66</f>
        <v>4.7738299258973181E-2</v>
      </c>
      <c r="G40" s="36">
        <f>'Data Sheet'!F69/'Data Sheet'!F$66</f>
        <v>7.7906018136850788E-2</v>
      </c>
      <c r="H40" s="36">
        <f>'Data Sheet'!G69/'Data Sheet'!G$66</f>
        <v>6.4494048309627114E-2</v>
      </c>
      <c r="I40" s="36">
        <f>'Data Sheet'!H69/'Data Sheet'!H$66</f>
        <v>5.5183250686547586E-2</v>
      </c>
      <c r="J40" s="36">
        <f>'Data Sheet'!I69/'Data Sheet'!I$66</f>
        <v>5.1179693424561822E-2</v>
      </c>
      <c r="K40" s="36">
        <f>'Data Sheet'!J69/'Data Sheet'!J$66</f>
        <v>7.468851104839265E-2</v>
      </c>
      <c r="L40" s="36">
        <f>'Data Sheet'!K69/'Data Sheet'!K$66</f>
        <v>0.10118207648060142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3974</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124.32242225859247</v>
      </c>
    </row>
    <row r="7" spans="1:11" x14ac:dyDescent="0.3">
      <c r="A7" s="5" t="s">
        <v>31</v>
      </c>
      <c r="B7">
        <v>5</v>
      </c>
    </row>
    <row r="8" spans="1:11" x14ac:dyDescent="0.3">
      <c r="A8" s="5" t="s">
        <v>43</v>
      </c>
      <c r="B8">
        <v>3055</v>
      </c>
    </row>
    <row r="9" spans="1:11" x14ac:dyDescent="0.3">
      <c r="A9" s="5" t="s">
        <v>79</v>
      </c>
      <c r="B9">
        <v>379805</v>
      </c>
    </row>
    <row r="15" spans="1:11" x14ac:dyDescent="0.3">
      <c r="A15" s="1" t="s">
        <v>37</v>
      </c>
    </row>
    <row r="16" spans="1:11" s="24" customFormat="1" x14ac:dyDescent="0.3">
      <c r="A16" s="23" t="s">
        <v>38</v>
      </c>
      <c r="B16" s="16">
        <v>42795</v>
      </c>
      <c r="C16" s="16">
        <v>43160</v>
      </c>
      <c r="D16" s="16">
        <v>43525</v>
      </c>
      <c r="E16" s="16">
        <v>43891</v>
      </c>
      <c r="F16" s="16">
        <v>44256</v>
      </c>
      <c r="G16" s="16">
        <v>44621</v>
      </c>
      <c r="H16" s="16">
        <v>44986</v>
      </c>
      <c r="I16" s="16">
        <v>45352</v>
      </c>
      <c r="J16" s="16">
        <v>45717</v>
      </c>
      <c r="K16" s="16">
        <v>46082</v>
      </c>
    </row>
    <row r="17" spans="1:11" s="9" customFormat="1" x14ac:dyDescent="0.3">
      <c r="A17" s="9" t="s">
        <v>6</v>
      </c>
      <c r="B17">
        <v>83773</v>
      </c>
      <c r="C17">
        <v>92094</v>
      </c>
      <c r="D17">
        <v>104721</v>
      </c>
      <c r="E17">
        <v>75382</v>
      </c>
      <c r="F17">
        <v>74278</v>
      </c>
      <c r="G17">
        <v>90171</v>
      </c>
      <c r="H17">
        <v>121362</v>
      </c>
      <c r="I17">
        <v>139078</v>
      </c>
      <c r="J17">
        <v>159211</v>
      </c>
      <c r="K17">
        <v>198639</v>
      </c>
    </row>
    <row r="18" spans="1:11" s="9" customFormat="1" x14ac:dyDescent="0.3">
      <c r="A18" s="5" t="s">
        <v>80</v>
      </c>
      <c r="B18">
        <v>50263.8</v>
      </c>
      <c r="C18">
        <v>53414.52</v>
      </c>
      <c r="D18">
        <v>59690.97</v>
      </c>
      <c r="E18">
        <v>38444.82</v>
      </c>
      <c r="F18">
        <v>38624.559999999998</v>
      </c>
      <c r="G18">
        <v>51397.47</v>
      </c>
      <c r="H18">
        <v>74030.820000000007</v>
      </c>
      <c r="I18">
        <v>83446.8</v>
      </c>
      <c r="J18">
        <v>95526.6</v>
      </c>
      <c r="K18">
        <v>123156.18</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4188.6499999999996</v>
      </c>
      <c r="C21">
        <v>4604.7</v>
      </c>
      <c r="D21">
        <v>5236.05</v>
      </c>
      <c r="E21">
        <v>3769.1</v>
      </c>
      <c r="F21">
        <v>2971.12</v>
      </c>
      <c r="G21">
        <v>3606.84</v>
      </c>
      <c r="H21">
        <v>4854.4799999999996</v>
      </c>
      <c r="I21">
        <v>4172.34</v>
      </c>
      <c r="J21">
        <v>4776.33</v>
      </c>
      <c r="K21">
        <v>5959.17</v>
      </c>
    </row>
    <row r="22" spans="1:11" s="9" customFormat="1" x14ac:dyDescent="0.3">
      <c r="A22" s="5" t="s">
        <v>84</v>
      </c>
      <c r="B22">
        <v>9215.0300000000007</v>
      </c>
      <c r="C22">
        <v>10130.34</v>
      </c>
      <c r="D22">
        <v>11519.31</v>
      </c>
      <c r="E22">
        <v>8292.02</v>
      </c>
      <c r="F22">
        <v>8170.58</v>
      </c>
      <c r="G22">
        <v>8115.39</v>
      </c>
      <c r="H22">
        <v>9708.9599999999991</v>
      </c>
      <c r="I22">
        <v>11126.24</v>
      </c>
      <c r="J22">
        <v>11144.77</v>
      </c>
      <c r="K22">
        <v>11918.34</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9215.0300000000007</v>
      </c>
      <c r="C24">
        <v>11051.28</v>
      </c>
      <c r="D24">
        <v>12566.52</v>
      </c>
      <c r="E24">
        <v>15076.4</v>
      </c>
      <c r="F24">
        <v>13370.04</v>
      </c>
      <c r="G24">
        <v>11722.23</v>
      </c>
      <c r="H24">
        <v>12136.2</v>
      </c>
      <c r="I24">
        <v>15298.58</v>
      </c>
      <c r="J24">
        <v>17513.21</v>
      </c>
      <c r="K24">
        <v>19863.900000000001</v>
      </c>
    </row>
    <row r="25" spans="1:11" s="9" customFormat="1" x14ac:dyDescent="0.3">
      <c r="A25" s="9" t="s">
        <v>9</v>
      </c>
      <c r="B25">
        <v>2077</v>
      </c>
      <c r="C25">
        <v>4366</v>
      </c>
      <c r="D25">
        <v>2676</v>
      </c>
      <c r="E25">
        <v>885</v>
      </c>
      <c r="F25">
        <v>1152</v>
      </c>
      <c r="G25">
        <v>3204</v>
      </c>
      <c r="H25">
        <v>3922</v>
      </c>
      <c r="I25">
        <v>3298</v>
      </c>
      <c r="J25">
        <v>3718</v>
      </c>
      <c r="K25">
        <v>5118</v>
      </c>
    </row>
    <row r="26" spans="1:11" s="9" customFormat="1" x14ac:dyDescent="0.3">
      <c r="A26" s="9" t="s">
        <v>10</v>
      </c>
      <c r="B26">
        <v>2813</v>
      </c>
      <c r="C26">
        <v>3280</v>
      </c>
      <c r="D26">
        <v>3991</v>
      </c>
      <c r="E26">
        <v>3367</v>
      </c>
      <c r="F26">
        <v>3378</v>
      </c>
      <c r="G26">
        <v>3508</v>
      </c>
      <c r="H26">
        <v>4357</v>
      </c>
      <c r="I26">
        <v>4724</v>
      </c>
      <c r="J26">
        <v>6074</v>
      </c>
      <c r="K26">
        <v>7322</v>
      </c>
    </row>
    <row r="27" spans="1:11" s="9" customFormat="1" x14ac:dyDescent="0.3">
      <c r="A27" s="9" t="s">
        <v>11</v>
      </c>
      <c r="B27">
        <v>3648</v>
      </c>
      <c r="C27">
        <v>3987</v>
      </c>
      <c r="D27">
        <v>5021</v>
      </c>
      <c r="E27">
        <v>6021</v>
      </c>
      <c r="F27">
        <v>6102</v>
      </c>
      <c r="G27">
        <v>5018</v>
      </c>
      <c r="H27">
        <v>5830</v>
      </c>
      <c r="I27">
        <v>7488</v>
      </c>
      <c r="J27">
        <v>9083</v>
      </c>
      <c r="K27">
        <v>9591</v>
      </c>
    </row>
    <row r="28" spans="1:11" s="9" customFormat="1" x14ac:dyDescent="0.3">
      <c r="A28" s="9" t="s">
        <v>12</v>
      </c>
      <c r="B28">
        <v>6350</v>
      </c>
      <c r="C28">
        <v>10326</v>
      </c>
      <c r="D28">
        <v>8871</v>
      </c>
      <c r="E28">
        <v>1655</v>
      </c>
      <c r="F28">
        <v>3158</v>
      </c>
      <c r="G28">
        <v>9362</v>
      </c>
      <c r="H28">
        <v>14060</v>
      </c>
      <c r="I28">
        <v>15978</v>
      </c>
      <c r="J28">
        <v>19080</v>
      </c>
      <c r="K28">
        <v>25185</v>
      </c>
    </row>
    <row r="29" spans="1:11" s="9" customFormat="1" x14ac:dyDescent="0.3">
      <c r="A29" s="9" t="s">
        <v>13</v>
      </c>
      <c r="B29">
        <v>6350</v>
      </c>
      <c r="C29">
        <v>10326</v>
      </c>
      <c r="D29">
        <v>8871</v>
      </c>
      <c r="E29">
        <v>1655</v>
      </c>
      <c r="F29">
        <v>3158</v>
      </c>
      <c r="G29">
        <v>9362</v>
      </c>
      <c r="H29">
        <v>14060</v>
      </c>
      <c r="I29">
        <v>15978</v>
      </c>
      <c r="J29">
        <v>19080</v>
      </c>
      <c r="K29">
        <v>25185</v>
      </c>
    </row>
    <row r="30" spans="1:11" s="9" customFormat="1" x14ac:dyDescent="0.3">
      <c r="A30" s="9" t="s">
        <v>14</v>
      </c>
      <c r="B30">
        <v>4051</v>
      </c>
      <c r="C30">
        <v>7958</v>
      </c>
      <c r="D30">
        <v>6017</v>
      </c>
      <c r="E30">
        <v>-321</v>
      </c>
      <c r="F30">
        <v>1512</v>
      </c>
      <c r="G30">
        <v>7253</v>
      </c>
      <c r="H30">
        <v>11374</v>
      </c>
      <c r="I30">
        <v>12270</v>
      </c>
      <c r="J30">
        <v>14073</v>
      </c>
      <c r="K30">
        <v>18622</v>
      </c>
    </row>
    <row r="31" spans="1:11" s="9" customFormat="1" x14ac:dyDescent="0.3">
      <c r="A31" s="9" t="s">
        <v>70</v>
      </c>
      <c r="B31">
        <v>891.22</v>
      </c>
      <c r="C31">
        <v>875.38</v>
      </c>
      <c r="D31">
        <v>1022.89</v>
      </c>
      <c r="E31">
        <v>-658.05</v>
      </c>
      <c r="F31">
        <v>816.48</v>
      </c>
      <c r="G31">
        <v>1450.6</v>
      </c>
      <c r="H31">
        <v>2047.32</v>
      </c>
      <c r="I31">
        <v>2576.6999999999998</v>
      </c>
      <c r="J31">
        <v>3096.06</v>
      </c>
      <c r="K31">
        <v>4096.84</v>
      </c>
    </row>
    <row r="32" spans="1:11" s="9" customFormat="1" x14ac:dyDescent="0.3">
      <c r="A32" s="9" t="s">
        <v>94</v>
      </c>
      <c r="B32" s="9">
        <v>0</v>
      </c>
      <c r="C32" s="9">
        <v>0</v>
      </c>
      <c r="D32" s="9">
        <v>0</v>
      </c>
      <c r="E32" s="9">
        <v>0</v>
      </c>
      <c r="F32" s="9">
        <v>0</v>
      </c>
      <c r="G32" s="9">
        <v>0</v>
      </c>
      <c r="H32" s="9">
        <v>0</v>
      </c>
      <c r="I32" s="9">
        <v>0</v>
      </c>
      <c r="J32" s="9">
        <v>0</v>
      </c>
      <c r="K32" s="9">
        <v>0</v>
      </c>
    </row>
    <row r="33" spans="1:11" x14ac:dyDescent="0.3">
      <c r="A33" s="9"/>
      <c r="B33" s="5">
        <f>B30+B29+B27+B26</f>
        <v>16862</v>
      </c>
      <c r="C33" s="5">
        <f>C30+C29+C27+C26</f>
        <v>25551</v>
      </c>
      <c r="D33" s="5">
        <f>D30+D29+D27+D26</f>
        <v>23900</v>
      </c>
      <c r="E33" s="5">
        <f>E30+E29+E27+E26</f>
        <v>10722</v>
      </c>
      <c r="F33" s="5">
        <f>F30+F29+F27+F26</f>
        <v>14150</v>
      </c>
      <c r="G33" s="5">
        <f>G30+G29+G27+G26</f>
        <v>25141</v>
      </c>
      <c r="H33" s="5">
        <f>H30+H29+H27+H26</f>
        <v>35621</v>
      </c>
      <c r="I33" s="5">
        <f>I30+I29+I27+I26</f>
        <v>40460</v>
      </c>
      <c r="J33" s="5">
        <f>J30+J29+J27+J26</f>
        <v>48310</v>
      </c>
      <c r="K33" s="5">
        <f>K30+K29+K27+K26</f>
        <v>60720</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35452</v>
      </c>
      <c r="C42">
        <v>37218</v>
      </c>
      <c r="D42">
        <v>37924</v>
      </c>
      <c r="E42">
        <v>41470</v>
      </c>
      <c r="F42">
        <v>42599</v>
      </c>
      <c r="G42">
        <v>45529</v>
      </c>
      <c r="H42">
        <v>46106</v>
      </c>
      <c r="I42">
        <v>52100</v>
      </c>
      <c r="J42">
        <v>54982</v>
      </c>
      <c r="K42">
        <v>58188</v>
      </c>
    </row>
    <row r="43" spans="1:11" s="9" customFormat="1" x14ac:dyDescent="0.3">
      <c r="A43" s="9" t="s">
        <v>7</v>
      </c>
      <c r="B43">
        <v>28848</v>
      </c>
      <c r="C43">
        <v>29975</v>
      </c>
      <c r="D43">
        <v>30790</v>
      </c>
      <c r="E43">
        <v>33239</v>
      </c>
      <c r="F43">
        <v>34658</v>
      </c>
      <c r="G43">
        <v>37117</v>
      </c>
      <c r="H43">
        <v>37166</v>
      </c>
      <c r="I43">
        <v>41939</v>
      </c>
      <c r="J43">
        <v>44855</v>
      </c>
      <c r="K43">
        <v>47360</v>
      </c>
    </row>
    <row r="44" spans="1:11" s="9" customFormat="1" x14ac:dyDescent="0.3">
      <c r="A44" s="9" t="s">
        <v>9</v>
      </c>
      <c r="B44">
        <v>750</v>
      </c>
      <c r="C44">
        <v>733</v>
      </c>
      <c r="D44">
        <v>1126</v>
      </c>
      <c r="E44">
        <v>719</v>
      </c>
      <c r="F44">
        <v>1110</v>
      </c>
      <c r="G44">
        <v>1210</v>
      </c>
      <c r="H44">
        <v>1134</v>
      </c>
      <c r="I44">
        <v>976</v>
      </c>
      <c r="J44">
        <v>1137</v>
      </c>
      <c r="K44">
        <v>1121</v>
      </c>
    </row>
    <row r="45" spans="1:11" s="9" customFormat="1" x14ac:dyDescent="0.3">
      <c r="A45" s="9" t="s">
        <v>10</v>
      </c>
      <c r="B45">
        <v>1335</v>
      </c>
      <c r="C45">
        <v>1248</v>
      </c>
      <c r="D45">
        <v>1302</v>
      </c>
      <c r="E45">
        <v>1495</v>
      </c>
      <c r="F45">
        <v>2029</v>
      </c>
      <c r="G45">
        <v>1548</v>
      </c>
      <c r="H45">
        <v>1669</v>
      </c>
      <c r="I45">
        <v>2163</v>
      </c>
      <c r="J45">
        <v>1943</v>
      </c>
      <c r="K45">
        <v>1760</v>
      </c>
    </row>
    <row r="46" spans="1:11" s="9" customFormat="1" x14ac:dyDescent="0.3">
      <c r="A46" s="9" t="s">
        <v>11</v>
      </c>
      <c r="B46">
        <v>1989</v>
      </c>
      <c r="C46">
        <v>2108</v>
      </c>
      <c r="D46">
        <v>2217</v>
      </c>
      <c r="E46">
        <v>2362</v>
      </c>
      <c r="F46">
        <v>2397</v>
      </c>
      <c r="G46">
        <v>2431</v>
      </c>
      <c r="H46">
        <v>2347</v>
      </c>
      <c r="I46">
        <v>2405</v>
      </c>
      <c r="J46">
        <v>2407</v>
      </c>
      <c r="K46">
        <v>2560</v>
      </c>
    </row>
    <row r="47" spans="1:11" s="9" customFormat="1" x14ac:dyDescent="0.3">
      <c r="A47" s="9" t="s">
        <v>12</v>
      </c>
      <c r="B47">
        <v>4030</v>
      </c>
      <c r="C47">
        <v>4621</v>
      </c>
      <c r="D47">
        <v>4740</v>
      </c>
      <c r="E47">
        <v>5092</v>
      </c>
      <c r="F47">
        <v>4627</v>
      </c>
      <c r="G47">
        <v>5644</v>
      </c>
      <c r="H47">
        <v>6058</v>
      </c>
      <c r="I47">
        <v>6569</v>
      </c>
      <c r="J47">
        <v>6914</v>
      </c>
      <c r="K47">
        <v>7628</v>
      </c>
    </row>
    <row r="48" spans="1:11" s="9" customFormat="1" x14ac:dyDescent="0.3">
      <c r="A48" s="9" t="s">
        <v>13</v>
      </c>
      <c r="B48">
        <v>4030</v>
      </c>
      <c r="C48">
        <v>4621</v>
      </c>
      <c r="D48">
        <v>4740</v>
      </c>
      <c r="E48">
        <v>5092</v>
      </c>
      <c r="F48">
        <v>4627</v>
      </c>
      <c r="G48">
        <v>5644</v>
      </c>
      <c r="H48">
        <v>6058</v>
      </c>
      <c r="I48">
        <v>6569</v>
      </c>
      <c r="J48">
        <v>6914</v>
      </c>
      <c r="K48">
        <v>7628</v>
      </c>
    </row>
    <row r="49" spans="1:11" s="9" customFormat="1" x14ac:dyDescent="0.3">
      <c r="A49" s="9" t="s">
        <v>14</v>
      </c>
      <c r="B49">
        <v>3125</v>
      </c>
      <c r="C49">
        <v>3546</v>
      </c>
      <c r="D49">
        <v>3361</v>
      </c>
      <c r="E49">
        <v>3624</v>
      </c>
      <c r="F49">
        <v>3542</v>
      </c>
      <c r="G49">
        <v>4377</v>
      </c>
      <c r="H49">
        <v>3964</v>
      </c>
      <c r="I49">
        <v>5021</v>
      </c>
      <c r="J49">
        <v>5260</v>
      </c>
      <c r="K49">
        <v>5998</v>
      </c>
    </row>
    <row r="50" spans="1:11" x14ac:dyDescent="0.3">
      <c r="A50" s="9" t="s">
        <v>8</v>
      </c>
      <c r="B50">
        <v>6604</v>
      </c>
      <c r="C50">
        <v>7243</v>
      </c>
      <c r="D50">
        <v>7133</v>
      </c>
      <c r="E50">
        <v>8231</v>
      </c>
      <c r="F50">
        <v>7942</v>
      </c>
      <c r="G50">
        <v>8412</v>
      </c>
      <c r="H50">
        <v>8940</v>
      </c>
      <c r="I50">
        <v>10160</v>
      </c>
      <c r="J50">
        <v>10127</v>
      </c>
      <c r="K50">
        <v>10827</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311</v>
      </c>
      <c r="C57">
        <v>543</v>
      </c>
      <c r="D57">
        <v>544</v>
      </c>
      <c r="E57">
        <v>554</v>
      </c>
      <c r="F57">
        <v>555</v>
      </c>
      <c r="G57">
        <v>556</v>
      </c>
      <c r="H57">
        <v>557</v>
      </c>
      <c r="I57">
        <v>557</v>
      </c>
      <c r="J57">
        <v>558</v>
      </c>
      <c r="K57">
        <v>559</v>
      </c>
    </row>
    <row r="58" spans="1:11" x14ac:dyDescent="0.3">
      <c r="A58" s="9" t="s">
        <v>25</v>
      </c>
      <c r="B58">
        <v>29467</v>
      </c>
      <c r="C58">
        <v>36232</v>
      </c>
      <c r="D58">
        <v>39439</v>
      </c>
      <c r="E58">
        <v>39415</v>
      </c>
      <c r="F58">
        <v>41027</v>
      </c>
      <c r="G58">
        <v>46567</v>
      </c>
      <c r="H58">
        <v>55809</v>
      </c>
      <c r="I58">
        <v>65633</v>
      </c>
      <c r="J58">
        <v>76481</v>
      </c>
      <c r="K58">
        <v>92538</v>
      </c>
    </row>
    <row r="59" spans="1:11" x14ac:dyDescent="0.3">
      <c r="A59" s="9" t="s">
        <v>71</v>
      </c>
      <c r="B59">
        <v>48762</v>
      </c>
      <c r="C59">
        <v>55898</v>
      </c>
      <c r="D59">
        <v>70848</v>
      </c>
      <c r="E59">
        <v>82092</v>
      </c>
      <c r="F59">
        <v>80625</v>
      </c>
      <c r="G59">
        <v>77605</v>
      </c>
      <c r="H59">
        <v>92647</v>
      </c>
      <c r="I59">
        <v>108647</v>
      </c>
      <c r="J59">
        <v>129025</v>
      </c>
      <c r="K59">
        <v>136936</v>
      </c>
    </row>
    <row r="60" spans="1:11" x14ac:dyDescent="0.3">
      <c r="A60" s="9" t="s">
        <v>72</v>
      </c>
      <c r="B60">
        <v>35296</v>
      </c>
      <c r="C60">
        <v>43696</v>
      </c>
      <c r="D60">
        <v>51057</v>
      </c>
      <c r="E60">
        <v>43655</v>
      </c>
      <c r="F60">
        <v>42762</v>
      </c>
      <c r="G60">
        <v>47661</v>
      </c>
      <c r="H60">
        <v>55270</v>
      </c>
      <c r="I60">
        <v>59884</v>
      </c>
      <c r="J60">
        <v>69950</v>
      </c>
      <c r="K60">
        <v>86021</v>
      </c>
    </row>
    <row r="61" spans="1:11" s="1" customFormat="1" x14ac:dyDescent="0.3">
      <c r="A61" s="1" t="s">
        <v>26</v>
      </c>
      <c r="B61">
        <v>113835</v>
      </c>
      <c r="C61">
        <v>136369</v>
      </c>
      <c r="D61">
        <v>161889</v>
      </c>
      <c r="E61">
        <v>165716</v>
      </c>
      <c r="F61">
        <v>164968</v>
      </c>
      <c r="G61">
        <v>172388</v>
      </c>
      <c r="H61">
        <v>204283</v>
      </c>
      <c r="I61">
        <v>234722</v>
      </c>
      <c r="J61">
        <v>276013</v>
      </c>
      <c r="K61">
        <v>316054</v>
      </c>
    </row>
    <row r="62" spans="1:11" x14ac:dyDescent="0.3">
      <c r="A62" s="9" t="s">
        <v>27</v>
      </c>
      <c r="B62">
        <v>20989</v>
      </c>
      <c r="C62">
        <v>26182</v>
      </c>
      <c r="D62">
        <v>28983</v>
      </c>
      <c r="E62">
        <v>29689</v>
      </c>
      <c r="F62">
        <v>21380</v>
      </c>
      <c r="G62">
        <v>26018</v>
      </c>
      <c r="H62">
        <v>27140</v>
      </c>
      <c r="I62">
        <v>28129</v>
      </c>
      <c r="J62">
        <v>34636</v>
      </c>
      <c r="K62">
        <v>38459</v>
      </c>
    </row>
    <row r="63" spans="1:11" x14ac:dyDescent="0.3">
      <c r="A63" s="9" t="s">
        <v>28</v>
      </c>
      <c r="B63">
        <v>4279</v>
      </c>
      <c r="C63">
        <v>4269</v>
      </c>
      <c r="D63">
        <v>4760</v>
      </c>
      <c r="E63">
        <v>6856</v>
      </c>
      <c r="F63">
        <v>7873</v>
      </c>
      <c r="G63">
        <v>6703</v>
      </c>
      <c r="H63">
        <v>3969</v>
      </c>
      <c r="I63">
        <v>8039</v>
      </c>
      <c r="J63">
        <v>8298</v>
      </c>
      <c r="K63">
        <v>7740</v>
      </c>
    </row>
    <row r="64" spans="1:11" x14ac:dyDescent="0.3">
      <c r="A64" s="9" t="s">
        <v>29</v>
      </c>
      <c r="B64">
        <v>14662</v>
      </c>
      <c r="C64">
        <v>16018</v>
      </c>
      <c r="D64">
        <v>18268</v>
      </c>
      <c r="E64">
        <v>19210</v>
      </c>
      <c r="F64">
        <v>28778</v>
      </c>
      <c r="G64">
        <v>30060</v>
      </c>
      <c r="H64">
        <v>35272</v>
      </c>
      <c r="I64">
        <v>35208</v>
      </c>
      <c r="J64">
        <v>41309</v>
      </c>
      <c r="K64">
        <v>40324</v>
      </c>
    </row>
    <row r="65" spans="1:11" x14ac:dyDescent="0.3">
      <c r="A65" s="9" t="s">
        <v>73</v>
      </c>
      <c r="B65">
        <v>73905</v>
      </c>
      <c r="C65">
        <v>89900</v>
      </c>
      <c r="D65">
        <v>109878</v>
      </c>
      <c r="E65">
        <v>109960</v>
      </c>
      <c r="F65">
        <v>106938</v>
      </c>
      <c r="G65">
        <v>109607</v>
      </c>
      <c r="H65">
        <v>137902</v>
      </c>
      <c r="I65">
        <v>163345</v>
      </c>
      <c r="J65">
        <v>191771</v>
      </c>
      <c r="K65">
        <v>229531</v>
      </c>
    </row>
    <row r="66" spans="1:11" s="1" customFormat="1" x14ac:dyDescent="0.3">
      <c r="A66" s="1" t="s">
        <v>26</v>
      </c>
      <c r="B66">
        <v>113835</v>
      </c>
      <c r="C66">
        <v>136369</v>
      </c>
      <c r="D66">
        <v>161889</v>
      </c>
      <c r="E66">
        <v>165716</v>
      </c>
      <c r="F66">
        <v>164968</v>
      </c>
      <c r="G66">
        <v>172388</v>
      </c>
      <c r="H66">
        <v>204283</v>
      </c>
      <c r="I66">
        <v>234722</v>
      </c>
      <c r="J66">
        <v>276013</v>
      </c>
      <c r="K66">
        <v>316054</v>
      </c>
    </row>
    <row r="67" spans="1:11" s="9" customFormat="1" x14ac:dyDescent="0.3">
      <c r="A67" s="9" t="s">
        <v>78</v>
      </c>
      <c r="B67">
        <v>7199</v>
      </c>
      <c r="C67">
        <v>8490</v>
      </c>
      <c r="D67">
        <v>8678</v>
      </c>
      <c r="E67">
        <v>6928</v>
      </c>
      <c r="F67">
        <v>6008</v>
      </c>
      <c r="G67">
        <v>6374</v>
      </c>
      <c r="H67">
        <v>7028</v>
      </c>
      <c r="I67">
        <v>7459</v>
      </c>
      <c r="J67">
        <v>8280</v>
      </c>
      <c r="K67">
        <v>9064</v>
      </c>
    </row>
    <row r="68" spans="1:11" x14ac:dyDescent="0.3">
      <c r="A68" s="9" t="s">
        <v>45</v>
      </c>
      <c r="B68">
        <v>8886</v>
      </c>
      <c r="C68">
        <v>9336</v>
      </c>
      <c r="D68">
        <v>12200</v>
      </c>
      <c r="E68">
        <v>11112</v>
      </c>
      <c r="F68">
        <v>9615</v>
      </c>
      <c r="G68">
        <v>11596</v>
      </c>
      <c r="H68">
        <v>16855</v>
      </c>
      <c r="I68">
        <v>18590</v>
      </c>
      <c r="J68">
        <v>20331</v>
      </c>
      <c r="K68">
        <v>22044</v>
      </c>
    </row>
    <row r="69" spans="1:11" x14ac:dyDescent="0.3">
      <c r="A69" s="5" t="s">
        <v>87</v>
      </c>
      <c r="B69">
        <v>4654</v>
      </c>
      <c r="C69">
        <v>6548</v>
      </c>
      <c r="D69">
        <v>8735</v>
      </c>
      <c r="E69">
        <v>7911</v>
      </c>
      <c r="F69">
        <v>12852</v>
      </c>
      <c r="G69">
        <v>11118</v>
      </c>
      <c r="H69">
        <v>11273</v>
      </c>
      <c r="I69">
        <v>12013</v>
      </c>
      <c r="J69">
        <v>20615</v>
      </c>
      <c r="K69">
        <v>31979</v>
      </c>
    </row>
    <row r="70" spans="1:11" x14ac:dyDescent="0.3">
      <c r="A70" s="5" t="s">
        <v>74</v>
      </c>
      <c r="B70">
        <v>622000000</v>
      </c>
      <c r="C70">
        <v>1086000000</v>
      </c>
      <c r="D70">
        <v>1088000000</v>
      </c>
      <c r="E70">
        <v>1108000000</v>
      </c>
      <c r="F70">
        <v>1110000000</v>
      </c>
      <c r="G70">
        <v>1112000000</v>
      </c>
      <c r="H70">
        <v>1114000000</v>
      </c>
      <c r="I70">
        <v>1114000000</v>
      </c>
      <c r="J70">
        <v>1116000000</v>
      </c>
      <c r="K70">
        <v>1118000000</v>
      </c>
    </row>
    <row r="71" spans="1:11" x14ac:dyDescent="0.3">
      <c r="A71" s="5" t="s">
        <v>75</v>
      </c>
      <c r="B71"/>
    </row>
    <row r="72" spans="1:11" x14ac:dyDescent="0.3">
      <c r="A72" s="5" t="s">
        <v>88</v>
      </c>
      <c r="B72">
        <v>5</v>
      </c>
      <c r="C72">
        <v>5</v>
      </c>
      <c r="D72">
        <v>5</v>
      </c>
      <c r="E72">
        <v>5</v>
      </c>
      <c r="F72">
        <v>5</v>
      </c>
      <c r="G72">
        <v>5</v>
      </c>
      <c r="H72">
        <v>5</v>
      </c>
      <c r="I72">
        <v>5</v>
      </c>
      <c r="J72">
        <v>5</v>
      </c>
      <c r="K72">
        <v>5</v>
      </c>
    </row>
    <row r="73" spans="1:11" x14ac:dyDescent="0.3">
      <c r="B73" s="5">
        <v>0</v>
      </c>
      <c r="C73" s="5">
        <v>0</v>
      </c>
      <c r="D73" s="5">
        <v>0</v>
      </c>
      <c r="E73" s="5">
        <v>0</v>
      </c>
      <c r="F73" s="5">
        <v>0</v>
      </c>
      <c r="G73" s="5">
        <v>0</v>
      </c>
      <c r="H73" s="5">
        <v>0</v>
      </c>
      <c r="I73" s="5">
        <v>0</v>
      </c>
      <c r="J73" s="5">
        <v>0</v>
      </c>
      <c r="K73" s="5">
        <v>0</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53166</v>
      </c>
      <c r="C75" s="5">
        <f>C65-SUM(C67:C69)</f>
        <v>65526</v>
      </c>
      <c r="D75" s="5">
        <f>D65-SUM(D67:D69)</f>
        <v>80265</v>
      </c>
      <c r="E75" s="5">
        <f>E65-SUM(E67:E69)</f>
        <v>84009</v>
      </c>
      <c r="F75" s="5">
        <f>F65-SUM(F67:F69)</f>
        <v>78463</v>
      </c>
      <c r="G75" s="5">
        <f>G65-SUM(G67:G69)</f>
        <v>80519</v>
      </c>
      <c r="H75" s="5">
        <f>H65-SUM(H67:H69)</f>
        <v>102746</v>
      </c>
      <c r="I75" s="5">
        <f>I65-SUM(I67:I69)</f>
        <v>125283</v>
      </c>
      <c r="J75" s="5">
        <f>J65-SUM(J67:J69)</f>
        <v>142545</v>
      </c>
      <c r="K75" s="5">
        <f>K65-SUM(K67:K69)</f>
        <v>166444</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183</v>
      </c>
      <c r="C82">
        <v>682</v>
      </c>
      <c r="D82">
        <v>-4347</v>
      </c>
      <c r="E82">
        <v>-1457</v>
      </c>
      <c r="F82">
        <v>17909</v>
      </c>
      <c r="G82">
        <v>9248</v>
      </c>
      <c r="H82">
        <v>-7074</v>
      </c>
      <c r="I82">
        <v>-5630</v>
      </c>
      <c r="J82">
        <v>3176</v>
      </c>
      <c r="K82">
        <v>11657</v>
      </c>
    </row>
    <row r="83" spans="1:11" s="9" customFormat="1" x14ac:dyDescent="0.3">
      <c r="A83" s="9" t="s">
        <v>33</v>
      </c>
      <c r="B83">
        <v>-5875</v>
      </c>
      <c r="C83">
        <v>-5467</v>
      </c>
      <c r="D83">
        <v>-7174</v>
      </c>
      <c r="E83">
        <v>-6870</v>
      </c>
      <c r="F83">
        <v>-19686</v>
      </c>
      <c r="G83">
        <v>-3252</v>
      </c>
      <c r="H83">
        <v>-8866</v>
      </c>
      <c r="I83">
        <v>-5615</v>
      </c>
      <c r="J83">
        <v>-18616</v>
      </c>
      <c r="K83">
        <v>-17680</v>
      </c>
    </row>
    <row r="84" spans="1:11" s="9" customFormat="1" x14ac:dyDescent="0.3">
      <c r="A84" s="9" t="s">
        <v>34</v>
      </c>
      <c r="B84">
        <v>6108</v>
      </c>
      <c r="C84">
        <v>6314</v>
      </c>
      <c r="D84">
        <v>13194</v>
      </c>
      <c r="E84">
        <v>6933</v>
      </c>
      <c r="F84">
        <v>406</v>
      </c>
      <c r="G84">
        <v>-5883</v>
      </c>
      <c r="H84">
        <v>15946</v>
      </c>
      <c r="I84">
        <v>12281</v>
      </c>
      <c r="J84">
        <v>15834</v>
      </c>
      <c r="K84">
        <v>5391</v>
      </c>
    </row>
    <row r="85" spans="1:11" s="1" customFormat="1" x14ac:dyDescent="0.3">
      <c r="A85" s="9" t="s">
        <v>35</v>
      </c>
      <c r="B85">
        <v>416</v>
      </c>
      <c r="C85">
        <v>1529</v>
      </c>
      <c r="D85">
        <v>1672</v>
      </c>
      <c r="E85">
        <v>-1394</v>
      </c>
      <c r="F85">
        <v>-1370</v>
      </c>
      <c r="G85">
        <v>113</v>
      </c>
      <c r="H85">
        <v>6</v>
      </c>
      <c r="I85">
        <v>1037</v>
      </c>
      <c r="J85">
        <v>394</v>
      </c>
      <c r="K85">
        <v>-632</v>
      </c>
    </row>
    <row r="86" spans="1:11" x14ac:dyDescent="0.3">
      <c r="A86" s="9"/>
    </row>
    <row r="87" spans="1:11" x14ac:dyDescent="0.3">
      <c r="A87" s="9"/>
    </row>
    <row r="88" spans="1:11" x14ac:dyDescent="0.3">
      <c r="A88" s="9"/>
    </row>
    <row r="89" spans="1:11" x14ac:dyDescent="0.3">
      <c r="A89" s="9"/>
    </row>
    <row r="90" spans="1:11" s="1" customFormat="1" x14ac:dyDescent="0.3">
      <c r="A90" s="1" t="s">
        <v>77</v>
      </c>
      <c r="B90">
        <v>661.03</v>
      </c>
      <c r="C90">
        <v>732.55</v>
      </c>
      <c r="D90">
        <v>649.70000000000005</v>
      </c>
      <c r="E90">
        <v>457.05</v>
      </c>
      <c r="F90">
        <v>806.4</v>
      </c>
      <c r="G90">
        <v>732.3</v>
      </c>
      <c r="H90">
        <v>1268.5999999999999</v>
      </c>
      <c r="I90">
        <v>1960.1</v>
      </c>
      <c r="J90">
        <v>2585.1</v>
      </c>
      <c r="K90">
        <v>3397.4</v>
      </c>
    </row>
    <row r="92" spans="1:11" s="1" customFormat="1" x14ac:dyDescent="0.3">
      <c r="A92" s="1" t="s">
        <v>76</v>
      </c>
    </row>
    <row r="93" spans="1:11" x14ac:dyDescent="0.3">
      <c r="A93" s="5" t="s">
        <v>89</v>
      </c>
      <c r="B93" s="31">
        <v>133.85</v>
      </c>
      <c r="C93" s="31">
        <v>133.85</v>
      </c>
      <c r="D93" s="31">
        <v>133.85</v>
      </c>
      <c r="E93" s="31">
        <v>133.85</v>
      </c>
      <c r="F93" s="31">
        <v>133.85</v>
      </c>
      <c r="G93" s="31">
        <v>133.85</v>
      </c>
      <c r="H93" s="31">
        <v>133.85</v>
      </c>
      <c r="I93" s="31">
        <v>133.85</v>
      </c>
      <c r="J93" s="31">
        <v>133.85</v>
      </c>
      <c r="K93" s="31">
        <v>133.85</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8617</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1055</v>
      </c>
      <c r="D6" s="48">
        <v>2385</v>
      </c>
      <c r="E6" s="48">
        <v>183</v>
      </c>
      <c r="F6" s="48">
        <v>682</v>
      </c>
      <c r="G6" s="48">
        <v>-4347</v>
      </c>
      <c r="H6" s="48">
        <v>-1457</v>
      </c>
      <c r="I6" s="48">
        <v>17909</v>
      </c>
      <c r="J6" s="48">
        <v>9248</v>
      </c>
      <c r="K6" s="48">
        <v>-7074</v>
      </c>
      <c r="L6" s="48">
        <v>-5630</v>
      </c>
      <c r="M6" s="48">
        <v>3176</v>
      </c>
      <c r="N6" s="48">
        <v>11657</v>
      </c>
    </row>
    <row r="7" spans="2:28" x14ac:dyDescent="0.3">
      <c r="B7" t="s">
        <v>130</v>
      </c>
      <c r="C7" s="48">
        <v>6454</v>
      </c>
      <c r="D7" s="48">
        <v>7595</v>
      </c>
      <c r="E7" s="48">
        <v>7911</v>
      </c>
      <c r="F7" s="48">
        <v>10159</v>
      </c>
      <c r="G7" s="48">
        <v>11112</v>
      </c>
      <c r="H7" s="48">
        <v>7774</v>
      </c>
      <c r="I7" s="48">
        <v>7588</v>
      </c>
      <c r="J7" s="48">
        <v>10515</v>
      </c>
      <c r="K7" s="48">
        <v>15642</v>
      </c>
      <c r="L7" s="48">
        <v>17541</v>
      </c>
      <c r="M7" s="48">
        <v>22050</v>
      </c>
      <c r="N7" s="48">
        <v>28938</v>
      </c>
    </row>
    <row r="8" spans="2:28" x14ac:dyDescent="0.3">
      <c r="B8" t="s">
        <v>78</v>
      </c>
      <c r="C8">
        <v>-575</v>
      </c>
      <c r="D8">
        <v>177</v>
      </c>
      <c r="E8">
        <v>-8609</v>
      </c>
      <c r="F8">
        <v>-11918</v>
      </c>
      <c r="G8">
        <v>-13712</v>
      </c>
      <c r="H8" s="48">
        <v>-1516</v>
      </c>
      <c r="I8">
        <v>4896</v>
      </c>
      <c r="J8">
        <v>-2506</v>
      </c>
      <c r="K8">
        <v>-21702</v>
      </c>
      <c r="L8">
        <v>-21777</v>
      </c>
      <c r="M8" s="48">
        <v>-20952</v>
      </c>
      <c r="N8">
        <v>-19186</v>
      </c>
    </row>
    <row r="9" spans="2:28" x14ac:dyDescent="0.3">
      <c r="B9" t="s">
        <v>45</v>
      </c>
      <c r="C9">
        <v>-62</v>
      </c>
      <c r="D9">
        <v>-1113</v>
      </c>
      <c r="E9">
        <v>241</v>
      </c>
      <c r="F9">
        <v>-256</v>
      </c>
      <c r="G9">
        <v>-2276</v>
      </c>
      <c r="H9">
        <v>1316</v>
      </c>
      <c r="I9" s="48">
        <v>226</v>
      </c>
      <c r="J9">
        <v>-2173</v>
      </c>
      <c r="K9" s="48">
        <v>-5252</v>
      </c>
      <c r="L9" s="48">
        <v>-1753</v>
      </c>
      <c r="M9" s="48">
        <v>-1646</v>
      </c>
      <c r="N9" s="48">
        <v>-593</v>
      </c>
    </row>
    <row r="10" spans="2:28" x14ac:dyDescent="0.3">
      <c r="B10" t="s">
        <v>131</v>
      </c>
      <c r="C10">
        <v>1169</v>
      </c>
      <c r="D10">
        <v>1939</v>
      </c>
      <c r="E10">
        <v>2645</v>
      </c>
      <c r="F10" s="48">
        <v>5361</v>
      </c>
      <c r="G10">
        <v>3466</v>
      </c>
      <c r="H10">
        <v>-6775</v>
      </c>
      <c r="I10" s="48">
        <v>7049</v>
      </c>
      <c r="J10" s="48">
        <v>4972</v>
      </c>
      <c r="K10" s="48">
        <v>7013</v>
      </c>
      <c r="L10">
        <v>4354</v>
      </c>
      <c r="M10" s="48">
        <v>8485</v>
      </c>
      <c r="N10">
        <v>8763</v>
      </c>
    </row>
    <row r="11" spans="2:28" x14ac:dyDescent="0.3">
      <c r="B11" t="s">
        <v>132</v>
      </c>
      <c r="C11">
        <v>-3698</v>
      </c>
      <c r="D11">
        <v>-3238</v>
      </c>
      <c r="E11">
        <v>-5724</v>
      </c>
      <c r="F11" s="48">
        <v>-6813</v>
      </c>
      <c r="G11">
        <v>-12522</v>
      </c>
      <c r="H11">
        <v>-6974</v>
      </c>
      <c r="I11">
        <v>12171</v>
      </c>
      <c r="J11">
        <v>293</v>
      </c>
      <c r="K11">
        <v>-19941</v>
      </c>
      <c r="L11" s="48">
        <v>-19175</v>
      </c>
      <c r="M11" s="48">
        <v>-14113</v>
      </c>
      <c r="N11" s="48">
        <v>-11016</v>
      </c>
    </row>
    <row r="12" spans="2:28" x14ac:dyDescent="0.3">
      <c r="B12" t="s">
        <v>133</v>
      </c>
      <c r="C12" s="48">
        <v>-1701</v>
      </c>
      <c r="D12" s="48">
        <v>-1973</v>
      </c>
      <c r="E12" s="48">
        <v>-2005</v>
      </c>
      <c r="F12" s="48">
        <v>-2664</v>
      </c>
      <c r="G12" s="48">
        <v>-2937</v>
      </c>
      <c r="H12" s="48">
        <v>-2257</v>
      </c>
      <c r="I12" s="48">
        <v>-1850</v>
      </c>
      <c r="J12" s="48">
        <v>-1560</v>
      </c>
      <c r="K12" s="48">
        <v>-2775</v>
      </c>
      <c r="L12" s="48">
        <v>-3996</v>
      </c>
      <c r="M12" s="48">
        <v>-4761</v>
      </c>
      <c r="N12" s="48">
        <v>-6265</v>
      </c>
    </row>
    <row r="13" spans="2:28" x14ac:dyDescent="0.3">
      <c r="B13" t="s">
        <v>134</v>
      </c>
      <c r="C13" s="48">
        <v>-4357</v>
      </c>
      <c r="D13" s="48">
        <v>-5506</v>
      </c>
      <c r="E13" s="48">
        <v>-5875</v>
      </c>
      <c r="F13" s="48">
        <v>-5467</v>
      </c>
      <c r="G13" s="48">
        <v>-7174</v>
      </c>
      <c r="H13" s="48">
        <v>-6870</v>
      </c>
      <c r="I13" s="48">
        <v>-19686</v>
      </c>
      <c r="J13" s="48">
        <v>-3252</v>
      </c>
      <c r="K13" s="48">
        <v>-8866</v>
      </c>
      <c r="L13" s="48">
        <v>-5615</v>
      </c>
      <c r="M13">
        <v>-18616</v>
      </c>
      <c r="N13" s="48">
        <v>-17680</v>
      </c>
    </row>
    <row r="14" spans="2:28" x14ac:dyDescent="0.3">
      <c r="B14" t="s">
        <v>135</v>
      </c>
      <c r="C14" s="48">
        <v>-4759</v>
      </c>
      <c r="D14" s="48">
        <v>-4172</v>
      </c>
      <c r="E14" s="48">
        <v>-5026</v>
      </c>
      <c r="F14" s="48">
        <v>-5906</v>
      </c>
      <c r="G14" s="48">
        <v>-7340</v>
      </c>
      <c r="H14" s="48">
        <v>-6896</v>
      </c>
      <c r="I14" s="48">
        <v>-5989</v>
      </c>
      <c r="J14" s="48">
        <v>-6040</v>
      </c>
      <c r="K14" s="48">
        <v>-6305</v>
      </c>
      <c r="L14" s="48">
        <v>-9946</v>
      </c>
      <c r="M14" s="48">
        <v>-10392</v>
      </c>
      <c r="N14" s="48">
        <v>-9605</v>
      </c>
    </row>
    <row r="15" spans="2:28" x14ac:dyDescent="0.3">
      <c r="B15" t="s">
        <v>136</v>
      </c>
      <c r="C15">
        <v>43</v>
      </c>
      <c r="D15">
        <v>59</v>
      </c>
      <c r="E15">
        <v>63</v>
      </c>
      <c r="F15">
        <v>115</v>
      </c>
      <c r="G15">
        <v>142</v>
      </c>
      <c r="H15">
        <v>102</v>
      </c>
      <c r="I15">
        <v>1364</v>
      </c>
      <c r="J15">
        <v>120</v>
      </c>
      <c r="K15">
        <v>138</v>
      </c>
      <c r="L15">
        <v>273</v>
      </c>
      <c r="M15">
        <v>583</v>
      </c>
      <c r="N15">
        <v>493</v>
      </c>
    </row>
    <row r="16" spans="2:28" x14ac:dyDescent="0.3">
      <c r="B16" t="s">
        <v>137</v>
      </c>
      <c r="C16" s="48">
        <v>-80047</v>
      </c>
      <c r="D16" s="48">
        <v>-87898</v>
      </c>
      <c r="E16" s="48">
        <v>-132173</v>
      </c>
      <c r="F16" s="48">
        <v>-155159</v>
      </c>
      <c r="G16" s="48">
        <v>-196474</v>
      </c>
      <c r="H16" s="48">
        <v>-198568</v>
      </c>
      <c r="I16" s="48">
        <v>-120055</v>
      </c>
      <c r="J16" s="48">
        <v>-87740</v>
      </c>
      <c r="K16" s="48">
        <v>-50165</v>
      </c>
      <c r="L16" s="48">
        <v>-49927</v>
      </c>
      <c r="M16" s="48">
        <v>-90595</v>
      </c>
      <c r="N16" s="48">
        <v>-141518</v>
      </c>
    </row>
    <row r="17" spans="2:14" x14ac:dyDescent="0.3">
      <c r="B17" t="s">
        <v>138</v>
      </c>
      <c r="C17" s="48">
        <v>79778</v>
      </c>
      <c r="D17" s="48">
        <v>86436</v>
      </c>
      <c r="E17" s="48">
        <v>130940</v>
      </c>
      <c r="F17" s="48">
        <v>154631</v>
      </c>
      <c r="G17" s="48">
        <v>195898</v>
      </c>
      <c r="H17" s="48">
        <v>198132</v>
      </c>
      <c r="I17" s="48">
        <v>111749</v>
      </c>
      <c r="J17" s="48">
        <v>87446</v>
      </c>
      <c r="K17" s="48">
        <v>46269</v>
      </c>
      <c r="L17" s="48">
        <v>50919</v>
      </c>
      <c r="M17" s="48">
        <v>85257</v>
      </c>
      <c r="N17" s="48">
        <v>144887</v>
      </c>
    </row>
    <row r="18" spans="2:14" x14ac:dyDescent="0.3">
      <c r="B18" t="s">
        <v>139</v>
      </c>
      <c r="C18">
        <v>356</v>
      </c>
      <c r="D18">
        <v>311</v>
      </c>
      <c r="E18">
        <v>346</v>
      </c>
      <c r="F18">
        <v>254</v>
      </c>
      <c r="G18" s="48">
        <v>314</v>
      </c>
      <c r="H18" s="48">
        <v>372</v>
      </c>
      <c r="I18" s="48">
        <v>431</v>
      </c>
      <c r="J18" s="48">
        <v>420</v>
      </c>
      <c r="K18" s="48">
        <v>464</v>
      </c>
      <c r="L18" s="48">
        <v>703</v>
      </c>
      <c r="M18" s="48">
        <v>884</v>
      </c>
      <c r="N18">
        <v>1559</v>
      </c>
    </row>
    <row r="19" spans="2:14" x14ac:dyDescent="0.3">
      <c r="B19" t="s">
        <v>140</v>
      </c>
      <c r="C19">
        <v>169</v>
      </c>
      <c r="D19">
        <v>208</v>
      </c>
      <c r="E19">
        <v>409</v>
      </c>
      <c r="F19">
        <v>316</v>
      </c>
      <c r="G19">
        <v>466</v>
      </c>
      <c r="H19">
        <v>722</v>
      </c>
      <c r="I19">
        <v>577</v>
      </c>
      <c r="J19">
        <v>1247</v>
      </c>
      <c r="K19">
        <v>1397</v>
      </c>
      <c r="L19">
        <v>1213</v>
      </c>
      <c r="M19">
        <v>1374</v>
      </c>
      <c r="N19">
        <v>1287</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-147</v>
      </c>
      <c r="E21">
        <v>-647</v>
      </c>
      <c r="F21">
        <v>-704</v>
      </c>
      <c r="G21">
        <v>-319</v>
      </c>
      <c r="H21">
        <v>-418</v>
      </c>
      <c r="I21">
        <v>-359</v>
      </c>
      <c r="J21">
        <v>-222</v>
      </c>
      <c r="K21">
        <v>-62</v>
      </c>
      <c r="L21">
        <v>-249</v>
      </c>
      <c r="M21">
        <v>-29</v>
      </c>
      <c r="N21">
        <v>-785</v>
      </c>
    </row>
    <row r="22" spans="2:14" x14ac:dyDescent="0.3">
      <c r="B22" t="s">
        <v>141</v>
      </c>
      <c r="C22">
        <v>401</v>
      </c>
      <c r="D22">
        <v>0</v>
      </c>
      <c r="E22">
        <v>88</v>
      </c>
      <c r="F22">
        <v>1677</v>
      </c>
      <c r="G22">
        <v>717</v>
      </c>
      <c r="H22">
        <v>175</v>
      </c>
      <c r="I22">
        <v>316</v>
      </c>
      <c r="J22">
        <v>617</v>
      </c>
      <c r="K22">
        <v>1863</v>
      </c>
      <c r="L22">
        <v>1043</v>
      </c>
      <c r="M22">
        <v>620</v>
      </c>
      <c r="N22">
        <v>2283</v>
      </c>
    </row>
    <row r="23" spans="2:14" x14ac:dyDescent="0.3">
      <c r="B23" t="s">
        <v>142</v>
      </c>
      <c r="C23" s="48">
        <v>-275</v>
      </c>
      <c r="D23" s="48">
        <v>-94</v>
      </c>
      <c r="E23" s="48">
        <v>209</v>
      </c>
      <c r="F23" s="48">
        <v>-290</v>
      </c>
      <c r="G23" s="48">
        <v>-577</v>
      </c>
      <c r="H23" s="48">
        <v>-437</v>
      </c>
      <c r="I23" s="48">
        <v>-7457</v>
      </c>
      <c r="J23" s="48">
        <v>1494</v>
      </c>
      <c r="K23">
        <v>-1786</v>
      </c>
      <c r="L23" s="48">
        <v>-78</v>
      </c>
      <c r="M23">
        <v>-6075</v>
      </c>
      <c r="N23" s="48">
        <v>-15084</v>
      </c>
    </row>
    <row r="24" spans="2:14" x14ac:dyDescent="0.3">
      <c r="B24" t="s">
        <v>143</v>
      </c>
      <c r="C24" s="48">
        <v>1669</v>
      </c>
      <c r="D24" s="48">
        <v>2967</v>
      </c>
      <c r="E24" s="48">
        <v>6108</v>
      </c>
      <c r="F24" s="48">
        <v>6314</v>
      </c>
      <c r="G24" s="48">
        <v>13194</v>
      </c>
      <c r="H24" s="48">
        <v>6933</v>
      </c>
      <c r="I24" s="48">
        <v>406</v>
      </c>
      <c r="J24" s="48">
        <v>-5883</v>
      </c>
      <c r="K24" s="48">
        <v>15946</v>
      </c>
      <c r="L24" s="48">
        <v>12281</v>
      </c>
      <c r="M24" s="48">
        <v>15834</v>
      </c>
      <c r="N24" s="48">
        <v>5391</v>
      </c>
    </row>
    <row r="25" spans="2:14" x14ac:dyDescent="0.3">
      <c r="B25" t="s">
        <v>144</v>
      </c>
      <c r="C25">
        <v>3</v>
      </c>
      <c r="D25">
        <v>18</v>
      </c>
      <c r="E25" s="48">
        <v>12</v>
      </c>
      <c r="F25">
        <v>4</v>
      </c>
      <c r="G25">
        <v>1</v>
      </c>
      <c r="H25">
        <v>1243</v>
      </c>
      <c r="I25">
        <v>1</v>
      </c>
      <c r="J25">
        <v>1</v>
      </c>
      <c r="K25" s="48">
        <v>1</v>
      </c>
      <c r="L25" s="48">
        <v>1</v>
      </c>
      <c r="M25">
        <v>1</v>
      </c>
      <c r="N25">
        <v>1</v>
      </c>
    </row>
    <row r="26" spans="2:14" x14ac:dyDescent="0.3">
      <c r="B26" t="s">
        <v>145</v>
      </c>
      <c r="C26">
        <v>0</v>
      </c>
      <c r="D26">
        <v>0</v>
      </c>
      <c r="E26">
        <v>0</v>
      </c>
      <c r="F26">
        <v>0</v>
      </c>
      <c r="G26">
        <v>71389</v>
      </c>
      <c r="H26">
        <v>52618</v>
      </c>
      <c r="I26">
        <v>38100</v>
      </c>
      <c r="J26">
        <v>53880</v>
      </c>
      <c r="K26">
        <v>55622</v>
      </c>
      <c r="L26">
        <v>61308</v>
      </c>
      <c r="M26">
        <v>82590</v>
      </c>
      <c r="N26" s="48">
        <v>79722</v>
      </c>
    </row>
    <row r="27" spans="2:14" x14ac:dyDescent="0.3">
      <c r="B27" t="s">
        <v>146</v>
      </c>
      <c r="C27">
        <v>0</v>
      </c>
      <c r="D27">
        <v>0</v>
      </c>
      <c r="E27">
        <v>0</v>
      </c>
      <c r="F27">
        <v>0</v>
      </c>
      <c r="G27">
        <v>-56352</v>
      </c>
      <c r="H27">
        <v>-44044</v>
      </c>
      <c r="I27">
        <v>-37505</v>
      </c>
      <c r="J27">
        <v>-57223</v>
      </c>
      <c r="K27">
        <v>-37056</v>
      </c>
      <c r="L27">
        <v>-46805</v>
      </c>
      <c r="M27">
        <v>-64689</v>
      </c>
      <c r="N27">
        <v>-72089</v>
      </c>
    </row>
    <row r="28" spans="2:14" x14ac:dyDescent="0.3">
      <c r="B28" t="s">
        <v>147</v>
      </c>
      <c r="C28">
        <v>-489</v>
      </c>
      <c r="D28">
        <v>-443</v>
      </c>
      <c r="E28">
        <v>-471</v>
      </c>
      <c r="F28">
        <v>-521</v>
      </c>
      <c r="G28">
        <v>-723</v>
      </c>
      <c r="H28">
        <v>-624</v>
      </c>
      <c r="I28">
        <v>-809</v>
      </c>
      <c r="J28">
        <v>-680</v>
      </c>
      <c r="K28">
        <v>-734</v>
      </c>
      <c r="L28">
        <v>-597</v>
      </c>
      <c r="M28">
        <v>-436</v>
      </c>
      <c r="N28">
        <v>-344</v>
      </c>
    </row>
    <row r="29" spans="2:14" x14ac:dyDescent="0.3">
      <c r="B29" t="s">
        <v>148</v>
      </c>
      <c r="C29" s="48">
        <v>-1200</v>
      </c>
      <c r="D29" s="48">
        <v>-932</v>
      </c>
      <c r="E29" s="48">
        <v>-936</v>
      </c>
      <c r="F29" s="48">
        <v>-963</v>
      </c>
      <c r="G29" s="48">
        <v>-1134</v>
      </c>
      <c r="H29" s="48">
        <v>-1398</v>
      </c>
      <c r="I29" s="48">
        <v>-271</v>
      </c>
      <c r="J29" s="48">
        <v>-1037</v>
      </c>
      <c r="K29" s="48">
        <v>-1522</v>
      </c>
      <c r="L29" s="48">
        <v>-2247</v>
      </c>
      <c r="M29" s="48">
        <v>-2806</v>
      </c>
      <c r="N29" s="48">
        <v>-3376</v>
      </c>
    </row>
    <row r="30" spans="2:14" x14ac:dyDescent="0.3">
      <c r="B30" t="s">
        <v>149</v>
      </c>
      <c r="C30">
        <v>0</v>
      </c>
      <c r="D30">
        <v>0</v>
      </c>
      <c r="E30">
        <v>0</v>
      </c>
      <c r="F30">
        <v>0</v>
      </c>
      <c r="G30">
        <v>0</v>
      </c>
      <c r="H30">
        <v>-558</v>
      </c>
      <c r="I30">
        <v>-553</v>
      </c>
      <c r="J30">
        <v>-583</v>
      </c>
      <c r="K30">
        <v>-751</v>
      </c>
      <c r="L30">
        <v>-786</v>
      </c>
      <c r="M30">
        <v>-887</v>
      </c>
      <c r="N30">
        <v>-967</v>
      </c>
    </row>
    <row r="31" spans="2:14" x14ac:dyDescent="0.3">
      <c r="B31" t="s">
        <v>150</v>
      </c>
      <c r="C31">
        <v>3355</v>
      </c>
      <c r="D31">
        <v>4324</v>
      </c>
      <c r="E31" s="48">
        <v>7503</v>
      </c>
      <c r="F31" s="48">
        <v>7794</v>
      </c>
      <c r="G31" s="48">
        <v>12</v>
      </c>
      <c r="H31" s="48">
        <v>-304</v>
      </c>
      <c r="I31">
        <v>1444</v>
      </c>
      <c r="J31">
        <v>-240</v>
      </c>
      <c r="K31">
        <v>386</v>
      </c>
      <c r="L31">
        <v>1408</v>
      </c>
      <c r="M31">
        <v>2062</v>
      </c>
      <c r="N31">
        <v>2445</v>
      </c>
    </row>
    <row r="32" spans="2:14" x14ac:dyDescent="0.3">
      <c r="B32" t="s">
        <v>35</v>
      </c>
      <c r="C32">
        <v>-1633</v>
      </c>
      <c r="D32">
        <v>-154</v>
      </c>
      <c r="E32">
        <v>416</v>
      </c>
      <c r="F32">
        <v>1529</v>
      </c>
      <c r="G32">
        <v>1672</v>
      </c>
      <c r="H32">
        <v>-1394</v>
      </c>
      <c r="I32">
        <v>-1370</v>
      </c>
      <c r="J32">
        <v>113</v>
      </c>
      <c r="K32">
        <v>6</v>
      </c>
      <c r="L32">
        <v>1037</v>
      </c>
      <c r="M32">
        <v>394</v>
      </c>
      <c r="N32">
        <v>-632</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MAHINDRA &amp; MAHINDRA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83773</v>
      </c>
      <c r="D7" s="106">
        <f>'Data Sheet'!C17</f>
        <v>92094</v>
      </c>
      <c r="E7" s="106">
        <f>'Data Sheet'!D17</f>
        <v>104721</v>
      </c>
      <c r="F7" s="106">
        <f>'Data Sheet'!E17</f>
        <v>75382</v>
      </c>
      <c r="G7" s="106">
        <f>'Data Sheet'!F17</f>
        <v>74278</v>
      </c>
      <c r="H7" s="106">
        <f>'Data Sheet'!G17</f>
        <v>90171</v>
      </c>
      <c r="I7" s="106">
        <f>'Data Sheet'!H17</f>
        <v>121362</v>
      </c>
      <c r="J7" s="106">
        <f>'Data Sheet'!I17</f>
        <v>139078</v>
      </c>
      <c r="K7" s="106">
        <f>'Data Sheet'!J17</f>
        <v>159211</v>
      </c>
      <c r="L7" s="106">
        <f>'Data Sheet'!K17</f>
        <v>198639</v>
      </c>
    </row>
    <row r="8" spans="1:14" x14ac:dyDescent="0.3">
      <c r="B8" t="s">
        <v>22</v>
      </c>
      <c r="C8" s="110" t="s">
        <v>120</v>
      </c>
      <c r="D8" s="111">
        <f>D7/C7-1</f>
        <v>9.9327945758179936E-2</v>
      </c>
      <c r="E8" s="111">
        <f t="shared" ref="E8:L8" si="0">E7/D7-1</f>
        <v>0.1371099094403545</v>
      </c>
      <c r="F8" s="111">
        <f t="shared" si="0"/>
        <v>-0.28016348201411367</v>
      </c>
      <c r="G8" s="111">
        <f t="shared" si="0"/>
        <v>-1.4645406065108335E-2</v>
      </c>
      <c r="H8" s="111">
        <f t="shared" si="0"/>
        <v>0.213966450362153</v>
      </c>
      <c r="I8" s="111">
        <f t="shared" si="0"/>
        <v>0.34590943873307389</v>
      </c>
      <c r="J8" s="111">
        <f t="shared" si="0"/>
        <v>0.1459765000576787</v>
      </c>
      <c r="K8" s="111">
        <f t="shared" si="0"/>
        <v>0.14476049411121816</v>
      </c>
      <c r="L8" s="111">
        <f t="shared" si="0"/>
        <v>0.24764620535013293</v>
      </c>
    </row>
    <row r="10" spans="1:14" x14ac:dyDescent="0.3">
      <c r="B10" t="s">
        <v>99</v>
      </c>
      <c r="C10" s="106">
        <f>SUM('Data Sheet'!B18,'Data Sheet'!B20:B22)-'Data Sheet'!B19</f>
        <v>63667.48</v>
      </c>
      <c r="D10" s="106">
        <f>SUM('Data Sheet'!C18,'Data Sheet'!C20:C22)-'Data Sheet'!C19</f>
        <v>68149.56</v>
      </c>
      <c r="E10" s="106">
        <f>SUM('Data Sheet'!D18,'Data Sheet'!D20:D22)-'Data Sheet'!D19</f>
        <v>76446.33</v>
      </c>
      <c r="F10" s="106">
        <f>SUM('Data Sheet'!E18,'Data Sheet'!E20:E22)-'Data Sheet'!E19</f>
        <v>50505.94</v>
      </c>
      <c r="G10" s="106">
        <f>SUM('Data Sheet'!F18,'Data Sheet'!F20:F22)-'Data Sheet'!F19</f>
        <v>49766.26</v>
      </c>
      <c r="H10" s="106">
        <f>SUM('Data Sheet'!G18,'Data Sheet'!G20:G22)-'Data Sheet'!G19</f>
        <v>63119.7</v>
      </c>
      <c r="I10" s="106">
        <f>SUM('Data Sheet'!H18,'Data Sheet'!H20:H22)-'Data Sheet'!H19</f>
        <v>88594.260000000009</v>
      </c>
      <c r="J10" s="106">
        <f>SUM('Data Sheet'!I18,'Data Sheet'!I20:I22)-'Data Sheet'!I19</f>
        <v>98745.38</v>
      </c>
      <c r="K10" s="106">
        <f>SUM('Data Sheet'!J18,'Data Sheet'!J20:J22)-'Data Sheet'!J19</f>
        <v>111447.70000000001</v>
      </c>
      <c r="L10" s="106">
        <f>SUM('Data Sheet'!K18,'Data Sheet'!K20:K22)-'Data Sheet'!K19</f>
        <v>141033.69</v>
      </c>
    </row>
    <row r="11" spans="1:14" x14ac:dyDescent="0.3">
      <c r="B11" t="s">
        <v>98</v>
      </c>
      <c r="C11" s="112">
        <f>C10/C7</f>
        <v>0.76</v>
      </c>
      <c r="D11" s="112">
        <f t="shared" ref="D11:L11" si="1">D10/D7</f>
        <v>0.74</v>
      </c>
      <c r="E11" s="112">
        <f t="shared" si="1"/>
        <v>0.73</v>
      </c>
      <c r="F11" s="112">
        <f t="shared" si="1"/>
        <v>0.67</v>
      </c>
      <c r="G11" s="112">
        <f t="shared" si="1"/>
        <v>0.67</v>
      </c>
      <c r="H11" s="112">
        <f t="shared" si="1"/>
        <v>0.7</v>
      </c>
      <c r="I11" s="112">
        <f t="shared" si="1"/>
        <v>0.73000000000000009</v>
      </c>
      <c r="J11" s="112">
        <f t="shared" si="1"/>
        <v>0.71000000000000008</v>
      </c>
      <c r="K11" s="112">
        <f t="shared" si="1"/>
        <v>0.70000000000000007</v>
      </c>
      <c r="L11" s="112">
        <f t="shared" si="1"/>
        <v>0.71</v>
      </c>
    </row>
    <row r="13" spans="1:14" x14ac:dyDescent="0.3">
      <c r="B13" t="s">
        <v>100</v>
      </c>
      <c r="C13" s="106">
        <f>C7-C10</f>
        <v>20105.519999999997</v>
      </c>
      <c r="D13" s="106">
        <f t="shared" ref="D13:L13" si="2">D7-D10</f>
        <v>23944.440000000002</v>
      </c>
      <c r="E13" s="106">
        <f t="shared" si="2"/>
        <v>28274.67</v>
      </c>
      <c r="F13" s="106">
        <f t="shared" si="2"/>
        <v>24876.059999999998</v>
      </c>
      <c r="G13" s="106">
        <f t="shared" si="2"/>
        <v>24511.739999999998</v>
      </c>
      <c r="H13" s="106">
        <f t="shared" si="2"/>
        <v>27051.300000000003</v>
      </c>
      <c r="I13" s="106">
        <f t="shared" si="2"/>
        <v>32767.739999999991</v>
      </c>
      <c r="J13" s="106">
        <f t="shared" si="2"/>
        <v>40332.619999999995</v>
      </c>
      <c r="K13" s="106">
        <f t="shared" si="2"/>
        <v>47763.299999999988</v>
      </c>
      <c r="L13" s="106">
        <f t="shared" si="2"/>
        <v>57605.31</v>
      </c>
    </row>
    <row r="14" spans="1:14" x14ac:dyDescent="0.3">
      <c r="B14" t="s">
        <v>101</v>
      </c>
      <c r="C14" s="112">
        <f>C13/C7</f>
        <v>0.23999999999999996</v>
      </c>
      <c r="D14" s="112">
        <f t="shared" ref="D14:L14" si="3">D13/D7</f>
        <v>0.26</v>
      </c>
      <c r="E14" s="112">
        <f t="shared" si="3"/>
        <v>0.26999999999999996</v>
      </c>
      <c r="F14" s="112">
        <f t="shared" si="3"/>
        <v>0.32999999999999996</v>
      </c>
      <c r="G14" s="112">
        <f t="shared" si="3"/>
        <v>0.32999999999999996</v>
      </c>
      <c r="H14" s="112">
        <f t="shared" si="3"/>
        <v>0.30000000000000004</v>
      </c>
      <c r="I14" s="112">
        <f t="shared" si="3"/>
        <v>0.26999999999999991</v>
      </c>
      <c r="J14" s="112">
        <f t="shared" si="3"/>
        <v>0.28999999999999998</v>
      </c>
      <c r="K14" s="112">
        <f t="shared" si="3"/>
        <v>0.29999999999999993</v>
      </c>
      <c r="L14" s="112">
        <f t="shared" si="3"/>
        <v>0.28999999999999998</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20105.519999999997</v>
      </c>
      <c r="D19" s="106">
        <f t="shared" ref="D19:L19" si="5">D13-D16</f>
        <v>23944.440000000002</v>
      </c>
      <c r="E19" s="106">
        <f t="shared" si="5"/>
        <v>28274.67</v>
      </c>
      <c r="F19" s="106">
        <f t="shared" si="5"/>
        <v>24876.059999999998</v>
      </c>
      <c r="G19" s="106">
        <f t="shared" si="5"/>
        <v>24511.739999999998</v>
      </c>
      <c r="H19" s="106">
        <f t="shared" si="5"/>
        <v>27051.300000000003</v>
      </c>
      <c r="I19" s="106">
        <f t="shared" si="5"/>
        <v>32767.739999999991</v>
      </c>
      <c r="J19" s="106">
        <f t="shared" si="5"/>
        <v>40332.619999999995</v>
      </c>
      <c r="K19" s="106">
        <f t="shared" si="5"/>
        <v>47763.299999999988</v>
      </c>
      <c r="L19" s="106">
        <f t="shared" si="5"/>
        <v>57605.31</v>
      </c>
    </row>
    <row r="20" spans="2:12" x14ac:dyDescent="0.3">
      <c r="B20" t="s">
        <v>104</v>
      </c>
      <c r="C20" s="112">
        <f>C19/C7</f>
        <v>0.23999999999999996</v>
      </c>
      <c r="D20" s="112">
        <f t="shared" ref="D20:L20" si="6">D19/D7</f>
        <v>0.26</v>
      </c>
      <c r="E20" s="112">
        <f t="shared" si="6"/>
        <v>0.26999999999999996</v>
      </c>
      <c r="F20" s="112">
        <f t="shared" si="6"/>
        <v>0.32999999999999996</v>
      </c>
      <c r="G20" s="112">
        <f t="shared" si="6"/>
        <v>0.32999999999999996</v>
      </c>
      <c r="H20" s="112">
        <f t="shared" si="6"/>
        <v>0.30000000000000004</v>
      </c>
      <c r="I20" s="112">
        <f t="shared" si="6"/>
        <v>0.26999999999999991</v>
      </c>
      <c r="J20" s="112">
        <f t="shared" si="6"/>
        <v>0.28999999999999998</v>
      </c>
      <c r="K20" s="112">
        <f t="shared" si="6"/>
        <v>0.29999999999999993</v>
      </c>
      <c r="L20" s="112">
        <f t="shared" si="6"/>
        <v>0.28999999999999998</v>
      </c>
    </row>
    <row r="22" spans="2:12" x14ac:dyDescent="0.3">
      <c r="B22" t="s">
        <v>10</v>
      </c>
      <c r="C22" s="106">
        <f>'Data Sheet'!B26</f>
        <v>2813</v>
      </c>
      <c r="D22" s="106">
        <f>'Data Sheet'!C26</f>
        <v>3280</v>
      </c>
      <c r="E22" s="106">
        <f>'Data Sheet'!D26</f>
        <v>3991</v>
      </c>
      <c r="F22" s="106">
        <f>'Data Sheet'!E26</f>
        <v>3367</v>
      </c>
      <c r="G22" s="106">
        <f>'Data Sheet'!F26</f>
        <v>3378</v>
      </c>
      <c r="H22" s="106">
        <f>'Data Sheet'!G26</f>
        <v>3508</v>
      </c>
      <c r="I22" s="106">
        <f>'Data Sheet'!H26</f>
        <v>4357</v>
      </c>
      <c r="J22" s="106">
        <f>'Data Sheet'!I26</f>
        <v>4724</v>
      </c>
      <c r="K22" s="106">
        <f>'Data Sheet'!J26</f>
        <v>6074</v>
      </c>
      <c r="L22" s="106">
        <f>'Data Sheet'!K26</f>
        <v>7322</v>
      </c>
    </row>
    <row r="23" spans="2:12" x14ac:dyDescent="0.3">
      <c r="B23" t="s">
        <v>105</v>
      </c>
      <c r="C23" s="112">
        <f>C22/C7</f>
        <v>3.3578838050445849E-2</v>
      </c>
      <c r="D23" s="112">
        <f t="shared" ref="D23:L23" si="7">D22/D7</f>
        <v>3.5615783872999324E-2</v>
      </c>
      <c r="E23" s="112">
        <f t="shared" si="7"/>
        <v>3.811078962194784E-2</v>
      </c>
      <c r="F23" s="112">
        <f t="shared" si="7"/>
        <v>4.4665835345307901E-2</v>
      </c>
      <c r="G23" s="112">
        <f t="shared" si="7"/>
        <v>4.5477799617652602E-2</v>
      </c>
      <c r="H23" s="112">
        <f t="shared" si="7"/>
        <v>3.89038604429362E-2</v>
      </c>
      <c r="I23" s="112">
        <f t="shared" si="7"/>
        <v>3.5900858588355497E-2</v>
      </c>
      <c r="J23" s="112">
        <f t="shared" si="7"/>
        <v>3.3966551143962381E-2</v>
      </c>
      <c r="K23" s="112">
        <f t="shared" si="7"/>
        <v>3.8150630295645402E-2</v>
      </c>
      <c r="L23" s="112">
        <f t="shared" si="7"/>
        <v>3.6860838002607747E-2</v>
      </c>
    </row>
    <row r="25" spans="2:12" x14ac:dyDescent="0.3">
      <c r="B25" t="s">
        <v>106</v>
      </c>
      <c r="C25" s="106">
        <f>C19-C22</f>
        <v>17292.519999999997</v>
      </c>
      <c r="D25" s="106">
        <f t="shared" ref="D25:L25" si="8">D19-D22</f>
        <v>20664.440000000002</v>
      </c>
      <c r="E25" s="106">
        <f t="shared" si="8"/>
        <v>24283.67</v>
      </c>
      <c r="F25" s="106">
        <f t="shared" si="8"/>
        <v>21509.059999999998</v>
      </c>
      <c r="G25" s="106">
        <f t="shared" si="8"/>
        <v>21133.739999999998</v>
      </c>
      <c r="H25" s="106">
        <f t="shared" si="8"/>
        <v>23543.300000000003</v>
      </c>
      <c r="I25" s="106">
        <f t="shared" si="8"/>
        <v>28410.739999999991</v>
      </c>
      <c r="J25" s="106">
        <f t="shared" si="8"/>
        <v>35608.619999999995</v>
      </c>
      <c r="K25" s="106">
        <f t="shared" si="8"/>
        <v>41689.299999999988</v>
      </c>
      <c r="L25" s="106">
        <f t="shared" si="8"/>
        <v>50283.31</v>
      </c>
    </row>
    <row r="26" spans="2:12" x14ac:dyDescent="0.3">
      <c r="B26" t="s">
        <v>107</v>
      </c>
      <c r="C26" s="112">
        <f>C25/C7</f>
        <v>0.20642116194955412</v>
      </c>
      <c r="D26" s="112">
        <f t="shared" ref="D26:L26" si="9">D25/D7</f>
        <v>0.22438421612700069</v>
      </c>
      <c r="E26" s="112">
        <f t="shared" si="9"/>
        <v>0.23188921037805213</v>
      </c>
      <c r="F26" s="112">
        <f t="shared" si="9"/>
        <v>0.28533416465469208</v>
      </c>
      <c r="G26" s="112">
        <f t="shared" si="9"/>
        <v>0.28452220038234738</v>
      </c>
      <c r="H26" s="112">
        <f t="shared" si="9"/>
        <v>0.26109613955706384</v>
      </c>
      <c r="I26" s="112">
        <f t="shared" si="9"/>
        <v>0.23409914141164442</v>
      </c>
      <c r="J26" s="112">
        <f t="shared" si="9"/>
        <v>0.25603344885603757</v>
      </c>
      <c r="K26" s="112">
        <f t="shared" si="9"/>
        <v>0.26184936970435452</v>
      </c>
      <c r="L26" s="112">
        <f t="shared" si="9"/>
        <v>0.25313916199739223</v>
      </c>
    </row>
    <row r="28" spans="2:12" x14ac:dyDescent="0.3">
      <c r="B28" t="s">
        <v>11</v>
      </c>
      <c r="C28" s="106">
        <f>'Data Sheet'!B27</f>
        <v>3648</v>
      </c>
      <c r="D28" s="106">
        <f>'Data Sheet'!C27</f>
        <v>3987</v>
      </c>
      <c r="E28" s="106">
        <f>'Data Sheet'!D27</f>
        <v>5021</v>
      </c>
      <c r="F28" s="106">
        <f>'Data Sheet'!E27</f>
        <v>6021</v>
      </c>
      <c r="G28" s="106">
        <f>'Data Sheet'!F27</f>
        <v>6102</v>
      </c>
      <c r="H28" s="106">
        <f>'Data Sheet'!G27</f>
        <v>5018</v>
      </c>
      <c r="I28" s="106">
        <f>'Data Sheet'!H27</f>
        <v>5830</v>
      </c>
      <c r="J28" s="106">
        <f>'Data Sheet'!I27</f>
        <v>7488</v>
      </c>
      <c r="K28" s="106">
        <f>'Data Sheet'!J27</f>
        <v>9083</v>
      </c>
      <c r="L28" s="106">
        <f>'Data Sheet'!K27</f>
        <v>9591</v>
      </c>
    </row>
    <row r="29" spans="2:12" x14ac:dyDescent="0.3">
      <c r="B29" t="s">
        <v>108</v>
      </c>
      <c r="C29" s="112">
        <f>C28/C7</f>
        <v>4.3546249985078722E-2</v>
      </c>
      <c r="D29" s="112">
        <f t="shared" ref="D29:L29" si="10">D28/D7</f>
        <v>4.3292722652941561E-2</v>
      </c>
      <c r="E29" s="112">
        <f t="shared" si="10"/>
        <v>4.7946448181358084E-2</v>
      </c>
      <c r="F29" s="112">
        <f t="shared" si="10"/>
        <v>7.987317927356663E-2</v>
      </c>
      <c r="G29" s="112">
        <f t="shared" si="10"/>
        <v>8.2150838740946169E-2</v>
      </c>
      <c r="H29" s="112">
        <f t="shared" si="10"/>
        <v>5.5649820895853436E-2</v>
      </c>
      <c r="I29" s="112">
        <f t="shared" si="10"/>
        <v>4.8038100888251674E-2</v>
      </c>
      <c r="J29" s="112">
        <f t="shared" si="10"/>
        <v>5.3840291059693124E-2</v>
      </c>
      <c r="K29" s="112">
        <f t="shared" si="10"/>
        <v>5.7050078198114453E-2</v>
      </c>
      <c r="L29" s="112">
        <f t="shared" si="10"/>
        <v>4.8283569691752376E-2</v>
      </c>
    </row>
    <row r="31" spans="2:12" x14ac:dyDescent="0.3">
      <c r="B31" t="s">
        <v>109</v>
      </c>
      <c r="C31" s="106">
        <f>C25-C28</f>
        <v>13644.519999999997</v>
      </c>
      <c r="D31" s="106">
        <f t="shared" ref="D31:L31" si="11">D25-D28</f>
        <v>16677.440000000002</v>
      </c>
      <c r="E31" s="106">
        <f t="shared" si="11"/>
        <v>19262.669999999998</v>
      </c>
      <c r="F31" s="106">
        <f t="shared" si="11"/>
        <v>15488.059999999998</v>
      </c>
      <c r="G31" s="106">
        <f t="shared" si="11"/>
        <v>15031.739999999998</v>
      </c>
      <c r="H31" s="106">
        <f t="shared" si="11"/>
        <v>18525.300000000003</v>
      </c>
      <c r="I31" s="106">
        <f t="shared" si="11"/>
        <v>22580.739999999991</v>
      </c>
      <c r="J31" s="106">
        <f t="shared" si="11"/>
        <v>28120.619999999995</v>
      </c>
      <c r="K31" s="106">
        <f t="shared" si="11"/>
        <v>32606.299999999988</v>
      </c>
      <c r="L31" s="106">
        <f t="shared" si="11"/>
        <v>40692.31</v>
      </c>
    </row>
    <row r="32" spans="2:12" x14ac:dyDescent="0.3">
      <c r="B32" t="s">
        <v>110</v>
      </c>
      <c r="C32" s="112">
        <f>C31/C7</f>
        <v>0.1628749119644754</v>
      </c>
      <c r="D32" s="112">
        <f t="shared" ref="D32:L32" si="12">D31/D7</f>
        <v>0.18109149347405915</v>
      </c>
      <c r="E32" s="112">
        <f t="shared" si="12"/>
        <v>0.18394276219669406</v>
      </c>
      <c r="F32" s="112">
        <f t="shared" si="12"/>
        <v>0.20546098538112545</v>
      </c>
      <c r="G32" s="112">
        <f t="shared" si="12"/>
        <v>0.20237136164140118</v>
      </c>
      <c r="H32" s="112">
        <f t="shared" si="12"/>
        <v>0.20544631866121041</v>
      </c>
      <c r="I32" s="112">
        <f t="shared" si="12"/>
        <v>0.18606104052339276</v>
      </c>
      <c r="J32" s="112">
        <f t="shared" si="12"/>
        <v>0.20219315779634447</v>
      </c>
      <c r="K32" s="112">
        <f t="shared" si="12"/>
        <v>0.20479929150624007</v>
      </c>
      <c r="L32" s="112">
        <f t="shared" si="12"/>
        <v>0.20485559230563988</v>
      </c>
    </row>
    <row r="34" spans="2:12" x14ac:dyDescent="0.3">
      <c r="B34" t="s">
        <v>111</v>
      </c>
      <c r="C34" s="107">
        <f>'Data Sheet'!B29</f>
        <v>6350</v>
      </c>
      <c r="D34" s="107">
        <f>'Data Sheet'!C29</f>
        <v>10326</v>
      </c>
      <c r="E34" s="107">
        <f>'Data Sheet'!D29</f>
        <v>8871</v>
      </c>
      <c r="F34" s="107">
        <f>'Data Sheet'!E29</f>
        <v>1655</v>
      </c>
      <c r="G34" s="107">
        <f>'Data Sheet'!F29</f>
        <v>3158</v>
      </c>
      <c r="H34" s="107">
        <f>'Data Sheet'!G29</f>
        <v>9362</v>
      </c>
      <c r="I34" s="107">
        <f>'Data Sheet'!H29</f>
        <v>14060</v>
      </c>
      <c r="J34" s="107">
        <f>'Data Sheet'!I29</f>
        <v>15978</v>
      </c>
      <c r="K34" s="107">
        <f>'Data Sheet'!J29</f>
        <v>19080</v>
      </c>
      <c r="L34" s="107">
        <f>'Data Sheet'!K29</f>
        <v>25185</v>
      </c>
    </row>
    <row r="35" spans="2:12" x14ac:dyDescent="0.3">
      <c r="B35" t="s">
        <v>112</v>
      </c>
      <c r="C35" s="112">
        <f>C34/C31</f>
        <v>0.46538830241005191</v>
      </c>
      <c r="D35" s="112">
        <f t="shared" ref="D35:L35" si="13">D34/D31</f>
        <v>0.61915977512136144</v>
      </c>
      <c r="E35" s="112">
        <f t="shared" si="13"/>
        <v>0.46052805763686971</v>
      </c>
      <c r="F35" s="112">
        <f t="shared" si="13"/>
        <v>0.1068565075290256</v>
      </c>
      <c r="G35" s="112">
        <f t="shared" si="13"/>
        <v>0.21008878546329304</v>
      </c>
      <c r="H35" s="112">
        <f t="shared" si="13"/>
        <v>0.50536293609280269</v>
      </c>
      <c r="I35" s="112">
        <f t="shared" si="13"/>
        <v>0.62265452770812679</v>
      </c>
      <c r="J35" s="112">
        <f t="shared" si="13"/>
        <v>0.56819515359191952</v>
      </c>
      <c r="K35" s="112">
        <f t="shared" si="13"/>
        <v>0.58516298997433036</v>
      </c>
      <c r="L35" s="112">
        <f t="shared" si="13"/>
        <v>0.61891300837922447</v>
      </c>
    </row>
    <row r="37" spans="2:12" x14ac:dyDescent="0.3">
      <c r="B37" t="s">
        <v>123</v>
      </c>
      <c r="C37" s="106">
        <f>C31-C34</f>
        <v>7294.5199999999968</v>
      </c>
      <c r="D37" s="106">
        <f t="shared" ref="D37:L37" si="14">D31-D34</f>
        <v>6351.4400000000023</v>
      </c>
      <c r="E37" s="106">
        <f t="shared" si="14"/>
        <v>10391.669999999998</v>
      </c>
      <c r="F37" s="106">
        <f t="shared" si="14"/>
        <v>13833.059999999998</v>
      </c>
      <c r="G37" s="106">
        <f t="shared" si="14"/>
        <v>11873.739999999998</v>
      </c>
      <c r="H37" s="106">
        <f t="shared" si="14"/>
        <v>9163.3000000000029</v>
      </c>
      <c r="I37" s="106">
        <f t="shared" si="14"/>
        <v>8520.7399999999907</v>
      </c>
      <c r="J37" s="106">
        <f t="shared" si="14"/>
        <v>12142.619999999995</v>
      </c>
      <c r="K37" s="106">
        <f t="shared" si="14"/>
        <v>13526.299999999988</v>
      </c>
      <c r="L37" s="106">
        <f t="shared" si="14"/>
        <v>15507.309999999998</v>
      </c>
    </row>
    <row r="38" spans="2:12" x14ac:dyDescent="0.3">
      <c r="B38" t="s">
        <v>124</v>
      </c>
      <c r="C38" s="112">
        <f>C37/C7</f>
        <v>8.7074833180141531E-2</v>
      </c>
      <c r="D38" s="112">
        <f t="shared" ref="D38:L38" si="15">D37/D7</f>
        <v>6.8966925098269183E-2</v>
      </c>
      <c r="E38" s="112">
        <f t="shared" si="15"/>
        <v>9.9231959205889925E-2</v>
      </c>
      <c r="F38" s="112">
        <f t="shared" si="15"/>
        <v>0.18350614204982618</v>
      </c>
      <c r="G38" s="112">
        <f t="shared" si="15"/>
        <v>0.15985540806160636</v>
      </c>
      <c r="H38" s="112">
        <f t="shared" si="15"/>
        <v>0.10162136385312354</v>
      </c>
      <c r="I38" s="112">
        <f t="shared" si="15"/>
        <v>7.0209291211417002E-2</v>
      </c>
      <c r="J38" s="112">
        <f t="shared" si="15"/>
        <v>8.7307985447015304E-2</v>
      </c>
      <c r="K38" s="112">
        <f t="shared" si="15"/>
        <v>8.4958325743824156E-2</v>
      </c>
      <c r="L38" s="112">
        <f t="shared" si="15"/>
        <v>7.8067801388448377E-2</v>
      </c>
    </row>
    <row r="40" spans="2:12" x14ac:dyDescent="0.3">
      <c r="B40" t="s">
        <v>74</v>
      </c>
      <c r="C40">
        <f>'Data Sheet'!B93</f>
        <v>133.85</v>
      </c>
      <c r="D40">
        <f>'Data Sheet'!C93</f>
        <v>133.85</v>
      </c>
      <c r="E40">
        <f>'Data Sheet'!D93</f>
        <v>133.85</v>
      </c>
      <c r="F40">
        <f>'Data Sheet'!E93</f>
        <v>133.85</v>
      </c>
      <c r="G40">
        <f>'Data Sheet'!F93</f>
        <v>133.85</v>
      </c>
      <c r="H40">
        <f>'Data Sheet'!G93</f>
        <v>133.85</v>
      </c>
      <c r="I40">
        <f>'Data Sheet'!H93</f>
        <v>133.85</v>
      </c>
      <c r="J40">
        <f>'Data Sheet'!I93</f>
        <v>133.85</v>
      </c>
      <c r="K40">
        <f>'Data Sheet'!J93</f>
        <v>133.85</v>
      </c>
      <c r="L40">
        <f>'Data Sheet'!K93</f>
        <v>133.85</v>
      </c>
    </row>
    <row r="42" spans="2:12" x14ac:dyDescent="0.3">
      <c r="B42" t="s">
        <v>113</v>
      </c>
      <c r="C42" s="106">
        <f>C37/C40</f>
        <v>54.497721329846819</v>
      </c>
      <c r="D42" s="106">
        <f t="shared" ref="D42:L42" si="16">D37/D40</f>
        <v>47.451923795293261</v>
      </c>
      <c r="E42" s="106">
        <f t="shared" si="16"/>
        <v>77.636682853940968</v>
      </c>
      <c r="F42" s="106">
        <f t="shared" si="16"/>
        <v>103.34747852073215</v>
      </c>
      <c r="G42" s="106">
        <f t="shared" si="16"/>
        <v>88.709301456854675</v>
      </c>
      <c r="H42" s="106">
        <f t="shared" si="16"/>
        <v>68.459469555472566</v>
      </c>
      <c r="I42" s="106">
        <f t="shared" si="16"/>
        <v>63.65887187149788</v>
      </c>
      <c r="J42" s="106">
        <f t="shared" si="16"/>
        <v>90.718117295479985</v>
      </c>
      <c r="K42" s="106">
        <f t="shared" si="16"/>
        <v>101.0556593201344</v>
      </c>
      <c r="L42" s="106">
        <f t="shared" si="16"/>
        <v>115.85588345162495</v>
      </c>
    </row>
    <row r="43" spans="2:12" x14ac:dyDescent="0.3">
      <c r="B43" t="s">
        <v>114</v>
      </c>
      <c r="C43" s="111" t="s">
        <v>120</v>
      </c>
      <c r="D43" s="111">
        <f>D42/C42-1</f>
        <v>-0.12928609421867299</v>
      </c>
      <c r="E43" s="111">
        <f t="shared" ref="E43:L43" si="17">E42/D42-1</f>
        <v>0.63611244064338068</v>
      </c>
      <c r="F43" s="111">
        <f t="shared" si="17"/>
        <v>0.33116813755633134</v>
      </c>
      <c r="G43" s="111">
        <f t="shared" si="17"/>
        <v>-0.14164038903901244</v>
      </c>
      <c r="H43" s="111">
        <f t="shared" si="17"/>
        <v>-0.22827179978675594</v>
      </c>
      <c r="I43" s="111">
        <f t="shared" si="17"/>
        <v>-7.0123208887629129E-2</v>
      </c>
      <c r="J43" s="111">
        <f t="shared" si="17"/>
        <v>0.42506636747512649</v>
      </c>
      <c r="K43" s="111">
        <f t="shared" si="17"/>
        <v>0.1139523430692877</v>
      </c>
      <c r="L43" s="111">
        <f t="shared" si="17"/>
        <v>0.14645616317840138</v>
      </c>
    </row>
    <row r="45" spans="2:12" x14ac:dyDescent="0.3">
      <c r="B45" t="s">
        <v>115</v>
      </c>
      <c r="C45" s="106">
        <f>'Data Sheet'!B31/'Historical FS'!C40</f>
        <v>6.6583488980201722</v>
      </c>
      <c r="D45" s="106">
        <f>'Data Sheet'!C31/'Historical FS'!D40</f>
        <v>6.5400074710496829</v>
      </c>
      <c r="E45" s="106">
        <f>'Data Sheet'!D31/'Historical FS'!E40</f>
        <v>7.6420620097123644</v>
      </c>
      <c r="F45" s="106">
        <f>'Data Sheet'!E31/'Historical FS'!F40</f>
        <v>-4.9163242435562191</v>
      </c>
      <c r="G45" s="106">
        <f>'Data Sheet'!F31/'Historical FS'!G40</f>
        <v>6.0999626447515878</v>
      </c>
      <c r="H45" s="106">
        <f>'Data Sheet'!G31/'Historical FS'!H40</f>
        <v>10.837504669406052</v>
      </c>
      <c r="I45" s="106">
        <f>'Data Sheet'!H31/'Historical FS'!I40</f>
        <v>15.29562943593575</v>
      </c>
      <c r="J45" s="106">
        <f>'Data Sheet'!I31/'Historical FS'!J40</f>
        <v>19.250653716847218</v>
      </c>
      <c r="K45" s="106">
        <f>'Data Sheet'!J31/'Historical FS'!K40</f>
        <v>23.130818079940234</v>
      </c>
      <c r="L45" s="106">
        <f>'Data Sheet'!K31/'Historical FS'!L40</f>
        <v>30.607695181172957</v>
      </c>
    </row>
    <row r="46" spans="2:12" x14ac:dyDescent="0.3">
      <c r="B46" t="s">
        <v>116</v>
      </c>
      <c r="C46" s="112">
        <f>C45/C42</f>
        <v>0.1221766476752412</v>
      </c>
      <c r="D46" s="112">
        <f t="shared" ref="D46:L46" si="18">D45/D42</f>
        <v>0.13782386356479784</v>
      </c>
      <c r="E46" s="112">
        <f t="shared" si="18"/>
        <v>9.8433649259454942E-2</v>
      </c>
      <c r="F46" s="112">
        <f t="shared" si="18"/>
        <v>-4.7570819471613658E-2</v>
      </c>
      <c r="G46" s="112">
        <f t="shared" si="18"/>
        <v>6.8763506696289473E-2</v>
      </c>
      <c r="H46" s="112">
        <f t="shared" si="18"/>
        <v>0.15830541398841025</v>
      </c>
      <c r="I46" s="112">
        <f t="shared" si="18"/>
        <v>0.24027490570067883</v>
      </c>
      <c r="J46" s="112">
        <f t="shared" si="18"/>
        <v>0.2122029677285463</v>
      </c>
      <c r="K46" s="112">
        <f t="shared" si="18"/>
        <v>0.22889186251968408</v>
      </c>
      <c r="L46" s="112">
        <f t="shared" si="18"/>
        <v>0.26418766375341696</v>
      </c>
    </row>
    <row r="48" spans="2:12" x14ac:dyDescent="0.3">
      <c r="B48" t="s">
        <v>117</v>
      </c>
      <c r="C48" s="36">
        <f>(1-C46)</f>
        <v>0.87782335232475883</v>
      </c>
      <c r="D48" s="36">
        <f t="shared" ref="D48:L48" si="19">(1-D46)</f>
        <v>0.86217613643520219</v>
      </c>
      <c r="E48" s="36">
        <f t="shared" si="19"/>
        <v>0.90156635074054503</v>
      </c>
      <c r="F48" s="36">
        <f t="shared" si="19"/>
        <v>1.0475708194716136</v>
      </c>
      <c r="G48" s="36">
        <f t="shared" si="19"/>
        <v>0.9312364933037105</v>
      </c>
      <c r="H48" s="36">
        <f t="shared" si="19"/>
        <v>0.84169458601158975</v>
      </c>
      <c r="I48" s="36">
        <f t="shared" si="19"/>
        <v>0.75972509429932122</v>
      </c>
      <c r="J48" s="36">
        <f t="shared" si="19"/>
        <v>0.7877970322714537</v>
      </c>
      <c r="K48" s="36">
        <f t="shared" si="19"/>
        <v>0.77110813748031592</v>
      </c>
      <c r="L48" s="36">
        <f t="shared" si="19"/>
        <v>0.73581233624658304</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311</v>
      </c>
      <c r="D51" s="106">
        <f>'Data Sheet'!C57</f>
        <v>543</v>
      </c>
      <c r="E51" s="106">
        <f>'Data Sheet'!D57</f>
        <v>544</v>
      </c>
      <c r="F51" s="106">
        <f>'Data Sheet'!E57</f>
        <v>554</v>
      </c>
      <c r="G51" s="106">
        <f>'Data Sheet'!F57</f>
        <v>555</v>
      </c>
      <c r="H51" s="106">
        <f>'Data Sheet'!G57</f>
        <v>556</v>
      </c>
      <c r="I51" s="106">
        <f>'Data Sheet'!H57</f>
        <v>557</v>
      </c>
      <c r="J51" s="106">
        <f>'Data Sheet'!I57</f>
        <v>557</v>
      </c>
      <c r="K51" s="106">
        <f>'Data Sheet'!J57</f>
        <v>558</v>
      </c>
      <c r="L51" s="106">
        <f>'Data Sheet'!K57</f>
        <v>559</v>
      </c>
    </row>
    <row r="52" spans="2:15" x14ac:dyDescent="0.3">
      <c r="B52" s="33" t="str">
        <f>'Data Sheet'!A58</f>
        <v>Reserves</v>
      </c>
      <c r="C52" s="106">
        <f>'Data Sheet'!B58</f>
        <v>29467</v>
      </c>
      <c r="D52" s="106">
        <f>'Data Sheet'!C58</f>
        <v>36232</v>
      </c>
      <c r="E52" s="106">
        <f>'Data Sheet'!D58</f>
        <v>39439</v>
      </c>
      <c r="F52" s="106">
        <f>'Data Sheet'!E58</f>
        <v>39415</v>
      </c>
      <c r="G52" s="106">
        <f>'Data Sheet'!F58</f>
        <v>41027</v>
      </c>
      <c r="H52" s="106">
        <f>'Data Sheet'!G58</f>
        <v>46567</v>
      </c>
      <c r="I52" s="106">
        <f>'Data Sheet'!H58</f>
        <v>55809</v>
      </c>
      <c r="J52" s="106">
        <f>'Data Sheet'!I58</f>
        <v>65633</v>
      </c>
      <c r="K52" s="106">
        <f>'Data Sheet'!J58</f>
        <v>76481</v>
      </c>
      <c r="L52" s="106">
        <f>'Data Sheet'!K58</f>
        <v>92538</v>
      </c>
    </row>
    <row r="53" spans="2:15" x14ac:dyDescent="0.3">
      <c r="B53" s="33" t="str">
        <f>'Data Sheet'!A59</f>
        <v>Borrowings</v>
      </c>
      <c r="C53" s="106">
        <f>'Data Sheet'!B59</f>
        <v>48762</v>
      </c>
      <c r="D53" s="106">
        <f>'Data Sheet'!C59</f>
        <v>55898</v>
      </c>
      <c r="E53" s="106">
        <f>'Data Sheet'!D59</f>
        <v>70848</v>
      </c>
      <c r="F53" s="106">
        <f>'Data Sheet'!E59</f>
        <v>82092</v>
      </c>
      <c r="G53" s="106">
        <f>'Data Sheet'!F59</f>
        <v>80625</v>
      </c>
      <c r="H53" s="106">
        <f>'Data Sheet'!G59</f>
        <v>77605</v>
      </c>
      <c r="I53" s="106">
        <f>'Data Sheet'!H59</f>
        <v>92647</v>
      </c>
      <c r="J53" s="106">
        <f>'Data Sheet'!I59</f>
        <v>108647</v>
      </c>
      <c r="K53" s="106">
        <f>'Data Sheet'!J59</f>
        <v>129025</v>
      </c>
      <c r="L53" s="106">
        <f>'Data Sheet'!K59</f>
        <v>136936</v>
      </c>
    </row>
    <row r="54" spans="2:15" x14ac:dyDescent="0.3">
      <c r="B54" s="33" t="str">
        <f>'Data Sheet'!A60</f>
        <v>Other Liabilities</v>
      </c>
      <c r="C54" s="106">
        <f>'Data Sheet'!B60</f>
        <v>35296</v>
      </c>
      <c r="D54" s="106">
        <f>'Data Sheet'!C60</f>
        <v>43696</v>
      </c>
      <c r="E54" s="106">
        <f>'Data Sheet'!D60</f>
        <v>51057</v>
      </c>
      <c r="F54" s="106">
        <f>'Data Sheet'!E60</f>
        <v>43655</v>
      </c>
      <c r="G54" s="106">
        <f>'Data Sheet'!F60</f>
        <v>42762</v>
      </c>
      <c r="H54" s="106">
        <f>'Data Sheet'!G60</f>
        <v>47661</v>
      </c>
      <c r="I54" s="106">
        <f>'Data Sheet'!H60</f>
        <v>55270</v>
      </c>
      <c r="J54" s="106">
        <f>'Data Sheet'!I60</f>
        <v>59884</v>
      </c>
      <c r="K54" s="106">
        <f>'Data Sheet'!J60</f>
        <v>69950</v>
      </c>
      <c r="L54" s="106">
        <f>'Data Sheet'!K60</f>
        <v>86021</v>
      </c>
    </row>
    <row r="55" spans="2:15" x14ac:dyDescent="0.3">
      <c r="B55" s="33" t="s">
        <v>95</v>
      </c>
      <c r="C55" s="106">
        <f>SUM(C51:C54)</f>
        <v>113836</v>
      </c>
      <c r="D55" s="106">
        <f t="shared" ref="D55:L55" si="20">SUM(D51:D54)</f>
        <v>136369</v>
      </c>
      <c r="E55" s="106">
        <f t="shared" si="20"/>
        <v>161888</v>
      </c>
      <c r="F55" s="106">
        <f t="shared" si="20"/>
        <v>165716</v>
      </c>
      <c r="G55" s="106">
        <f t="shared" si="20"/>
        <v>164969</v>
      </c>
      <c r="H55" s="106">
        <f t="shared" si="20"/>
        <v>172389</v>
      </c>
      <c r="I55" s="106">
        <f t="shared" si="20"/>
        <v>204283</v>
      </c>
      <c r="J55" s="106">
        <f t="shared" si="20"/>
        <v>234721</v>
      </c>
      <c r="K55" s="106">
        <f t="shared" si="20"/>
        <v>276014</v>
      </c>
      <c r="L55" s="106">
        <f t="shared" si="20"/>
        <v>316054</v>
      </c>
    </row>
    <row r="56" spans="2:15" x14ac:dyDescent="0.3">
      <c r="C56" s="106"/>
      <c r="D56" s="106"/>
      <c r="E56" s="106"/>
      <c r="F56" s="106"/>
      <c r="G56" s="106"/>
      <c r="H56" s="106"/>
      <c r="I56" s="106"/>
      <c r="J56" s="106"/>
      <c r="K56" s="106"/>
      <c r="L56" s="106"/>
    </row>
    <row r="57" spans="2:15" x14ac:dyDescent="0.3">
      <c r="B57" s="33" t="s">
        <v>298</v>
      </c>
      <c r="C57" s="106">
        <f>'Data Sheet'!B62</f>
        <v>20989</v>
      </c>
      <c r="D57" s="106">
        <f>'Data Sheet'!C62</f>
        <v>26182</v>
      </c>
      <c r="E57" s="106">
        <f>'Data Sheet'!D62</f>
        <v>28983</v>
      </c>
      <c r="F57" s="106">
        <f>'Data Sheet'!E62</f>
        <v>29689</v>
      </c>
      <c r="G57" s="106">
        <f>'Data Sheet'!F62</f>
        <v>21380</v>
      </c>
      <c r="H57" s="106">
        <f>'Data Sheet'!G62</f>
        <v>26018</v>
      </c>
      <c r="I57" s="106">
        <f>'Data Sheet'!H62</f>
        <v>27140</v>
      </c>
      <c r="J57" s="106">
        <f>'Data Sheet'!I62</f>
        <v>28129</v>
      </c>
      <c r="K57" s="106">
        <f>'Data Sheet'!J62</f>
        <v>34636</v>
      </c>
      <c r="L57" s="106">
        <f>'Data Sheet'!K62</f>
        <v>38459</v>
      </c>
    </row>
    <row r="58" spans="2:15" x14ac:dyDescent="0.3">
      <c r="B58" s="33" t="str">
        <f>'Data Sheet'!A63</f>
        <v>Capital Work in Progress</v>
      </c>
      <c r="C58" s="106">
        <f>'Data Sheet'!B63</f>
        <v>4279</v>
      </c>
      <c r="D58" s="106">
        <f>'Data Sheet'!C63</f>
        <v>4269</v>
      </c>
      <c r="E58" s="106">
        <f>'Data Sheet'!D63</f>
        <v>4760</v>
      </c>
      <c r="F58" s="106">
        <f>'Data Sheet'!E63</f>
        <v>6856</v>
      </c>
      <c r="G58" s="106">
        <f>'Data Sheet'!F63</f>
        <v>7873</v>
      </c>
      <c r="H58" s="106">
        <f>'Data Sheet'!G63</f>
        <v>6703</v>
      </c>
      <c r="I58" s="106">
        <f>'Data Sheet'!H63</f>
        <v>3969</v>
      </c>
      <c r="J58" s="106">
        <f>'Data Sheet'!I63</f>
        <v>8039</v>
      </c>
      <c r="K58" s="106">
        <f>'Data Sheet'!J63</f>
        <v>8298</v>
      </c>
      <c r="L58" s="106">
        <f>'Data Sheet'!K63</f>
        <v>7740</v>
      </c>
    </row>
    <row r="59" spans="2:15" x14ac:dyDescent="0.3">
      <c r="B59" s="33" t="str">
        <f>'Data Sheet'!A64</f>
        <v>Investments</v>
      </c>
      <c r="C59" s="106">
        <f>'Data Sheet'!B64</f>
        <v>14662</v>
      </c>
      <c r="D59" s="106">
        <f>'Data Sheet'!C64</f>
        <v>16018</v>
      </c>
      <c r="E59" s="106">
        <f>'Data Sheet'!D64</f>
        <v>18268</v>
      </c>
      <c r="F59" s="106">
        <f>'Data Sheet'!E64</f>
        <v>19210</v>
      </c>
      <c r="G59" s="106">
        <f>'Data Sheet'!F64</f>
        <v>28778</v>
      </c>
      <c r="H59" s="106">
        <f>'Data Sheet'!G64</f>
        <v>30060</v>
      </c>
      <c r="I59" s="106">
        <f>'Data Sheet'!H64</f>
        <v>35272</v>
      </c>
      <c r="J59" s="106">
        <f>'Data Sheet'!I64</f>
        <v>35208</v>
      </c>
      <c r="K59" s="106">
        <f>'Data Sheet'!J64</f>
        <v>41309</v>
      </c>
      <c r="L59" s="106">
        <f>'Data Sheet'!K64</f>
        <v>40324</v>
      </c>
    </row>
    <row r="60" spans="2:15" x14ac:dyDescent="0.3">
      <c r="B60" s="33" t="str">
        <f>'Data Sheet'!A65</f>
        <v>Other Assets</v>
      </c>
      <c r="C60" s="106">
        <f>'Data Sheet'!B75</f>
        <v>53166</v>
      </c>
      <c r="D60" s="106">
        <f>'Data Sheet'!C75</f>
        <v>65526</v>
      </c>
      <c r="E60" s="106">
        <f>'Data Sheet'!D75</f>
        <v>80265</v>
      </c>
      <c r="F60" s="106">
        <f>'Data Sheet'!E75</f>
        <v>84009</v>
      </c>
      <c r="G60" s="106">
        <f>'Data Sheet'!F75</f>
        <v>78463</v>
      </c>
      <c r="H60" s="106">
        <f>'Data Sheet'!G75</f>
        <v>80519</v>
      </c>
      <c r="I60" s="106">
        <f>'Data Sheet'!H75</f>
        <v>102746</v>
      </c>
      <c r="J60" s="106">
        <f>'Data Sheet'!I75</f>
        <v>125283</v>
      </c>
      <c r="K60" s="106">
        <f>'Data Sheet'!J75</f>
        <v>142545</v>
      </c>
      <c r="L60" s="106">
        <f>'Data Sheet'!K75</f>
        <v>166444</v>
      </c>
      <c r="M60" s="33">
        <f>'Data Sheet'!L75</f>
        <v>0</v>
      </c>
      <c r="N60" s="33">
        <f>'Data Sheet'!M75</f>
        <v>0</v>
      </c>
      <c r="O60" s="33">
        <f>'Data Sheet'!N75</f>
        <v>0</v>
      </c>
    </row>
    <row r="61" spans="2:15" x14ac:dyDescent="0.3">
      <c r="B61" s="33" t="s">
        <v>125</v>
      </c>
      <c r="C61" s="106">
        <f>SUM(C57:C60)</f>
        <v>93096</v>
      </c>
      <c r="D61" s="106">
        <f>SUM(D57:D60)</f>
        <v>111995</v>
      </c>
      <c r="E61" s="106">
        <f t="shared" ref="E61:L61" si="21">SUM(E57:E60)</f>
        <v>132276</v>
      </c>
      <c r="F61" s="106">
        <f t="shared" si="21"/>
        <v>139764</v>
      </c>
      <c r="G61" s="106">
        <f t="shared" si="21"/>
        <v>136494</v>
      </c>
      <c r="H61" s="106">
        <f t="shared" si="21"/>
        <v>143300</v>
      </c>
      <c r="I61" s="106">
        <f t="shared" si="21"/>
        <v>169127</v>
      </c>
      <c r="J61" s="106">
        <f t="shared" si="21"/>
        <v>196659</v>
      </c>
      <c r="K61" s="106">
        <f t="shared" si="21"/>
        <v>226788</v>
      </c>
      <c r="L61" s="106">
        <f t="shared" si="21"/>
        <v>252967</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7199</v>
      </c>
      <c r="D63" s="106">
        <f>'Data Sheet'!C67</f>
        <v>8490</v>
      </c>
      <c r="E63" s="106">
        <f>'Data Sheet'!D67</f>
        <v>8678</v>
      </c>
      <c r="F63" s="106">
        <f>'Data Sheet'!E67</f>
        <v>6928</v>
      </c>
      <c r="G63" s="106">
        <f>'Data Sheet'!F67</f>
        <v>6008</v>
      </c>
      <c r="H63" s="106">
        <f>'Data Sheet'!G67</f>
        <v>6374</v>
      </c>
      <c r="I63" s="106">
        <f>'Data Sheet'!H67</f>
        <v>7028</v>
      </c>
      <c r="J63" s="106">
        <f>'Data Sheet'!I67</f>
        <v>7459</v>
      </c>
      <c r="K63" s="106">
        <f>'Data Sheet'!J67</f>
        <v>8280</v>
      </c>
      <c r="L63" s="106">
        <f>'Data Sheet'!K67</f>
        <v>9064</v>
      </c>
    </row>
    <row r="64" spans="2:15" x14ac:dyDescent="0.3">
      <c r="B64" s="33" t="str">
        <f>'Data Sheet'!A68</f>
        <v>Inventory</v>
      </c>
      <c r="C64" s="106">
        <f>'Data Sheet'!B68</f>
        <v>8886</v>
      </c>
      <c r="D64" s="106">
        <f>'Data Sheet'!C68</f>
        <v>9336</v>
      </c>
      <c r="E64" s="106">
        <f>'Data Sheet'!D68</f>
        <v>12200</v>
      </c>
      <c r="F64" s="106">
        <f>'Data Sheet'!E68</f>
        <v>11112</v>
      </c>
      <c r="G64" s="106">
        <f>'Data Sheet'!F68</f>
        <v>9615</v>
      </c>
      <c r="H64" s="106">
        <f>'Data Sheet'!G68</f>
        <v>11596</v>
      </c>
      <c r="I64" s="106">
        <f>'Data Sheet'!H68</f>
        <v>16855</v>
      </c>
      <c r="J64" s="106">
        <f>'Data Sheet'!I68</f>
        <v>18590</v>
      </c>
      <c r="K64" s="106">
        <f>'Data Sheet'!J68</f>
        <v>20331</v>
      </c>
      <c r="L64" s="106">
        <f>'Data Sheet'!K68</f>
        <v>22044</v>
      </c>
    </row>
    <row r="65" spans="2:13" x14ac:dyDescent="0.3">
      <c r="B65" s="33" t="str">
        <f>'Data Sheet'!A69</f>
        <v>Cash &amp; Bank</v>
      </c>
      <c r="C65" s="106">
        <f>'Data Sheet'!B69</f>
        <v>4654</v>
      </c>
      <c r="D65" s="106">
        <f>'Data Sheet'!C69</f>
        <v>6548</v>
      </c>
      <c r="E65" s="106">
        <f>'Data Sheet'!D69</f>
        <v>8735</v>
      </c>
      <c r="F65" s="106">
        <f>'Data Sheet'!E69</f>
        <v>7911</v>
      </c>
      <c r="G65" s="106">
        <f>'Data Sheet'!F69</f>
        <v>12852</v>
      </c>
      <c r="H65" s="106">
        <f>'Data Sheet'!G69</f>
        <v>11118</v>
      </c>
      <c r="I65" s="106">
        <f>'Data Sheet'!H69</f>
        <v>11273</v>
      </c>
      <c r="J65" s="106">
        <f>'Data Sheet'!I69</f>
        <v>12013</v>
      </c>
      <c r="K65" s="106">
        <f>'Data Sheet'!J69</f>
        <v>20615</v>
      </c>
      <c r="L65" s="106">
        <f>'Data Sheet'!K69</f>
        <v>31979</v>
      </c>
    </row>
    <row r="66" spans="2:13" x14ac:dyDescent="0.3">
      <c r="B66" s="33" t="s">
        <v>126</v>
      </c>
      <c r="C66" s="106">
        <f>SUM(C63:C65)</f>
        <v>20739</v>
      </c>
      <c r="D66" s="106">
        <f t="shared" ref="D66:L66" si="22">SUM(D63:D65)</f>
        <v>24374</v>
      </c>
      <c r="E66" s="106">
        <f t="shared" si="22"/>
        <v>29613</v>
      </c>
      <c r="F66" s="106">
        <f t="shared" si="22"/>
        <v>25951</v>
      </c>
      <c r="G66" s="106">
        <f t="shared" si="22"/>
        <v>28475</v>
      </c>
      <c r="H66" s="106">
        <f t="shared" si="22"/>
        <v>29088</v>
      </c>
      <c r="I66" s="106">
        <f t="shared" si="22"/>
        <v>35156</v>
      </c>
      <c r="J66" s="106">
        <f t="shared" si="22"/>
        <v>38062</v>
      </c>
      <c r="K66" s="106">
        <f t="shared" si="22"/>
        <v>49226</v>
      </c>
      <c r="L66" s="106">
        <f t="shared" si="22"/>
        <v>63087</v>
      </c>
    </row>
    <row r="67" spans="2:13" x14ac:dyDescent="0.3">
      <c r="B67" s="33"/>
      <c r="C67" s="106"/>
      <c r="D67" s="106"/>
      <c r="E67" s="106"/>
      <c r="F67" s="106"/>
      <c r="G67" s="106"/>
      <c r="H67" s="106"/>
      <c r="I67" s="106"/>
      <c r="J67" s="106"/>
      <c r="K67" s="106"/>
      <c r="L67" s="106"/>
    </row>
    <row r="68" spans="2:13" x14ac:dyDescent="0.3">
      <c r="B68" t="s">
        <v>96</v>
      </c>
      <c r="C68" s="106">
        <f>C61+C66</f>
        <v>113835</v>
      </c>
      <c r="D68" s="106">
        <f t="shared" ref="D68:L68" si="23">D61+D66</f>
        <v>136369</v>
      </c>
      <c r="E68" s="106">
        <f t="shared" si="23"/>
        <v>161889</v>
      </c>
      <c r="F68" s="106">
        <f t="shared" si="23"/>
        <v>165715</v>
      </c>
      <c r="G68" s="106">
        <f t="shared" si="23"/>
        <v>164969</v>
      </c>
      <c r="H68" s="106">
        <f t="shared" si="23"/>
        <v>172388</v>
      </c>
      <c r="I68" s="106">
        <f t="shared" si="23"/>
        <v>204283</v>
      </c>
      <c r="J68" s="106">
        <f t="shared" si="23"/>
        <v>234721</v>
      </c>
      <c r="K68" s="106">
        <f t="shared" si="23"/>
        <v>276014</v>
      </c>
      <c r="L68" s="106">
        <f t="shared" si="23"/>
        <v>316054</v>
      </c>
    </row>
    <row r="70" spans="2:13" x14ac:dyDescent="0.3">
      <c r="B70" t="s">
        <v>127</v>
      </c>
      <c r="C70" t="b">
        <f>C68=C55</f>
        <v>0</v>
      </c>
      <c r="D70" t="b">
        <f t="shared" ref="D70:L70" si="24">D68=D55</f>
        <v>1</v>
      </c>
      <c r="E70" t="b">
        <f t="shared" si="24"/>
        <v>0</v>
      </c>
      <c r="F70" t="b">
        <f t="shared" si="24"/>
        <v>0</v>
      </c>
      <c r="G70" t="b">
        <f t="shared" si="24"/>
        <v>1</v>
      </c>
      <c r="H70" t="b">
        <f t="shared" si="24"/>
        <v>0</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7911</v>
      </c>
      <c r="D74" s="106">
        <f>'Cash Flow Statement'!F7</f>
        <v>10159</v>
      </c>
      <c r="E74" s="106">
        <f>'Cash Flow Statement'!G7</f>
        <v>11112</v>
      </c>
      <c r="F74" s="106">
        <f>'Cash Flow Statement'!H7</f>
        <v>7774</v>
      </c>
      <c r="G74" s="106">
        <f>'Cash Flow Statement'!I7</f>
        <v>7588</v>
      </c>
      <c r="H74" s="106">
        <f>'Cash Flow Statement'!J7</f>
        <v>10515</v>
      </c>
      <c r="I74" s="106">
        <f>'Cash Flow Statement'!K7</f>
        <v>15642</v>
      </c>
      <c r="J74" s="106">
        <f>'Cash Flow Statement'!L7</f>
        <v>17541</v>
      </c>
      <c r="K74" s="106">
        <f>'Cash Flow Statement'!M7</f>
        <v>22050</v>
      </c>
      <c r="L74" s="106">
        <f>'Cash Flow Statement'!N7</f>
        <v>28938</v>
      </c>
    </row>
    <row r="75" spans="2:13" x14ac:dyDescent="0.3">
      <c r="B75" t="str">
        <f>'Cash Flow Statement'!B8</f>
        <v>Receivables</v>
      </c>
      <c r="C75" s="106">
        <f>'Cash Flow Statement'!E8</f>
        <v>-8609</v>
      </c>
      <c r="D75" s="106">
        <f>'Cash Flow Statement'!F8</f>
        <v>-11918</v>
      </c>
      <c r="E75" s="106">
        <f>'Cash Flow Statement'!G8</f>
        <v>-13712</v>
      </c>
      <c r="F75" s="106">
        <f>'Cash Flow Statement'!H8</f>
        <v>-1516</v>
      </c>
      <c r="G75" s="106">
        <f>'Cash Flow Statement'!I8</f>
        <v>4896</v>
      </c>
      <c r="H75" s="106">
        <f>'Cash Flow Statement'!J8</f>
        <v>-2506</v>
      </c>
      <c r="I75" s="106">
        <f>'Cash Flow Statement'!K8</f>
        <v>-21702</v>
      </c>
      <c r="J75" s="106">
        <f>'Cash Flow Statement'!L8</f>
        <v>-21777</v>
      </c>
      <c r="K75" s="106">
        <f>'Cash Flow Statement'!M8</f>
        <v>-20952</v>
      </c>
      <c r="L75" s="106">
        <f>'Cash Flow Statement'!N8</f>
        <v>-19186</v>
      </c>
    </row>
    <row r="76" spans="2:13" x14ac:dyDescent="0.3">
      <c r="B76" t="str">
        <f>'Cash Flow Statement'!B9</f>
        <v>Inventory</v>
      </c>
      <c r="C76" s="106">
        <f>'Cash Flow Statement'!E9</f>
        <v>241</v>
      </c>
      <c r="D76" s="106">
        <f>'Cash Flow Statement'!F9</f>
        <v>-256</v>
      </c>
      <c r="E76" s="106">
        <f>'Cash Flow Statement'!G9</f>
        <v>-2276</v>
      </c>
      <c r="F76" s="106">
        <f>'Cash Flow Statement'!H9</f>
        <v>1316</v>
      </c>
      <c r="G76" s="106">
        <f>'Cash Flow Statement'!I9</f>
        <v>226</v>
      </c>
      <c r="H76" s="106">
        <f>'Cash Flow Statement'!J9</f>
        <v>-2173</v>
      </c>
      <c r="I76" s="106">
        <f>'Cash Flow Statement'!K9</f>
        <v>-5252</v>
      </c>
      <c r="J76" s="106">
        <f>'Cash Flow Statement'!L9</f>
        <v>-1753</v>
      </c>
      <c r="K76" s="106">
        <f>'Cash Flow Statement'!M9</f>
        <v>-1646</v>
      </c>
      <c r="L76" s="106">
        <f>'Cash Flow Statement'!N9</f>
        <v>-593</v>
      </c>
    </row>
    <row r="77" spans="2:13" x14ac:dyDescent="0.3">
      <c r="B77" t="str">
        <f>'Cash Flow Statement'!B10</f>
        <v>Payables</v>
      </c>
      <c r="C77" s="106">
        <f>'Cash Flow Statement'!E10</f>
        <v>2645</v>
      </c>
      <c r="D77" s="106">
        <f>'Cash Flow Statement'!F10</f>
        <v>5361</v>
      </c>
      <c r="E77" s="106">
        <f>'Cash Flow Statement'!G10</f>
        <v>3466</v>
      </c>
      <c r="F77" s="106">
        <f>'Cash Flow Statement'!H10</f>
        <v>-6775</v>
      </c>
      <c r="G77" s="106">
        <f>'Cash Flow Statement'!I10</f>
        <v>7049</v>
      </c>
      <c r="H77" s="106">
        <f>'Cash Flow Statement'!J10</f>
        <v>4972</v>
      </c>
      <c r="I77" s="106">
        <f>'Cash Flow Statement'!K10</f>
        <v>7013</v>
      </c>
      <c r="J77" s="106">
        <f>'Cash Flow Statement'!L10</f>
        <v>4354</v>
      </c>
      <c r="K77" s="106">
        <f>'Cash Flow Statement'!M10</f>
        <v>8485</v>
      </c>
      <c r="L77" s="106">
        <f>'Cash Flow Statement'!N10</f>
        <v>8763</v>
      </c>
    </row>
    <row r="78" spans="2:13" x14ac:dyDescent="0.3">
      <c r="B78" t="str">
        <f>'Cash Flow Statement'!B11</f>
        <v>Working capital changes</v>
      </c>
      <c r="C78" s="106">
        <f>'Cash Flow Statement'!E11</f>
        <v>-5724</v>
      </c>
      <c r="D78" s="106">
        <f>'Cash Flow Statement'!F11</f>
        <v>-6813</v>
      </c>
      <c r="E78" s="106">
        <f>'Cash Flow Statement'!G11</f>
        <v>-12522</v>
      </c>
      <c r="F78" s="106">
        <f>'Cash Flow Statement'!H11</f>
        <v>-6974</v>
      </c>
      <c r="G78" s="106">
        <f>'Cash Flow Statement'!I11</f>
        <v>12171</v>
      </c>
      <c r="H78" s="106">
        <f>'Cash Flow Statement'!J11</f>
        <v>293</v>
      </c>
      <c r="I78" s="106">
        <f>'Cash Flow Statement'!K11</f>
        <v>-19941</v>
      </c>
      <c r="J78" s="106">
        <f>'Cash Flow Statement'!L11</f>
        <v>-19175</v>
      </c>
      <c r="K78" s="106">
        <f>'Cash Flow Statement'!M11</f>
        <v>-14113</v>
      </c>
      <c r="L78" s="106">
        <f>'Cash Flow Statement'!N11</f>
        <v>-11016</v>
      </c>
    </row>
    <row r="79" spans="2:13" x14ac:dyDescent="0.3">
      <c r="B79" t="str">
        <f>'Cash Flow Statement'!B12</f>
        <v>Direct taxes</v>
      </c>
      <c r="C79" s="106">
        <f>'Cash Flow Statement'!E12</f>
        <v>-2005</v>
      </c>
      <c r="D79" s="106">
        <f>'Cash Flow Statement'!F12</f>
        <v>-2664</v>
      </c>
      <c r="E79" s="106">
        <f>'Cash Flow Statement'!G12</f>
        <v>-2937</v>
      </c>
      <c r="F79" s="106">
        <f>'Cash Flow Statement'!H12</f>
        <v>-2257</v>
      </c>
      <c r="G79" s="106">
        <f>'Cash Flow Statement'!I12</f>
        <v>-1850</v>
      </c>
      <c r="H79" s="106">
        <f>'Cash Flow Statement'!J12</f>
        <v>-1560</v>
      </c>
      <c r="I79" s="106">
        <f>'Cash Flow Statement'!K12</f>
        <v>-2775</v>
      </c>
      <c r="J79" s="106">
        <f>'Cash Flow Statement'!L12</f>
        <v>-3996</v>
      </c>
      <c r="K79" s="106">
        <f>'Cash Flow Statement'!M12</f>
        <v>-4761</v>
      </c>
      <c r="L79" s="106">
        <f>'Cash Flow Statement'!N12</f>
        <v>-6265</v>
      </c>
    </row>
    <row r="80" spans="2:13" x14ac:dyDescent="0.3">
      <c r="B80" t="s">
        <v>152</v>
      </c>
      <c r="C80" s="106">
        <f t="shared" ref="C80:L80" si="25">SUM(C74:C79)</f>
        <v>-5541</v>
      </c>
      <c r="D80" s="106">
        <f t="shared" si="25"/>
        <v>-6131</v>
      </c>
      <c r="E80" s="106">
        <f t="shared" si="25"/>
        <v>-16869</v>
      </c>
      <c r="F80" s="106">
        <f>SUM(F74:F79)</f>
        <v>-8432</v>
      </c>
      <c r="G80" s="106">
        <f t="shared" si="25"/>
        <v>30080</v>
      </c>
      <c r="H80" s="106">
        <f t="shared" si="25"/>
        <v>9541</v>
      </c>
      <c r="I80" s="106">
        <f t="shared" si="25"/>
        <v>-27015</v>
      </c>
      <c r="J80" s="106">
        <f t="shared" si="25"/>
        <v>-24806</v>
      </c>
      <c r="K80" s="106">
        <f t="shared" si="25"/>
        <v>-10937</v>
      </c>
      <c r="L80" s="106">
        <f t="shared" si="25"/>
        <v>641</v>
      </c>
    </row>
    <row r="82" spans="2:12" x14ac:dyDescent="0.3">
      <c r="B82" t="s">
        <v>153</v>
      </c>
    </row>
    <row r="83" spans="2:12" x14ac:dyDescent="0.3">
      <c r="B83" t="str">
        <f>'Cash Flow Statement'!B14</f>
        <v>Fixed assets purchased</v>
      </c>
      <c r="C83" s="106">
        <f>'Cash Flow Statement'!E14</f>
        <v>-5026</v>
      </c>
      <c r="D83" s="106">
        <f>'Cash Flow Statement'!F14</f>
        <v>-5906</v>
      </c>
      <c r="E83" s="106">
        <f>'Cash Flow Statement'!G14</f>
        <v>-7340</v>
      </c>
      <c r="F83" s="106">
        <f>'Cash Flow Statement'!H14</f>
        <v>-6896</v>
      </c>
      <c r="G83" s="106">
        <f>'Cash Flow Statement'!I14</f>
        <v>-5989</v>
      </c>
      <c r="H83" s="106">
        <f>'Cash Flow Statement'!J14</f>
        <v>-6040</v>
      </c>
      <c r="I83" s="106">
        <f>'Cash Flow Statement'!K14</f>
        <v>-6305</v>
      </c>
      <c r="J83" s="106">
        <f>'Cash Flow Statement'!L14</f>
        <v>-9946</v>
      </c>
      <c r="K83" s="106">
        <f>'Cash Flow Statement'!M14</f>
        <v>-10392</v>
      </c>
      <c r="L83" s="106">
        <f>'Cash Flow Statement'!N14</f>
        <v>-9605</v>
      </c>
    </row>
    <row r="84" spans="2:12" x14ac:dyDescent="0.3">
      <c r="B84" t="str">
        <f>'Cash Flow Statement'!B15</f>
        <v>Fixed assets sold</v>
      </c>
      <c r="C84" s="106">
        <f>'Cash Flow Statement'!E15</f>
        <v>63</v>
      </c>
      <c r="D84" s="106">
        <f>'Cash Flow Statement'!F15</f>
        <v>115</v>
      </c>
      <c r="E84" s="106">
        <f>'Cash Flow Statement'!G15</f>
        <v>142</v>
      </c>
      <c r="F84" s="106">
        <f>'Cash Flow Statement'!H15</f>
        <v>102</v>
      </c>
      <c r="G84" s="106">
        <f>'Cash Flow Statement'!I15</f>
        <v>1364</v>
      </c>
      <c r="H84" s="106">
        <f>'Cash Flow Statement'!J15</f>
        <v>120</v>
      </c>
      <c r="I84" s="106">
        <f>'Cash Flow Statement'!K15</f>
        <v>138</v>
      </c>
      <c r="J84" s="106">
        <f>'Cash Flow Statement'!L15</f>
        <v>273</v>
      </c>
      <c r="K84" s="106">
        <f>'Cash Flow Statement'!M15</f>
        <v>583</v>
      </c>
      <c r="L84" s="106">
        <f>'Cash Flow Statement'!N15</f>
        <v>493</v>
      </c>
    </row>
    <row r="85" spans="2:12" x14ac:dyDescent="0.3">
      <c r="B85" t="str">
        <f>'Cash Flow Statement'!B16</f>
        <v>Investments purchased</v>
      </c>
      <c r="C85" s="106">
        <f>'Cash Flow Statement'!E16</f>
        <v>-132173</v>
      </c>
      <c r="D85" s="106">
        <f>'Cash Flow Statement'!F16</f>
        <v>-155159</v>
      </c>
      <c r="E85" s="106">
        <f>'Cash Flow Statement'!G16</f>
        <v>-196474</v>
      </c>
      <c r="F85" s="106">
        <f>'Cash Flow Statement'!H16</f>
        <v>-198568</v>
      </c>
      <c r="G85" s="106">
        <f>'Cash Flow Statement'!I16</f>
        <v>-120055</v>
      </c>
      <c r="H85" s="106">
        <f>'Cash Flow Statement'!J16</f>
        <v>-87740</v>
      </c>
      <c r="I85" s="106">
        <f>'Cash Flow Statement'!K16</f>
        <v>-50165</v>
      </c>
      <c r="J85" s="106">
        <f>'Cash Flow Statement'!L16</f>
        <v>-49927</v>
      </c>
      <c r="K85" s="106">
        <f>'Cash Flow Statement'!M16</f>
        <v>-90595</v>
      </c>
      <c r="L85" s="106">
        <f>'Cash Flow Statement'!N16</f>
        <v>-141518</v>
      </c>
    </row>
    <row r="86" spans="2:12" x14ac:dyDescent="0.3">
      <c r="B86" t="str">
        <f>'Cash Flow Statement'!B17</f>
        <v>Investments sold</v>
      </c>
      <c r="C86" s="106">
        <f>'Cash Flow Statement'!E17</f>
        <v>130940</v>
      </c>
      <c r="D86" s="106">
        <f>'Cash Flow Statement'!F17</f>
        <v>154631</v>
      </c>
      <c r="E86" s="106">
        <f>'Cash Flow Statement'!G17</f>
        <v>195898</v>
      </c>
      <c r="F86" s="106">
        <f>'Cash Flow Statement'!H17</f>
        <v>198132</v>
      </c>
      <c r="G86" s="106">
        <f>'Cash Flow Statement'!I17</f>
        <v>111749</v>
      </c>
      <c r="H86" s="106">
        <f>'Cash Flow Statement'!J17</f>
        <v>87446</v>
      </c>
      <c r="I86" s="106">
        <f>'Cash Flow Statement'!K17</f>
        <v>46269</v>
      </c>
      <c r="J86" s="106">
        <f>'Cash Flow Statement'!L17</f>
        <v>50919</v>
      </c>
      <c r="K86" s="106">
        <f>'Cash Flow Statement'!M17</f>
        <v>85257</v>
      </c>
      <c r="L86" s="106">
        <f>'Cash Flow Statement'!N17</f>
        <v>144887</v>
      </c>
    </row>
    <row r="87" spans="2:12" x14ac:dyDescent="0.3">
      <c r="B87" t="str">
        <f>'Cash Flow Statement'!B18</f>
        <v>Interest received</v>
      </c>
      <c r="C87" s="106">
        <f>'Cash Flow Statement'!E18</f>
        <v>346</v>
      </c>
      <c r="D87" s="106">
        <f>'Cash Flow Statement'!F18</f>
        <v>254</v>
      </c>
      <c r="E87" s="106">
        <f>'Cash Flow Statement'!G18</f>
        <v>314</v>
      </c>
      <c r="F87" s="106">
        <f>'Cash Flow Statement'!H18</f>
        <v>372</v>
      </c>
      <c r="G87" s="106">
        <f>'Cash Flow Statement'!I18</f>
        <v>431</v>
      </c>
      <c r="H87" s="106">
        <f>'Cash Flow Statement'!J18</f>
        <v>420</v>
      </c>
      <c r="I87" s="106">
        <f>'Cash Flow Statement'!K18</f>
        <v>464</v>
      </c>
      <c r="J87" s="106">
        <f>'Cash Flow Statement'!L18</f>
        <v>703</v>
      </c>
      <c r="K87" s="106">
        <f>'Cash Flow Statement'!M18</f>
        <v>884</v>
      </c>
      <c r="L87" s="106">
        <f>'Cash Flow Statement'!N18</f>
        <v>1559</v>
      </c>
    </row>
    <row r="88" spans="2:12" x14ac:dyDescent="0.3">
      <c r="B88" t="str">
        <f>'Cash Flow Statement'!B19</f>
        <v>Dividends received</v>
      </c>
      <c r="C88" s="106">
        <f>'Cash Flow Statement'!E19</f>
        <v>409</v>
      </c>
      <c r="D88" s="106">
        <f>'Cash Flow Statement'!F19</f>
        <v>316</v>
      </c>
      <c r="E88" s="106">
        <f>'Cash Flow Statement'!G19</f>
        <v>466</v>
      </c>
      <c r="F88" s="106">
        <f>'Cash Flow Statement'!H19</f>
        <v>722</v>
      </c>
      <c r="G88" s="106">
        <f>'Cash Flow Statement'!I19</f>
        <v>577</v>
      </c>
      <c r="H88" s="106">
        <f>'Cash Flow Statement'!J19</f>
        <v>1247</v>
      </c>
      <c r="I88" s="106">
        <f>'Cash Flow Statement'!K19</f>
        <v>1397</v>
      </c>
      <c r="J88" s="106">
        <f>'Cash Flow Statement'!L19</f>
        <v>1213</v>
      </c>
      <c r="K88" s="106">
        <f>'Cash Flow Statement'!M19</f>
        <v>1374</v>
      </c>
      <c r="L88" s="106">
        <f>'Cash Flow Statement'!N19</f>
        <v>1287</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-647</v>
      </c>
      <c r="D90" s="106">
        <f>'Cash Flow Statement'!F21</f>
        <v>-704</v>
      </c>
      <c r="E90" s="106">
        <f>'Cash Flow Statement'!G21</f>
        <v>-319</v>
      </c>
      <c r="F90" s="106">
        <f>'Cash Flow Statement'!H21</f>
        <v>-418</v>
      </c>
      <c r="G90" s="106">
        <f>'Cash Flow Statement'!I21</f>
        <v>-359</v>
      </c>
      <c r="H90" s="106">
        <f>'Cash Flow Statement'!J21</f>
        <v>-222</v>
      </c>
      <c r="I90" s="106">
        <f>'Cash Flow Statement'!K21</f>
        <v>-62</v>
      </c>
      <c r="J90" s="106">
        <f>'Cash Flow Statement'!L21</f>
        <v>-249</v>
      </c>
      <c r="K90" s="106">
        <f>'Cash Flow Statement'!M21</f>
        <v>-29</v>
      </c>
      <c r="L90" s="106">
        <f>'Cash Flow Statement'!N21</f>
        <v>-785</v>
      </c>
    </row>
    <row r="91" spans="2:12" x14ac:dyDescent="0.3">
      <c r="B91" t="str">
        <f>'Cash Flow Statement'!B22</f>
        <v>Redemp n Canc of Shares</v>
      </c>
      <c r="C91" s="106">
        <f>'Cash Flow Statement'!E22</f>
        <v>88</v>
      </c>
      <c r="D91" s="106">
        <f>'Cash Flow Statement'!F22</f>
        <v>1677</v>
      </c>
      <c r="E91" s="106">
        <f>'Cash Flow Statement'!G22</f>
        <v>717</v>
      </c>
      <c r="F91" s="106">
        <f>'Cash Flow Statement'!H22</f>
        <v>175</v>
      </c>
      <c r="G91" s="106">
        <f>'Cash Flow Statement'!I22</f>
        <v>316</v>
      </c>
      <c r="H91" s="106">
        <f>'Cash Flow Statement'!J22</f>
        <v>617</v>
      </c>
      <c r="I91" s="106">
        <f>'Cash Flow Statement'!K22</f>
        <v>1863</v>
      </c>
      <c r="J91" s="106">
        <f>'Cash Flow Statement'!L22</f>
        <v>1043</v>
      </c>
      <c r="K91" s="106">
        <f>'Cash Flow Statement'!M22</f>
        <v>620</v>
      </c>
      <c r="L91" s="106">
        <f>'Cash Flow Statement'!N22</f>
        <v>2283</v>
      </c>
    </row>
    <row r="92" spans="2:12" x14ac:dyDescent="0.3">
      <c r="B92" t="str">
        <f>'Cash Flow Statement'!B23</f>
        <v>Other investing items</v>
      </c>
      <c r="C92" s="106">
        <f>'Cash Flow Statement'!E23</f>
        <v>209</v>
      </c>
      <c r="D92" s="106">
        <f>'Cash Flow Statement'!F23</f>
        <v>-290</v>
      </c>
      <c r="E92" s="106">
        <f>'Cash Flow Statement'!G23</f>
        <v>-577</v>
      </c>
      <c r="F92" s="106">
        <f>'Cash Flow Statement'!H23</f>
        <v>-437</v>
      </c>
      <c r="G92" s="106">
        <f>'Cash Flow Statement'!I23</f>
        <v>-7457</v>
      </c>
      <c r="H92" s="106">
        <f>'Cash Flow Statement'!J23</f>
        <v>1494</v>
      </c>
      <c r="I92" s="106">
        <f>'Cash Flow Statement'!K23</f>
        <v>-1786</v>
      </c>
      <c r="J92" s="106">
        <f>'Cash Flow Statement'!L23</f>
        <v>-78</v>
      </c>
      <c r="K92" s="106">
        <f>'Cash Flow Statement'!M23</f>
        <v>-6075</v>
      </c>
      <c r="L92" s="106">
        <f>'Cash Flow Statement'!N23</f>
        <v>-15084</v>
      </c>
    </row>
    <row r="93" spans="2:12" x14ac:dyDescent="0.3">
      <c r="B93" t="s">
        <v>154</v>
      </c>
      <c r="C93" s="106">
        <f>SUM(C83:C92)</f>
        <v>-5791</v>
      </c>
      <c r="D93" s="106">
        <f t="shared" ref="D93:K93" si="26">SUM(D83:D92)</f>
        <v>-5066</v>
      </c>
      <c r="E93" s="106">
        <f t="shared" si="26"/>
        <v>-7173</v>
      </c>
      <c r="F93" s="106">
        <f t="shared" si="26"/>
        <v>-6816</v>
      </c>
      <c r="G93" s="106">
        <f t="shared" si="26"/>
        <v>-19423</v>
      </c>
      <c r="H93" s="106">
        <f t="shared" si="26"/>
        <v>-2658</v>
      </c>
      <c r="I93" s="106">
        <f t="shared" si="26"/>
        <v>-8187</v>
      </c>
      <c r="J93" s="106">
        <f t="shared" si="26"/>
        <v>-6049</v>
      </c>
      <c r="K93" s="106">
        <f t="shared" si="26"/>
        <v>-18373</v>
      </c>
      <c r="L93" s="106">
        <f>SUM(L83:L92)</f>
        <v>-16483</v>
      </c>
    </row>
    <row r="95" spans="2:12" x14ac:dyDescent="0.3">
      <c r="B95" t="s">
        <v>155</v>
      </c>
    </row>
    <row r="96" spans="2:12" x14ac:dyDescent="0.3">
      <c r="B96" t="str">
        <f>'Cash Flow Statement'!B25</f>
        <v>Proceeds from shares</v>
      </c>
      <c r="C96" s="106">
        <f>'Cash Flow Statement'!E25</f>
        <v>12</v>
      </c>
      <c r="D96" s="106">
        <f>'Cash Flow Statement'!F25</f>
        <v>4</v>
      </c>
      <c r="E96" s="106">
        <f>'Cash Flow Statement'!G25</f>
        <v>1</v>
      </c>
      <c r="F96" s="106">
        <f>'Cash Flow Statement'!H25</f>
        <v>1243</v>
      </c>
      <c r="G96" s="106">
        <f>'Cash Flow Statement'!I25</f>
        <v>1</v>
      </c>
      <c r="H96" s="106">
        <f>'Cash Flow Statement'!J25</f>
        <v>1</v>
      </c>
      <c r="I96" s="106">
        <f>'Cash Flow Statement'!K25</f>
        <v>1</v>
      </c>
      <c r="J96" s="106">
        <f>'Cash Flow Statement'!L25</f>
        <v>1</v>
      </c>
      <c r="K96" s="106">
        <f>'Cash Flow Statement'!M25</f>
        <v>1</v>
      </c>
      <c r="L96" s="106">
        <f>'Cash Flow Statement'!N25</f>
        <v>1</v>
      </c>
    </row>
    <row r="97" spans="2:12" x14ac:dyDescent="0.3">
      <c r="B97" t="str">
        <f>'Cash Flow Statement'!B26</f>
        <v>Proceeds from borrowings</v>
      </c>
      <c r="C97" s="106">
        <f>'Cash Flow Statement'!E26</f>
        <v>0</v>
      </c>
      <c r="D97" s="106">
        <f>'Cash Flow Statement'!F26</f>
        <v>0</v>
      </c>
      <c r="E97" s="106">
        <f>'Cash Flow Statement'!G26</f>
        <v>71389</v>
      </c>
      <c r="F97" s="106">
        <f>'Cash Flow Statement'!H26</f>
        <v>52618</v>
      </c>
      <c r="G97" s="106">
        <f>'Cash Flow Statement'!I26</f>
        <v>38100</v>
      </c>
      <c r="H97" s="106">
        <f>'Cash Flow Statement'!J26</f>
        <v>53880</v>
      </c>
      <c r="I97" s="106">
        <f>'Cash Flow Statement'!K26</f>
        <v>55622</v>
      </c>
      <c r="J97" s="106">
        <f>'Cash Flow Statement'!L26</f>
        <v>61308</v>
      </c>
      <c r="K97" s="106">
        <f>'Cash Flow Statement'!M26</f>
        <v>82590</v>
      </c>
      <c r="L97" s="106">
        <f>'Cash Flow Statement'!N26</f>
        <v>79722</v>
      </c>
    </row>
    <row r="98" spans="2:12" x14ac:dyDescent="0.3">
      <c r="B98" t="str">
        <f>'Cash Flow Statement'!B27</f>
        <v>Repayment of borrowings</v>
      </c>
      <c r="C98" s="106">
        <f>'Cash Flow Statement'!E27</f>
        <v>0</v>
      </c>
      <c r="D98" s="106">
        <f>'Cash Flow Statement'!F27</f>
        <v>0</v>
      </c>
      <c r="E98" s="106">
        <f>'Cash Flow Statement'!G27</f>
        <v>-56352</v>
      </c>
      <c r="F98" s="106">
        <f>'Cash Flow Statement'!H27</f>
        <v>-44044</v>
      </c>
      <c r="G98" s="106">
        <f>'Cash Flow Statement'!I27</f>
        <v>-37505</v>
      </c>
      <c r="H98" s="106">
        <f>'Cash Flow Statement'!J27</f>
        <v>-57223</v>
      </c>
      <c r="I98" s="106">
        <f>'Cash Flow Statement'!K27</f>
        <v>-37056</v>
      </c>
      <c r="J98" s="106">
        <f>'Cash Flow Statement'!L27</f>
        <v>-46805</v>
      </c>
      <c r="K98" s="106">
        <f>'Cash Flow Statement'!M27</f>
        <v>-64689</v>
      </c>
      <c r="L98" s="106">
        <f>'Cash Flow Statement'!N27</f>
        <v>-72089</v>
      </c>
    </row>
    <row r="99" spans="2:12" x14ac:dyDescent="0.3">
      <c r="B99" t="str">
        <f>'Cash Flow Statement'!B28</f>
        <v>Interest paid fin</v>
      </c>
      <c r="C99" s="106">
        <f>'Cash Flow Statement'!E28</f>
        <v>-471</v>
      </c>
      <c r="D99" s="106">
        <f>'Cash Flow Statement'!F28</f>
        <v>-521</v>
      </c>
      <c r="E99" s="106">
        <f>'Cash Flow Statement'!G28</f>
        <v>-723</v>
      </c>
      <c r="F99" s="106">
        <f>'Cash Flow Statement'!H28</f>
        <v>-624</v>
      </c>
      <c r="G99" s="106">
        <f>'Cash Flow Statement'!I28</f>
        <v>-809</v>
      </c>
      <c r="H99" s="106">
        <f>'Cash Flow Statement'!J28</f>
        <v>-680</v>
      </c>
      <c r="I99" s="106">
        <f>'Cash Flow Statement'!K28</f>
        <v>-734</v>
      </c>
      <c r="J99" s="106">
        <f>'Cash Flow Statement'!L28</f>
        <v>-597</v>
      </c>
      <c r="K99" s="106">
        <f>'Cash Flow Statement'!M28</f>
        <v>-436</v>
      </c>
      <c r="L99" s="106">
        <f>'Cash Flow Statement'!N28</f>
        <v>-344</v>
      </c>
    </row>
    <row r="100" spans="2:12" x14ac:dyDescent="0.3">
      <c r="B100" t="str">
        <f>'Cash Flow Statement'!B29</f>
        <v>Dividends paid</v>
      </c>
      <c r="C100" s="106">
        <f>'Cash Flow Statement'!E29</f>
        <v>-936</v>
      </c>
      <c r="D100" s="106">
        <f>'Cash Flow Statement'!F29</f>
        <v>-963</v>
      </c>
      <c r="E100" s="106">
        <f>'Cash Flow Statement'!G29</f>
        <v>-1134</v>
      </c>
      <c r="F100" s="106">
        <f>'Cash Flow Statement'!H29</f>
        <v>-1398</v>
      </c>
      <c r="G100" s="106">
        <f>'Cash Flow Statement'!I29</f>
        <v>-271</v>
      </c>
      <c r="H100" s="106">
        <f>'Cash Flow Statement'!J29</f>
        <v>-1037</v>
      </c>
      <c r="I100" s="106">
        <f>'Cash Flow Statement'!K29</f>
        <v>-1522</v>
      </c>
      <c r="J100" s="106">
        <f>'Cash Flow Statement'!L29</f>
        <v>-2247</v>
      </c>
      <c r="K100" s="106">
        <f>'Cash Flow Statement'!M29</f>
        <v>-2806</v>
      </c>
      <c r="L100" s="106">
        <f>'Cash Flow Statement'!N29</f>
        <v>-3376</v>
      </c>
    </row>
    <row r="101" spans="2:12" x14ac:dyDescent="0.3">
      <c r="B101" t="str">
        <f>'Cash Flow Statement'!B30</f>
        <v>Financial liabilities</v>
      </c>
      <c r="C101" s="106">
        <f>'Cash Flow Statement'!E30</f>
        <v>0</v>
      </c>
      <c r="D101" s="106">
        <f>'Cash Flow Statement'!F30</f>
        <v>0</v>
      </c>
      <c r="E101" s="106">
        <f>'Cash Flow Statement'!G30</f>
        <v>0</v>
      </c>
      <c r="F101" s="106">
        <f>'Cash Flow Statement'!H30</f>
        <v>-558</v>
      </c>
      <c r="G101" s="106">
        <f>'Cash Flow Statement'!I30</f>
        <v>-553</v>
      </c>
      <c r="H101" s="106">
        <f>'Cash Flow Statement'!J30</f>
        <v>-583</v>
      </c>
      <c r="I101" s="106">
        <f>'Cash Flow Statement'!K30</f>
        <v>-751</v>
      </c>
      <c r="J101" s="106">
        <f>'Cash Flow Statement'!L30</f>
        <v>-786</v>
      </c>
      <c r="K101" s="106">
        <f>'Cash Flow Statement'!M30</f>
        <v>-887</v>
      </c>
      <c r="L101" s="106">
        <f>'Cash Flow Statement'!N30</f>
        <v>-967</v>
      </c>
    </row>
    <row r="102" spans="2:12" x14ac:dyDescent="0.3">
      <c r="B102" t="str">
        <f>'Cash Flow Statement'!B31</f>
        <v>Other financing items</v>
      </c>
      <c r="C102" s="106">
        <f>'Cash Flow Statement'!E31</f>
        <v>7503</v>
      </c>
      <c r="D102" s="106">
        <f>'Cash Flow Statement'!F31</f>
        <v>7794</v>
      </c>
      <c r="E102" s="106">
        <f>'Cash Flow Statement'!G31</f>
        <v>12</v>
      </c>
      <c r="F102" s="106">
        <f>'Cash Flow Statement'!H31</f>
        <v>-304</v>
      </c>
      <c r="G102" s="106">
        <f>'Cash Flow Statement'!I31</f>
        <v>1444</v>
      </c>
      <c r="H102" s="106">
        <f>'Cash Flow Statement'!J31</f>
        <v>-240</v>
      </c>
      <c r="I102" s="106">
        <f>'Cash Flow Statement'!K31</f>
        <v>386</v>
      </c>
      <c r="J102" s="106">
        <f>'Cash Flow Statement'!L31</f>
        <v>1408</v>
      </c>
      <c r="K102" s="106">
        <f>'Cash Flow Statement'!M31</f>
        <v>2062</v>
      </c>
      <c r="L102" s="106">
        <f>'Cash Flow Statement'!N31</f>
        <v>2445</v>
      </c>
    </row>
    <row r="103" spans="2:12" x14ac:dyDescent="0.3">
      <c r="B103" t="s">
        <v>156</v>
      </c>
      <c r="C103" s="106">
        <f>SUM(C96:C102)</f>
        <v>6108</v>
      </c>
      <c r="D103" s="106">
        <f t="shared" ref="D103:L103" si="27">SUM(D96:D102)</f>
        <v>6314</v>
      </c>
      <c r="E103" s="106">
        <f t="shared" si="27"/>
        <v>13193</v>
      </c>
      <c r="F103" s="106">
        <f t="shared" si="27"/>
        <v>6933</v>
      </c>
      <c r="G103" s="106">
        <f t="shared" si="27"/>
        <v>407</v>
      </c>
      <c r="H103" s="106">
        <f t="shared" si="27"/>
        <v>-5882</v>
      </c>
      <c r="I103" s="106">
        <f t="shared" si="27"/>
        <v>15946</v>
      </c>
      <c r="J103" s="106">
        <f t="shared" si="27"/>
        <v>12282</v>
      </c>
      <c r="K103" s="106">
        <f t="shared" si="27"/>
        <v>15835</v>
      </c>
      <c r="L103" s="106">
        <f t="shared" si="27"/>
        <v>5392</v>
      </c>
    </row>
    <row r="105" spans="2:12" x14ac:dyDescent="0.3">
      <c r="B105" t="s">
        <v>35</v>
      </c>
      <c r="C105" s="106">
        <f>C80+C93+C103</f>
        <v>-5224</v>
      </c>
      <c r="D105" s="106">
        <f t="shared" ref="D105:L105" si="28">D80+D93+D103</f>
        <v>-4883</v>
      </c>
      <c r="E105" s="106">
        <f t="shared" si="28"/>
        <v>-10849</v>
      </c>
      <c r="F105" s="106">
        <f t="shared" si="28"/>
        <v>-8315</v>
      </c>
      <c r="G105" s="106">
        <f t="shared" si="28"/>
        <v>11064</v>
      </c>
      <c r="H105" s="106">
        <f t="shared" si="28"/>
        <v>1001</v>
      </c>
      <c r="I105" s="106">
        <f t="shared" si="28"/>
        <v>-19256</v>
      </c>
      <c r="J105" s="106">
        <f t="shared" si="28"/>
        <v>-18573</v>
      </c>
      <c r="K105" s="106">
        <f t="shared" si="28"/>
        <v>-13475</v>
      </c>
      <c r="L105" s="106">
        <f t="shared" si="28"/>
        <v>-10450</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MAHINDRA &amp; MAHINDRA LTD</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9.9327945758179936E-2</v>
      </c>
      <c r="E5" s="36">
        <f>IFERROR('Historical FS'!E8,0)</f>
        <v>0.1371099094403545</v>
      </c>
      <c r="F5" s="36">
        <f>IFERROR('Historical FS'!F8,0)</f>
        <v>-0.28016348201411367</v>
      </c>
      <c r="G5" s="36">
        <f>IFERROR('Historical FS'!G8,0)</f>
        <v>-1.4645406065108335E-2</v>
      </c>
      <c r="H5" s="36">
        <f>IFERROR('Historical FS'!H8,0)</f>
        <v>0.213966450362153</v>
      </c>
      <c r="I5" s="36">
        <f>IFERROR('Historical FS'!I8,0)</f>
        <v>0.34590943873307389</v>
      </c>
      <c r="J5" s="36">
        <f>IFERROR('Historical FS'!J8,0)</f>
        <v>0.1459765000576787</v>
      </c>
      <c r="K5" s="36">
        <f>IFERROR('Historical FS'!K8,0)</f>
        <v>0.14476049411121816</v>
      </c>
      <c r="L5" s="36">
        <f>IFERROR('Historical FS'!L8,0)</f>
        <v>0.24764620535013293</v>
      </c>
      <c r="N5" s="46">
        <f>IFERROR(AVERAGE(D5:L5),0)</f>
        <v>0.11554311730372992</v>
      </c>
      <c r="O5" s="46">
        <f>IFERROR(MEDIAN(D5:L5),0)</f>
        <v>0.14476049411121816</v>
      </c>
    </row>
    <row r="6" spans="2:15" x14ac:dyDescent="0.3">
      <c r="B6" t="s">
        <v>166</v>
      </c>
      <c r="C6" s="36"/>
      <c r="D6" s="36">
        <f>IFERROR(('Historical FS'!D19/'Historical FS'!C19-1),0)</f>
        <v>0.19093860790469508</v>
      </c>
      <c r="E6" s="36">
        <f>IFERROR(('Historical FS'!E19/'Historical FS'!D19-1),0)</f>
        <v>0.18084490595729097</v>
      </c>
      <c r="F6" s="36">
        <f>IFERROR(('Historical FS'!F19/'Historical FS'!E19-1),0)</f>
        <v>-0.12019981135058344</v>
      </c>
      <c r="G6" s="36">
        <f>IFERROR(('Historical FS'!G19/'Historical FS'!F19-1),0)</f>
        <v>-1.4645406065108335E-2</v>
      </c>
      <c r="H6" s="36">
        <f>IFERROR(('Historical FS'!H19/'Historical FS'!G19-1),0)</f>
        <v>0.1036058639655939</v>
      </c>
      <c r="I6" s="36">
        <f>IFERROR(('Historical FS'!I19/'Historical FS'!H19-1),0)</f>
        <v>0.21131849485976595</v>
      </c>
      <c r="J6" s="36">
        <f>IFERROR(('Historical FS'!J19/'Historical FS'!I19-1),0)</f>
        <v>0.23086364821009964</v>
      </c>
      <c r="K6" s="36">
        <f>IFERROR(('Historical FS'!K19/'Historical FS'!J19-1),0)</f>
        <v>0.18423499390815667</v>
      </c>
      <c r="L6" s="36">
        <f>IFERROR(('Historical FS'!L19/'Historical FS'!K19-1),0)</f>
        <v>0.20605799850512874</v>
      </c>
      <c r="N6" s="46">
        <f>IFERROR(AVERAGE(D6:L6),0)</f>
        <v>0.13033547732167103</v>
      </c>
      <c r="O6" s="46">
        <f>IFERROR(MEDIAN(D6:L6),0)</f>
        <v>0.18423499390815667</v>
      </c>
    </row>
    <row r="7" spans="2:15" x14ac:dyDescent="0.3">
      <c r="B7" t="s">
        <v>165</v>
      </c>
      <c r="C7" s="36"/>
      <c r="D7" s="36">
        <f>IFERROR(('Historical FS'!D25/'Historical FS'!C25-1),0)</f>
        <v>0.1949929796235601</v>
      </c>
      <c r="E7" s="36">
        <f>IFERROR(('Historical FS'!E25/'Historical FS'!D25-1),0)</f>
        <v>0.17514290249336528</v>
      </c>
      <c r="F7" s="36">
        <f>IFERROR(('Historical FS'!F25/'Historical FS'!E25-1),0)</f>
        <v>-0.11425826491629976</v>
      </c>
      <c r="G7" s="36">
        <f>IFERROR(('Historical FS'!G25/'Historical FS'!F25-1),0)</f>
        <v>-1.7449391093799504E-2</v>
      </c>
      <c r="H7" s="36">
        <f>IFERROR(('Historical FS'!H25/'Historical FS'!G25-1),0)</f>
        <v>0.11401484072388546</v>
      </c>
      <c r="I7" s="36">
        <f>IFERROR(('Historical FS'!I25/'Historical FS'!H25-1),0)</f>
        <v>0.20674416925409722</v>
      </c>
      <c r="J7" s="36">
        <f>IFERROR(('Historical FS'!J25/'Historical FS'!I25-1),0)</f>
        <v>0.25335066950033713</v>
      </c>
      <c r="K7" s="36">
        <f>IFERROR(('Historical FS'!K25/'Historical FS'!J25-1),0)</f>
        <v>0.170764269999792</v>
      </c>
      <c r="L7" s="36">
        <f>IFERROR(('Historical FS'!L25/'Historical FS'!K25-1),0)</f>
        <v>0.20614426243664474</v>
      </c>
      <c r="N7" s="46">
        <f>IFERROR(AVERAGE(D7:L7),0)</f>
        <v>0.13216071533573143</v>
      </c>
      <c r="O7" s="46">
        <f>IFERROR(MEDIAN(D7:L7),0)</f>
        <v>0.17514290249336528</v>
      </c>
    </row>
    <row r="8" spans="2:15" x14ac:dyDescent="0.3">
      <c r="B8" t="s">
        <v>189</v>
      </c>
      <c r="C8" s="36"/>
      <c r="D8" s="36">
        <f>IFERROR(('Historical FS'!D37/'Historical FS'!C37-1),0)</f>
        <v>-0.1292860942186731</v>
      </c>
      <c r="E8" s="36">
        <f>IFERROR(('Historical FS'!E37/'Historical FS'!D37-1),0)</f>
        <v>0.63611244064338068</v>
      </c>
      <c r="F8" s="36">
        <f>IFERROR(('Historical FS'!F37/'Historical FS'!E37-1),0)</f>
        <v>0.33116813755633112</v>
      </c>
      <c r="G8" s="36">
        <f>IFERROR(('Historical FS'!G37/'Historical FS'!F37-1),0)</f>
        <v>-0.14164038903901233</v>
      </c>
      <c r="H8" s="36">
        <f>IFERROR(('Historical FS'!H37/'Historical FS'!G37-1),0)</f>
        <v>-0.22827179978675594</v>
      </c>
      <c r="I8" s="36">
        <f>IFERROR(('Historical FS'!I37/'Historical FS'!H37-1),0)</f>
        <v>-7.0123208887629129E-2</v>
      </c>
      <c r="J8" s="36">
        <f>IFERROR(('Historical FS'!J37/'Historical FS'!I37-1),0)</f>
        <v>0.42506636747512649</v>
      </c>
      <c r="K8" s="36">
        <f>IFERROR(('Historical FS'!K37/'Historical FS'!J37-1),0)</f>
        <v>0.1139523430692877</v>
      </c>
      <c r="L8" s="36">
        <f>IFERROR(('Historical FS'!L37/'Historical FS'!K37-1),0)</f>
        <v>0.14645616317840138</v>
      </c>
      <c r="N8" s="46">
        <f>IFERROR(AVERAGE(D8:L8),0)</f>
        <v>0.12038155111005075</v>
      </c>
      <c r="O8" s="46">
        <f>IFERROR(MEDIAN(D8:L8),0)</f>
        <v>0.1139523430692877</v>
      </c>
    </row>
    <row r="9" spans="2:15" x14ac:dyDescent="0.3">
      <c r="B9" t="s">
        <v>164</v>
      </c>
      <c r="C9" s="36"/>
      <c r="D9" s="36">
        <f>IFERROR(('Historical FS'!D45/'Historical FS'!C45-1),0)</f>
        <v>-1.7773389286595886E-2</v>
      </c>
      <c r="E9" s="36">
        <f>IFERROR(('Historical FS'!E45/'Historical FS'!D45-1),0)</f>
        <v>0.16850967579793896</v>
      </c>
      <c r="F9" s="36">
        <f>IFERROR(('Historical FS'!F45/'Historical FS'!E45-1),0)</f>
        <v>-1.6433243066214351</v>
      </c>
      <c r="G9" s="36">
        <f>IFERROR(('Historical FS'!G45/'Historical FS'!F45-1),0)</f>
        <v>-2.2407567813995897</v>
      </c>
      <c r="H9" s="36">
        <f>IFERROR(('Historical FS'!H45/'Historical FS'!G45-1),0)</f>
        <v>0.77665098961395262</v>
      </c>
      <c r="I9" s="36">
        <f>IFERROR(('Historical FS'!I45/'Historical FS'!H45-1),0)</f>
        <v>0.41136081621398057</v>
      </c>
      <c r="J9" s="36">
        <f>IFERROR(('Historical FS'!J45/'Historical FS'!I45-1),0)</f>
        <v>0.258572182169861</v>
      </c>
      <c r="K9" s="36">
        <f>IFERROR(('Historical FS'!K45/'Historical FS'!J45-1),0)</f>
        <v>0.20156013505646753</v>
      </c>
      <c r="L9" s="36">
        <f>IFERROR(('Historical FS'!L45/'Historical FS'!K45-1),0)</f>
        <v>0.32324308960420667</v>
      </c>
      <c r="N9" s="46">
        <f>IFERROR(AVERAGE(D9:L9),0)</f>
        <v>-0.19577306542791256</v>
      </c>
      <c r="O9" s="46">
        <f>IFERROR(MEDIAN(D9:L9),0)</f>
        <v>0.20156013505646753</v>
      </c>
    </row>
    <row r="11" spans="2:15" x14ac:dyDescent="0.3">
      <c r="B11" t="s">
        <v>157</v>
      </c>
      <c r="C11" s="36">
        <f>IFERROR('Historical FS'!C14,0)</f>
        <v>0.23999999999999996</v>
      </c>
      <c r="D11" s="36">
        <f>IFERROR('Historical FS'!D14,0)</f>
        <v>0.26</v>
      </c>
      <c r="E11" s="36">
        <f>IFERROR('Historical FS'!E14,0)</f>
        <v>0.26999999999999996</v>
      </c>
      <c r="F11" s="36">
        <f>IFERROR('Historical FS'!F14,0)</f>
        <v>0.32999999999999996</v>
      </c>
      <c r="G11" s="36">
        <f>IFERROR('Historical FS'!G14,0)</f>
        <v>0.32999999999999996</v>
      </c>
      <c r="H11" s="36">
        <f>IFERROR('Historical FS'!H14,0)</f>
        <v>0.30000000000000004</v>
      </c>
      <c r="I11" s="36">
        <f>IFERROR('Historical FS'!I14,0)</f>
        <v>0.26999999999999991</v>
      </c>
      <c r="J11" s="36">
        <f>IFERROR('Historical FS'!J14,0)</f>
        <v>0.28999999999999998</v>
      </c>
      <c r="K11" s="36">
        <f>IFERROR('Historical FS'!K14,0)</f>
        <v>0.29999999999999993</v>
      </c>
      <c r="L11" s="36">
        <f>IFERROR('Historical FS'!L14,0)</f>
        <v>0.28999999999999998</v>
      </c>
      <c r="N11" s="46">
        <f>IFERROR(AVERAGE(C11:L11),0)</f>
        <v>0.28799999999999998</v>
      </c>
      <c r="O11" s="46">
        <f>IFERROR(MEDIAN(C11:L11),0)</f>
        <v>0.28999999999999998</v>
      </c>
    </row>
    <row r="12" spans="2:15" x14ac:dyDescent="0.3">
      <c r="B12" t="s">
        <v>161</v>
      </c>
      <c r="C12" s="36">
        <f>IFERROR('Historical FS'!C20,0)</f>
        <v>0.23999999999999996</v>
      </c>
      <c r="D12" s="36">
        <f>IFERROR('Historical FS'!D20,0)</f>
        <v>0.26</v>
      </c>
      <c r="E12" s="36">
        <f>IFERROR('Historical FS'!E20,0)</f>
        <v>0.26999999999999996</v>
      </c>
      <c r="F12" s="36">
        <f>IFERROR('Historical FS'!F20,0)</f>
        <v>0.32999999999999996</v>
      </c>
      <c r="G12" s="36">
        <f>IFERROR('Historical FS'!G20,0)</f>
        <v>0.32999999999999996</v>
      </c>
      <c r="H12" s="36">
        <f>IFERROR('Historical FS'!H20,0)</f>
        <v>0.30000000000000004</v>
      </c>
      <c r="I12" s="36">
        <f>IFERROR('Historical FS'!I20,0)</f>
        <v>0.26999999999999991</v>
      </c>
      <c r="J12" s="36">
        <f>IFERROR('Historical FS'!J20,0)</f>
        <v>0.28999999999999998</v>
      </c>
      <c r="K12" s="36">
        <f>IFERROR('Historical FS'!K20,0)</f>
        <v>0.29999999999999993</v>
      </c>
      <c r="L12" s="36">
        <f>IFERROR('Historical FS'!L20,0)</f>
        <v>0.28999999999999998</v>
      </c>
      <c r="N12" s="46">
        <f>IFERROR(AVERAGE(C12:L12),0)</f>
        <v>0.28799999999999998</v>
      </c>
      <c r="O12" s="46">
        <f>IFERROR(MEDIAN(C12:L12),0)</f>
        <v>0.28999999999999998</v>
      </c>
    </row>
    <row r="13" spans="2:15" x14ac:dyDescent="0.3">
      <c r="B13" t="s">
        <v>162</v>
      </c>
      <c r="C13" s="36">
        <f>IFERROR('Historical FS'!C26,0)</f>
        <v>0.20642116194955412</v>
      </c>
      <c r="D13" s="36">
        <f>IFERROR('Historical FS'!D26,0)</f>
        <v>0.22438421612700069</v>
      </c>
      <c r="E13" s="36">
        <f>IFERROR('Historical FS'!E26,0)</f>
        <v>0.23188921037805213</v>
      </c>
      <c r="F13" s="36">
        <f>IFERROR('Historical FS'!F26,0)</f>
        <v>0.28533416465469208</v>
      </c>
      <c r="G13" s="36">
        <f>IFERROR('Historical FS'!G26,0)</f>
        <v>0.28452220038234738</v>
      </c>
      <c r="H13" s="36">
        <f>IFERROR('Historical FS'!H26,0)</f>
        <v>0.26109613955706384</v>
      </c>
      <c r="I13" s="36">
        <f>IFERROR('Historical FS'!I26,0)</f>
        <v>0.23409914141164442</v>
      </c>
      <c r="J13" s="36">
        <f>IFERROR('Historical FS'!J26,0)</f>
        <v>0.25603344885603757</v>
      </c>
      <c r="K13" s="36">
        <f>IFERROR('Historical FS'!K26,0)</f>
        <v>0.26184936970435452</v>
      </c>
      <c r="L13" s="36">
        <f>IFERROR('Historical FS'!L26,0)</f>
        <v>0.25313916199739223</v>
      </c>
      <c r="N13" s="46">
        <f>IFERROR(AVERAGE(C13:L13),0)</f>
        <v>0.24987682150181395</v>
      </c>
      <c r="O13" s="46">
        <f>IFERROR(MEDIAN(C13:L13),0)</f>
        <v>0.2545863054267149</v>
      </c>
    </row>
    <row r="14" spans="2:15" x14ac:dyDescent="0.3">
      <c r="B14" t="s">
        <v>167</v>
      </c>
      <c r="C14" s="36">
        <f>IFERROR('Historical FS'!C32,0)</f>
        <v>0.1628749119644754</v>
      </c>
      <c r="D14" s="36">
        <f>IFERROR('Historical FS'!D32,0)</f>
        <v>0.18109149347405915</v>
      </c>
      <c r="E14" s="36">
        <f>IFERROR('Historical FS'!E32,0)</f>
        <v>0.18394276219669406</v>
      </c>
      <c r="F14" s="36">
        <f>IFERROR('Historical FS'!F32,0)</f>
        <v>0.20546098538112545</v>
      </c>
      <c r="G14" s="36">
        <f>IFERROR('Historical FS'!G32,0)</f>
        <v>0.20237136164140118</v>
      </c>
      <c r="H14" s="36">
        <f>IFERROR('Historical FS'!H32,0)</f>
        <v>0.20544631866121041</v>
      </c>
      <c r="I14" s="36">
        <f>IFERROR('Historical FS'!I32,0)</f>
        <v>0.18606104052339276</v>
      </c>
      <c r="J14" s="36">
        <f>IFERROR('Historical FS'!J32,0)</f>
        <v>0.20219315779634447</v>
      </c>
      <c r="K14" s="36">
        <f>IFERROR('Historical FS'!K32,0)</f>
        <v>0.20479929150624007</v>
      </c>
      <c r="L14" s="36">
        <f>IFERROR('Historical FS'!L32,0)</f>
        <v>0.20485559230563988</v>
      </c>
      <c r="N14" s="46">
        <f>IFERROR(AVERAGE(C14:L14),0)</f>
        <v>0.19390969154505827</v>
      </c>
      <c r="O14" s="46">
        <f>IFERROR(MEDIAN(C14:L14),0)</f>
        <v>0.20228225971887281</v>
      </c>
    </row>
    <row r="15" spans="2:15" x14ac:dyDescent="0.3">
      <c r="B15" t="s">
        <v>163</v>
      </c>
      <c r="C15" s="36">
        <f>IFERROR('Historical FS'!C38,0)</f>
        <v>8.7074833180141531E-2</v>
      </c>
      <c r="D15" s="36">
        <f>IFERROR('Historical FS'!D38,0)</f>
        <v>6.8966925098269183E-2</v>
      </c>
      <c r="E15" s="36">
        <f>IFERROR('Historical FS'!E38,0)</f>
        <v>9.9231959205889925E-2</v>
      </c>
      <c r="F15" s="36">
        <f>IFERROR('Historical FS'!F38,0)</f>
        <v>0.18350614204982618</v>
      </c>
      <c r="G15" s="36">
        <f>IFERROR('Historical FS'!G38,0)</f>
        <v>0.15985540806160636</v>
      </c>
      <c r="H15" s="36">
        <f>IFERROR('Historical FS'!H38,0)</f>
        <v>0.10162136385312354</v>
      </c>
      <c r="I15" s="36">
        <f>IFERROR('Historical FS'!I38,0)</f>
        <v>7.0209291211417002E-2</v>
      </c>
      <c r="J15" s="36">
        <f>IFERROR('Historical FS'!J38,0)</f>
        <v>8.7307985447015304E-2</v>
      </c>
      <c r="K15" s="36">
        <f>IFERROR('Historical FS'!K38,0)</f>
        <v>8.4958325743824156E-2</v>
      </c>
      <c r="L15" s="36">
        <f>IFERROR('Historical FS'!L38,0)</f>
        <v>7.8067801388448377E-2</v>
      </c>
      <c r="N15" s="46">
        <f>IFERROR(AVERAGE(C15:L15),0)</f>
        <v>0.10208000352395614</v>
      </c>
      <c r="O15" s="46">
        <f>IFERROR(MEDIAN(C15:L15),0)</f>
        <v>8.7191409313578411E-2</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3.3578838050445849E-2</v>
      </c>
      <c r="D18" s="36">
        <f>IFERROR('Historical FS'!D23,0)</f>
        <v>3.5615783872999324E-2</v>
      </c>
      <c r="E18" s="36">
        <f>IFERROR('Historical FS'!E23,0)</f>
        <v>3.811078962194784E-2</v>
      </c>
      <c r="F18" s="36">
        <f>IFERROR('Historical FS'!F23,0)</f>
        <v>4.4665835345307901E-2</v>
      </c>
      <c r="G18" s="36">
        <f>IFERROR('Historical FS'!G23,0)</f>
        <v>4.5477799617652602E-2</v>
      </c>
      <c r="H18" s="36">
        <f>IFERROR('Historical FS'!H23,0)</f>
        <v>3.89038604429362E-2</v>
      </c>
      <c r="I18" s="36">
        <f>IFERROR('Historical FS'!I23,0)</f>
        <v>3.5900858588355497E-2</v>
      </c>
      <c r="J18" s="36">
        <f>IFERROR('Historical FS'!J23,0)</f>
        <v>3.3966551143962381E-2</v>
      </c>
      <c r="K18" s="36">
        <f>IFERROR('Historical FS'!K23,0)</f>
        <v>3.8150630295645402E-2</v>
      </c>
      <c r="L18" s="36">
        <f>IFERROR('Historical FS'!L23,0)</f>
        <v>3.6860838002607747E-2</v>
      </c>
      <c r="N18" s="46">
        <f>IFERROR(AVERAGE(C18:L18),0)</f>
        <v>3.8123178498186076E-2</v>
      </c>
      <c r="O18" s="46">
        <f>IFERROR(MEDIAN(C18:L18),0)</f>
        <v>3.7485813812277793E-2</v>
      </c>
    </row>
    <row r="19" spans="2:15" x14ac:dyDescent="0.3">
      <c r="B19" t="s">
        <v>8606</v>
      </c>
      <c r="C19" s="36">
        <f t="shared" ref="C19:L19" si="0">C13</f>
        <v>0.20642116194955412</v>
      </c>
      <c r="D19" s="36">
        <f t="shared" si="0"/>
        <v>0.22438421612700069</v>
      </c>
      <c r="E19" s="36">
        <f t="shared" si="0"/>
        <v>0.23188921037805213</v>
      </c>
      <c r="F19" s="36">
        <f t="shared" si="0"/>
        <v>0.28533416465469208</v>
      </c>
      <c r="G19" s="36">
        <f t="shared" si="0"/>
        <v>0.28452220038234738</v>
      </c>
      <c r="H19" s="36">
        <f t="shared" si="0"/>
        <v>0.26109613955706384</v>
      </c>
      <c r="I19" s="36">
        <f t="shared" si="0"/>
        <v>0.23409914141164442</v>
      </c>
      <c r="J19" s="36">
        <f t="shared" si="0"/>
        <v>0.25603344885603757</v>
      </c>
      <c r="K19" s="36">
        <f t="shared" si="0"/>
        <v>0.26184936970435452</v>
      </c>
      <c r="L19" s="36">
        <f t="shared" si="0"/>
        <v>0.25313916199739223</v>
      </c>
      <c r="N19" s="46">
        <f>IFERROR(AVERAGE(C19:L19),0)</f>
        <v>0.24987682150181395</v>
      </c>
      <c r="O19" s="46">
        <f>IFERROR(MEDIAN(C19:L19),0)</f>
        <v>0.2545863054267149</v>
      </c>
    </row>
    <row r="21" spans="2:15" x14ac:dyDescent="0.3">
      <c r="B21" t="s">
        <v>169</v>
      </c>
      <c r="C21" s="46">
        <f>IFERROR('Historical FS'!C25/SUM('Historical FS'!C51:'Historical FS'!C53),0)</f>
        <v>0.22017468805704096</v>
      </c>
      <c r="D21" s="46">
        <f>IFERROR('Historical FS'!D25/SUM('Historical FS'!D51:'Historical FS'!D53),0)</f>
        <v>0.22298231415838488</v>
      </c>
      <c r="E21" s="46">
        <f>IFERROR('Historical FS'!E25/SUM('Historical FS'!E51:'Historical FS'!E53),0)</f>
        <v>0.21910539470003879</v>
      </c>
      <c r="F21" s="46">
        <f>IFERROR('Historical FS'!F25/SUM('Historical FS'!F51:'Historical FS'!F53),0)</f>
        <v>0.17621566266047303</v>
      </c>
      <c r="G21" s="46">
        <f>IFERROR('Historical FS'!G25/SUM('Historical FS'!G51:'Historical FS'!G53),0)</f>
        <v>0.17293395632001438</v>
      </c>
      <c r="H21" s="46">
        <f>IFERROR('Historical FS'!H25/SUM('Historical FS'!H51:'Historical FS'!H53),0)</f>
        <v>0.18875713552690657</v>
      </c>
      <c r="I21" s="46">
        <f>IFERROR('Historical FS'!I25/SUM('Historical FS'!I51:'Historical FS'!I53),0)</f>
        <v>0.19065947266345884</v>
      </c>
      <c r="J21" s="46">
        <f>IFERROR('Historical FS'!J25/SUM('Historical FS'!J51:'Historical FS'!J53),0)</f>
        <v>0.20366753032824858</v>
      </c>
      <c r="K21" s="46">
        <f>IFERROR('Historical FS'!K25/SUM('Historical FS'!K51:'Historical FS'!K53),0)</f>
        <v>0.20231238838419127</v>
      </c>
      <c r="L21" s="46">
        <f>IFERROR('Historical FS'!L25/SUM('Historical FS'!L51:'Historical FS'!L53),0)</f>
        <v>0.21859172379615097</v>
      </c>
      <c r="N21" s="46">
        <f>IFERROR(AVERAGE(C21:L21),0)</f>
        <v>0.20154002665949083</v>
      </c>
      <c r="O21" s="46">
        <f>IFERROR(MEDIAN(C21:L21),0)</f>
        <v>0.20298995935621994</v>
      </c>
    </row>
    <row r="22" spans="2:15" x14ac:dyDescent="0.3">
      <c r="B22" t="s">
        <v>170</v>
      </c>
      <c r="C22" s="46">
        <f>IFERROR('Historical FS'!C48,0)</f>
        <v>0.87782335232475883</v>
      </c>
      <c r="D22" s="46">
        <f>IFERROR('Historical FS'!D48,0)</f>
        <v>0.86217613643520219</v>
      </c>
      <c r="E22" s="46">
        <f>IFERROR('Historical FS'!E48,0)</f>
        <v>0.90156635074054503</v>
      </c>
      <c r="F22" s="46">
        <f>IFERROR('Historical FS'!F48,0)</f>
        <v>1.0475708194716136</v>
      </c>
      <c r="G22" s="46">
        <f>IFERROR('Historical FS'!G48,0)</f>
        <v>0.9312364933037105</v>
      </c>
      <c r="H22" s="46">
        <f>IFERROR('Historical FS'!H48,0)</f>
        <v>0.84169458601158975</v>
      </c>
      <c r="I22" s="46">
        <f>IFERROR('Historical FS'!I48,0)</f>
        <v>0.75972509429932122</v>
      </c>
      <c r="J22" s="46">
        <f>IFERROR('Historical FS'!J48,0)</f>
        <v>0.7877970322714537</v>
      </c>
      <c r="K22" s="46">
        <f>IFERROR('Historical FS'!K48,0)</f>
        <v>0.77110813748031592</v>
      </c>
      <c r="L22" s="46">
        <f>IFERROR('Historical FS'!L48,0)</f>
        <v>0.73581233624658304</v>
      </c>
      <c r="N22" s="46">
        <f>IFERROR(AVERAGE(C22:L22),0)</f>
        <v>0.85165103385850949</v>
      </c>
      <c r="O22" s="46">
        <f>IFERROR(MEDIAN(C22:L22),0)</f>
        <v>0.85193536122339597</v>
      </c>
    </row>
    <row r="23" spans="2:15" x14ac:dyDescent="0.3">
      <c r="B23" t="s">
        <v>171</v>
      </c>
      <c r="C23" s="46">
        <f>IFERROR('Historical FS'!C37/SUM('Historical FS'!C51:'Historical FS'!C52),0)</f>
        <v>0.24496339579555365</v>
      </c>
      <c r="D23" s="46">
        <f>IFERROR('Historical FS'!D37/SUM('Historical FS'!D51:'Historical FS'!D52),0)</f>
        <v>0.17271080897348748</v>
      </c>
      <c r="E23" s="46">
        <f>IFERROR('Historical FS'!E37/SUM('Historical FS'!E51:'Historical FS'!E52),0)</f>
        <v>0.25990220843858636</v>
      </c>
      <c r="F23" s="46">
        <f>IFERROR('Historical FS'!F37/SUM('Historical FS'!F51:'Historical FS'!F52),0)</f>
        <v>0.34609472341064318</v>
      </c>
      <c r="G23" s="46">
        <f>IFERROR('Historical FS'!G37/SUM('Historical FS'!G51:'Historical FS'!G52),0)</f>
        <v>0.28554999759511324</v>
      </c>
      <c r="H23" s="46">
        <f>IFERROR('Historical FS'!H37/SUM('Historical FS'!H51:'Historical FS'!H52),0)</f>
        <v>0.19445493707955783</v>
      </c>
      <c r="I23" s="46">
        <f>IFERROR('Historical FS'!I37/SUM('Historical FS'!I51:'Historical FS'!I52),0)</f>
        <v>0.15116808004825588</v>
      </c>
      <c r="J23" s="46">
        <f>IFERROR('Historical FS'!J37/SUM('Historical FS'!J51:'Historical FS'!J52),0)</f>
        <v>0.18345097446744213</v>
      </c>
      <c r="K23" s="46">
        <f>IFERROR('Historical FS'!K37/SUM('Historical FS'!K51:'Historical FS'!K52),0)</f>
        <v>0.17557730500136279</v>
      </c>
      <c r="L23" s="46">
        <f>IFERROR('Historical FS'!L37/SUM('Historical FS'!L51:'Historical FS'!L52),0)</f>
        <v>0.1665715329172798</v>
      </c>
      <c r="N23" s="46">
        <f>IFERROR(AVERAGE(C23:L23),0)</f>
        <v>0.21804439637272824</v>
      </c>
      <c r="O23" s="46">
        <f>IFERROR(MEDIAN(C23:L23),0)</f>
        <v>0.18895295577349996</v>
      </c>
    </row>
    <row r="24" spans="2:15" x14ac:dyDescent="0.3">
      <c r="B24" t="s">
        <v>172</v>
      </c>
      <c r="C24" s="46">
        <f t="shared" ref="C24:L24" si="1">IFERROR(C22*C23,0)</f>
        <v>0.21503458929410965</v>
      </c>
      <c r="D24" s="46">
        <f t="shared" si="1"/>
        <v>0.14890713800135968</v>
      </c>
      <c r="E24" s="46">
        <f t="shared" si="1"/>
        <v>0.23431908561138479</v>
      </c>
      <c r="F24" s="46">
        <f t="shared" si="1"/>
        <v>0.36255873301808894</v>
      </c>
      <c r="G24" s="46">
        <f t="shared" si="1"/>
        <v>0.2659145784233562</v>
      </c>
      <c r="H24" s="46">
        <f t="shared" si="1"/>
        <v>0.16367166776308817</v>
      </c>
      <c r="I24" s="46">
        <f t="shared" si="1"/>
        <v>0.11484618386970855</v>
      </c>
      <c r="J24" s="46">
        <f t="shared" si="1"/>
        <v>0.14452213325275715</v>
      </c>
      <c r="K24" s="46">
        <f t="shared" si="1"/>
        <v>0.13538908864341423</v>
      </c>
      <c r="L24" s="46">
        <f t="shared" si="1"/>
        <v>0.12256538878803826</v>
      </c>
      <c r="N24" s="46">
        <f>IFERROR(AVERAGE(C24:L24),0)</f>
        <v>0.19077285866653054</v>
      </c>
      <c r="O24" s="46">
        <f>IFERROR(MEDIAN(C24:L24),0)</f>
        <v>0.15628940288222393</v>
      </c>
    </row>
    <row r="25" spans="2:15" x14ac:dyDescent="0.3">
      <c r="B25" t="s">
        <v>173</v>
      </c>
      <c r="C25" s="158">
        <f>IFERROR('Historical FS'!C25/'Historical FS'!C28,0)</f>
        <v>4.7402741228070164</v>
      </c>
      <c r="D25" s="158">
        <f>IFERROR('Historical FS'!D25/'Historical FS'!D28,0)</f>
        <v>5.1829546024579889</v>
      </c>
      <c r="E25" s="158">
        <f>IFERROR('Historical FS'!E25/'Historical FS'!E28,0)</f>
        <v>4.8364210316669984</v>
      </c>
      <c r="F25" s="158">
        <f>IFERROR('Historical FS'!F25/'Historical FS'!F28,0)</f>
        <v>3.5723401428334158</v>
      </c>
      <c r="G25" s="158">
        <f>IFERROR('Historical FS'!G25/'Historical FS'!G28,0)</f>
        <v>3.463411996066863</v>
      </c>
      <c r="H25" s="158">
        <f>IFERROR('Historical FS'!H25/'Historical FS'!H28,0)</f>
        <v>4.6917696293343969</v>
      </c>
      <c r="I25" s="158">
        <f>IFERROR('Historical FS'!I25/'Historical FS'!I28,0)</f>
        <v>4.8731972555746124</v>
      </c>
      <c r="J25" s="158">
        <f>IFERROR('Historical FS'!J25/'Historical FS'!J28,0)</f>
        <v>4.7554246794871791</v>
      </c>
      <c r="K25" s="158">
        <f>IFERROR('Historical FS'!K25/'Historical FS'!K28,0)</f>
        <v>4.5898161400418349</v>
      </c>
      <c r="L25" s="158">
        <f>IFERROR('Historical FS'!L25/'Historical FS'!L28,0)</f>
        <v>5.2427598790532786</v>
      </c>
      <c r="N25" s="158">
        <f>IFERROR(AVERAGE(C25:L25),0)</f>
        <v>4.5948369479323592</v>
      </c>
      <c r="O25" s="158">
        <f>IFERROR(MEDIAN(C25:L25),0)</f>
        <v>4.7478494011470982</v>
      </c>
    </row>
    <row r="27" spans="2:15" x14ac:dyDescent="0.3">
      <c r="B27" t="s">
        <v>174</v>
      </c>
      <c r="C27" s="158">
        <f>IFERROR('Historical FS'!C7/'Historical FS'!C63,0)</f>
        <v>11.636755104875677</v>
      </c>
      <c r="D27" s="158">
        <f>IFERROR('Historical FS'!D7/'Historical FS'!D63,0)</f>
        <v>10.847349823321554</v>
      </c>
      <c r="E27" s="158">
        <f>IFERROR('Historical FS'!E7/'Historical FS'!E63,0)</f>
        <v>12.067411846047476</v>
      </c>
      <c r="F27" s="158">
        <f>IFERROR('Historical FS'!F7/'Historical FS'!F63,0)</f>
        <v>10.880773672055428</v>
      </c>
      <c r="G27" s="158">
        <f>IFERROR('Historical FS'!G7/'Historical FS'!G63,0)</f>
        <v>12.36318242343542</v>
      </c>
      <c r="H27" s="158">
        <f>IFERROR('Historical FS'!H7/'Historical FS'!H63,0)</f>
        <v>14.146689676812048</v>
      </c>
      <c r="I27" s="158">
        <f>IFERROR('Historical FS'!I7/'Historical FS'!I63,0)</f>
        <v>17.268355150825272</v>
      </c>
      <c r="J27" s="158">
        <f>IFERROR('Historical FS'!J7/'Historical FS'!J63,0)</f>
        <v>18.645662957501006</v>
      </c>
      <c r="K27" s="158">
        <f>IFERROR('Historical FS'!K7/'Historical FS'!K63,0)</f>
        <v>19.228381642512076</v>
      </c>
      <c r="L27" s="158">
        <f>IFERROR('Historical FS'!L7/'Historical FS'!L63,0)</f>
        <v>21.915158870255958</v>
      </c>
      <c r="N27" s="158">
        <f>IFERROR(AVERAGE(C27:L27),0)</f>
        <v>14.899972116764193</v>
      </c>
      <c r="O27" s="158">
        <f>IFERROR(MEDIAN(C27:L27),0)</f>
        <v>13.254936050123735</v>
      </c>
    </row>
    <row r="28" spans="2:15" x14ac:dyDescent="0.3">
      <c r="B28" t="s">
        <v>175</v>
      </c>
      <c r="C28" s="158">
        <f>IFERROR('Historical FS'!C7/'Historical FS'!C54,0)</f>
        <v>2.3734417497733453</v>
      </c>
      <c r="D28" s="158">
        <f>IFERROR('Historical FS'!D7/'Historical FS'!D54,0)</f>
        <v>2.1076071036250457</v>
      </c>
      <c r="E28" s="158">
        <f>IFERROR('Historical FS'!E7/'Historical FS'!E54,0)</f>
        <v>2.0510605793524883</v>
      </c>
      <c r="F28" s="158">
        <f>IFERROR('Historical FS'!F7/'Historical FS'!F54,0)</f>
        <v>1.7267666933913641</v>
      </c>
      <c r="G28" s="158">
        <f>IFERROR('Historical FS'!G7/'Historical FS'!G54,0)</f>
        <v>1.7370094944109256</v>
      </c>
      <c r="H28" s="158">
        <f>IFERROR('Historical FS'!H7/'Historical FS'!H54,0)</f>
        <v>1.8919242147667905</v>
      </c>
      <c r="I28" s="158">
        <f>IFERROR('Historical FS'!I7/'Historical FS'!I54,0)</f>
        <v>2.1958024244617333</v>
      </c>
      <c r="J28" s="158">
        <f>IFERROR('Historical FS'!J7/'Historical FS'!J54,0)</f>
        <v>2.3224567497161179</v>
      </c>
      <c r="K28" s="158">
        <f>IFERROR('Historical FS'!K7/'Historical FS'!K54,0)</f>
        <v>2.2760686204431737</v>
      </c>
      <c r="L28" s="158">
        <f>IFERROR('Historical FS'!L7/'Historical FS'!L54,0)</f>
        <v>2.3091919415026565</v>
      </c>
      <c r="N28" s="158">
        <f>IFERROR(AVERAGE(C28:L28),0)</f>
        <v>2.0991329571443642</v>
      </c>
      <c r="O28" s="158">
        <f>IFERROR(MEDIAN(C28:L28),0)</f>
        <v>2.1517047640433895</v>
      </c>
    </row>
    <row r="29" spans="2:15" x14ac:dyDescent="0.3">
      <c r="B29" t="s">
        <v>47</v>
      </c>
      <c r="C29" s="158">
        <f>IFERROR('Historical FS'!C7/'Historical FS'!C64,0)</f>
        <v>9.4275264460949817</v>
      </c>
      <c r="D29" s="158">
        <f>IFERROR('Historical FS'!D7/'Historical FS'!D64,0)</f>
        <v>9.8643958868894597</v>
      </c>
      <c r="E29" s="158">
        <f>IFERROR('Historical FS'!E7/'Historical FS'!E64,0)</f>
        <v>8.5836885245901637</v>
      </c>
      <c r="F29" s="158">
        <f>IFERROR('Historical FS'!F7/'Historical FS'!F64,0)</f>
        <v>6.7838372930165587</v>
      </c>
      <c r="G29" s="158">
        <f>IFERROR('Historical FS'!G7/'Historical FS'!G64,0)</f>
        <v>7.7252210088403537</v>
      </c>
      <c r="H29" s="158">
        <f>IFERROR('Historical FS'!H7/'Historical FS'!H64,0)</f>
        <v>7.7760434632631945</v>
      </c>
      <c r="I29" s="158">
        <f>IFERROR('Historical FS'!I7/'Historical FS'!I64,0)</f>
        <v>7.2003559774547616</v>
      </c>
      <c r="J29" s="158">
        <f>IFERROR('Historical FS'!J7/'Historical FS'!J64,0)</f>
        <v>7.4813340505648194</v>
      </c>
      <c r="K29" s="158">
        <f>IFERROR('Historical FS'!K7/'Historical FS'!K64,0)</f>
        <v>7.8309478136835375</v>
      </c>
      <c r="L29" s="158">
        <f>IFERROR('Historical FS'!L7/'Historical FS'!L64,0)</f>
        <v>9.0110234077299953</v>
      </c>
      <c r="N29" s="158">
        <f>IFERROR(AVERAGE(C29:L29),0)</f>
        <v>8.1684373872127836</v>
      </c>
      <c r="O29" s="158">
        <f>IFERROR(MEDIAN(C29:L29),0)</f>
        <v>7.8034956384733665</v>
      </c>
    </row>
    <row r="30" spans="2:15" x14ac:dyDescent="0.3">
      <c r="B30" t="s">
        <v>8607</v>
      </c>
      <c r="C30" s="158">
        <f>IFERROR('Historical FS'!C7/'Historical FS'!C57,0)</f>
        <v>3.9912811472676162</v>
      </c>
      <c r="D30" s="158">
        <f>IFERROR('Historical FS'!D7/'Historical FS'!D57,0)</f>
        <v>3.5174547398976395</v>
      </c>
      <c r="E30" s="158">
        <f>IFERROR('Historical FS'!E7/'Historical FS'!E57,0)</f>
        <v>3.6131870406790187</v>
      </c>
      <c r="F30" s="158">
        <f>IFERROR('Historical FS'!F7/'Historical FS'!F57,0)</f>
        <v>2.5390548688066286</v>
      </c>
      <c r="G30" s="158">
        <f>IFERROR('Historical FS'!G7/'Historical FS'!G57,0)</f>
        <v>3.4741814780168383</v>
      </c>
      <c r="H30" s="158">
        <f>IFERROR('Historical FS'!H7/'Historical FS'!H57,0)</f>
        <v>3.4657160427396416</v>
      </c>
      <c r="I30" s="158">
        <f>IFERROR('Historical FS'!I7/'Historical FS'!I57,0)</f>
        <v>4.4717022844509948</v>
      </c>
      <c r="J30" s="158">
        <f>IFERROR('Historical FS'!J7/'Historical FS'!J57,0)</f>
        <v>4.944292367307761</v>
      </c>
      <c r="K30" s="158">
        <f>IFERROR('Historical FS'!K7/'Historical FS'!K57,0)</f>
        <v>4.5966913038457093</v>
      </c>
      <c r="L30" s="158">
        <f>IFERROR('Historical FS'!L7/'Historical FS'!L57,0)</f>
        <v>5.1649548870225432</v>
      </c>
      <c r="N30" s="158">
        <f>IFERROR(AVERAGE(C30:L30),0)</f>
        <v>3.9778516160034401</v>
      </c>
      <c r="O30" s="158">
        <f>IFERROR(MEDIAN(C30:L30),0)</f>
        <v>3.8022340939733175</v>
      </c>
    </row>
    <row r="31" spans="2:15" x14ac:dyDescent="0.3">
      <c r="B31" t="s">
        <v>176</v>
      </c>
      <c r="C31" s="158">
        <f>IFERROR('Historical FS'!C7/SUM('Historical FS'!C51:'Historical FS'!C52),0)</f>
        <v>2.8132513936463162</v>
      </c>
      <c r="D31" s="158">
        <f>IFERROR('Historical FS'!D7/SUM('Historical FS'!D51:'Historical FS'!D52),0)</f>
        <v>2.5042556084296397</v>
      </c>
      <c r="E31" s="158">
        <f>IFERROR('Historical FS'!E7/SUM('Historical FS'!E51:'Historical FS'!E52),0)</f>
        <v>2.6191381337068256</v>
      </c>
      <c r="F31" s="158">
        <f>IFERROR('Historical FS'!F7/SUM('Historical FS'!F51:'Historical FS'!F52),0)</f>
        <v>1.8860116590357527</v>
      </c>
      <c r="G31" s="158">
        <f>IFERROR('Historical FS'!G7/SUM('Historical FS'!G51:'Historical FS'!G52),0)</f>
        <v>1.7863017651868598</v>
      </c>
      <c r="H31" s="158">
        <f>IFERROR('Historical FS'!H7/SUM('Historical FS'!H51:'Historical FS'!H52),0)</f>
        <v>1.9135241813976189</v>
      </c>
      <c r="I31" s="158">
        <f>IFERROR('Historical FS'!I7/SUM('Historical FS'!I51:'Historical FS'!I52),0)</f>
        <v>2.1531064826313737</v>
      </c>
      <c r="J31" s="158">
        <f>IFERROR('Historical FS'!J7/SUM('Historical FS'!J51:'Historical FS'!J52),0)</f>
        <v>2.10119353376643</v>
      </c>
      <c r="K31" s="158">
        <f>IFERROR('Historical FS'!K7/SUM('Historical FS'!K51:'Historical FS'!K52),0)</f>
        <v>2.0666285907137945</v>
      </c>
      <c r="L31" s="158">
        <f>IFERROR('Historical FS'!L7/SUM('Historical FS'!L51:'Historical FS'!L52),0)</f>
        <v>2.1336777769423292</v>
      </c>
      <c r="N31" s="158">
        <f>IFERROR(AVERAGE(C31:L31),0)</f>
        <v>2.1977089125456937</v>
      </c>
      <c r="O31" s="158">
        <f>IFERROR(MEDIAN(C31:L31),0)</f>
        <v>2.1174356553543796</v>
      </c>
    </row>
    <row r="33" spans="2:15" x14ac:dyDescent="0.3">
      <c r="B33" s="52" t="s">
        <v>180</v>
      </c>
    </row>
    <row r="34" spans="2:15" x14ac:dyDescent="0.3">
      <c r="B34" t="s">
        <v>46</v>
      </c>
      <c r="C34" s="159">
        <f t="shared" ref="C34:L34" si="2">IFERROR(365/C27,0)</f>
        <v>31.366132286058754</v>
      </c>
      <c r="D34" s="159">
        <f t="shared" si="2"/>
        <v>33.648771906964626</v>
      </c>
      <c r="E34" s="159">
        <f t="shared" si="2"/>
        <v>30.246750890461325</v>
      </c>
      <c r="F34" s="159">
        <f t="shared" si="2"/>
        <v>33.545408718261655</v>
      </c>
      <c r="G34" s="159">
        <f t="shared" si="2"/>
        <v>29.523142787904895</v>
      </c>
      <c r="H34" s="159">
        <f t="shared" si="2"/>
        <v>25.801089041931441</v>
      </c>
      <c r="I34" s="159">
        <f t="shared" si="2"/>
        <v>21.136929187060197</v>
      </c>
      <c r="J34" s="159">
        <f t="shared" si="2"/>
        <v>19.575597865945728</v>
      </c>
      <c r="K34" s="159">
        <f t="shared" si="2"/>
        <v>18.9823567467072</v>
      </c>
      <c r="L34" s="159">
        <f t="shared" si="2"/>
        <v>16.655138215556864</v>
      </c>
      <c r="N34" s="159">
        <f>IFERROR(AVERAGE(C34:L34),0)</f>
        <v>26.048131764685273</v>
      </c>
      <c r="O34" s="159">
        <f>IFERROR(MEDIAN(C34:L34),0)</f>
        <v>27.662115914918168</v>
      </c>
    </row>
    <row r="35" spans="2:15" x14ac:dyDescent="0.3">
      <c r="B35" t="s">
        <v>177</v>
      </c>
      <c r="C35" s="159">
        <f t="shared" ref="C35:L35" si="3">IFERROR(365/C28,0)</f>
        <v>153.78510976090149</v>
      </c>
      <c r="D35" s="159">
        <f t="shared" si="3"/>
        <v>173.18218342128696</v>
      </c>
      <c r="E35" s="159">
        <f t="shared" si="3"/>
        <v>177.95671355315554</v>
      </c>
      <c r="F35" s="159">
        <f t="shared" si="3"/>
        <v>211.37771616566289</v>
      </c>
      <c r="G35" s="159">
        <f t="shared" si="3"/>
        <v>210.13126363122325</v>
      </c>
      <c r="H35" s="159">
        <f t="shared" si="3"/>
        <v>192.92527531024388</v>
      </c>
      <c r="I35" s="159">
        <f t="shared" si="3"/>
        <v>166.22624874342876</v>
      </c>
      <c r="J35" s="159">
        <f t="shared" si="3"/>
        <v>157.16116136268855</v>
      </c>
      <c r="K35" s="159">
        <f t="shared" si="3"/>
        <v>160.3642336270735</v>
      </c>
      <c r="L35" s="159">
        <f t="shared" si="3"/>
        <v>158.06395018098158</v>
      </c>
      <c r="N35" s="159">
        <f>IFERROR(AVERAGE(C35:L35),0)</f>
        <v>176.1173855756646</v>
      </c>
      <c r="O35" s="159">
        <f>IFERROR(MEDIAN(C35:L35),0)</f>
        <v>169.70421608235785</v>
      </c>
    </row>
    <row r="36" spans="2:15" x14ac:dyDescent="0.3">
      <c r="B36" t="s">
        <v>178</v>
      </c>
      <c r="C36" s="159">
        <f t="shared" ref="C36:L36" si="4">IFERROR(365/C29,0)</f>
        <v>38.716412209184341</v>
      </c>
      <c r="D36" s="159">
        <f t="shared" si="4"/>
        <v>37.001759072252263</v>
      </c>
      <c r="E36" s="159">
        <f t="shared" si="4"/>
        <v>42.522512199081369</v>
      </c>
      <c r="F36" s="159">
        <f t="shared" si="4"/>
        <v>53.804356477673714</v>
      </c>
      <c r="G36" s="159">
        <f t="shared" si="4"/>
        <v>47.247839198686016</v>
      </c>
      <c r="H36" s="159">
        <f t="shared" si="4"/>
        <v>46.939038049927362</v>
      </c>
      <c r="I36" s="159">
        <f t="shared" si="4"/>
        <v>50.691938168454705</v>
      </c>
      <c r="J36" s="159">
        <f t="shared" si="4"/>
        <v>48.788090136470188</v>
      </c>
      <c r="K36" s="159">
        <f t="shared" si="4"/>
        <v>46.609939011751699</v>
      </c>
      <c r="L36" s="159">
        <f t="shared" si="4"/>
        <v>40.505942941718388</v>
      </c>
      <c r="N36" s="159">
        <f>IFERROR(AVERAGE(C36:L36),0)</f>
        <v>45.282782746520006</v>
      </c>
      <c r="O36" s="159">
        <f>IFERROR(MEDIAN(C36:L36),0)</f>
        <v>46.774488530839534</v>
      </c>
    </row>
    <row r="37" spans="2:15" x14ac:dyDescent="0.3">
      <c r="B37" t="s">
        <v>179</v>
      </c>
      <c r="C37" s="159">
        <f t="shared" ref="C37:L37" si="5">SUM(C34,C36)-C35</f>
        <v>-83.702565265658393</v>
      </c>
      <c r="D37" s="159">
        <f t="shared" si="5"/>
        <v>-102.53165244207008</v>
      </c>
      <c r="E37" s="159">
        <f t="shared" si="5"/>
        <v>-105.18745046361285</v>
      </c>
      <c r="F37" s="159">
        <f t="shared" si="5"/>
        <v>-124.02795096972753</v>
      </c>
      <c r="G37" s="159">
        <f t="shared" si="5"/>
        <v>-133.36028164463232</v>
      </c>
      <c r="H37" s="159">
        <f t="shared" si="5"/>
        <v>-120.18514821838508</v>
      </c>
      <c r="I37" s="159">
        <f t="shared" si="5"/>
        <v>-94.397381387913853</v>
      </c>
      <c r="J37" s="159">
        <f t="shared" si="5"/>
        <v>-88.797473360272633</v>
      </c>
      <c r="K37" s="159">
        <f t="shared" si="5"/>
        <v>-94.7719378686146</v>
      </c>
      <c r="L37" s="159">
        <f t="shared" si="5"/>
        <v>-100.90286902370633</v>
      </c>
      <c r="N37" s="159">
        <f>IFERROR(AVERAGE(C37:L37),0)</f>
        <v>-104.78647106445938</v>
      </c>
      <c r="O37" s="159">
        <f>IFERROR(MEDIAN(C37:L37),0)</f>
        <v>-101.71726073288821</v>
      </c>
    </row>
    <row r="39" spans="2:15" x14ac:dyDescent="0.3">
      <c r="B39" t="s">
        <v>8608</v>
      </c>
      <c r="C39" s="46">
        <f>IFERROR('Historical FS'!C80/'Historical FS'!C7,0)</f>
        <v>-6.6143029377006918E-2</v>
      </c>
      <c r="D39" s="46">
        <f>IFERROR('Historical FS'!D80/'Historical FS'!D7,0)</f>
        <v>-6.6573283818706974E-2</v>
      </c>
      <c r="E39" s="46">
        <f>IFERROR('Historical FS'!E80/'Historical FS'!E7,0)</f>
        <v>-0.16108516916377805</v>
      </c>
      <c r="F39" s="46">
        <f>IFERROR('Historical FS'!F80/'Historical FS'!F7,0)</f>
        <v>-0.11185694197553793</v>
      </c>
      <c r="G39" s="46">
        <f>IFERROR('Historical FS'!G80/'Historical FS'!G7,0)</f>
        <v>0.40496513099437248</v>
      </c>
      <c r="H39" s="46">
        <f>IFERROR('Historical FS'!H80/'Historical FS'!H7,0)</f>
        <v>0.10581007197435982</v>
      </c>
      <c r="I39" s="46">
        <f>IFERROR('Historical FS'!I80/'Historical FS'!I7,0)</f>
        <v>-0.22259850694616107</v>
      </c>
      <c r="J39" s="46">
        <f>IFERROR('Historical FS'!J80/'Historical FS'!J7,0)</f>
        <v>-0.17836034455485411</v>
      </c>
      <c r="K39" s="46">
        <f>IFERROR('Historical FS'!K80/'Historical FS'!K7,0)</f>
        <v>-6.8695002229745436E-2</v>
      </c>
      <c r="L39" s="46">
        <f>IFERROR('Historical FS'!L80/'Historical FS'!L7,0)</f>
        <v>3.226959459119307E-3</v>
      </c>
      <c r="N39" s="46">
        <f>IFERROR(AVERAGE(C39:L39),0)</f>
        <v>-3.6131011563793884E-2</v>
      </c>
      <c r="O39" s="46">
        <f>IFERROR(MEDIAN(C39:L39),0)</f>
        <v>-6.7634143024226212E-2</v>
      </c>
    </row>
    <row r="40" spans="2:15" x14ac:dyDescent="0.3">
      <c r="B40" t="s">
        <v>8609</v>
      </c>
      <c r="C40" s="46">
        <f>IFERROR('Historical FS'!C80/'Historical FS'!C68,0)</f>
        <v>-4.8675714850441427E-2</v>
      </c>
      <c r="D40" s="46">
        <f>IFERROR('Historical FS'!D80/'Historical FS'!D68,0)</f>
        <v>-4.4958898283334187E-2</v>
      </c>
      <c r="E40" s="46">
        <f>IFERROR('Historical FS'!E80/'Historical FS'!E68,0)</f>
        <v>-0.10420102662935715</v>
      </c>
      <c r="F40" s="46">
        <f>IFERROR('Historical FS'!F80/'Historical FS'!F68,0)</f>
        <v>-5.0882539299399572E-2</v>
      </c>
      <c r="G40" s="46">
        <f>IFERROR('Historical FS'!G80/'Historical FS'!G68,0)</f>
        <v>0.18233728761161189</v>
      </c>
      <c r="H40" s="46">
        <f>IFERROR('Historical FS'!H80/'Historical FS'!H68,0)</f>
        <v>5.5346079773534118E-2</v>
      </c>
      <c r="I40" s="46">
        <f>IFERROR('Historical FS'!I80/'Historical FS'!I68,0)</f>
        <v>-0.13224301581629405</v>
      </c>
      <c r="J40" s="46">
        <f>IFERROR('Historical FS'!J80/'Historical FS'!J68,0)</f>
        <v>-0.10568291716548583</v>
      </c>
      <c r="K40" s="46">
        <f>IFERROR('Historical FS'!K80/'Historical FS'!K68,0)</f>
        <v>-3.9624801640496497E-2</v>
      </c>
      <c r="L40" s="46">
        <f>IFERROR('Historical FS'!L80/'Historical FS'!L68,0)</f>
        <v>2.028134432723522E-3</v>
      </c>
      <c r="N40" s="46">
        <f>IFERROR(AVERAGE(C40:L40),0)</f>
        <v>-2.8655741186693916E-2</v>
      </c>
      <c r="O40" s="46">
        <f>IFERROR(MEDIAN(C40:L40),0)</f>
        <v>-4.6817306566887804E-2</v>
      </c>
    </row>
    <row r="41" spans="2:15" x14ac:dyDescent="0.3">
      <c r="B41" t="s">
        <v>8610</v>
      </c>
      <c r="C41" s="46">
        <f>IFERROR('Historical FS'!C80/'Historical FS'!C53,0)</f>
        <v>-0.11363356712193921</v>
      </c>
      <c r="D41" s="46">
        <f>IFERROR('Historical FS'!D80/'Historical FS'!D53,0)</f>
        <v>-0.10968192064116784</v>
      </c>
      <c r="E41" s="46">
        <f>IFERROR('Historical FS'!E80/'Historical FS'!E53,0)</f>
        <v>-0.23810128726287264</v>
      </c>
      <c r="F41" s="46">
        <f>IFERROR('Historical FS'!F80/'Historical FS'!F53,0)</f>
        <v>-0.10271402816352385</v>
      </c>
      <c r="G41" s="46">
        <f>IFERROR('Historical FS'!G80/'Historical FS'!G53,0)</f>
        <v>0.37308527131782948</v>
      </c>
      <c r="H41" s="46">
        <f>IFERROR('Historical FS'!H80/'Historical FS'!H53,0)</f>
        <v>0.12294310933573868</v>
      </c>
      <c r="I41" s="46">
        <f>IFERROR('Historical FS'!I80/'Historical FS'!I53,0)</f>
        <v>-0.29159066132740402</v>
      </c>
      <c r="J41" s="46">
        <f>IFERROR('Historical FS'!J80/'Historical FS'!J53,0)</f>
        <v>-0.22831739486594199</v>
      </c>
      <c r="K41" s="46">
        <f>IFERROR('Historical FS'!K80/'Historical FS'!K53,0)</f>
        <v>-8.4766518116644055E-2</v>
      </c>
      <c r="L41" s="46">
        <f>IFERROR('Historical FS'!L80/'Historical FS'!L53,0)</f>
        <v>4.6810188701291115E-3</v>
      </c>
      <c r="N41" s="46">
        <f>IFERROR(AVERAGE(C41:L41),0)</f>
        <v>-6.6809597797579626E-2</v>
      </c>
      <c r="O41" s="46">
        <f>IFERROR(MEDIAN(C41:L41),0)</f>
        <v>-0.10619797440234585</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MAHINDRA &amp; MAHINDRA LTD -Sales Forecasting</v>
      </c>
      <c r="C2" s="164"/>
      <c r="D2" s="164"/>
      <c r="E2" s="164"/>
      <c r="G2" s="164" t="str">
        <f>'Data Sheet'!$B$1&amp;" -"&amp;'Historical FS'!B19&amp;" Forecasting"</f>
        <v>MAHINDRA &amp; MAHINDRA LTD -EBITDA Forecasting</v>
      </c>
      <c r="H2" s="164"/>
      <c r="I2" s="164"/>
      <c r="J2" s="164"/>
      <c r="L2" s="164" t="str">
        <f>'Data Sheet'!$B$1&amp;" -"&amp;'Historical FS'!B37&amp;" Forecasting"</f>
        <v>MAHINDRA &amp; MAHINDRA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42795</v>
      </c>
      <c r="D5" s="106">
        <f t="array" ref="D5:D14">TRANSPOSE('Data Sheet'!B17:K17)</f>
        <v>83773</v>
      </c>
      <c r="E5" s="56" t="s">
        <v>120</v>
      </c>
      <c r="G5">
        <v>1</v>
      </c>
      <c r="H5" s="54">
        <f t="array" ref="H5:H13">TRANSPOSE('Data Sheet'!B16:J16)</f>
        <v>42795</v>
      </c>
      <c r="I5" s="106" cm="1">
        <f t="array" ref="I5:I14">TRANSPOSE('Historical FS'!C19:L19)</f>
        <v>20105.519999999997</v>
      </c>
      <c r="J5" s="45" t="s">
        <v>120</v>
      </c>
      <c r="L5">
        <v>1</v>
      </c>
      <c r="M5" s="54">
        <f t="array" ref="M5:M13">TRANSPOSE('Data Sheet'!B16:J16)</f>
        <v>42795</v>
      </c>
      <c r="N5" s="106">
        <f t="array" ref="N5:N14">TRANSPOSE('Historical FS'!C37:L37)</f>
        <v>7294.5199999999968</v>
      </c>
      <c r="O5" s="56" t="s">
        <v>120</v>
      </c>
    </row>
    <row r="6" spans="2:15" x14ac:dyDescent="0.3">
      <c r="B6">
        <f>B5+1</f>
        <v>2</v>
      </c>
      <c r="C6" s="54">
        <v>43160</v>
      </c>
      <c r="D6" s="106">
        <v>92094</v>
      </c>
      <c r="E6" s="36">
        <f>D6/D5-1</f>
        <v>9.9327945758179936E-2</v>
      </c>
      <c r="G6">
        <f>G5+1</f>
        <v>2</v>
      </c>
      <c r="H6" s="54">
        <v>43160</v>
      </c>
      <c r="I6" s="106">
        <v>23944.440000000002</v>
      </c>
      <c r="J6" s="36">
        <f>I6/I5-1</f>
        <v>0.19093860790469508</v>
      </c>
      <c r="L6">
        <f>L5+1</f>
        <v>2</v>
      </c>
      <c r="M6" s="54">
        <v>43160</v>
      </c>
      <c r="N6" s="106">
        <v>6351.4400000000023</v>
      </c>
      <c r="O6" s="36">
        <f>N6/N5-1</f>
        <v>-0.1292860942186731</v>
      </c>
    </row>
    <row r="7" spans="2:15" x14ac:dyDescent="0.3">
      <c r="B7">
        <f t="shared" ref="B7:B19" si="0">B6+1</f>
        <v>3</v>
      </c>
      <c r="C7" s="54">
        <v>43525</v>
      </c>
      <c r="D7" s="106">
        <v>104721</v>
      </c>
      <c r="E7" s="36">
        <f t="shared" ref="E7:E19" si="1">D7/D6-1</f>
        <v>0.1371099094403545</v>
      </c>
      <c r="G7">
        <f t="shared" ref="G7:G19" si="2">G6+1</f>
        <v>3</v>
      </c>
      <c r="H7" s="54">
        <v>43525</v>
      </c>
      <c r="I7" s="106">
        <v>28274.67</v>
      </c>
      <c r="J7" s="36">
        <f t="shared" ref="J7:J19" si="3">I7/I6-1</f>
        <v>0.18084490595729097</v>
      </c>
      <c r="L7">
        <f t="shared" ref="L7:L19" si="4">L6+1</f>
        <v>3</v>
      </c>
      <c r="M7" s="54">
        <v>43525</v>
      </c>
      <c r="N7" s="106">
        <v>10391.669999999998</v>
      </c>
      <c r="O7" s="36">
        <f t="shared" ref="O7:O19" si="5">N7/N6-1</f>
        <v>0.63611244064338068</v>
      </c>
    </row>
    <row r="8" spans="2:15" x14ac:dyDescent="0.3">
      <c r="B8">
        <f t="shared" si="0"/>
        <v>4</v>
      </c>
      <c r="C8" s="54">
        <v>43891</v>
      </c>
      <c r="D8" s="106">
        <v>75382</v>
      </c>
      <c r="E8" s="36">
        <f t="shared" si="1"/>
        <v>-0.28016348201411367</v>
      </c>
      <c r="G8">
        <f t="shared" si="2"/>
        <v>4</v>
      </c>
      <c r="H8" s="54">
        <v>43891</v>
      </c>
      <c r="I8" s="106">
        <v>24876.059999999998</v>
      </c>
      <c r="J8" s="36">
        <f t="shared" si="3"/>
        <v>-0.12019981135058344</v>
      </c>
      <c r="L8">
        <f t="shared" si="4"/>
        <v>4</v>
      </c>
      <c r="M8" s="54">
        <v>43891</v>
      </c>
      <c r="N8" s="106">
        <v>13833.059999999998</v>
      </c>
      <c r="O8" s="36">
        <f t="shared" si="5"/>
        <v>0.33116813755633112</v>
      </c>
    </row>
    <row r="9" spans="2:15" x14ac:dyDescent="0.3">
      <c r="B9">
        <f t="shared" si="0"/>
        <v>5</v>
      </c>
      <c r="C9" s="54">
        <v>44256</v>
      </c>
      <c r="D9" s="106">
        <v>74278</v>
      </c>
      <c r="E9" s="36">
        <f t="shared" si="1"/>
        <v>-1.4645406065108335E-2</v>
      </c>
      <c r="G9">
        <f t="shared" si="2"/>
        <v>5</v>
      </c>
      <c r="H9" s="54">
        <v>44256</v>
      </c>
      <c r="I9" s="106">
        <v>24511.739999999998</v>
      </c>
      <c r="J9" s="36">
        <f t="shared" si="3"/>
        <v>-1.4645406065108335E-2</v>
      </c>
      <c r="L9">
        <f t="shared" si="4"/>
        <v>5</v>
      </c>
      <c r="M9" s="54">
        <v>44256</v>
      </c>
      <c r="N9" s="106">
        <v>11873.739999999998</v>
      </c>
      <c r="O9" s="36">
        <f t="shared" si="5"/>
        <v>-0.14164038903901233</v>
      </c>
    </row>
    <row r="10" spans="2:15" x14ac:dyDescent="0.3">
      <c r="B10">
        <f t="shared" si="0"/>
        <v>6</v>
      </c>
      <c r="C10" s="54">
        <v>44621</v>
      </c>
      <c r="D10" s="106">
        <v>90171</v>
      </c>
      <c r="E10" s="36">
        <f t="shared" si="1"/>
        <v>0.213966450362153</v>
      </c>
      <c r="G10">
        <f t="shared" si="2"/>
        <v>6</v>
      </c>
      <c r="H10" s="54">
        <v>44621</v>
      </c>
      <c r="I10" s="106">
        <v>27051.300000000003</v>
      </c>
      <c r="J10" s="36">
        <f t="shared" si="3"/>
        <v>0.1036058639655939</v>
      </c>
      <c r="L10">
        <f t="shared" si="4"/>
        <v>6</v>
      </c>
      <c r="M10" s="54">
        <v>44621</v>
      </c>
      <c r="N10" s="106">
        <v>9163.3000000000029</v>
      </c>
      <c r="O10" s="36">
        <f t="shared" si="5"/>
        <v>-0.22827179978675594</v>
      </c>
    </row>
    <row r="11" spans="2:15" x14ac:dyDescent="0.3">
      <c r="B11">
        <f t="shared" si="0"/>
        <v>7</v>
      </c>
      <c r="C11" s="54">
        <v>44986</v>
      </c>
      <c r="D11" s="106">
        <v>121362</v>
      </c>
      <c r="E11" s="36">
        <f t="shared" si="1"/>
        <v>0.34590943873307389</v>
      </c>
      <c r="G11">
        <f t="shared" si="2"/>
        <v>7</v>
      </c>
      <c r="H11" s="54">
        <v>44986</v>
      </c>
      <c r="I11" s="106">
        <v>32767.739999999991</v>
      </c>
      <c r="J11" s="36">
        <f t="shared" si="3"/>
        <v>0.21131849485976595</v>
      </c>
      <c r="L11">
        <f t="shared" si="4"/>
        <v>7</v>
      </c>
      <c r="M11" s="54">
        <v>44986</v>
      </c>
      <c r="N11" s="106">
        <v>8520.7399999999907</v>
      </c>
      <c r="O11" s="36">
        <f t="shared" si="5"/>
        <v>-7.0123208887629129E-2</v>
      </c>
    </row>
    <row r="12" spans="2:15" x14ac:dyDescent="0.3">
      <c r="B12">
        <f t="shared" si="0"/>
        <v>8</v>
      </c>
      <c r="C12" s="54">
        <v>45352</v>
      </c>
      <c r="D12" s="106">
        <v>139078</v>
      </c>
      <c r="E12" s="36">
        <f t="shared" si="1"/>
        <v>0.1459765000576787</v>
      </c>
      <c r="G12">
        <f t="shared" si="2"/>
        <v>8</v>
      </c>
      <c r="H12" s="54">
        <v>45352</v>
      </c>
      <c r="I12" s="106">
        <v>40332.619999999995</v>
      </c>
      <c r="J12" s="36">
        <f t="shared" si="3"/>
        <v>0.23086364821009964</v>
      </c>
      <c r="L12">
        <f t="shared" si="4"/>
        <v>8</v>
      </c>
      <c r="M12" s="54">
        <v>45352</v>
      </c>
      <c r="N12" s="106">
        <v>12142.619999999995</v>
      </c>
      <c r="O12" s="36">
        <f t="shared" si="5"/>
        <v>0.42506636747512649</v>
      </c>
    </row>
    <row r="13" spans="2:15" x14ac:dyDescent="0.3">
      <c r="B13">
        <f t="shared" si="0"/>
        <v>9</v>
      </c>
      <c r="C13" s="54">
        <v>45717</v>
      </c>
      <c r="D13" s="106">
        <v>159211</v>
      </c>
      <c r="E13" s="36">
        <f t="shared" si="1"/>
        <v>0.14476049411121816</v>
      </c>
      <c r="G13">
        <f t="shared" si="2"/>
        <v>9</v>
      </c>
      <c r="H13" s="54">
        <v>45717</v>
      </c>
      <c r="I13" s="106">
        <v>47763.299999999988</v>
      </c>
      <c r="J13" s="36">
        <f t="shared" si="3"/>
        <v>0.18423499390815667</v>
      </c>
      <c r="L13">
        <f t="shared" si="4"/>
        <v>9</v>
      </c>
      <c r="M13" s="54">
        <v>45717</v>
      </c>
      <c r="N13" s="106">
        <v>13526.299999999988</v>
      </c>
      <c r="O13" s="36">
        <f t="shared" si="5"/>
        <v>0.1139523430692877</v>
      </c>
    </row>
    <row r="14" spans="2:15" x14ac:dyDescent="0.3">
      <c r="B14">
        <f t="shared" si="0"/>
        <v>10</v>
      </c>
      <c r="C14" s="54">
        <f>C13+365</f>
        <v>46082</v>
      </c>
      <c r="D14" s="106">
        <v>198639</v>
      </c>
      <c r="E14" s="36">
        <f t="shared" si="1"/>
        <v>0.24764620535013293</v>
      </c>
      <c r="G14">
        <f t="shared" si="2"/>
        <v>10</v>
      </c>
      <c r="H14" s="54">
        <f>H13+365</f>
        <v>46082</v>
      </c>
      <c r="I14" s="106">
        <v>57605.31</v>
      </c>
      <c r="J14" s="36">
        <f t="shared" si="3"/>
        <v>0.20605799850512874</v>
      </c>
      <c r="L14">
        <f t="shared" si="4"/>
        <v>10</v>
      </c>
      <c r="M14" s="54">
        <f>M13+365</f>
        <v>46082</v>
      </c>
      <c r="N14" s="106">
        <v>15507.309999999998</v>
      </c>
      <c r="O14" s="36">
        <f t="shared" si="5"/>
        <v>0.14645616317840138</v>
      </c>
    </row>
    <row r="15" spans="2:15" x14ac:dyDescent="0.3">
      <c r="B15">
        <f t="shared" si="0"/>
        <v>11</v>
      </c>
      <c r="C15" s="55">
        <f>C14+365</f>
        <v>46447</v>
      </c>
      <c r="D15" s="106">
        <f>FORECAST(B15,$D$5:$D$14,$B$5:$B$14)</f>
        <v>174845.26666666666</v>
      </c>
      <c r="E15" s="36">
        <f t="shared" si="1"/>
        <v>-0.11978379539432504</v>
      </c>
      <c r="G15">
        <f t="shared" si="2"/>
        <v>11</v>
      </c>
      <c r="H15" s="55">
        <f>H14+365</f>
        <v>46447</v>
      </c>
      <c r="I15" s="106">
        <f>FORECAST(G15,$I$5:$I$14,$G$5:$G$14)</f>
        <v>52414.419333333324</v>
      </c>
      <c r="J15" s="36">
        <f t="shared" si="3"/>
        <v>-9.0111322492087531E-2</v>
      </c>
      <c r="L15">
        <f t="shared" si="4"/>
        <v>11</v>
      </c>
      <c r="M15" s="55">
        <f>M14+365</f>
        <v>46447</v>
      </c>
      <c r="N15" s="106">
        <f>FORECAST(L15,$N$5:$N$14,$L$5:$L$14)</f>
        <v>14668.685999999994</v>
      </c>
      <c r="O15" s="36">
        <f t="shared" si="5"/>
        <v>-5.4079269712155376E-2</v>
      </c>
    </row>
    <row r="16" spans="2:15" x14ac:dyDescent="0.3">
      <c r="B16">
        <f t="shared" si="0"/>
        <v>12</v>
      </c>
      <c r="C16" s="55">
        <f>C15+365</f>
        <v>46812</v>
      </c>
      <c r="D16" s="106">
        <f t="shared" ref="D16:D19" si="6">FORECAST(B16,$D$5:$D$14,$B$5:$B$14)</f>
        <v>185931.51515151514</v>
      </c>
      <c r="E16" s="36">
        <f t="shared" si="1"/>
        <v>6.3406054371399234E-2</v>
      </c>
      <c r="G16">
        <f t="shared" si="2"/>
        <v>12</v>
      </c>
      <c r="H16" s="55">
        <f>H15+365</f>
        <v>46812</v>
      </c>
      <c r="I16" s="106">
        <f t="shared" ref="I16:I19" si="7">FORECAST(G16,$I$5:$I$14,$G$5:$G$14)</f>
        <v>55994.628303030295</v>
      </c>
      <c r="J16" s="36">
        <f t="shared" si="3"/>
        <v>6.8305802396252169E-2</v>
      </c>
      <c r="L16">
        <f t="shared" si="4"/>
        <v>12</v>
      </c>
      <c r="M16" s="55">
        <f>M15+365</f>
        <v>46812</v>
      </c>
      <c r="N16" s="106">
        <f t="shared" ref="N16:N19" si="8">FORECAST(L16,$N$5:$N$14,$L$5:$L$14)</f>
        <v>15361.088909090902</v>
      </c>
      <c r="O16" s="36">
        <f t="shared" si="5"/>
        <v>4.7202790290207908E-2</v>
      </c>
    </row>
    <row r="17" spans="2:15" x14ac:dyDescent="0.3">
      <c r="B17">
        <f t="shared" si="0"/>
        <v>13</v>
      </c>
      <c r="C17" s="55">
        <f>C16+365</f>
        <v>47177</v>
      </c>
      <c r="D17" s="106">
        <f>FORECAST(B17,$D$5:$D$14,$B$5:$B$14)</f>
        <v>197017.76363636364</v>
      </c>
      <c r="E17" s="36">
        <f t="shared" si="1"/>
        <v>5.9625440452170553E-2</v>
      </c>
      <c r="G17">
        <f t="shared" si="2"/>
        <v>13</v>
      </c>
      <c r="H17" s="55">
        <f>H16+365</f>
        <v>47177</v>
      </c>
      <c r="I17" s="106">
        <f t="shared" si="7"/>
        <v>59574.837272727265</v>
      </c>
      <c r="J17" s="36">
        <f t="shared" si="3"/>
        <v>6.3938436207160665E-2</v>
      </c>
      <c r="L17">
        <f t="shared" si="4"/>
        <v>13</v>
      </c>
      <c r="M17" s="55">
        <f>M16+365</f>
        <v>47177</v>
      </c>
      <c r="N17" s="106">
        <f t="shared" si="8"/>
        <v>16053.49181818181</v>
      </c>
      <c r="O17" s="36">
        <f t="shared" si="5"/>
        <v>4.5075118905218758E-2</v>
      </c>
    </row>
    <row r="18" spans="2:15" x14ac:dyDescent="0.3">
      <c r="B18">
        <f t="shared" si="0"/>
        <v>14</v>
      </c>
      <c r="C18" s="55">
        <f>C17+365</f>
        <v>47542</v>
      </c>
      <c r="D18" s="106">
        <f t="shared" si="6"/>
        <v>208104.01212121212</v>
      </c>
      <c r="E18" s="36">
        <f t="shared" si="1"/>
        <v>5.6270299084860254E-2</v>
      </c>
      <c r="G18">
        <f t="shared" si="2"/>
        <v>14</v>
      </c>
      <c r="H18" s="55">
        <f>H17+365</f>
        <v>47542</v>
      </c>
      <c r="I18" s="106">
        <f t="shared" si="7"/>
        <v>63155.046242424229</v>
      </c>
      <c r="J18" s="36">
        <f t="shared" si="3"/>
        <v>6.0095992428936817E-2</v>
      </c>
      <c r="L18">
        <f t="shared" si="4"/>
        <v>14</v>
      </c>
      <c r="M18" s="55">
        <f>M17+365</f>
        <v>47542</v>
      </c>
      <c r="N18" s="106">
        <f t="shared" si="8"/>
        <v>16745.894727272716</v>
      </c>
      <c r="O18" s="36">
        <f t="shared" si="5"/>
        <v>4.3130984643895864E-2</v>
      </c>
    </row>
    <row r="19" spans="2:15" x14ac:dyDescent="0.3">
      <c r="B19">
        <f t="shared" si="0"/>
        <v>15</v>
      </c>
      <c r="C19" s="55">
        <f>C18+365</f>
        <v>47907</v>
      </c>
      <c r="D19" s="106">
        <f t="shared" si="6"/>
        <v>219190.26060606062</v>
      </c>
      <c r="E19" s="36">
        <f t="shared" si="1"/>
        <v>5.3272632141235343E-2</v>
      </c>
      <c r="G19">
        <f t="shared" si="2"/>
        <v>15</v>
      </c>
      <c r="H19" s="55">
        <f>H18+365</f>
        <v>47907</v>
      </c>
      <c r="I19" s="106">
        <f t="shared" si="7"/>
        <v>66735.255212121207</v>
      </c>
      <c r="J19" s="36">
        <f t="shared" si="3"/>
        <v>5.6689198768917759E-2</v>
      </c>
      <c r="L19">
        <f t="shared" si="4"/>
        <v>15</v>
      </c>
      <c r="M19" s="55">
        <f>M18+365</f>
        <v>47907</v>
      </c>
      <c r="N19" s="106">
        <f t="shared" si="8"/>
        <v>17438.297636363626</v>
      </c>
      <c r="O19" s="36">
        <f t="shared" si="5"/>
        <v>4.1347621035933591E-2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MAHINDRA &amp; MAHINDRA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1.4167342039835968</v>
      </c>
    </row>
    <row r="10" spans="1:15" x14ac:dyDescent="0.3">
      <c r="B10" s="34">
        <f>'Raw Data'!G6</f>
        <v>46286</v>
      </c>
      <c r="C10">
        <f>'Raw Data'!H6</f>
        <v>3055.3</v>
      </c>
      <c r="D10" s="45" t="s">
        <v>120</v>
      </c>
      <c r="F10" s="34">
        <f>'Raw Data'!G6</f>
        <v>46286</v>
      </c>
      <c r="G10">
        <f>'Raw Data'!J6</f>
        <v>23414.3</v>
      </c>
      <c r="H10" s="45" t="s">
        <v>120</v>
      </c>
      <c r="J10" t="s">
        <v>198</v>
      </c>
      <c r="L10" s="46">
        <v>0.75</v>
      </c>
    </row>
    <row r="11" spans="1:15" x14ac:dyDescent="0.3">
      <c r="B11" s="34">
        <f>'Raw Data'!G7</f>
        <v>46283</v>
      </c>
      <c r="C11">
        <f>'Raw Data'!H7</f>
        <v>3052</v>
      </c>
      <c r="D11" s="36">
        <f>C10/C11-1</f>
        <v>1.0812581913499653E-3</v>
      </c>
      <c r="F11" s="34">
        <f>'Raw Data'!G7</f>
        <v>46283</v>
      </c>
      <c r="G11">
        <f>'Raw Data'!J7</f>
        <v>23346.400000000001</v>
      </c>
      <c r="H11" s="36">
        <f>G10/G11-1</f>
        <v>2.9083713120652277E-3</v>
      </c>
      <c r="N11" t="s">
        <v>194</v>
      </c>
      <c r="O11">
        <f>SLOPE(D10:D252, H10:H252)</f>
        <v>1.4167342039835968</v>
      </c>
    </row>
    <row r="12" spans="1:15" x14ac:dyDescent="0.3">
      <c r="B12" s="34">
        <f>'Raw Data'!G8</f>
        <v>46282</v>
      </c>
      <c r="C12">
        <f>'Raw Data'!H8</f>
        <v>3076.5</v>
      </c>
      <c r="D12" s="36">
        <f>C11/C12-1</f>
        <v>-7.9635949943117623E-3</v>
      </c>
      <c r="F12" s="34">
        <f>'Raw Data'!G8</f>
        <v>46282</v>
      </c>
      <c r="G12">
        <f>'Raw Data'!J8</f>
        <v>23270.6</v>
      </c>
      <c r="H12" s="36">
        <f>G11/G12-1</f>
        <v>3.2573289902282365E-3</v>
      </c>
      <c r="J12" t="s">
        <v>199</v>
      </c>
      <c r="L12" s="47">
        <v>1</v>
      </c>
      <c r="N12" t="s">
        <v>195</v>
      </c>
      <c r="O12">
        <f>_xlfn.COVARIANCE.S(D10:D252, H10:H252)/_xlfn.VAR.S(H10:H252)</f>
        <v>1.4167342039835953</v>
      </c>
    </row>
    <row r="13" spans="1:15" x14ac:dyDescent="0.3">
      <c r="B13" s="34">
        <f>'Raw Data'!G9</f>
        <v>46281</v>
      </c>
      <c r="C13">
        <f>'Raw Data'!H9</f>
        <v>3070</v>
      </c>
      <c r="D13" s="36">
        <f>C12/C13-1</f>
        <v>2.1172638436481872E-3</v>
      </c>
      <c r="F13" s="34">
        <f>'Raw Data'!G9</f>
        <v>46281</v>
      </c>
      <c r="G13">
        <f>'Raw Data'!J9</f>
        <v>23217.599999999999</v>
      </c>
      <c r="H13" s="36">
        <f>G12/G13-1</f>
        <v>2.2827510164702414E-3</v>
      </c>
      <c r="J13" t="s">
        <v>200</v>
      </c>
      <c r="L13" s="46">
        <v>0.25</v>
      </c>
    </row>
    <row r="14" spans="1:15" x14ac:dyDescent="0.3">
      <c r="B14" s="34">
        <f>'Raw Data'!G10</f>
        <v>46280</v>
      </c>
      <c r="C14">
        <f>'Raw Data'!H10</f>
        <v>3029.5</v>
      </c>
      <c r="D14" s="36">
        <f>C13/C14-1</f>
        <v>1.3368542663805938E-2</v>
      </c>
      <c r="F14" s="34">
        <f>'Raw Data'!G10</f>
        <v>46280</v>
      </c>
      <c r="G14">
        <f>'Raw Data'!J10</f>
        <v>23118.6</v>
      </c>
      <c r="H14" s="36">
        <f>G13/G14-1</f>
        <v>4.2822662271937428E-3</v>
      </c>
    </row>
    <row r="15" spans="1:15" x14ac:dyDescent="0.3">
      <c r="B15" s="34">
        <f>'Raw Data'!G11</f>
        <v>46276</v>
      </c>
      <c r="C15">
        <f>'Raw Data'!H11</f>
        <v>3107</v>
      </c>
      <c r="D15" s="36">
        <f>C14/C15-1</f>
        <v>-2.4943675571290624E-2</v>
      </c>
      <c r="F15" s="34">
        <f>'Raw Data'!G11</f>
        <v>46276</v>
      </c>
      <c r="G15">
        <f>'Raw Data'!J11</f>
        <v>23398.1</v>
      </c>
      <c r="H15" s="36">
        <f>G14/G15-1</f>
        <v>-1.1945414371252405E-2</v>
      </c>
      <c r="J15" s="79" t="s">
        <v>201</v>
      </c>
      <c r="K15" s="79"/>
      <c r="L15" s="79">
        <f>(L9*L10)+(L12*L13)</f>
        <v>1.3125506529876976</v>
      </c>
    </row>
    <row r="16" spans="1:15" x14ac:dyDescent="0.3">
      <c r="B16" s="34">
        <f>'Raw Data'!G12</f>
        <v>46275</v>
      </c>
      <c r="C16">
        <f>'Raw Data'!H12</f>
        <v>3123.8</v>
      </c>
      <c r="D16" s="36">
        <f>C15/C16-1</f>
        <v>-5.3780651770279908E-3</v>
      </c>
      <c r="F16" s="34">
        <f>'Raw Data'!G12</f>
        <v>46275</v>
      </c>
      <c r="G16">
        <f>'Raw Data'!J12</f>
        <v>23477.8</v>
      </c>
      <c r="H16" s="36">
        <f>G15/G16-1</f>
        <v>-3.3946962662600999E-3</v>
      </c>
    </row>
    <row r="17" spans="2:8" x14ac:dyDescent="0.3">
      <c r="B17" s="34">
        <f>'Raw Data'!G13</f>
        <v>46274</v>
      </c>
      <c r="C17">
        <f>'Raw Data'!H13</f>
        <v>3150</v>
      </c>
      <c r="D17" s="36">
        <f>C16/C17-1</f>
        <v>-8.317460317460279E-3</v>
      </c>
      <c r="F17" s="34">
        <f>'Raw Data'!G13</f>
        <v>46274</v>
      </c>
      <c r="G17">
        <f>'Raw Data'!J13</f>
        <v>23431.5</v>
      </c>
      <c r="H17" s="36">
        <f>G16/G17-1</f>
        <v>1.9759725156305308E-3</v>
      </c>
    </row>
    <row r="18" spans="2:8" x14ac:dyDescent="0.3">
      <c r="B18" s="34">
        <f>'Raw Data'!G14</f>
        <v>46273</v>
      </c>
      <c r="C18">
        <f>'Raw Data'!H14</f>
        <v>3160</v>
      </c>
      <c r="D18" s="36">
        <f>C17/C18-1</f>
        <v>-3.1645569620253333E-3</v>
      </c>
      <c r="F18" s="34">
        <f>'Raw Data'!G14</f>
        <v>46273</v>
      </c>
      <c r="G18">
        <f>'Raw Data'!J14</f>
        <v>23635.1</v>
      </c>
      <c r="H18" s="36">
        <f>G17/G18-1</f>
        <v>-8.6143066879343921E-3</v>
      </c>
    </row>
    <row r="19" spans="2:8" x14ac:dyDescent="0.3">
      <c r="B19" s="34">
        <f>'Raw Data'!G15</f>
        <v>46272</v>
      </c>
      <c r="C19">
        <f>'Raw Data'!H15</f>
        <v>3160</v>
      </c>
      <c r="D19" s="36">
        <f>C18/C19-1</f>
        <v>0</v>
      </c>
      <c r="F19" s="34">
        <f>'Raw Data'!G15</f>
        <v>46272</v>
      </c>
      <c r="G19">
        <f>'Raw Data'!J15</f>
        <v>23779.15</v>
      </c>
      <c r="H19" s="36">
        <f>G18/G19-1</f>
        <v>-6.0578279711429595E-3</v>
      </c>
    </row>
    <row r="20" spans="2:8" x14ac:dyDescent="0.3">
      <c r="B20" s="34">
        <f>'Raw Data'!G16</f>
        <v>46269</v>
      </c>
      <c r="C20">
        <f>'Raw Data'!H16</f>
        <v>3170</v>
      </c>
      <c r="D20" s="36">
        <f>C19/C20-1</f>
        <v>-3.154574132492094E-3</v>
      </c>
      <c r="F20" s="34">
        <f>'Raw Data'!G16</f>
        <v>46269</v>
      </c>
      <c r="G20">
        <f>'Raw Data'!J16</f>
        <v>23897.7</v>
      </c>
      <c r="H20" s="36">
        <f>G19/G20-1</f>
        <v>-4.9607284383015315E-3</v>
      </c>
    </row>
    <row r="21" spans="2:8" x14ac:dyDescent="0.3">
      <c r="B21" s="34">
        <f>'Raw Data'!G17</f>
        <v>46268</v>
      </c>
      <c r="C21">
        <f>'Raw Data'!H17</f>
        <v>3150</v>
      </c>
      <c r="D21" s="36">
        <f>C20/C21-1</f>
        <v>6.3492063492063266E-3</v>
      </c>
      <c r="F21" s="34">
        <f>'Raw Data'!G17</f>
        <v>46268</v>
      </c>
      <c r="G21">
        <f>'Raw Data'!J17</f>
        <v>23873.45</v>
      </c>
      <c r="H21" s="36">
        <f>G20/G21-1</f>
        <v>1.0157727517388082E-3</v>
      </c>
    </row>
    <row r="22" spans="2:8" x14ac:dyDescent="0.3">
      <c r="B22" s="34">
        <f>'Raw Data'!G18</f>
        <v>46267</v>
      </c>
      <c r="C22">
        <f>'Raw Data'!H18</f>
        <v>3190</v>
      </c>
      <c r="D22" s="36">
        <f>C21/C22-1</f>
        <v>-1.2539184952978011E-2</v>
      </c>
      <c r="F22" s="34">
        <f>'Raw Data'!G18</f>
        <v>46267</v>
      </c>
      <c r="G22">
        <f>'Raw Data'!J18</f>
        <v>23914.45</v>
      </c>
      <c r="H22" s="36">
        <f>G21/G22-1</f>
        <v>-1.7144446140304748E-3</v>
      </c>
    </row>
    <row r="23" spans="2:8" x14ac:dyDescent="0.3">
      <c r="B23" s="34">
        <f>'Raw Data'!G19</f>
        <v>46266</v>
      </c>
      <c r="C23">
        <f>'Raw Data'!H19</f>
        <v>3259</v>
      </c>
      <c r="D23" s="36">
        <f>C22/C23-1</f>
        <v>-2.1172138692850617E-2</v>
      </c>
      <c r="F23" s="34">
        <f>'Raw Data'!G19</f>
        <v>46266</v>
      </c>
      <c r="G23">
        <f>'Raw Data'!J19</f>
        <v>24055.8</v>
      </c>
      <c r="H23" s="36">
        <f>G22/G23-1</f>
        <v>-5.8759218151130943E-3</v>
      </c>
    </row>
    <row r="24" spans="2:8" x14ac:dyDescent="0.3">
      <c r="B24" s="34">
        <f>'Raw Data'!G20</f>
        <v>46265</v>
      </c>
      <c r="C24">
        <f>'Raw Data'!H20</f>
        <v>3282</v>
      </c>
      <c r="D24" s="36">
        <f>C23/C24-1</f>
        <v>-7.0079219987811969E-3</v>
      </c>
      <c r="F24" s="34">
        <f>'Raw Data'!G20</f>
        <v>46265</v>
      </c>
      <c r="G24">
        <f>'Raw Data'!J20</f>
        <v>24080.400000000001</v>
      </c>
      <c r="H24" s="36">
        <f>G23/G24-1</f>
        <v>-1.0215777146559413E-3</v>
      </c>
    </row>
    <row r="25" spans="2:8" x14ac:dyDescent="0.3">
      <c r="B25" s="34">
        <f>'Raw Data'!G21</f>
        <v>46262</v>
      </c>
      <c r="C25">
        <f>'Raw Data'!H21</f>
        <v>3334</v>
      </c>
      <c r="D25" s="36">
        <f>C24/C25-1</f>
        <v>-1.5596880623875209E-2</v>
      </c>
      <c r="F25" s="34">
        <f>'Raw Data'!G21</f>
        <v>46262</v>
      </c>
      <c r="G25">
        <f>'Raw Data'!J21</f>
        <v>24175.65</v>
      </c>
      <c r="H25" s="36">
        <f>G24/G25-1</f>
        <v>-3.9399147489312947E-3</v>
      </c>
    </row>
    <row r="26" spans="2:8" x14ac:dyDescent="0.3">
      <c r="B26" s="34">
        <f>'Raw Data'!G22</f>
        <v>46261</v>
      </c>
      <c r="C26">
        <f>'Raw Data'!H22</f>
        <v>3330</v>
      </c>
      <c r="D26" s="36">
        <f>C25/C26-1</f>
        <v>1.2012012012012629E-3</v>
      </c>
      <c r="F26" s="34">
        <f>'Raw Data'!G22</f>
        <v>46261</v>
      </c>
      <c r="G26">
        <f>'Raw Data'!J22</f>
        <v>24090.85</v>
      </c>
      <c r="H26" s="36">
        <f>G25/G26-1</f>
        <v>3.5200086339834957E-3</v>
      </c>
    </row>
    <row r="27" spans="2:8" x14ac:dyDescent="0.3">
      <c r="B27" s="34">
        <f>'Raw Data'!G23</f>
        <v>46260</v>
      </c>
      <c r="C27">
        <f>'Raw Data'!H23</f>
        <v>3398.2</v>
      </c>
      <c r="D27" s="36">
        <f>C26/C27-1</f>
        <v>-2.006944853157544E-2</v>
      </c>
      <c r="F27" s="34">
        <f>'Raw Data'!G23</f>
        <v>46260</v>
      </c>
      <c r="G27">
        <f>'Raw Data'!J23</f>
        <v>24207.75</v>
      </c>
      <c r="H27" s="36">
        <f>G26/G27-1</f>
        <v>-4.829032024868174E-3</v>
      </c>
    </row>
    <row r="28" spans="2:8" x14ac:dyDescent="0.3">
      <c r="B28" s="34">
        <f>'Raw Data'!G24</f>
        <v>46259</v>
      </c>
      <c r="C28">
        <f>'Raw Data'!H24</f>
        <v>3443</v>
      </c>
      <c r="D28" s="36">
        <f>C27/C28-1</f>
        <v>-1.3011908219575985E-2</v>
      </c>
      <c r="F28" s="34">
        <f>'Raw Data'!G24</f>
        <v>46259</v>
      </c>
      <c r="G28">
        <f>'Raw Data'!J24</f>
        <v>24334.55</v>
      </c>
      <c r="H28" s="36">
        <f>G27/G28-1</f>
        <v>-5.2106983691910802E-3</v>
      </c>
    </row>
    <row r="29" spans="2:8" x14ac:dyDescent="0.3">
      <c r="B29" s="34">
        <f>'Raw Data'!G25</f>
        <v>46258</v>
      </c>
      <c r="C29">
        <f>'Raw Data'!H25</f>
        <v>3414.1</v>
      </c>
      <c r="D29" s="36">
        <f>C28/C29-1</f>
        <v>8.4648955800943337E-3</v>
      </c>
      <c r="F29" s="34">
        <f>'Raw Data'!G25</f>
        <v>46258</v>
      </c>
      <c r="G29">
        <f>'Raw Data'!J25</f>
        <v>24219.05</v>
      </c>
      <c r="H29" s="36">
        <f>G28/G29-1</f>
        <v>4.7689731843321148E-3</v>
      </c>
    </row>
    <row r="30" spans="2:8" x14ac:dyDescent="0.3">
      <c r="B30" s="34">
        <f>'Raw Data'!G26</f>
        <v>46255</v>
      </c>
      <c r="C30">
        <f>'Raw Data'!H26</f>
        <v>3412.2</v>
      </c>
      <c r="D30" s="36">
        <f>C29/C30-1</f>
        <v>5.5682550846958279E-4</v>
      </c>
      <c r="F30" s="34">
        <f>'Raw Data'!G26</f>
        <v>46255</v>
      </c>
      <c r="G30">
        <f>'Raw Data'!J26</f>
        <v>24252</v>
      </c>
      <c r="H30" s="36">
        <f>G29/G30-1</f>
        <v>-1.3586508329209712E-3</v>
      </c>
    </row>
    <row r="31" spans="2:8" x14ac:dyDescent="0.3">
      <c r="B31" s="34">
        <f>'Raw Data'!G27</f>
        <v>46254</v>
      </c>
      <c r="C31">
        <f>'Raw Data'!H27</f>
        <v>3424.8</v>
      </c>
      <c r="D31" s="36">
        <f>C30/C31-1</f>
        <v>-3.6790469516468916E-3</v>
      </c>
      <c r="F31" s="34">
        <f>'Raw Data'!G27</f>
        <v>46254</v>
      </c>
      <c r="G31">
        <f>'Raw Data'!J27</f>
        <v>24231.85</v>
      </c>
      <c r="H31" s="36">
        <f>G30/G31-1</f>
        <v>8.3155021180814082E-4</v>
      </c>
    </row>
    <row r="32" spans="2:8" x14ac:dyDescent="0.3">
      <c r="B32" s="34">
        <f>'Raw Data'!G28</f>
        <v>46253</v>
      </c>
      <c r="C32">
        <f>'Raw Data'!H28</f>
        <v>3415</v>
      </c>
      <c r="D32" s="36">
        <f>C31/C32-1</f>
        <v>2.8696925329430023E-3</v>
      </c>
      <c r="F32" s="34">
        <f>'Raw Data'!G28</f>
        <v>46253</v>
      </c>
      <c r="G32">
        <f>'Raw Data'!J28</f>
        <v>24078.3</v>
      </c>
      <c r="H32" s="36">
        <f>G31/G32-1</f>
        <v>6.3771113409167857E-3</v>
      </c>
    </row>
    <row r="33" spans="2:8" x14ac:dyDescent="0.3">
      <c r="B33" s="34">
        <f>'Raw Data'!G29</f>
        <v>46252</v>
      </c>
      <c r="C33">
        <f>'Raw Data'!H29</f>
        <v>3421.5</v>
      </c>
      <c r="D33" s="36">
        <f>C32/C33-1</f>
        <v>-1.8997515709484603E-3</v>
      </c>
      <c r="F33" s="34">
        <f>'Raw Data'!G29</f>
        <v>46252</v>
      </c>
      <c r="G33">
        <f>'Raw Data'!J29</f>
        <v>24154.9</v>
      </c>
      <c r="H33" s="36">
        <f>G32/G33-1</f>
        <v>-3.1711992183781623E-3</v>
      </c>
    </row>
    <row r="34" spans="2:8" x14ac:dyDescent="0.3">
      <c r="B34" s="34">
        <f>'Raw Data'!G30</f>
        <v>46251</v>
      </c>
      <c r="C34">
        <f>'Raw Data'!H30</f>
        <v>3390.4</v>
      </c>
      <c r="D34" s="36">
        <f>C33/C34-1</f>
        <v>9.1729589428974911E-3</v>
      </c>
      <c r="F34" s="34">
        <f>'Raw Data'!G30</f>
        <v>46251</v>
      </c>
      <c r="G34">
        <f>'Raw Data'!J30</f>
        <v>24287.65</v>
      </c>
      <c r="H34" s="36">
        <f>G33/G34-1</f>
        <v>-5.4657408188935053E-3</v>
      </c>
    </row>
    <row r="35" spans="2:8" x14ac:dyDescent="0.3">
      <c r="B35" s="34">
        <f>'Raw Data'!G31</f>
        <v>46248</v>
      </c>
      <c r="C35">
        <f>'Raw Data'!H31</f>
        <v>3428.3</v>
      </c>
      <c r="D35" s="36">
        <f>C34/C35-1</f>
        <v>-1.1055041857480408E-2</v>
      </c>
      <c r="F35" s="34">
        <f>'Raw Data'!G31</f>
        <v>46248</v>
      </c>
      <c r="G35">
        <f>'Raw Data'!J31</f>
        <v>24366</v>
      </c>
      <c r="H35" s="36">
        <f>G34/G35-1</f>
        <v>-3.2155462529753764E-3</v>
      </c>
    </row>
    <row r="36" spans="2:8" x14ac:dyDescent="0.3">
      <c r="B36" s="34">
        <f>'Raw Data'!G32</f>
        <v>46247</v>
      </c>
      <c r="C36">
        <f>'Raw Data'!H32</f>
        <v>3428.2</v>
      </c>
      <c r="D36" s="36">
        <f>C35/C36-1</f>
        <v>2.9169826731401116E-5</v>
      </c>
      <c r="F36" s="34">
        <f>'Raw Data'!G32</f>
        <v>46247</v>
      </c>
      <c r="G36">
        <f>'Raw Data'!J32</f>
        <v>24395.85</v>
      </c>
      <c r="H36" s="36">
        <f>G35/G36-1</f>
        <v>-1.2235687627197844E-3</v>
      </c>
    </row>
    <row r="37" spans="2:8" x14ac:dyDescent="0.3">
      <c r="B37" s="34">
        <f>'Raw Data'!G33</f>
        <v>46246</v>
      </c>
      <c r="C37">
        <f>'Raw Data'!H33</f>
        <v>3403.6</v>
      </c>
      <c r="D37" s="36">
        <f>C36/C37-1</f>
        <v>7.2276413209542145E-3</v>
      </c>
      <c r="F37" s="34">
        <f>'Raw Data'!G33</f>
        <v>46246</v>
      </c>
      <c r="G37">
        <f>'Raw Data'!J33</f>
        <v>24435.95</v>
      </c>
      <c r="H37" s="36">
        <f>G36/G37-1</f>
        <v>-1.6410248015731321E-3</v>
      </c>
    </row>
    <row r="38" spans="2:8" x14ac:dyDescent="0.3">
      <c r="B38" s="34">
        <f>'Raw Data'!G34</f>
        <v>46245</v>
      </c>
      <c r="C38">
        <f>'Raw Data'!H34</f>
        <v>3460.1</v>
      </c>
      <c r="D38" s="36">
        <f>C37/C38-1</f>
        <v>-1.6329007832143527E-2</v>
      </c>
      <c r="F38" s="34">
        <f>'Raw Data'!G34</f>
        <v>46245</v>
      </c>
      <c r="G38">
        <f>'Raw Data'!J34</f>
        <v>24471.7</v>
      </c>
      <c r="H38" s="36">
        <f>G37/G38-1</f>
        <v>-1.4608711286915321E-3</v>
      </c>
    </row>
    <row r="39" spans="2:8" x14ac:dyDescent="0.3">
      <c r="B39" s="34">
        <f>'Raw Data'!G35</f>
        <v>46244</v>
      </c>
      <c r="C39">
        <f>'Raw Data'!H35</f>
        <v>3517</v>
      </c>
      <c r="D39" s="36">
        <f>C38/C39-1</f>
        <v>-1.6178561273812897E-2</v>
      </c>
      <c r="F39" s="34">
        <f>'Raw Data'!G35</f>
        <v>46244</v>
      </c>
      <c r="G39">
        <f>'Raw Data'!J35</f>
        <v>24583.8</v>
      </c>
      <c r="H39" s="36">
        <f>G38/G39-1</f>
        <v>-4.5599134389312512E-3</v>
      </c>
    </row>
    <row r="40" spans="2:8" x14ac:dyDescent="0.3">
      <c r="B40" s="34">
        <f>'Raw Data'!G36</f>
        <v>46241</v>
      </c>
      <c r="C40">
        <f>'Raw Data'!H36</f>
        <v>3502</v>
      </c>
      <c r="D40" s="36">
        <f>C39/C40-1</f>
        <v>4.2832667047401074E-3</v>
      </c>
      <c r="F40" s="34">
        <f>'Raw Data'!G36</f>
        <v>46241</v>
      </c>
      <c r="G40">
        <f>'Raw Data'!J36</f>
        <v>24570.65</v>
      </c>
      <c r="H40" s="36">
        <f>G39/G40-1</f>
        <v>5.3519137670332562E-4</v>
      </c>
    </row>
    <row r="41" spans="2:8" x14ac:dyDescent="0.3">
      <c r="B41" s="34">
        <f>'Raw Data'!G37</f>
        <v>46240</v>
      </c>
      <c r="C41">
        <f>'Raw Data'!H37</f>
        <v>3406</v>
      </c>
      <c r="D41" s="36">
        <f>C40/C41-1</f>
        <v>2.8185554903112253E-2</v>
      </c>
      <c r="F41" s="34">
        <f>'Raw Data'!G37</f>
        <v>46240</v>
      </c>
      <c r="G41">
        <f>'Raw Data'!J37</f>
        <v>24636</v>
      </c>
      <c r="H41" s="36">
        <f>G40/G41-1</f>
        <v>-2.6526221789251458E-3</v>
      </c>
    </row>
    <row r="42" spans="2:8" x14ac:dyDescent="0.3">
      <c r="B42" s="34">
        <f>'Raw Data'!G38</f>
        <v>46239</v>
      </c>
      <c r="C42">
        <f>'Raw Data'!H38</f>
        <v>3455.4</v>
      </c>
      <c r="D42" s="36">
        <f>C41/C42-1</f>
        <v>-1.4296463506395796E-2</v>
      </c>
      <c r="F42" s="34">
        <f>'Raw Data'!G38</f>
        <v>46239</v>
      </c>
      <c r="G42">
        <f>'Raw Data'!J38</f>
        <v>24624.65</v>
      </c>
      <c r="H42" s="36">
        <f>G41/G42-1</f>
        <v>4.6092025673449832E-4</v>
      </c>
    </row>
    <row r="43" spans="2:8" x14ac:dyDescent="0.3">
      <c r="B43" s="34">
        <f>'Raw Data'!G39</f>
        <v>46238</v>
      </c>
      <c r="C43">
        <f>'Raw Data'!H39</f>
        <v>3433</v>
      </c>
      <c r="D43" s="36">
        <f>C42/C43-1</f>
        <v>6.524905330614672E-3</v>
      </c>
      <c r="F43" s="34">
        <f>'Raw Data'!G39</f>
        <v>46238</v>
      </c>
      <c r="G43">
        <f>'Raw Data'!J39</f>
        <v>24614.9</v>
      </c>
      <c r="H43" s="36">
        <f>G42/G43-1</f>
        <v>3.9610154824920585E-4</v>
      </c>
    </row>
    <row r="44" spans="2:8" x14ac:dyDescent="0.3">
      <c r="B44" s="34">
        <f>'Raw Data'!G40</f>
        <v>46237</v>
      </c>
      <c r="C44">
        <f>'Raw Data'!H40</f>
        <v>3428.6</v>
      </c>
      <c r="D44" s="36">
        <f>C43/C44-1</f>
        <v>1.2833226389781238E-3</v>
      </c>
      <c r="F44" s="34">
        <f>'Raw Data'!G40</f>
        <v>46237</v>
      </c>
      <c r="G44">
        <f>'Raw Data'!J40</f>
        <v>24774.3</v>
      </c>
      <c r="H44" s="36">
        <f>G43/G44-1</f>
        <v>-6.4340869368659792E-3</v>
      </c>
    </row>
    <row r="45" spans="2:8" x14ac:dyDescent="0.3">
      <c r="B45" s="34">
        <f>'Raw Data'!G41</f>
        <v>46234</v>
      </c>
      <c r="C45">
        <f>'Raw Data'!H41</f>
        <v>3398.5</v>
      </c>
      <c r="D45" s="36">
        <f>C44/C45-1</f>
        <v>8.8568486096807231E-3</v>
      </c>
      <c r="F45" s="34">
        <f>'Raw Data'!G41</f>
        <v>46234</v>
      </c>
      <c r="G45">
        <f>'Raw Data'!J41</f>
        <v>24383.599999999999</v>
      </c>
      <c r="H45" s="36">
        <f>G44/G45-1</f>
        <v>1.6023064682819665E-2</v>
      </c>
    </row>
    <row r="46" spans="2:8" x14ac:dyDescent="0.3">
      <c r="B46" s="34">
        <f>'Raw Data'!G42</f>
        <v>46233</v>
      </c>
      <c r="C46">
        <f>'Raw Data'!H42</f>
        <v>3283.7</v>
      </c>
      <c r="D46" s="36">
        <f>C45/C46-1</f>
        <v>3.4960562779791093E-2</v>
      </c>
      <c r="F46" s="34">
        <f>'Raw Data'!G42</f>
        <v>46233</v>
      </c>
      <c r="G46">
        <f>'Raw Data'!J42</f>
        <v>24317.15</v>
      </c>
      <c r="H46" s="36">
        <f>G45/G46-1</f>
        <v>2.7326393101163582E-3</v>
      </c>
    </row>
    <row r="47" spans="2:8" x14ac:dyDescent="0.3">
      <c r="B47" s="34">
        <f>'Raw Data'!G43</f>
        <v>46232</v>
      </c>
      <c r="C47">
        <f>'Raw Data'!H43</f>
        <v>3221.8</v>
      </c>
      <c r="D47" s="36">
        <f>C46/C47-1</f>
        <v>1.9212862375069806E-2</v>
      </c>
      <c r="F47" s="34">
        <f>'Raw Data'!G43</f>
        <v>46232</v>
      </c>
      <c r="G47">
        <f>'Raw Data'!J43</f>
        <v>24250.2</v>
      </c>
      <c r="H47" s="36">
        <f>G46/G47-1</f>
        <v>2.7608019727671795E-3</v>
      </c>
    </row>
    <row r="48" spans="2:8" x14ac:dyDescent="0.3">
      <c r="B48" s="34">
        <f>'Raw Data'!G44</f>
        <v>46231</v>
      </c>
      <c r="C48">
        <f>'Raw Data'!H44</f>
        <v>3271.2</v>
      </c>
      <c r="D48" s="36">
        <f>C47/C48-1</f>
        <v>-1.5101491807287704E-2</v>
      </c>
      <c r="F48" s="34">
        <f>'Raw Data'!G44</f>
        <v>46231</v>
      </c>
      <c r="G48">
        <f>'Raw Data'!J44</f>
        <v>23985.35</v>
      </c>
      <c r="H48" s="36">
        <f>G47/G48-1</f>
        <v>1.1042156983325224E-2</v>
      </c>
    </row>
    <row r="49" spans="2:8" x14ac:dyDescent="0.3">
      <c r="B49" s="34">
        <f>'Raw Data'!G45</f>
        <v>46230</v>
      </c>
      <c r="C49">
        <f>'Raw Data'!H45</f>
        <v>3238.6</v>
      </c>
      <c r="D49" s="36">
        <f>C48/C49-1</f>
        <v>1.0066077934910211E-2</v>
      </c>
      <c r="F49" s="34">
        <f>'Raw Data'!G45</f>
        <v>46230</v>
      </c>
      <c r="G49">
        <f>'Raw Data'!J45</f>
        <v>23995.95</v>
      </c>
      <c r="H49" s="36">
        <f>G48/G49-1</f>
        <v>-4.4174121049600501E-4</v>
      </c>
    </row>
    <row r="50" spans="2:8" x14ac:dyDescent="0.3">
      <c r="B50" s="34">
        <f>'Raw Data'!G46</f>
        <v>46227</v>
      </c>
      <c r="C50">
        <f>'Raw Data'!H46</f>
        <v>3161.4</v>
      </c>
      <c r="D50" s="36">
        <f>C49/C50-1</f>
        <v>2.4419560954007657E-2</v>
      </c>
      <c r="F50" s="34">
        <f>'Raw Data'!G46</f>
        <v>46227</v>
      </c>
      <c r="G50">
        <f>'Raw Data'!J46</f>
        <v>23767.45</v>
      </c>
      <c r="H50" s="36">
        <f>G49/G50-1</f>
        <v>9.6139888797495132E-3</v>
      </c>
    </row>
    <row r="51" spans="2:8" x14ac:dyDescent="0.3">
      <c r="B51" s="34">
        <f>'Raw Data'!G47</f>
        <v>46226</v>
      </c>
      <c r="C51">
        <f>'Raw Data'!H47</f>
        <v>3229.7</v>
      </c>
      <c r="D51" s="36">
        <f>C50/C51-1</f>
        <v>-2.1147474997677773E-2</v>
      </c>
      <c r="F51" s="34">
        <f>'Raw Data'!G47</f>
        <v>46226</v>
      </c>
      <c r="G51">
        <f>'Raw Data'!J47</f>
        <v>23869.599999999999</v>
      </c>
      <c r="H51" s="36">
        <f>G50/G51-1</f>
        <v>-4.2795019606527429E-3</v>
      </c>
    </row>
    <row r="52" spans="2:8" x14ac:dyDescent="0.3">
      <c r="B52" s="34">
        <f>'Raw Data'!G48</f>
        <v>46225</v>
      </c>
      <c r="C52">
        <f>'Raw Data'!H48</f>
        <v>3175.3</v>
      </c>
      <c r="D52" s="36">
        <f>C51/C52-1</f>
        <v>1.7132239473435451E-2</v>
      </c>
      <c r="F52" s="34">
        <f>'Raw Data'!G48</f>
        <v>46225</v>
      </c>
      <c r="G52">
        <f>'Raw Data'!J48</f>
        <v>23996.25</v>
      </c>
      <c r="H52" s="36">
        <f>G51/G52-1</f>
        <v>-5.2779080064594419E-3</v>
      </c>
    </row>
    <row r="53" spans="2:8" x14ac:dyDescent="0.3">
      <c r="B53" s="34">
        <f>'Raw Data'!G49</f>
        <v>46224</v>
      </c>
      <c r="C53">
        <f>'Raw Data'!H49</f>
        <v>3201.7</v>
      </c>
      <c r="D53" s="36">
        <f>C52/C53-1</f>
        <v>-8.2456195146327627E-3</v>
      </c>
      <c r="F53" s="34">
        <f>'Raw Data'!G49</f>
        <v>46224</v>
      </c>
      <c r="G53">
        <f>'Raw Data'!J49</f>
        <v>24187.7</v>
      </c>
      <c r="H53" s="36">
        <f>G52/G53-1</f>
        <v>-7.9151800295191865E-3</v>
      </c>
    </row>
    <row r="54" spans="2:8" x14ac:dyDescent="0.3">
      <c r="B54" s="34">
        <f>'Raw Data'!G50</f>
        <v>46223</v>
      </c>
      <c r="C54">
        <f>'Raw Data'!H50</f>
        <v>3165.5</v>
      </c>
      <c r="D54" s="36">
        <f>C53/C54-1</f>
        <v>1.1435792133944078E-2</v>
      </c>
      <c r="F54" s="34">
        <f>'Raw Data'!G50</f>
        <v>46223</v>
      </c>
      <c r="G54">
        <f>'Raw Data'!J50</f>
        <v>24238.5</v>
      </c>
      <c r="H54" s="36">
        <f>G53/G54-1</f>
        <v>-2.0958392639808254E-3</v>
      </c>
    </row>
    <row r="55" spans="2:8" x14ac:dyDescent="0.3">
      <c r="B55" s="34">
        <f>'Raw Data'!G51</f>
        <v>46220</v>
      </c>
      <c r="C55">
        <f>'Raw Data'!H51</f>
        <v>3179.2</v>
      </c>
      <c r="D55" s="36">
        <f>C54/C55-1</f>
        <v>-4.3092601912430029E-3</v>
      </c>
      <c r="F55" s="34">
        <f>'Raw Data'!G51</f>
        <v>46220</v>
      </c>
      <c r="G55">
        <f>'Raw Data'!J51</f>
        <v>24334.3</v>
      </c>
      <c r="H55" s="36">
        <f>G54/G55-1</f>
        <v>-3.9368299067571444E-3</v>
      </c>
    </row>
    <row r="56" spans="2:8" x14ac:dyDescent="0.3">
      <c r="B56" s="34">
        <f>'Raw Data'!G52</f>
        <v>46219</v>
      </c>
      <c r="C56">
        <f>'Raw Data'!H52</f>
        <v>3117.8</v>
      </c>
      <c r="D56" s="36">
        <f>C55/C56-1</f>
        <v>1.9693373532619018E-2</v>
      </c>
      <c r="F56" s="34">
        <f>'Raw Data'!G52</f>
        <v>46219</v>
      </c>
      <c r="G56">
        <f>'Raw Data'!J52</f>
        <v>24072.75</v>
      </c>
      <c r="H56" s="36">
        <f>G55/G56-1</f>
        <v>1.0864982189404904E-2</v>
      </c>
    </row>
    <row r="57" spans="2:8" x14ac:dyDescent="0.3">
      <c r="B57" s="34">
        <f>'Raw Data'!G53</f>
        <v>46218</v>
      </c>
      <c r="C57">
        <f>'Raw Data'!H53</f>
        <v>3082.9</v>
      </c>
      <c r="D57" s="36">
        <f>C56/C57-1</f>
        <v>1.1320509909500842E-2</v>
      </c>
      <c r="F57" s="34">
        <f>'Raw Data'!G53</f>
        <v>46218</v>
      </c>
      <c r="G57">
        <f>'Raw Data'!J53</f>
        <v>24078.5</v>
      </c>
      <c r="H57" s="36">
        <f>G56/G57-1</f>
        <v>-2.3880225097083763E-4</v>
      </c>
    </row>
    <row r="58" spans="2:8" x14ac:dyDescent="0.3">
      <c r="B58" s="34">
        <f>'Raw Data'!G54</f>
        <v>46217</v>
      </c>
      <c r="C58">
        <f>'Raw Data'!H54</f>
        <v>3093.3</v>
      </c>
      <c r="D58" s="36">
        <f>C57/C58-1</f>
        <v>-3.3621051950991632E-3</v>
      </c>
      <c r="F58" s="34">
        <f>'Raw Data'!G54</f>
        <v>46217</v>
      </c>
      <c r="G58">
        <f>'Raw Data'!J54</f>
        <v>24052.05</v>
      </c>
      <c r="H58" s="36">
        <f>G57/G58-1</f>
        <v>1.0996983625095602E-3</v>
      </c>
    </row>
    <row r="59" spans="2:8" x14ac:dyDescent="0.3">
      <c r="B59" s="34">
        <f>'Raw Data'!G55</f>
        <v>46216</v>
      </c>
      <c r="C59">
        <f>'Raw Data'!H55</f>
        <v>3160.4</v>
      </c>
      <c r="D59" s="36">
        <f>C58/C59-1</f>
        <v>-2.1231489684850002E-2</v>
      </c>
      <c r="F59" s="34">
        <f>'Raw Data'!G55</f>
        <v>46216</v>
      </c>
      <c r="G59">
        <f>'Raw Data'!J55</f>
        <v>24211</v>
      </c>
      <c r="H59" s="36">
        <f>G58/G59-1</f>
        <v>-6.5651976374375698E-3</v>
      </c>
    </row>
    <row r="60" spans="2:8" x14ac:dyDescent="0.3">
      <c r="B60" s="34">
        <f>'Raw Data'!G56</f>
        <v>46213</v>
      </c>
      <c r="C60">
        <f>'Raw Data'!H56</f>
        <v>3129.4</v>
      </c>
      <c r="D60" s="36">
        <f>C59/C60-1</f>
        <v>9.9060522783920302E-3</v>
      </c>
      <c r="F60" s="34">
        <f>'Raw Data'!G56</f>
        <v>46213</v>
      </c>
      <c r="G60">
        <f>'Raw Data'!J56</f>
        <v>24206.9</v>
      </c>
      <c r="H60" s="36">
        <f>G59/G60-1</f>
        <v>1.6937319524590322E-4</v>
      </c>
    </row>
    <row r="61" spans="2:8" x14ac:dyDescent="0.3">
      <c r="B61" s="34">
        <f>'Raw Data'!G57</f>
        <v>46212</v>
      </c>
      <c r="C61">
        <f>'Raw Data'!H57</f>
        <v>3085.4</v>
      </c>
      <c r="D61" s="36">
        <f>C60/C61-1</f>
        <v>1.426071173915866E-2</v>
      </c>
      <c r="F61" s="34">
        <f>'Raw Data'!G57</f>
        <v>46212</v>
      </c>
      <c r="G61">
        <f>'Raw Data'!J57</f>
        <v>23962.799999999999</v>
      </c>
      <c r="H61" s="36">
        <f>G60/G61-1</f>
        <v>1.0186622598360895E-2</v>
      </c>
    </row>
    <row r="62" spans="2:8" x14ac:dyDescent="0.3">
      <c r="B62" s="34">
        <f>'Raw Data'!G58</f>
        <v>46211</v>
      </c>
      <c r="C62">
        <f>'Raw Data'!H58</f>
        <v>3102.5</v>
      </c>
      <c r="D62" s="36">
        <f>C61/C62-1</f>
        <v>-5.5116841257050186E-3</v>
      </c>
      <c r="F62" s="34">
        <f>'Raw Data'!G58</f>
        <v>46211</v>
      </c>
      <c r="G62">
        <f>'Raw Data'!J58</f>
        <v>23882.05</v>
      </c>
      <c r="H62" s="36">
        <f>G61/G62-1</f>
        <v>3.3812005250806187E-3</v>
      </c>
    </row>
    <row r="63" spans="2:8" x14ac:dyDescent="0.3">
      <c r="B63" s="34">
        <f>'Raw Data'!G59</f>
        <v>46210</v>
      </c>
      <c r="C63">
        <f>'Raw Data'!H59</f>
        <v>3196.4</v>
      </c>
      <c r="D63" s="36">
        <f>C62/C63-1</f>
        <v>-2.9376798898761103E-2</v>
      </c>
      <c r="F63" s="34">
        <f>'Raw Data'!G59</f>
        <v>46210</v>
      </c>
      <c r="G63">
        <f>'Raw Data'!J59</f>
        <v>24398.7</v>
      </c>
      <c r="H63" s="36">
        <f>G62/G63-1</f>
        <v>-2.1175308520535951E-2</v>
      </c>
    </row>
    <row r="64" spans="2:8" x14ac:dyDescent="0.3">
      <c r="B64" s="34">
        <f>'Raw Data'!G60</f>
        <v>46209</v>
      </c>
      <c r="C64">
        <f>'Raw Data'!H60</f>
        <v>3201.2</v>
      </c>
      <c r="D64" s="36">
        <f>C63/C64-1</f>
        <v>-1.4994377108583645E-3</v>
      </c>
      <c r="F64" s="34">
        <f>'Raw Data'!G60</f>
        <v>46209</v>
      </c>
      <c r="G64">
        <f>'Raw Data'!J60</f>
        <v>24430.35</v>
      </c>
      <c r="H64" s="36">
        <f>G63/G64-1</f>
        <v>-1.2955197121612416E-3</v>
      </c>
    </row>
    <row r="65" spans="2:8" x14ac:dyDescent="0.3">
      <c r="B65" s="34">
        <f>'Raw Data'!G61</f>
        <v>46206</v>
      </c>
      <c r="C65">
        <f>'Raw Data'!H61</f>
        <v>3136.9</v>
      </c>
      <c r="D65" s="36">
        <f>C64/C65-1</f>
        <v>2.049794382989556E-2</v>
      </c>
      <c r="F65" s="34">
        <f>'Raw Data'!G61</f>
        <v>46206</v>
      </c>
      <c r="G65">
        <f>'Raw Data'!J61</f>
        <v>24270.85</v>
      </c>
      <c r="H65" s="36">
        <f>G64/G65-1</f>
        <v>6.5716693070081433E-3</v>
      </c>
    </row>
    <row r="66" spans="2:8" x14ac:dyDescent="0.3">
      <c r="B66" s="34">
        <f>'Raw Data'!G62</f>
        <v>46205</v>
      </c>
      <c r="C66">
        <f>'Raw Data'!H62</f>
        <v>3175.4</v>
      </c>
      <c r="D66" s="36">
        <f>C65/C66-1</f>
        <v>-1.2124456761352875E-2</v>
      </c>
      <c r="F66" s="34">
        <f>'Raw Data'!G62</f>
        <v>46205</v>
      </c>
      <c r="G66">
        <f>'Raw Data'!J62</f>
        <v>24175.7</v>
      </c>
      <c r="H66" s="36">
        <f>G65/G66-1</f>
        <v>3.9357702155469187E-3</v>
      </c>
    </row>
    <row r="67" spans="2:8" x14ac:dyDescent="0.3">
      <c r="B67" s="34">
        <f>'Raw Data'!G63</f>
        <v>46204</v>
      </c>
      <c r="C67">
        <f>'Raw Data'!H63</f>
        <v>3130</v>
      </c>
      <c r="D67" s="36">
        <f>C66/C67-1</f>
        <v>1.4504792332268313E-2</v>
      </c>
      <c r="F67" s="34">
        <f>'Raw Data'!G63</f>
        <v>46204</v>
      </c>
      <c r="G67">
        <f>'Raw Data'!J63</f>
        <v>24005.85</v>
      </c>
      <c r="H67" s="36">
        <f>G66/G67-1</f>
        <v>7.0753587146468178E-3</v>
      </c>
    </row>
    <row r="68" spans="2:8" x14ac:dyDescent="0.3">
      <c r="B68" s="34">
        <f>'Raw Data'!G64</f>
        <v>46203</v>
      </c>
      <c r="C68">
        <f>'Raw Data'!H64</f>
        <v>3068.8</v>
      </c>
      <c r="D68" s="36">
        <f>C67/C68-1</f>
        <v>1.9942648592283563E-2</v>
      </c>
      <c r="F68" s="34">
        <f>'Raw Data'!G64</f>
        <v>46203</v>
      </c>
      <c r="G68">
        <f>'Raw Data'!J64</f>
        <v>23865.75</v>
      </c>
      <c r="H68" s="36">
        <f>G67/G68-1</f>
        <v>5.8703371987052222E-3</v>
      </c>
    </row>
    <row r="69" spans="2:8" x14ac:dyDescent="0.3">
      <c r="B69" s="34">
        <f>'Raw Data'!G65</f>
        <v>46202</v>
      </c>
      <c r="C69">
        <f>'Raw Data'!H65</f>
        <v>3093</v>
      </c>
      <c r="D69" s="36">
        <f>C68/C69-1</f>
        <v>-7.8241189783381238E-3</v>
      </c>
      <c r="F69" s="34">
        <f>'Raw Data'!G65</f>
        <v>46202</v>
      </c>
      <c r="G69">
        <f>'Raw Data'!J65</f>
        <v>23946.25</v>
      </c>
      <c r="H69" s="36">
        <f>G68/G69-1</f>
        <v>-3.3616954637991636E-3</v>
      </c>
    </row>
    <row r="70" spans="2:8" x14ac:dyDescent="0.3">
      <c r="B70" s="34">
        <f>'Raw Data'!G66</f>
        <v>46198</v>
      </c>
      <c r="C70">
        <f>'Raw Data'!H66</f>
        <v>3182.2</v>
      </c>
      <c r="D70" s="36">
        <f>C69/C70-1</f>
        <v>-2.8030922003645209E-2</v>
      </c>
      <c r="F70" s="34">
        <f>'Raw Data'!G66</f>
        <v>46198</v>
      </c>
      <c r="G70">
        <f>'Raw Data'!J66</f>
        <v>24056</v>
      </c>
      <c r="H70" s="36">
        <f>G69/G70-1</f>
        <v>-4.5622713668107551E-3</v>
      </c>
    </row>
    <row r="71" spans="2:8" x14ac:dyDescent="0.3">
      <c r="B71" s="34">
        <f>'Raw Data'!G67</f>
        <v>46197</v>
      </c>
      <c r="C71">
        <f>'Raw Data'!H67</f>
        <v>3064.5</v>
      </c>
      <c r="D71" s="36">
        <f>C70/C71-1</f>
        <v>3.8407570566160842E-2</v>
      </c>
      <c r="F71" s="34">
        <f>'Raw Data'!G67</f>
        <v>46197</v>
      </c>
      <c r="G71">
        <f>'Raw Data'!J67</f>
        <v>24021.65</v>
      </c>
      <c r="H71" s="36">
        <f>G70/G71-1</f>
        <v>1.4299600568652426E-3</v>
      </c>
    </row>
    <row r="72" spans="2:8" x14ac:dyDescent="0.3">
      <c r="B72" s="34">
        <f>'Raw Data'!G68</f>
        <v>46196</v>
      </c>
      <c r="C72">
        <f>'Raw Data'!H68</f>
        <v>3037.3</v>
      </c>
      <c r="D72" s="36">
        <f>C71/C72-1</f>
        <v>8.9553221611298195E-3</v>
      </c>
      <c r="F72" s="34">
        <f>'Raw Data'!G68</f>
        <v>46196</v>
      </c>
      <c r="G72">
        <f>'Raw Data'!J68</f>
        <v>23824.1</v>
      </c>
      <c r="H72" s="36">
        <f>G71/G72-1</f>
        <v>8.2920236231380784E-3</v>
      </c>
    </row>
    <row r="73" spans="2:8" x14ac:dyDescent="0.3">
      <c r="B73" s="34">
        <f>'Raw Data'!G69</f>
        <v>46195</v>
      </c>
      <c r="C73">
        <f>'Raw Data'!H69</f>
        <v>3063.4</v>
      </c>
      <c r="D73" s="36">
        <f>C72/C73-1</f>
        <v>-8.5199451589736963E-3</v>
      </c>
      <c r="F73" s="34">
        <f>'Raw Data'!G69</f>
        <v>46195</v>
      </c>
      <c r="G73">
        <f>'Raw Data'!J69</f>
        <v>24102.9</v>
      </c>
      <c r="H73" s="36">
        <f>G72/G73-1</f>
        <v>-1.1567072841857318E-2</v>
      </c>
    </row>
    <row r="74" spans="2:8" x14ac:dyDescent="0.3">
      <c r="B74" s="34">
        <f>'Raw Data'!G70</f>
        <v>46192</v>
      </c>
      <c r="C74">
        <f>'Raw Data'!H70</f>
        <v>3074.8</v>
      </c>
      <c r="D74" s="36">
        <f>C73/C74-1</f>
        <v>-3.7075582151685493E-3</v>
      </c>
      <c r="F74" s="34">
        <f>'Raw Data'!G70</f>
        <v>46192</v>
      </c>
      <c r="G74">
        <f>'Raw Data'!J70</f>
        <v>24013.1</v>
      </c>
      <c r="H74" s="36">
        <f>G73/G74-1</f>
        <v>3.7396254544395102E-3</v>
      </c>
    </row>
    <row r="75" spans="2:8" x14ac:dyDescent="0.3">
      <c r="B75" s="34">
        <f>'Raw Data'!G71</f>
        <v>46191</v>
      </c>
      <c r="C75">
        <f>'Raw Data'!H71</f>
        <v>3136.5</v>
      </c>
      <c r="D75" s="36">
        <f>C74/C75-1</f>
        <v>-1.9671608480790637E-2</v>
      </c>
      <c r="F75" s="34">
        <f>'Raw Data'!G71</f>
        <v>46191</v>
      </c>
      <c r="G75">
        <f>'Raw Data'!J71</f>
        <v>24168</v>
      </c>
      <c r="H75" s="36">
        <f>G74/G75-1</f>
        <v>-6.4093015557763477E-3</v>
      </c>
    </row>
    <row r="76" spans="2:8" x14ac:dyDescent="0.3">
      <c r="B76" s="34">
        <f>'Raw Data'!G72</f>
        <v>46190</v>
      </c>
      <c r="C76">
        <f>'Raw Data'!H72</f>
        <v>3132.9</v>
      </c>
      <c r="D76" s="36">
        <f>C75/C76-1</f>
        <v>1.1490950876185124E-3</v>
      </c>
      <c r="F76" s="34">
        <f>'Raw Data'!G72</f>
        <v>46190</v>
      </c>
      <c r="G76">
        <f>'Raw Data'!J72</f>
        <v>24085.7</v>
      </c>
      <c r="H76" s="36">
        <f>G75/G76-1</f>
        <v>3.4169652532414219E-3</v>
      </c>
    </row>
    <row r="77" spans="2:8" x14ac:dyDescent="0.3">
      <c r="B77" s="34">
        <f>'Raw Data'!G73</f>
        <v>46189</v>
      </c>
      <c r="C77">
        <f>'Raw Data'!H73</f>
        <v>3137.9</v>
      </c>
      <c r="D77" s="36">
        <f>C76/C77-1</f>
        <v>-1.5934223525287949E-3</v>
      </c>
      <c r="F77" s="34">
        <f>'Raw Data'!G73</f>
        <v>46189</v>
      </c>
      <c r="G77">
        <f>'Raw Data'!J73</f>
        <v>23989.15</v>
      </c>
      <c r="H77" s="36">
        <f>G76/G77-1</f>
        <v>4.0247361828158468E-3</v>
      </c>
    </row>
    <row r="78" spans="2:8" x14ac:dyDescent="0.3">
      <c r="B78" s="34">
        <f>'Raw Data'!G74</f>
        <v>46188</v>
      </c>
      <c r="C78">
        <f>'Raw Data'!H74</f>
        <v>3134.3</v>
      </c>
      <c r="D78" s="36">
        <f>C77/C78-1</f>
        <v>1.1485818205021481E-3</v>
      </c>
      <c r="F78" s="34">
        <f>'Raw Data'!G74</f>
        <v>46188</v>
      </c>
      <c r="G78">
        <f>'Raw Data'!J74</f>
        <v>23853.9</v>
      </c>
      <c r="H78" s="36">
        <f>G77/G78-1</f>
        <v>5.6699323800299961E-3</v>
      </c>
    </row>
    <row r="79" spans="2:8" x14ac:dyDescent="0.3">
      <c r="B79" s="34">
        <f>'Raw Data'!G75</f>
        <v>46185</v>
      </c>
      <c r="C79">
        <f>'Raw Data'!H75</f>
        <v>3042.9</v>
      </c>
      <c r="D79" s="36">
        <f>C78/C79-1</f>
        <v>3.0037135627197786E-2</v>
      </c>
      <c r="F79" s="34">
        <f>'Raw Data'!G75</f>
        <v>46185</v>
      </c>
      <c r="G79">
        <f>'Raw Data'!J75</f>
        <v>23622.9</v>
      </c>
      <c r="H79" s="36">
        <f>G78/G79-1</f>
        <v>9.7786469908436313E-3</v>
      </c>
    </row>
    <row r="80" spans="2:8" x14ac:dyDescent="0.3">
      <c r="B80" s="34">
        <f>'Raw Data'!G76</f>
        <v>46184</v>
      </c>
      <c r="C80">
        <f>'Raw Data'!H76</f>
        <v>3000.9</v>
      </c>
      <c r="D80" s="36">
        <f>C79/C80-1</f>
        <v>1.3995801259622187E-2</v>
      </c>
      <c r="F80" s="34">
        <f>'Raw Data'!G76</f>
        <v>46184</v>
      </c>
      <c r="G80">
        <f>'Raw Data'!J76</f>
        <v>23161.599999999999</v>
      </c>
      <c r="H80" s="36">
        <f>G79/G80-1</f>
        <v>1.9916586073501108E-2</v>
      </c>
    </row>
    <row r="81" spans="2:8" x14ac:dyDescent="0.3">
      <c r="B81" s="34">
        <f>'Raw Data'!G77</f>
        <v>46183</v>
      </c>
      <c r="C81">
        <f>'Raw Data'!H77</f>
        <v>2952.5</v>
      </c>
      <c r="D81" s="36">
        <f>C80/C81-1</f>
        <v>1.6392887383573251E-2</v>
      </c>
      <c r="F81" s="34">
        <f>'Raw Data'!G77</f>
        <v>46183</v>
      </c>
      <c r="G81">
        <f>'Raw Data'!J77</f>
        <v>23214.95</v>
      </c>
      <c r="H81" s="36">
        <f>G80/G81-1</f>
        <v>-2.2980880854794883E-3</v>
      </c>
    </row>
    <row r="82" spans="2:8" x14ac:dyDescent="0.3">
      <c r="B82" s="34">
        <f>'Raw Data'!G78</f>
        <v>46182</v>
      </c>
      <c r="C82">
        <f>'Raw Data'!H78</f>
        <v>2990.1</v>
      </c>
      <c r="D82" s="36">
        <f>C81/C82-1</f>
        <v>-1.2574830273235027E-2</v>
      </c>
      <c r="F82" s="34">
        <f>'Raw Data'!G78</f>
        <v>46182</v>
      </c>
      <c r="G82">
        <f>'Raw Data'!J78</f>
        <v>23242.1</v>
      </c>
      <c r="H82" s="36">
        <f>G81/G82-1</f>
        <v>-1.1681388514805935E-3</v>
      </c>
    </row>
    <row r="83" spans="2:8" x14ac:dyDescent="0.3">
      <c r="B83" s="34">
        <f>'Raw Data'!G79</f>
        <v>46181</v>
      </c>
      <c r="C83">
        <f>'Raw Data'!H79</f>
        <v>2966</v>
      </c>
      <c r="D83" s="36">
        <f>C82/C83-1</f>
        <v>8.1254214430208638E-3</v>
      </c>
      <c r="F83" s="34">
        <f>'Raw Data'!G79</f>
        <v>46181</v>
      </c>
      <c r="G83">
        <f>'Raw Data'!J79</f>
        <v>23123</v>
      </c>
      <c r="H83" s="36">
        <f>G82/G83-1</f>
        <v>5.1507157375771939E-3</v>
      </c>
    </row>
    <row r="84" spans="2:8" x14ac:dyDescent="0.3">
      <c r="B84" s="34">
        <f>'Raw Data'!G80</f>
        <v>46178</v>
      </c>
      <c r="C84">
        <f>'Raw Data'!H80</f>
        <v>3040.5</v>
      </c>
      <c r="D84" s="36">
        <f>C83/C84-1</f>
        <v>-2.4502548922874512E-2</v>
      </c>
      <c r="F84" s="34">
        <f>'Raw Data'!G80</f>
        <v>46178</v>
      </c>
      <c r="G84">
        <f>'Raw Data'!J80</f>
        <v>23366.7</v>
      </c>
      <c r="H84" s="36">
        <f>G83/G84-1</f>
        <v>-1.0429371712736502E-2</v>
      </c>
    </row>
    <row r="85" spans="2:8" x14ac:dyDescent="0.3">
      <c r="B85" s="34">
        <f>'Raw Data'!G81</f>
        <v>46177</v>
      </c>
      <c r="C85">
        <f>'Raw Data'!H81</f>
        <v>3016.1</v>
      </c>
      <c r="D85" s="36">
        <f>C84/C85-1</f>
        <v>8.0899174430555387E-3</v>
      </c>
      <c r="F85" s="34">
        <f>'Raw Data'!G81</f>
        <v>46177</v>
      </c>
      <c r="G85">
        <f>'Raw Data'!J81</f>
        <v>23416.55</v>
      </c>
      <c r="H85" s="36">
        <f>G84/G85-1</f>
        <v>-2.1288362290772245E-3</v>
      </c>
    </row>
    <row r="86" spans="2:8" x14ac:dyDescent="0.3">
      <c r="B86" s="34">
        <f>'Raw Data'!G82</f>
        <v>46176</v>
      </c>
      <c r="C86">
        <f>'Raw Data'!H82</f>
        <v>3011.1</v>
      </c>
      <c r="D86" s="36">
        <f>C85/C86-1</f>
        <v>1.6605227325561245E-3</v>
      </c>
      <c r="F86" s="34">
        <f>'Raw Data'!G82</f>
        <v>46176</v>
      </c>
      <c r="G86">
        <f>'Raw Data'!J82</f>
        <v>23405.599999999999</v>
      </c>
      <c r="H86" s="36">
        <f>G85/G86-1</f>
        <v>4.6783675701544958E-4</v>
      </c>
    </row>
    <row r="87" spans="2:8" x14ac:dyDescent="0.3">
      <c r="B87" s="34">
        <f>'Raw Data'!G83</f>
        <v>46175</v>
      </c>
      <c r="C87">
        <f>'Raw Data'!H83</f>
        <v>2998.3</v>
      </c>
      <c r="D87" s="36">
        <f>C86/C87-1</f>
        <v>4.2690858152951705E-3</v>
      </c>
      <c r="F87" s="34">
        <f>'Raw Data'!G83</f>
        <v>46175</v>
      </c>
      <c r="G87">
        <f>'Raw Data'!J83</f>
        <v>23483.55</v>
      </c>
      <c r="H87" s="36">
        <f>G86/G87-1</f>
        <v>-3.3193448179683616E-3</v>
      </c>
    </row>
    <row r="88" spans="2:8" x14ac:dyDescent="0.3">
      <c r="B88" s="34">
        <f>'Raw Data'!G84</f>
        <v>46174</v>
      </c>
      <c r="C88">
        <f>'Raw Data'!H84</f>
        <v>2970.2</v>
      </c>
      <c r="D88" s="36">
        <f>C87/C88-1</f>
        <v>9.4606423809846518E-3</v>
      </c>
      <c r="F88" s="34">
        <f>'Raw Data'!G84</f>
        <v>46174</v>
      </c>
      <c r="G88">
        <f>'Raw Data'!J84</f>
        <v>23382.6</v>
      </c>
      <c r="H88" s="36">
        <f>G87/G88-1</f>
        <v>4.3173128736753164E-3</v>
      </c>
    </row>
    <row r="89" spans="2:8" x14ac:dyDescent="0.3">
      <c r="B89" s="34">
        <f>'Raw Data'!G85</f>
        <v>46171</v>
      </c>
      <c r="C89">
        <f>'Raw Data'!H85</f>
        <v>3045.6</v>
      </c>
      <c r="D89" s="36">
        <f>C88/C89-1</f>
        <v>-2.4757026530076165E-2</v>
      </c>
      <c r="F89" s="34">
        <f>'Raw Data'!G85</f>
        <v>46171</v>
      </c>
      <c r="G89">
        <f>'Raw Data'!J85</f>
        <v>23547.75</v>
      </c>
      <c r="H89" s="36">
        <f>G88/G89-1</f>
        <v>-7.0134089244195952E-3</v>
      </c>
    </row>
    <row r="90" spans="2:8" x14ac:dyDescent="0.3">
      <c r="B90" s="34">
        <f>'Raw Data'!G86</f>
        <v>46169</v>
      </c>
      <c r="C90">
        <f>'Raw Data'!H86</f>
        <v>3121.6</v>
      </c>
      <c r="D90" s="36">
        <f>C89/C90-1</f>
        <v>-2.4346488980010239E-2</v>
      </c>
      <c r="F90" s="34">
        <f>'Raw Data'!G86</f>
        <v>46169</v>
      </c>
      <c r="G90">
        <f>'Raw Data'!J86</f>
        <v>23907.15</v>
      </c>
      <c r="H90" s="36">
        <f>G89/G90-1</f>
        <v>-1.5033159535954743E-2</v>
      </c>
    </row>
    <row r="91" spans="2:8" x14ac:dyDescent="0.3">
      <c r="B91" s="34">
        <f>'Raw Data'!G87</f>
        <v>46168</v>
      </c>
      <c r="C91">
        <f>'Raw Data'!H87</f>
        <v>3107.3</v>
      </c>
      <c r="D91" s="36">
        <f>C90/C91-1</f>
        <v>4.6020661024039899E-3</v>
      </c>
      <c r="F91" s="34">
        <f>'Raw Data'!G87</f>
        <v>46168</v>
      </c>
      <c r="G91">
        <f>'Raw Data'!J87</f>
        <v>23913.7</v>
      </c>
      <c r="H91" s="36">
        <f>G90/G91-1</f>
        <v>-2.7390157106588209E-4</v>
      </c>
    </row>
    <row r="92" spans="2:8" x14ac:dyDescent="0.3">
      <c r="B92" s="34">
        <f>'Raw Data'!G88</f>
        <v>46167</v>
      </c>
      <c r="C92">
        <f>'Raw Data'!H88</f>
        <v>3139</v>
      </c>
      <c r="D92" s="36">
        <f>C91/C92-1</f>
        <v>-1.0098757566103789E-2</v>
      </c>
      <c r="F92" s="34">
        <f>'Raw Data'!G88</f>
        <v>46167</v>
      </c>
      <c r="G92">
        <f>'Raw Data'!J88</f>
        <v>24031.7</v>
      </c>
      <c r="H92" s="36">
        <f>G91/G92-1</f>
        <v>-4.9101811357498137E-3</v>
      </c>
    </row>
    <row r="93" spans="2:8" x14ac:dyDescent="0.3">
      <c r="B93" s="34">
        <f>'Raw Data'!G89</f>
        <v>46164</v>
      </c>
      <c r="C93">
        <f>'Raw Data'!H89</f>
        <v>3081.3</v>
      </c>
      <c r="D93" s="36">
        <f>C92/C93-1</f>
        <v>1.8725862460649667E-2</v>
      </c>
      <c r="F93" s="34">
        <f>'Raw Data'!G89</f>
        <v>46164</v>
      </c>
      <c r="G93">
        <f>'Raw Data'!J89</f>
        <v>23719.3</v>
      </c>
      <c r="H93" s="36">
        <f>G92/G93-1</f>
        <v>1.3170709085006838E-2</v>
      </c>
    </row>
    <row r="94" spans="2:8" x14ac:dyDescent="0.3">
      <c r="B94" s="34">
        <f>'Raw Data'!G90</f>
        <v>46163</v>
      </c>
      <c r="C94">
        <f>'Raw Data'!H90</f>
        <v>3099</v>
      </c>
      <c r="D94" s="36">
        <f>C93/C94-1</f>
        <v>-5.7115198451113125E-3</v>
      </c>
      <c r="F94" s="34">
        <f>'Raw Data'!G90</f>
        <v>46163</v>
      </c>
      <c r="G94">
        <f>'Raw Data'!J90</f>
        <v>23654.7</v>
      </c>
      <c r="H94" s="36">
        <f>G93/G94-1</f>
        <v>2.7309583296342144E-3</v>
      </c>
    </row>
    <row r="95" spans="2:8" x14ac:dyDescent="0.3">
      <c r="B95" s="34">
        <f>'Raw Data'!G91</f>
        <v>46162</v>
      </c>
      <c r="C95">
        <f>'Raw Data'!H91</f>
        <v>3122.2</v>
      </c>
      <c r="D95" s="36">
        <f>C94/C95-1</f>
        <v>-7.4306578694509628E-3</v>
      </c>
      <c r="F95" s="34">
        <f>'Raw Data'!G91</f>
        <v>46162</v>
      </c>
      <c r="G95">
        <f>'Raw Data'!J91</f>
        <v>23659</v>
      </c>
      <c r="H95" s="36">
        <f>G94/G95-1</f>
        <v>-1.8174901728729154E-4</v>
      </c>
    </row>
    <row r="96" spans="2:8" x14ac:dyDescent="0.3">
      <c r="B96" s="34">
        <f>'Raw Data'!G92</f>
        <v>46161</v>
      </c>
      <c r="C96">
        <f>'Raw Data'!H92</f>
        <v>3092.3</v>
      </c>
      <c r="D96" s="36">
        <f>C95/C96-1</f>
        <v>9.6691782815379046E-3</v>
      </c>
      <c r="F96" s="34">
        <f>'Raw Data'!G92</f>
        <v>46161</v>
      </c>
      <c r="G96">
        <f>'Raw Data'!J92</f>
        <v>23618</v>
      </c>
      <c r="H96" s="36">
        <f>G95/G96-1</f>
        <v>1.7359640951817301E-3</v>
      </c>
    </row>
    <row r="97" spans="2:8" x14ac:dyDescent="0.3">
      <c r="B97" s="34">
        <f>'Raw Data'!G93</f>
        <v>46160</v>
      </c>
      <c r="C97">
        <f>'Raw Data'!H93</f>
        <v>3083.7</v>
      </c>
      <c r="D97" s="36">
        <f>C96/C97-1</f>
        <v>2.7888575412655658E-3</v>
      </c>
      <c r="F97" s="34">
        <f>'Raw Data'!G93</f>
        <v>46160</v>
      </c>
      <c r="G97">
        <f>'Raw Data'!J93</f>
        <v>23649.95</v>
      </c>
      <c r="H97" s="36">
        <f>G96/G97-1</f>
        <v>-1.3509542303472566E-3</v>
      </c>
    </row>
    <row r="98" spans="2:8" x14ac:dyDescent="0.3">
      <c r="B98" s="34">
        <f>'Raw Data'!G94</f>
        <v>46157</v>
      </c>
      <c r="C98">
        <f>'Raw Data'!H94</f>
        <v>3123.1</v>
      </c>
      <c r="D98" s="36">
        <f>C97/C98-1</f>
        <v>-1.261567032755917E-2</v>
      </c>
      <c r="F98" s="34">
        <f>'Raw Data'!G94</f>
        <v>46157</v>
      </c>
      <c r="G98">
        <f>'Raw Data'!J94</f>
        <v>23643.5</v>
      </c>
      <c r="H98" s="36">
        <f>G97/G98-1</f>
        <v>2.7280225008996517E-4</v>
      </c>
    </row>
    <row r="99" spans="2:8" x14ac:dyDescent="0.3">
      <c r="B99" s="34">
        <f>'Raw Data'!G95</f>
        <v>46156</v>
      </c>
      <c r="C99">
        <f>'Raw Data'!H95</f>
        <v>3173.9</v>
      </c>
      <c r="D99" s="36">
        <f>C98/C99-1</f>
        <v>-1.6005545228268137E-2</v>
      </c>
      <c r="F99" s="34">
        <f>'Raw Data'!G95</f>
        <v>46156</v>
      </c>
      <c r="G99">
        <f>'Raw Data'!J95</f>
        <v>23689.599999999999</v>
      </c>
      <c r="H99" s="36">
        <f>G98/G99-1</f>
        <v>-1.946001620964366E-3</v>
      </c>
    </row>
    <row r="100" spans="2:8" x14ac:dyDescent="0.3">
      <c r="B100" s="34">
        <f>'Raw Data'!G96</f>
        <v>46155</v>
      </c>
      <c r="C100">
        <f>'Raw Data'!H96</f>
        <v>3111.8</v>
      </c>
      <c r="D100" s="36">
        <f>C99/C100-1</f>
        <v>1.9956295391734713E-2</v>
      </c>
      <c r="F100" s="34">
        <f>'Raw Data'!G96</f>
        <v>46155</v>
      </c>
      <c r="G100">
        <f>'Raw Data'!J96</f>
        <v>23412.6</v>
      </c>
      <c r="H100" s="36">
        <f>G99/G100-1</f>
        <v>1.1831236171975679E-2</v>
      </c>
    </row>
    <row r="101" spans="2:8" x14ac:dyDescent="0.3">
      <c r="B101" s="34">
        <f>'Raw Data'!G97</f>
        <v>46154</v>
      </c>
      <c r="C101">
        <f>'Raw Data'!H97</f>
        <v>3176</v>
      </c>
      <c r="D101" s="36">
        <f>C100/C101-1</f>
        <v>-2.0214105793450843E-2</v>
      </c>
      <c r="F101" s="34">
        <f>'Raw Data'!G97</f>
        <v>46154</v>
      </c>
      <c r="G101">
        <f>'Raw Data'!J97</f>
        <v>23379.55</v>
      </c>
      <c r="H101" s="36">
        <f>G100/G101-1</f>
        <v>1.4136285771111368E-3</v>
      </c>
    </row>
    <row r="102" spans="2:8" x14ac:dyDescent="0.3">
      <c r="B102" s="34">
        <f>'Raw Data'!G98</f>
        <v>46153</v>
      </c>
      <c r="C102">
        <f>'Raw Data'!H98</f>
        <v>3245.9</v>
      </c>
      <c r="D102" s="36">
        <f>C101/C102-1</f>
        <v>-2.153485936104016E-2</v>
      </c>
      <c r="F102" s="34">
        <f>'Raw Data'!G98</f>
        <v>46153</v>
      </c>
      <c r="G102">
        <f>'Raw Data'!J98</f>
        <v>23815.85</v>
      </c>
      <c r="H102" s="36">
        <f>G101/G102-1</f>
        <v>-1.8319732447088732E-2</v>
      </c>
    </row>
    <row r="103" spans="2:8" x14ac:dyDescent="0.3">
      <c r="B103" s="34">
        <f>'Raw Data'!G99</f>
        <v>46150</v>
      </c>
      <c r="C103">
        <f>'Raw Data'!H99</f>
        <v>3330.4</v>
      </c>
      <c r="D103" s="36">
        <f>C102/C103-1</f>
        <v>-2.5372327648330528E-2</v>
      </c>
      <c r="F103" s="34">
        <f>'Raw Data'!G99</f>
        <v>46150</v>
      </c>
      <c r="G103">
        <f>'Raw Data'!J99</f>
        <v>24176.15</v>
      </c>
      <c r="H103" s="36">
        <f>G102/G103-1</f>
        <v>-1.4903117328441629E-2</v>
      </c>
    </row>
    <row r="104" spans="2:8" x14ac:dyDescent="0.3">
      <c r="B104" s="34">
        <f>'Raw Data'!G100</f>
        <v>46149</v>
      </c>
      <c r="C104">
        <f>'Raw Data'!H100</f>
        <v>3370.7</v>
      </c>
      <c r="D104" s="36">
        <f>C103/C104-1</f>
        <v>-1.1955973536654008E-2</v>
      </c>
      <c r="F104" s="34">
        <f>'Raw Data'!G100</f>
        <v>46149</v>
      </c>
      <c r="G104">
        <f>'Raw Data'!J100</f>
        <v>24326.65</v>
      </c>
      <c r="H104" s="36">
        <f>G103/G104-1</f>
        <v>-6.1866307115858721E-3</v>
      </c>
    </row>
    <row r="105" spans="2:8" x14ac:dyDescent="0.3">
      <c r="B105" s="34">
        <f>'Raw Data'!G101</f>
        <v>46148</v>
      </c>
      <c r="C105">
        <f>'Raw Data'!H101</f>
        <v>3300.8</v>
      </c>
      <c r="D105" s="36">
        <f>C104/C105-1</f>
        <v>2.117668444013554E-2</v>
      </c>
      <c r="F105" s="34">
        <f>'Raw Data'!G101</f>
        <v>46148</v>
      </c>
      <c r="G105">
        <f>'Raw Data'!J101</f>
        <v>24330.95</v>
      </c>
      <c r="H105" s="36">
        <f>G104/G105-1</f>
        <v>-1.7672963858783586E-4</v>
      </c>
    </row>
    <row r="106" spans="2:8" x14ac:dyDescent="0.3">
      <c r="B106" s="34">
        <f>'Raw Data'!G102</f>
        <v>46147</v>
      </c>
      <c r="C106">
        <f>'Raw Data'!H102</f>
        <v>3210.8</v>
      </c>
      <c r="D106" s="36">
        <f>C105/C106-1</f>
        <v>2.8030397408745467E-2</v>
      </c>
      <c r="F106" s="34">
        <f>'Raw Data'!G102</f>
        <v>46147</v>
      </c>
      <c r="G106">
        <f>'Raw Data'!J102</f>
        <v>24032.799999999999</v>
      </c>
      <c r="H106" s="36">
        <f>G105/G106-1</f>
        <v>1.2405961852135494E-2</v>
      </c>
    </row>
    <row r="107" spans="2:8" x14ac:dyDescent="0.3">
      <c r="B107" s="34">
        <f>'Raw Data'!G103</f>
        <v>46146</v>
      </c>
      <c r="C107">
        <f>'Raw Data'!H103</f>
        <v>3106.5</v>
      </c>
      <c r="D107" s="36">
        <f>C106/C107-1</f>
        <v>3.3574762594559937E-2</v>
      </c>
      <c r="F107" s="34">
        <f>'Raw Data'!G103</f>
        <v>46146</v>
      </c>
      <c r="G107">
        <f>'Raw Data'!J103</f>
        <v>24119.3</v>
      </c>
      <c r="H107" s="36">
        <f>G106/G107-1</f>
        <v>-3.5863395703855661E-3</v>
      </c>
    </row>
    <row r="108" spans="2:8" x14ac:dyDescent="0.3">
      <c r="B108" s="34">
        <f>'Raw Data'!G104</f>
        <v>46142</v>
      </c>
      <c r="C108">
        <f>'Raw Data'!H104</f>
        <v>3097.5</v>
      </c>
      <c r="D108" s="36">
        <f>C107/C108-1</f>
        <v>2.9055690072639084E-3</v>
      </c>
      <c r="F108" s="34">
        <f>'Raw Data'!G104</f>
        <v>46142</v>
      </c>
      <c r="G108">
        <f>'Raw Data'!J104</f>
        <v>23997.55</v>
      </c>
      <c r="H108" s="36">
        <f>G107/G108-1</f>
        <v>5.0734345797800451E-3</v>
      </c>
    </row>
    <row r="109" spans="2:8" x14ac:dyDescent="0.3">
      <c r="B109" s="34">
        <f>'Raw Data'!G105</f>
        <v>46141</v>
      </c>
      <c r="C109">
        <f>'Raw Data'!H105</f>
        <v>3152.3</v>
      </c>
      <c r="D109" s="36">
        <f>C108/C109-1</f>
        <v>-1.7384132220918169E-2</v>
      </c>
      <c r="F109" s="34">
        <f>'Raw Data'!G105</f>
        <v>46141</v>
      </c>
      <c r="G109">
        <f>'Raw Data'!J105</f>
        <v>24177.65</v>
      </c>
      <c r="H109" s="36">
        <f>G108/G109-1</f>
        <v>-7.4490283381554168E-3</v>
      </c>
    </row>
    <row r="110" spans="2:8" x14ac:dyDescent="0.3">
      <c r="B110" s="34">
        <f>'Raw Data'!G106</f>
        <v>46140</v>
      </c>
      <c r="C110">
        <f>'Raw Data'!H106</f>
        <v>3088.1</v>
      </c>
      <c r="D110" s="36">
        <f>C109/C110-1</f>
        <v>2.0789482205887166E-2</v>
      </c>
      <c r="F110" s="34">
        <f>'Raw Data'!G106</f>
        <v>46140</v>
      </c>
      <c r="G110">
        <f>'Raw Data'!J106</f>
        <v>23995.7</v>
      </c>
      <c r="H110" s="36">
        <f>G109/G110-1</f>
        <v>7.5826085506986995E-3</v>
      </c>
    </row>
    <row r="111" spans="2:8" x14ac:dyDescent="0.3">
      <c r="B111" s="34">
        <f>'Raw Data'!G107</f>
        <v>46139</v>
      </c>
      <c r="C111">
        <f>'Raw Data'!H107</f>
        <v>3102.4</v>
      </c>
      <c r="D111" s="36">
        <f>C110/C111-1</f>
        <v>-4.6093347086128E-3</v>
      </c>
      <c r="F111" s="34">
        <f>'Raw Data'!G107</f>
        <v>46139</v>
      </c>
      <c r="G111">
        <f>'Raw Data'!J107</f>
        <v>24092.7</v>
      </c>
      <c r="H111" s="36">
        <f>G110/G111-1</f>
        <v>-4.0261157944107007E-3</v>
      </c>
    </row>
    <row r="112" spans="2:8" x14ac:dyDescent="0.3">
      <c r="B112" s="34">
        <f>'Raw Data'!G108</f>
        <v>46136</v>
      </c>
      <c r="C112">
        <f>'Raw Data'!H108</f>
        <v>3038.4</v>
      </c>
      <c r="D112" s="36">
        <f>C111/C112-1</f>
        <v>2.1063717746182098E-2</v>
      </c>
      <c r="F112" s="34">
        <f>'Raw Data'!G108</f>
        <v>46136</v>
      </c>
      <c r="G112">
        <f>'Raw Data'!J108</f>
        <v>23897.95</v>
      </c>
      <c r="H112" s="36">
        <f>G111/G112-1</f>
        <v>8.1492345577758307E-3</v>
      </c>
    </row>
    <row r="113" spans="2:8" x14ac:dyDescent="0.3">
      <c r="B113" s="34">
        <f>'Raw Data'!G109</f>
        <v>46135</v>
      </c>
      <c r="C113">
        <f>'Raw Data'!H109</f>
        <v>3047.7</v>
      </c>
      <c r="D113" s="36">
        <f>C112/C113-1</f>
        <v>-3.0514814450239847E-3</v>
      </c>
      <c r="F113" s="34">
        <f>'Raw Data'!G109</f>
        <v>46135</v>
      </c>
      <c r="G113">
        <f>'Raw Data'!J109</f>
        <v>24173.05</v>
      </c>
      <c r="H113" s="36">
        <f>G112/G113-1</f>
        <v>-1.1380442269386726E-2</v>
      </c>
    </row>
    <row r="114" spans="2:8" x14ac:dyDescent="0.3">
      <c r="B114" s="34">
        <f>'Raw Data'!G110</f>
        <v>46134</v>
      </c>
      <c r="C114">
        <f>'Raw Data'!H110</f>
        <v>3149.7</v>
      </c>
      <c r="D114" s="36">
        <f>C113/C114-1</f>
        <v>-3.2384036574911845E-2</v>
      </c>
      <c r="F114" s="34">
        <f>'Raw Data'!G110</f>
        <v>46134</v>
      </c>
      <c r="G114">
        <f>'Raw Data'!J110</f>
        <v>24378.1</v>
      </c>
      <c r="H114" s="36">
        <f>G113/G114-1</f>
        <v>-8.4112379553779038E-3</v>
      </c>
    </row>
    <row r="115" spans="2:8" x14ac:dyDescent="0.3">
      <c r="B115" s="34">
        <f>'Raw Data'!G111</f>
        <v>46133</v>
      </c>
      <c r="C115">
        <f>'Raw Data'!H111</f>
        <v>3247.3</v>
      </c>
      <c r="D115" s="36">
        <f>C114/C115-1</f>
        <v>-3.0055738613617544E-2</v>
      </c>
      <c r="F115" s="34">
        <f>'Raw Data'!G111</f>
        <v>46133</v>
      </c>
      <c r="G115">
        <f>'Raw Data'!J111</f>
        <v>24576.6</v>
      </c>
      <c r="H115" s="36">
        <f>G114/G115-1</f>
        <v>-8.0767884898643727E-3</v>
      </c>
    </row>
    <row r="116" spans="2:8" x14ac:dyDescent="0.3">
      <c r="B116" s="34">
        <f>'Raw Data'!G112</f>
        <v>46132</v>
      </c>
      <c r="C116">
        <f>'Raw Data'!H112</f>
        <v>3221.6</v>
      </c>
      <c r="D116" s="36">
        <f>C115/C116-1</f>
        <v>7.9774025329029108E-3</v>
      </c>
      <c r="F116" s="34">
        <f>'Raw Data'!G112</f>
        <v>46132</v>
      </c>
      <c r="G116">
        <f>'Raw Data'!J112</f>
        <v>24364.85</v>
      </c>
      <c r="H116" s="36">
        <f>G115/G116-1</f>
        <v>8.690798424779933E-3</v>
      </c>
    </row>
    <row r="117" spans="2:8" x14ac:dyDescent="0.3">
      <c r="B117" s="34">
        <f>'Raw Data'!G113</f>
        <v>46129</v>
      </c>
      <c r="C117">
        <f>'Raw Data'!H113</f>
        <v>3200.2</v>
      </c>
      <c r="D117" s="36">
        <f>C116/C117-1</f>
        <v>6.6870820573714518E-3</v>
      </c>
      <c r="F117" s="34">
        <f>'Raw Data'!G113</f>
        <v>46129</v>
      </c>
      <c r="G117">
        <f>'Raw Data'!J113</f>
        <v>24353.55</v>
      </c>
      <c r="H117" s="36">
        <f>G116/G117-1</f>
        <v>4.6399806188412995E-4</v>
      </c>
    </row>
    <row r="118" spans="2:8" x14ac:dyDescent="0.3">
      <c r="B118" s="34">
        <f>'Raw Data'!G114</f>
        <v>46128</v>
      </c>
      <c r="C118">
        <f>'Raw Data'!H114</f>
        <v>3222.3</v>
      </c>
      <c r="D118" s="36">
        <f>C117/C118-1</f>
        <v>-6.8584551407381289E-3</v>
      </c>
      <c r="F118" s="34">
        <f>'Raw Data'!G114</f>
        <v>46128</v>
      </c>
      <c r="G118">
        <f>'Raw Data'!J114</f>
        <v>24196.75</v>
      </c>
      <c r="H118" s="36">
        <f>G117/G118-1</f>
        <v>6.4802091189932742E-3</v>
      </c>
    </row>
    <row r="119" spans="2:8" x14ac:dyDescent="0.3">
      <c r="B119" s="34">
        <f>'Raw Data'!G115</f>
        <v>46127</v>
      </c>
      <c r="C119">
        <f>'Raw Data'!H115</f>
        <v>3256.5</v>
      </c>
      <c r="D119" s="36">
        <f>C118/C119-1</f>
        <v>-1.0502072777521798E-2</v>
      </c>
      <c r="F119" s="34">
        <f>'Raw Data'!G115</f>
        <v>46127</v>
      </c>
      <c r="G119">
        <f>'Raw Data'!J115</f>
        <v>24231.3</v>
      </c>
      <c r="H119" s="36">
        <f>G118/G119-1</f>
        <v>-1.4258417831481962E-3</v>
      </c>
    </row>
    <row r="120" spans="2:8" x14ac:dyDescent="0.3">
      <c r="B120" s="34">
        <f>'Raw Data'!G116</f>
        <v>46125</v>
      </c>
      <c r="C120">
        <f>'Raw Data'!H116</f>
        <v>3220.2</v>
      </c>
      <c r="D120" s="36">
        <f>C119/C120-1</f>
        <v>1.1272591764486695E-2</v>
      </c>
      <c r="F120" s="34">
        <f>'Raw Data'!G116</f>
        <v>46125</v>
      </c>
      <c r="G120">
        <f>'Raw Data'!J116</f>
        <v>23842.65</v>
      </c>
      <c r="H120" s="36">
        <f>G119/G120-1</f>
        <v>1.6300620946077649E-2</v>
      </c>
    </row>
    <row r="121" spans="2:8" x14ac:dyDescent="0.3">
      <c r="B121" s="34">
        <f>'Raw Data'!G117</f>
        <v>46122</v>
      </c>
      <c r="C121">
        <f>'Raw Data'!H117</f>
        <v>3259.8</v>
      </c>
      <c r="D121" s="36">
        <f>C120/C121-1</f>
        <v>-1.2147984538928847E-2</v>
      </c>
      <c r="F121" s="34">
        <f>'Raw Data'!G117</f>
        <v>46122</v>
      </c>
      <c r="G121">
        <f>'Raw Data'!J117</f>
        <v>24050.6</v>
      </c>
      <c r="H121" s="36">
        <f>G120/G121-1</f>
        <v>-8.6463539371157694E-3</v>
      </c>
    </row>
    <row r="122" spans="2:8" x14ac:dyDescent="0.3">
      <c r="B122" s="34">
        <f>'Raw Data'!G118</f>
        <v>46121</v>
      </c>
      <c r="C122">
        <f>'Raw Data'!H118</f>
        <v>3166.8</v>
      </c>
      <c r="D122" s="36">
        <f>C121/C122-1</f>
        <v>2.9367184539598412E-2</v>
      </c>
      <c r="F122" s="34">
        <f>'Raw Data'!G118</f>
        <v>46121</v>
      </c>
      <c r="G122">
        <f>'Raw Data'!J118</f>
        <v>23775.1</v>
      </c>
      <c r="H122" s="36">
        <f>G121/G122-1</f>
        <v>1.1587753574117565E-2</v>
      </c>
    </row>
    <row r="123" spans="2:8" x14ac:dyDescent="0.3">
      <c r="B123" s="34">
        <f>'Raw Data'!G119</f>
        <v>46120</v>
      </c>
      <c r="C123">
        <f>'Raw Data'!H119</f>
        <v>3210.1</v>
      </c>
      <c r="D123" s="36">
        <f>C122/C123-1</f>
        <v>-1.3488676365222219E-2</v>
      </c>
      <c r="F123" s="34">
        <f>'Raw Data'!G119</f>
        <v>46120</v>
      </c>
      <c r="G123">
        <f>'Raw Data'!J119</f>
        <v>23997.35</v>
      </c>
      <c r="H123" s="36">
        <f>G122/G123-1</f>
        <v>-9.2614392839209803E-3</v>
      </c>
    </row>
    <row r="124" spans="2:8" x14ac:dyDescent="0.3">
      <c r="B124" s="34">
        <f>'Raw Data'!G120</f>
        <v>46119</v>
      </c>
      <c r="C124">
        <f>'Raw Data'!H120</f>
        <v>3006.6</v>
      </c>
      <c r="D124" s="36">
        <f>C123/C124-1</f>
        <v>6.7684427592629604E-2</v>
      </c>
      <c r="F124" s="34">
        <f>'Raw Data'!G120</f>
        <v>46119</v>
      </c>
      <c r="G124">
        <f>'Raw Data'!J120</f>
        <v>23123.65</v>
      </c>
      <c r="H124" s="36">
        <f>G123/G124-1</f>
        <v>3.7783827380192925E-2</v>
      </c>
    </row>
    <row r="125" spans="2:8" x14ac:dyDescent="0.3">
      <c r="B125" s="34">
        <f>'Raw Data'!G121</f>
        <v>46118</v>
      </c>
      <c r="C125">
        <f>'Raw Data'!H121</f>
        <v>3021.6</v>
      </c>
      <c r="D125" s="36">
        <f>C124/C125-1</f>
        <v>-4.96425734710082E-3</v>
      </c>
      <c r="F125" s="34">
        <f>'Raw Data'!G121</f>
        <v>46118</v>
      </c>
      <c r="G125">
        <f>'Raw Data'!J121</f>
        <v>22968.25</v>
      </c>
      <c r="H125" s="36">
        <f>G124/G125-1</f>
        <v>6.7658615697756552E-3</v>
      </c>
    </row>
    <row r="126" spans="2:8" x14ac:dyDescent="0.3">
      <c r="B126" s="34">
        <f>'Raw Data'!G122</f>
        <v>46114</v>
      </c>
      <c r="C126">
        <f>'Raw Data'!H122</f>
        <v>3011.7</v>
      </c>
      <c r="D126" s="36">
        <f>C125/C126-1</f>
        <v>3.287179998007872E-3</v>
      </c>
      <c r="F126" s="34">
        <f>'Raw Data'!G122</f>
        <v>46114</v>
      </c>
      <c r="G126">
        <f>'Raw Data'!J122</f>
        <v>22713.1</v>
      </c>
      <c r="H126" s="36">
        <f>G125/G126-1</f>
        <v>1.123360527625028E-2</v>
      </c>
    </row>
    <row r="127" spans="2:8" x14ac:dyDescent="0.3">
      <c r="B127" s="34">
        <f>'Raw Data'!G123</f>
        <v>46113</v>
      </c>
      <c r="C127">
        <f>'Raw Data'!H123</f>
        <v>3031.5</v>
      </c>
      <c r="D127" s="36">
        <f>C126/C127-1</f>
        <v>-6.5314200890649321E-3</v>
      </c>
      <c r="F127" s="34">
        <f>'Raw Data'!G123</f>
        <v>46113</v>
      </c>
      <c r="G127">
        <f>'Raw Data'!J123</f>
        <v>22679.4</v>
      </c>
      <c r="H127" s="36">
        <f>G126/G127-1</f>
        <v>1.4859299628737777E-3</v>
      </c>
    </row>
    <row r="128" spans="2:8" x14ac:dyDescent="0.3">
      <c r="B128" s="34">
        <f>'Raw Data'!G124</f>
        <v>46111</v>
      </c>
      <c r="C128">
        <f>'Raw Data'!H124</f>
        <v>2954.7</v>
      </c>
      <c r="D128" s="36">
        <f>C127/C128-1</f>
        <v>2.5992486546857707E-2</v>
      </c>
      <c r="F128" s="34">
        <f>'Raw Data'!G124</f>
        <v>46111</v>
      </c>
      <c r="G128">
        <f>'Raw Data'!J124</f>
        <v>22331.4</v>
      </c>
      <c r="H128" s="36">
        <f>G127/G128-1</f>
        <v>1.5583438566323604E-2</v>
      </c>
    </row>
    <row r="129" spans="2:8" x14ac:dyDescent="0.3">
      <c r="B129" s="34">
        <f>'Raw Data'!G125</f>
        <v>46108</v>
      </c>
      <c r="C129">
        <f>'Raw Data'!H125</f>
        <v>3041.3</v>
      </c>
      <c r="D129" s="36">
        <f>C128/C129-1</f>
        <v>-2.8474665439121583E-2</v>
      </c>
      <c r="F129" s="34">
        <f>'Raw Data'!G125</f>
        <v>46108</v>
      </c>
      <c r="G129">
        <f>'Raw Data'!J125</f>
        <v>22819.599999999999</v>
      </c>
      <c r="H129" s="36">
        <f>G128/G129-1</f>
        <v>-2.1393889463443561E-2</v>
      </c>
    </row>
    <row r="130" spans="2:8" x14ac:dyDescent="0.3">
      <c r="B130" s="34">
        <f>'Raw Data'!G126</f>
        <v>46106</v>
      </c>
      <c r="C130">
        <f>'Raw Data'!H126</f>
        <v>3128.1</v>
      </c>
      <c r="D130" s="36">
        <f>C129/C130-1</f>
        <v>-2.7748473514273786E-2</v>
      </c>
      <c r="F130" s="34">
        <f>'Raw Data'!G126</f>
        <v>46106</v>
      </c>
      <c r="G130">
        <f>'Raw Data'!J126</f>
        <v>23306.45</v>
      </c>
      <c r="H130" s="36">
        <f>G129/G130-1</f>
        <v>-2.0889067189554966E-2</v>
      </c>
    </row>
    <row r="131" spans="2:8" x14ac:dyDescent="0.3">
      <c r="B131" s="34">
        <f>'Raw Data'!G127</f>
        <v>46105</v>
      </c>
      <c r="C131">
        <f>'Raw Data'!H127</f>
        <v>3031.3</v>
      </c>
      <c r="D131" s="36">
        <f>C130/C131-1</f>
        <v>3.1933493880513142E-2</v>
      </c>
      <c r="F131" s="34">
        <f>'Raw Data'!G127</f>
        <v>46105</v>
      </c>
      <c r="G131">
        <f>'Raw Data'!J127</f>
        <v>22912.400000000001</v>
      </c>
      <c r="H131" s="36">
        <f>G130/G131-1</f>
        <v>1.7198111066496713E-2</v>
      </c>
    </row>
    <row r="132" spans="2:8" x14ac:dyDescent="0.3">
      <c r="B132" s="34">
        <f>'Raw Data'!G128</f>
        <v>46104</v>
      </c>
      <c r="C132">
        <f>'Raw Data'!H128</f>
        <v>2955.8</v>
      </c>
      <c r="D132" s="36">
        <f>C131/C132-1</f>
        <v>2.5543000202990829E-2</v>
      </c>
      <c r="F132" s="34">
        <f>'Raw Data'!G128</f>
        <v>46104</v>
      </c>
      <c r="G132">
        <f>'Raw Data'!J128</f>
        <v>22512.65</v>
      </c>
      <c r="H132" s="36">
        <f>G131/G132-1</f>
        <v>1.7756683464629885E-2</v>
      </c>
    </row>
    <row r="133" spans="2:8" x14ac:dyDescent="0.3">
      <c r="B133" s="34">
        <f>'Raw Data'!G129</f>
        <v>46101</v>
      </c>
      <c r="C133">
        <f>'Raw Data'!H129</f>
        <v>3066.1</v>
      </c>
      <c r="D133" s="36">
        <f>C132/C133-1</f>
        <v>-3.5974038681060527E-2</v>
      </c>
      <c r="F133" s="34">
        <f>'Raw Data'!G129</f>
        <v>46101</v>
      </c>
      <c r="G133">
        <f>'Raw Data'!J129</f>
        <v>23114.5</v>
      </c>
      <c r="H133" s="36">
        <f>G132/G133-1</f>
        <v>-2.6037768500291936E-2</v>
      </c>
    </row>
    <row r="134" spans="2:8" x14ac:dyDescent="0.3">
      <c r="B134" s="34">
        <f>'Raw Data'!G130</f>
        <v>46100</v>
      </c>
      <c r="C134">
        <f>'Raw Data'!H130</f>
        <v>3045.4</v>
      </c>
      <c r="D134" s="36">
        <f>C133/C134-1</f>
        <v>6.7971366651342624E-3</v>
      </c>
      <c r="F134" s="34">
        <f>'Raw Data'!G130</f>
        <v>46100</v>
      </c>
      <c r="G134">
        <f>'Raw Data'!J130</f>
        <v>23002.15</v>
      </c>
      <c r="H134" s="36">
        <f>G133/G134-1</f>
        <v>4.8843260303927938E-3</v>
      </c>
    </row>
    <row r="135" spans="2:8" x14ac:dyDescent="0.3">
      <c r="B135" s="34">
        <f>'Raw Data'!G131</f>
        <v>46099</v>
      </c>
      <c r="C135">
        <f>'Raw Data'!H131</f>
        <v>3214.6</v>
      </c>
      <c r="D135" s="36">
        <f>C134/C135-1</f>
        <v>-5.2634853480992949E-2</v>
      </c>
      <c r="F135" s="34">
        <f>'Raw Data'!G131</f>
        <v>46099</v>
      </c>
      <c r="G135">
        <f>'Raw Data'!J131</f>
        <v>23777.8</v>
      </c>
      <c r="H135" s="36">
        <f>G134/G135-1</f>
        <v>-3.2620763905828021E-2</v>
      </c>
    </row>
    <row r="136" spans="2:8" x14ac:dyDescent="0.3">
      <c r="B136" s="34">
        <f>'Raw Data'!G132</f>
        <v>46098</v>
      </c>
      <c r="C136">
        <f>'Raw Data'!H132</f>
        <v>3128.9</v>
      </c>
      <c r="D136" s="36">
        <f>C135/C136-1</f>
        <v>2.7389817507750269E-2</v>
      </c>
      <c r="F136" s="34">
        <f>'Raw Data'!G132</f>
        <v>46098</v>
      </c>
      <c r="G136">
        <f>'Raw Data'!J132</f>
        <v>23581.15</v>
      </c>
      <c r="H136" s="36">
        <f>G135/G136-1</f>
        <v>8.3392879482127036E-3</v>
      </c>
    </row>
    <row r="137" spans="2:8" x14ac:dyDescent="0.3">
      <c r="B137" s="34">
        <f>'Raw Data'!G133</f>
        <v>46097</v>
      </c>
      <c r="C137">
        <f>'Raw Data'!H133</f>
        <v>3036.1</v>
      </c>
      <c r="D137" s="36">
        <f>C136/C137-1</f>
        <v>3.0565528144659293E-2</v>
      </c>
      <c r="F137" s="34">
        <f>'Raw Data'!G133</f>
        <v>46097</v>
      </c>
      <c r="G137">
        <f>'Raw Data'!J133</f>
        <v>23408.799999999999</v>
      </c>
      <c r="H137" s="36">
        <f>G136/G137-1</f>
        <v>7.3626157684290039E-3</v>
      </c>
    </row>
    <row r="138" spans="2:8" x14ac:dyDescent="0.3">
      <c r="B138" s="34">
        <f>'Raw Data'!G134</f>
        <v>46094</v>
      </c>
      <c r="C138">
        <f>'Raw Data'!H134</f>
        <v>2931.1</v>
      </c>
      <c r="D138" s="36">
        <f>C137/C138-1</f>
        <v>3.5822728668418069E-2</v>
      </c>
      <c r="F138" s="34">
        <f>'Raw Data'!G134</f>
        <v>46094</v>
      </c>
      <c r="G138">
        <f>'Raw Data'!J134</f>
        <v>23151.1</v>
      </c>
      <c r="H138" s="36">
        <f>G137/G138-1</f>
        <v>1.1131220546755971E-2</v>
      </c>
    </row>
    <row r="139" spans="2:8" x14ac:dyDescent="0.3">
      <c r="B139" s="34">
        <f>'Raw Data'!G135</f>
        <v>46093</v>
      </c>
      <c r="C139">
        <f>'Raw Data'!H135</f>
        <v>3031.2</v>
      </c>
      <c r="D139" s="36">
        <f>C138/C139-1</f>
        <v>-3.3023225125362821E-2</v>
      </c>
      <c r="F139" s="34">
        <f>'Raw Data'!G135</f>
        <v>46093</v>
      </c>
      <c r="G139">
        <f>'Raw Data'!J135</f>
        <v>23639.15</v>
      </c>
      <c r="H139" s="36">
        <f>G138/G139-1</f>
        <v>-2.0645835404403456E-2</v>
      </c>
    </row>
    <row r="140" spans="2:8" x14ac:dyDescent="0.3">
      <c r="B140" s="34">
        <f>'Raw Data'!G136</f>
        <v>46092</v>
      </c>
      <c r="C140">
        <f>'Raw Data'!H136</f>
        <v>3168.2</v>
      </c>
      <c r="D140" s="36">
        <f>C139/C140-1</f>
        <v>-4.3242219556846151E-2</v>
      </c>
      <c r="F140" s="34">
        <f>'Raw Data'!G136</f>
        <v>46092</v>
      </c>
      <c r="G140">
        <f>'Raw Data'!J136</f>
        <v>23866.85</v>
      </c>
      <c r="H140" s="36">
        <f>G139/G140-1</f>
        <v>-9.5404295078738155E-3</v>
      </c>
    </row>
    <row r="141" spans="2:8" x14ac:dyDescent="0.3">
      <c r="B141" s="34">
        <f>'Raw Data'!G137</f>
        <v>46091</v>
      </c>
      <c r="C141">
        <f>'Raw Data'!H137</f>
        <v>3293.7</v>
      </c>
      <c r="D141" s="36">
        <f>C140/C141-1</f>
        <v>-3.8103045207517394E-2</v>
      </c>
      <c r="F141" s="34">
        <f>'Raw Data'!G137</f>
        <v>46091</v>
      </c>
      <c r="G141">
        <f>'Raw Data'!J137</f>
        <v>24261.599999999999</v>
      </c>
      <c r="H141" s="36">
        <f>G140/G141-1</f>
        <v>-1.6270567481122433E-2</v>
      </c>
    </row>
    <row r="142" spans="2:8" x14ac:dyDescent="0.3">
      <c r="B142" s="34">
        <f>'Raw Data'!G138</f>
        <v>46090</v>
      </c>
      <c r="C142">
        <f>'Raw Data'!H138</f>
        <v>3187.6</v>
      </c>
      <c r="D142" s="36">
        <f>C141/C142-1</f>
        <v>3.3285230267285693E-2</v>
      </c>
      <c r="F142" s="34">
        <f>'Raw Data'!G138</f>
        <v>46090</v>
      </c>
      <c r="G142">
        <f>'Raw Data'!J138</f>
        <v>24028.05</v>
      </c>
      <c r="H142" s="36">
        <f>G141/G142-1</f>
        <v>9.7198898787043131E-3</v>
      </c>
    </row>
    <row r="143" spans="2:8" x14ac:dyDescent="0.3">
      <c r="B143" s="34">
        <f>'Raw Data'!G139</f>
        <v>46087</v>
      </c>
      <c r="C143">
        <f>'Raw Data'!H139</f>
        <v>3332.5</v>
      </c>
      <c r="D143" s="36">
        <f>C142/C143-1</f>
        <v>-4.3480870217554424E-2</v>
      </c>
      <c r="F143" s="34">
        <f>'Raw Data'!G139</f>
        <v>46087</v>
      </c>
      <c r="G143">
        <f>'Raw Data'!J139</f>
        <v>24450.45</v>
      </c>
      <c r="H143" s="36">
        <f>G142/G143-1</f>
        <v>-1.7275755660938863E-2</v>
      </c>
    </row>
    <row r="144" spans="2:8" x14ac:dyDescent="0.3">
      <c r="B144" s="34">
        <f>'Raw Data'!G140</f>
        <v>46086</v>
      </c>
      <c r="C144">
        <f>'Raw Data'!H140</f>
        <v>3348</v>
      </c>
      <c r="D144" s="36">
        <f>C143/C144-1</f>
        <v>-4.6296296296296502E-3</v>
      </c>
      <c r="F144" s="34">
        <f>'Raw Data'!G140</f>
        <v>46086</v>
      </c>
      <c r="G144">
        <f>'Raw Data'!J140</f>
        <v>24765.9</v>
      </c>
      <c r="H144" s="36">
        <f>G143/G144-1</f>
        <v>-1.2737271813259343E-2</v>
      </c>
    </row>
    <row r="145" spans="2:8" x14ac:dyDescent="0.3">
      <c r="B145" s="34">
        <f>'Raw Data'!G141</f>
        <v>46085</v>
      </c>
      <c r="C145">
        <f>'Raw Data'!H141</f>
        <v>3264.3</v>
      </c>
      <c r="D145" s="36">
        <f>C144/C145-1</f>
        <v>2.564102564102555E-2</v>
      </c>
      <c r="F145" s="34">
        <f>'Raw Data'!G141</f>
        <v>46085</v>
      </c>
      <c r="G145">
        <f>'Raw Data'!J141</f>
        <v>24480.5</v>
      </c>
      <c r="H145" s="36">
        <f>G144/G145-1</f>
        <v>1.1658258613999051E-2</v>
      </c>
    </row>
    <row r="146" spans="2:8" x14ac:dyDescent="0.3">
      <c r="B146" s="34">
        <f>'Raw Data'!G142</f>
        <v>46083</v>
      </c>
      <c r="C146">
        <f>'Raw Data'!H142</f>
        <v>3334.3</v>
      </c>
      <c r="D146" s="36">
        <f>C145/C146-1</f>
        <v>-2.0993911765587958E-2</v>
      </c>
      <c r="F146" s="34">
        <f>'Raw Data'!G142</f>
        <v>46083</v>
      </c>
      <c r="G146">
        <f>'Raw Data'!J142</f>
        <v>24865.7</v>
      </c>
      <c r="H146" s="36">
        <f>G145/G146-1</f>
        <v>-1.5491218827541564E-2</v>
      </c>
    </row>
    <row r="147" spans="2:8" x14ac:dyDescent="0.3">
      <c r="B147" s="34">
        <f>'Raw Data'!G143</f>
        <v>46080</v>
      </c>
      <c r="C147">
        <f>'Raw Data'!H143</f>
        <v>3397.4</v>
      </c>
      <c r="D147" s="36">
        <f>C146/C147-1</f>
        <v>-1.8573026431977335E-2</v>
      </c>
      <c r="F147" s="34">
        <f>'Raw Data'!G143</f>
        <v>46080</v>
      </c>
      <c r="G147">
        <f>'Raw Data'!J143</f>
        <v>25178.65</v>
      </c>
      <c r="H147" s="36">
        <f>G146/G147-1</f>
        <v>-1.2429181072059148E-2</v>
      </c>
    </row>
    <row r="148" spans="2:8" x14ac:dyDescent="0.3">
      <c r="B148" s="34">
        <f>'Raw Data'!G144</f>
        <v>46079</v>
      </c>
      <c r="C148">
        <f>'Raw Data'!H144</f>
        <v>3484.6</v>
      </c>
      <c r="D148" s="36">
        <f>C147/C148-1</f>
        <v>-2.5024393043677873E-2</v>
      </c>
      <c r="F148" s="34">
        <f>'Raw Data'!G144</f>
        <v>46079</v>
      </c>
      <c r="G148">
        <f>'Raw Data'!J144</f>
        <v>25496.55</v>
      </c>
      <c r="H148" s="36">
        <f>G147/G148-1</f>
        <v>-1.2468353561560175E-2</v>
      </c>
    </row>
    <row r="149" spans="2:8" x14ac:dyDescent="0.3">
      <c r="B149" s="34">
        <f>'Raw Data'!G145</f>
        <v>46078</v>
      </c>
      <c r="C149">
        <f>'Raw Data'!H145</f>
        <v>3491.3</v>
      </c>
      <c r="D149" s="36">
        <f>C148/C149-1</f>
        <v>-1.9190559390486195E-3</v>
      </c>
      <c r="F149" s="34">
        <f>'Raw Data'!G145</f>
        <v>46078</v>
      </c>
      <c r="G149">
        <f>'Raw Data'!J145</f>
        <v>25482.5</v>
      </c>
      <c r="H149" s="36">
        <f>G148/G149-1</f>
        <v>5.5135877563028401E-4</v>
      </c>
    </row>
    <row r="150" spans="2:8" x14ac:dyDescent="0.3">
      <c r="B150" s="34">
        <f>'Raw Data'!G146</f>
        <v>46077</v>
      </c>
      <c r="C150">
        <f>'Raw Data'!H146</f>
        <v>3433.2</v>
      </c>
      <c r="D150" s="36">
        <f>C149/C150-1</f>
        <v>1.6922987300477699E-2</v>
      </c>
      <c r="F150" s="34">
        <f>'Raw Data'!G146</f>
        <v>46077</v>
      </c>
      <c r="G150">
        <f>'Raw Data'!J146</f>
        <v>25424.65</v>
      </c>
      <c r="H150" s="36">
        <f>G149/G150-1</f>
        <v>2.275350889786143E-3</v>
      </c>
    </row>
    <row r="151" spans="2:8" x14ac:dyDescent="0.3">
      <c r="B151" s="34">
        <f>'Raw Data'!G147</f>
        <v>46076</v>
      </c>
      <c r="C151">
        <f>'Raw Data'!H147</f>
        <v>3447.1</v>
      </c>
      <c r="D151" s="36">
        <f>C150/C151-1</f>
        <v>-4.0323750398886249E-3</v>
      </c>
      <c r="F151" s="34">
        <f>'Raw Data'!G147</f>
        <v>46076</v>
      </c>
      <c r="G151">
        <f>'Raw Data'!J147</f>
        <v>25713</v>
      </c>
      <c r="H151" s="36">
        <f>G150/G151-1</f>
        <v>-1.1214171819702079E-2</v>
      </c>
    </row>
    <row r="152" spans="2:8" x14ac:dyDescent="0.3">
      <c r="B152" s="34">
        <f>'Raw Data'!G148</f>
        <v>46073</v>
      </c>
      <c r="C152">
        <f>'Raw Data'!H148</f>
        <v>3412.8</v>
      </c>
      <c r="D152" s="36">
        <f>C151/C152-1</f>
        <v>1.0050398499765523E-2</v>
      </c>
      <c r="F152" s="34">
        <f>'Raw Data'!G148</f>
        <v>46073</v>
      </c>
      <c r="G152">
        <f>'Raw Data'!J148</f>
        <v>25571.25</v>
      </c>
      <c r="H152" s="36">
        <f>G151/G152-1</f>
        <v>5.5433347998239402E-3</v>
      </c>
    </row>
    <row r="153" spans="2:8" x14ac:dyDescent="0.3">
      <c r="B153" s="34">
        <f>'Raw Data'!G149</f>
        <v>46072</v>
      </c>
      <c r="C153">
        <f>'Raw Data'!H149</f>
        <v>3431.8</v>
      </c>
      <c r="D153" s="36">
        <f>C152/C153-1</f>
        <v>-5.5364531732617905E-3</v>
      </c>
      <c r="F153" s="34">
        <f>'Raw Data'!G149</f>
        <v>46072</v>
      </c>
      <c r="G153">
        <f>'Raw Data'!J149</f>
        <v>25454.35</v>
      </c>
      <c r="H153" s="36">
        <f>G152/G153-1</f>
        <v>4.5925352641100758E-3</v>
      </c>
    </row>
    <row r="154" spans="2:8" x14ac:dyDescent="0.3">
      <c r="B154" s="34">
        <f>'Raw Data'!G150</f>
        <v>46071</v>
      </c>
      <c r="C154">
        <f>'Raw Data'!H150</f>
        <v>3530.5</v>
      </c>
      <c r="D154" s="36">
        <f>C153/C154-1</f>
        <v>-2.7956380116130775E-2</v>
      </c>
      <c r="F154" s="34">
        <f>'Raw Data'!G150</f>
        <v>46071</v>
      </c>
      <c r="G154">
        <f>'Raw Data'!J150</f>
        <v>25819.35</v>
      </c>
      <c r="H154" s="36">
        <f>G153/G154-1</f>
        <v>-1.4136684308474035E-2</v>
      </c>
    </row>
    <row r="155" spans="2:8" x14ac:dyDescent="0.3">
      <c r="B155" s="34">
        <f>'Raw Data'!G151</f>
        <v>46070</v>
      </c>
      <c r="C155">
        <f>'Raw Data'!H151</f>
        <v>3489.2</v>
      </c>
      <c r="D155" s="36">
        <f>C154/C155-1</f>
        <v>1.1836524131606074E-2</v>
      </c>
      <c r="F155" s="34">
        <f>'Raw Data'!G151</f>
        <v>46070</v>
      </c>
      <c r="G155">
        <f>'Raw Data'!J151</f>
        <v>25725.4</v>
      </c>
      <c r="H155" s="36">
        <f>G154/G155-1</f>
        <v>3.6520326214557475E-3</v>
      </c>
    </row>
    <row r="156" spans="2:8" x14ac:dyDescent="0.3">
      <c r="B156" s="34">
        <f>'Raw Data'!G152</f>
        <v>46069</v>
      </c>
      <c r="C156">
        <f>'Raw Data'!H152</f>
        <v>3509.7</v>
      </c>
      <c r="D156" s="36">
        <f>C155/C156-1</f>
        <v>-5.8409550673846899E-3</v>
      </c>
      <c r="F156" s="34">
        <f>'Raw Data'!G152</f>
        <v>46069</v>
      </c>
      <c r="G156">
        <f>'Raw Data'!J152</f>
        <v>25682.75</v>
      </c>
      <c r="H156" s="36">
        <f>G155/G156-1</f>
        <v>1.6606477110123752E-3</v>
      </c>
    </row>
    <row r="157" spans="2:8" x14ac:dyDescent="0.3">
      <c r="B157" s="34">
        <f>'Raw Data'!G153</f>
        <v>46066</v>
      </c>
      <c r="C157">
        <f>'Raw Data'!H153</f>
        <v>3533.4</v>
      </c>
      <c r="D157" s="36">
        <f>C156/C157-1</f>
        <v>-6.7074206147054172E-3</v>
      </c>
      <c r="F157" s="34">
        <f>'Raw Data'!G153</f>
        <v>46066</v>
      </c>
      <c r="G157">
        <f>'Raw Data'!J153</f>
        <v>25471.1</v>
      </c>
      <c r="H157" s="36">
        <f>G156/G157-1</f>
        <v>8.3094173396516258E-3</v>
      </c>
    </row>
    <row r="158" spans="2:8" x14ac:dyDescent="0.3">
      <c r="B158" s="34">
        <f>'Raw Data'!G154</f>
        <v>46065</v>
      </c>
      <c r="C158">
        <f>'Raw Data'!H154</f>
        <v>3593.1</v>
      </c>
      <c r="D158" s="36">
        <f>C157/C158-1</f>
        <v>-1.6615179093262045E-2</v>
      </c>
      <c r="F158" s="34">
        <f>'Raw Data'!G154</f>
        <v>46065</v>
      </c>
      <c r="G158">
        <f>'Raw Data'!J154</f>
        <v>25807.200000000001</v>
      </c>
      <c r="H158" s="36">
        <f>G157/G158-1</f>
        <v>-1.3023497318577881E-2</v>
      </c>
    </row>
    <row r="159" spans="2:8" x14ac:dyDescent="0.3">
      <c r="B159" s="34">
        <f>'Raw Data'!G155</f>
        <v>46064</v>
      </c>
      <c r="C159">
        <f>'Raw Data'!H155</f>
        <v>3674.9</v>
      </c>
      <c r="D159" s="36">
        <f>C158/C159-1</f>
        <v>-2.2259109091403939E-2</v>
      </c>
      <c r="F159" s="34">
        <f>'Raw Data'!G155</f>
        <v>46064</v>
      </c>
      <c r="G159">
        <f>'Raw Data'!J155</f>
        <v>25953.85</v>
      </c>
      <c r="H159" s="36">
        <f>G158/G159-1</f>
        <v>-5.6504141004127817E-3</v>
      </c>
    </row>
    <row r="160" spans="2:8" x14ac:dyDescent="0.3">
      <c r="B160" s="34">
        <f>'Raw Data'!G156</f>
        <v>46063</v>
      </c>
      <c r="C160">
        <f>'Raw Data'!H156</f>
        <v>3675.8</v>
      </c>
      <c r="D160" s="36">
        <f>C159/C160-1</f>
        <v>-2.448446596658993E-4</v>
      </c>
      <c r="F160" s="34">
        <f>'Raw Data'!G156</f>
        <v>46063</v>
      </c>
      <c r="G160">
        <f>'Raw Data'!J156</f>
        <v>25935.15</v>
      </c>
      <c r="H160" s="36">
        <f>G159/G160-1</f>
        <v>7.2102918240291025E-4</v>
      </c>
    </row>
    <row r="161" spans="2:8" x14ac:dyDescent="0.3">
      <c r="B161" s="34">
        <f>'Raw Data'!G157</f>
        <v>46062</v>
      </c>
      <c r="C161">
        <f>'Raw Data'!H157</f>
        <v>3609.6</v>
      </c>
      <c r="D161" s="36">
        <f>C160/C161-1</f>
        <v>1.8339982269503619E-2</v>
      </c>
      <c r="F161" s="34">
        <f>'Raw Data'!G157</f>
        <v>46062</v>
      </c>
      <c r="G161">
        <f>'Raw Data'!J157</f>
        <v>25867.3</v>
      </c>
      <c r="H161" s="36">
        <f>G160/G161-1</f>
        <v>2.6230027873028749E-3</v>
      </c>
    </row>
    <row r="162" spans="2:8" x14ac:dyDescent="0.3">
      <c r="B162" s="34">
        <f>'Raw Data'!G158</f>
        <v>46059</v>
      </c>
      <c r="C162">
        <f>'Raw Data'!H158</f>
        <v>3578</v>
      </c>
      <c r="D162" s="36">
        <f>C161/C162-1</f>
        <v>8.8317495807712643E-3</v>
      </c>
      <c r="F162" s="34">
        <f>'Raw Data'!G158</f>
        <v>46059</v>
      </c>
      <c r="G162">
        <f>'Raw Data'!J158</f>
        <v>25693.7</v>
      </c>
      <c r="H162" s="36">
        <f>G161/G162-1</f>
        <v>6.7565200807979675E-3</v>
      </c>
    </row>
    <row r="163" spans="2:8" x14ac:dyDescent="0.3">
      <c r="B163" s="34">
        <f>'Raw Data'!G159</f>
        <v>46058</v>
      </c>
      <c r="C163">
        <f>'Raw Data'!H159</f>
        <v>3572</v>
      </c>
      <c r="D163" s="36">
        <f>C162/C163-1</f>
        <v>1.6797312430010258E-3</v>
      </c>
      <c r="F163" s="34">
        <f>'Raw Data'!G159</f>
        <v>46058</v>
      </c>
      <c r="G163">
        <f>'Raw Data'!J159</f>
        <v>25642.799999999999</v>
      </c>
      <c r="H163" s="36">
        <f>G162/G163-1</f>
        <v>1.9849626405852305E-3</v>
      </c>
    </row>
    <row r="164" spans="2:8" x14ac:dyDescent="0.3">
      <c r="B164" s="34">
        <f>'Raw Data'!G160</f>
        <v>46057</v>
      </c>
      <c r="C164">
        <f>'Raw Data'!H160</f>
        <v>3574</v>
      </c>
      <c r="D164" s="36">
        <f>C163/C164-1</f>
        <v>-5.5959709009512082E-4</v>
      </c>
      <c r="F164" s="34">
        <f>'Raw Data'!G160</f>
        <v>46057</v>
      </c>
      <c r="G164">
        <f>'Raw Data'!J160</f>
        <v>25776</v>
      </c>
      <c r="H164" s="36">
        <f>G163/G164-1</f>
        <v>-5.16759776536313E-3</v>
      </c>
    </row>
    <row r="165" spans="2:8" x14ac:dyDescent="0.3">
      <c r="B165" s="34">
        <f>'Raw Data'!G161</f>
        <v>46056</v>
      </c>
      <c r="C165">
        <f>'Raw Data'!H161</f>
        <v>3527.9</v>
      </c>
      <c r="D165" s="36">
        <f>C164/C165-1</f>
        <v>1.3067263811332497E-2</v>
      </c>
      <c r="F165" s="34">
        <f>'Raw Data'!G161</f>
        <v>46056</v>
      </c>
      <c r="G165">
        <f>'Raw Data'!J161</f>
        <v>25727.55</v>
      </c>
      <c r="H165" s="36">
        <f>G164/G165-1</f>
        <v>1.8831952517825989E-3</v>
      </c>
    </row>
    <row r="166" spans="2:8" x14ac:dyDescent="0.3">
      <c r="B166" s="34">
        <f>'Raw Data'!G162</f>
        <v>46055</v>
      </c>
      <c r="C166">
        <f>'Raw Data'!H162</f>
        <v>3463.2</v>
      </c>
      <c r="D166" s="36">
        <f>C165/C166-1</f>
        <v>1.8682143682143826E-2</v>
      </c>
      <c r="F166" s="34">
        <f>'Raw Data'!G162</f>
        <v>46055</v>
      </c>
      <c r="G166">
        <f>'Raw Data'!J162</f>
        <v>25088.400000000001</v>
      </c>
      <c r="H166" s="36">
        <f>G165/G166-1</f>
        <v>2.5475917156932981E-2</v>
      </c>
    </row>
    <row r="167" spans="2:8" x14ac:dyDescent="0.3">
      <c r="B167" s="34">
        <f>'Raw Data'!G163</f>
        <v>46054</v>
      </c>
      <c r="C167">
        <f>'Raw Data'!H163</f>
        <v>3363.8</v>
      </c>
      <c r="D167" s="36">
        <f>C166/C167-1</f>
        <v>2.9549913787977777E-2</v>
      </c>
      <c r="F167" s="34">
        <f>'Raw Data'!G163</f>
        <v>46054</v>
      </c>
      <c r="G167">
        <f>'Raw Data'!J163</f>
        <v>25320.65</v>
      </c>
      <c r="H167" s="36">
        <f>G166/G167-1</f>
        <v>-9.1723553700240323E-3</v>
      </c>
    </row>
    <row r="168" spans="2:8" x14ac:dyDescent="0.3">
      <c r="B168" s="34">
        <f>'Raw Data'!G164</f>
        <v>46052</v>
      </c>
      <c r="C168">
        <f>'Raw Data'!H164</f>
        <v>3431.8</v>
      </c>
      <c r="D168" s="36">
        <f>C167/C168-1</f>
        <v>-1.9814674514831876E-2</v>
      </c>
      <c r="F168" s="34">
        <f>'Raw Data'!G164</f>
        <v>46052</v>
      </c>
      <c r="G168">
        <f>'Raw Data'!J164</f>
        <v>25320.65</v>
      </c>
      <c r="H168" s="36">
        <f>G167/G168-1</f>
        <v>0</v>
      </c>
    </row>
    <row r="169" spans="2:8" x14ac:dyDescent="0.3">
      <c r="B169" s="34">
        <f>'Raw Data'!G165</f>
        <v>46051</v>
      </c>
      <c r="C169">
        <f>'Raw Data'!H165</f>
        <v>3384.4</v>
      </c>
      <c r="D169" s="36">
        <f>C168/C169-1</f>
        <v>1.4005436709608743E-2</v>
      </c>
      <c r="F169" s="34">
        <f>'Raw Data'!G165</f>
        <v>46051</v>
      </c>
      <c r="G169">
        <f>'Raw Data'!J165</f>
        <v>25418.9</v>
      </c>
      <c r="H169" s="36">
        <f>G168/G169-1</f>
        <v>-3.8652341368037302E-3</v>
      </c>
    </row>
    <row r="170" spans="2:8" x14ac:dyDescent="0.3">
      <c r="B170" s="34">
        <f>'Raw Data'!G166</f>
        <v>46050</v>
      </c>
      <c r="C170">
        <f>'Raw Data'!H166</f>
        <v>3449.2</v>
      </c>
      <c r="D170" s="36">
        <f>C169/C170-1</f>
        <v>-1.8786965093354868E-2</v>
      </c>
      <c r="F170" s="34">
        <f>'Raw Data'!G166</f>
        <v>46050</v>
      </c>
      <c r="G170">
        <f>'Raw Data'!J166</f>
        <v>25342.75</v>
      </c>
      <c r="H170" s="36">
        <f>G169/G170-1</f>
        <v>3.004804135305017E-3</v>
      </c>
    </row>
    <row r="171" spans="2:8" x14ac:dyDescent="0.3">
      <c r="B171" s="34">
        <f>'Raw Data'!G167</f>
        <v>46049</v>
      </c>
      <c r="C171">
        <f>'Raw Data'!H167</f>
        <v>3393.5</v>
      </c>
      <c r="D171" s="36">
        <f>C170/C171-1</f>
        <v>1.6413732134963777E-2</v>
      </c>
      <c r="F171" s="34">
        <f>'Raw Data'!G167</f>
        <v>46049</v>
      </c>
      <c r="G171">
        <f>'Raw Data'!J167</f>
        <v>25175.4</v>
      </c>
      <c r="H171" s="36">
        <f>G170/G171-1</f>
        <v>6.6473621074540912E-3</v>
      </c>
    </row>
    <row r="172" spans="2:8" x14ac:dyDescent="0.3">
      <c r="B172" s="34">
        <f>'Raw Data'!G168</f>
        <v>46045</v>
      </c>
      <c r="C172">
        <f>'Raw Data'!H168</f>
        <v>3543.4</v>
      </c>
      <c r="D172" s="36">
        <f>C171/C172-1</f>
        <v>-4.2304001806174885E-2</v>
      </c>
      <c r="F172" s="34">
        <f>'Raw Data'!G168</f>
        <v>46045</v>
      </c>
      <c r="G172">
        <f>'Raw Data'!J168</f>
        <v>25048.65</v>
      </c>
      <c r="H172" s="36">
        <f>G171/G172-1</f>
        <v>5.0601529423741631E-3</v>
      </c>
    </row>
    <row r="173" spans="2:8" x14ac:dyDescent="0.3">
      <c r="B173" s="34">
        <f>'Raw Data'!G169</f>
        <v>46044</v>
      </c>
      <c r="C173">
        <f>'Raw Data'!H169</f>
        <v>3573.7</v>
      </c>
      <c r="D173" s="36">
        <f>C172/C173-1</f>
        <v>-8.478607605562738E-3</v>
      </c>
      <c r="F173" s="34">
        <f>'Raw Data'!G169</f>
        <v>46044</v>
      </c>
      <c r="G173">
        <f>'Raw Data'!J169</f>
        <v>25289.9</v>
      </c>
      <c r="H173" s="36">
        <f>G172/G173-1</f>
        <v>-9.5393813340503009E-3</v>
      </c>
    </row>
    <row r="174" spans="2:8" x14ac:dyDescent="0.3">
      <c r="B174" s="34">
        <f>'Raw Data'!G170</f>
        <v>46043</v>
      </c>
      <c r="C174">
        <f>'Raw Data'!H170</f>
        <v>3553.3</v>
      </c>
      <c r="D174" s="36">
        <f>C173/C174-1</f>
        <v>5.7411420369795074E-3</v>
      </c>
      <c r="F174" s="34">
        <f>'Raw Data'!G170</f>
        <v>46043</v>
      </c>
      <c r="G174">
        <f>'Raw Data'!J170</f>
        <v>25157.5</v>
      </c>
      <c r="H174" s="36">
        <f>G173/G174-1</f>
        <v>5.2628440822817257E-3</v>
      </c>
    </row>
    <row r="175" spans="2:8" x14ac:dyDescent="0.3">
      <c r="B175" s="34">
        <f>'Raw Data'!G171</f>
        <v>46042</v>
      </c>
      <c r="C175">
        <f>'Raw Data'!H171</f>
        <v>3557.5</v>
      </c>
      <c r="D175" s="36">
        <f>C174/C175-1</f>
        <v>-1.1806043569921876E-3</v>
      </c>
      <c r="F175" s="34">
        <f>'Raw Data'!G171</f>
        <v>46042</v>
      </c>
      <c r="G175">
        <f>'Raw Data'!J171</f>
        <v>25232.5</v>
      </c>
      <c r="H175" s="36">
        <f>G174/G175-1</f>
        <v>-2.9723570791637677E-3</v>
      </c>
    </row>
    <row r="176" spans="2:8" x14ac:dyDescent="0.3">
      <c r="B176" s="34">
        <f>'Raw Data'!G172</f>
        <v>46041</v>
      </c>
      <c r="C176">
        <f>'Raw Data'!H172</f>
        <v>3657.4</v>
      </c>
      <c r="D176" s="36">
        <f>C175/C176-1</f>
        <v>-2.7314485700224211E-2</v>
      </c>
      <c r="F176" s="34">
        <f>'Raw Data'!G172</f>
        <v>46041</v>
      </c>
      <c r="G176">
        <f>'Raw Data'!J172</f>
        <v>25585.5</v>
      </c>
      <c r="H176" s="36">
        <f>G175/G176-1</f>
        <v>-1.3796877137441155E-2</v>
      </c>
    </row>
    <row r="177" spans="2:8" x14ac:dyDescent="0.3">
      <c r="B177" s="34">
        <f>'Raw Data'!G173</f>
        <v>46038</v>
      </c>
      <c r="C177">
        <f>'Raw Data'!H173</f>
        <v>3658.2</v>
      </c>
      <c r="D177" s="36">
        <f>C176/C177-1</f>
        <v>-2.1868678585090784E-4</v>
      </c>
      <c r="F177" s="34">
        <f>'Raw Data'!G173</f>
        <v>46038</v>
      </c>
      <c r="G177">
        <f>'Raw Data'!J173</f>
        <v>25694.35</v>
      </c>
      <c r="H177" s="36">
        <f>G176/G177-1</f>
        <v>-4.2363398957357967E-3</v>
      </c>
    </row>
    <row r="178" spans="2:8" x14ac:dyDescent="0.3">
      <c r="B178" s="34">
        <f>'Raw Data'!G174</f>
        <v>46036</v>
      </c>
      <c r="C178">
        <f>'Raw Data'!H174</f>
        <v>3649.5</v>
      </c>
      <c r="D178" s="36">
        <f>C177/C178-1</f>
        <v>2.3838882038635933E-3</v>
      </c>
      <c r="F178" s="34">
        <f>'Raw Data'!G174</f>
        <v>46036</v>
      </c>
      <c r="G178">
        <f>'Raw Data'!J174</f>
        <v>25665.599999999999</v>
      </c>
      <c r="H178" s="36">
        <f>G177/G178-1</f>
        <v>1.1201764229162858E-3</v>
      </c>
    </row>
    <row r="179" spans="2:8" x14ac:dyDescent="0.3">
      <c r="B179" s="34">
        <f>'Raw Data'!G175</f>
        <v>46035</v>
      </c>
      <c r="C179">
        <f>'Raw Data'!H175</f>
        <v>3661.5</v>
      </c>
      <c r="D179" s="36">
        <f>C178/C179-1</f>
        <v>-3.2773453502662475E-3</v>
      </c>
      <c r="F179" s="34">
        <f>'Raw Data'!G175</f>
        <v>46035</v>
      </c>
      <c r="G179">
        <f>'Raw Data'!J175</f>
        <v>25732.3</v>
      </c>
      <c r="H179" s="36">
        <f>G178/G179-1</f>
        <v>-2.5920729977498835E-3</v>
      </c>
    </row>
    <row r="180" spans="2:8" x14ac:dyDescent="0.3">
      <c r="B180" s="34">
        <f>'Raw Data'!G176</f>
        <v>46034</v>
      </c>
      <c r="C180">
        <f>'Raw Data'!H176</f>
        <v>3682</v>
      </c>
      <c r="D180" s="36">
        <f>C179/C180-1</f>
        <v>-5.5676262900598017E-3</v>
      </c>
      <c r="F180" s="34">
        <f>'Raw Data'!G176</f>
        <v>46034</v>
      </c>
      <c r="G180">
        <f>'Raw Data'!J176</f>
        <v>25790.25</v>
      </c>
      <c r="H180" s="36">
        <f>G179/G180-1</f>
        <v>-2.2469731778482771E-3</v>
      </c>
    </row>
    <row r="181" spans="2:8" x14ac:dyDescent="0.3">
      <c r="B181" s="34">
        <f>'Raw Data'!G177</f>
        <v>46031</v>
      </c>
      <c r="C181">
        <f>'Raw Data'!H177</f>
        <v>3677.3</v>
      </c>
      <c r="D181" s="36">
        <f>C180/C181-1</f>
        <v>1.2781116580098395E-3</v>
      </c>
      <c r="F181" s="34">
        <f>'Raw Data'!G177</f>
        <v>46031</v>
      </c>
      <c r="G181">
        <f>'Raw Data'!J177</f>
        <v>25683.3</v>
      </c>
      <c r="H181" s="36">
        <f>G180/G181-1</f>
        <v>4.164184509000135E-3</v>
      </c>
    </row>
    <row r="182" spans="2:8" x14ac:dyDescent="0.3">
      <c r="B182" s="34">
        <f>'Raw Data'!G178</f>
        <v>46030</v>
      </c>
      <c r="C182">
        <f>'Raw Data'!H178</f>
        <v>3724</v>
      </c>
      <c r="D182" s="36">
        <f>C181/C182-1</f>
        <v>-1.254027926960255E-2</v>
      </c>
      <c r="F182" s="34">
        <f>'Raw Data'!G178</f>
        <v>46030</v>
      </c>
      <c r="G182">
        <f>'Raw Data'!J178</f>
        <v>25876.85</v>
      </c>
      <c r="H182" s="36">
        <f>G181/G182-1</f>
        <v>-7.4796584592019544E-3</v>
      </c>
    </row>
    <row r="183" spans="2:8" x14ac:dyDescent="0.3">
      <c r="B183" s="34">
        <f>'Raw Data'!G179</f>
        <v>46029</v>
      </c>
      <c r="C183">
        <f>'Raw Data'!H179</f>
        <v>3748.8</v>
      </c>
      <c r="D183" s="36">
        <f>C182/C183-1</f>
        <v>-6.6154502774221635E-3</v>
      </c>
      <c r="F183" s="34">
        <f>'Raw Data'!G179</f>
        <v>46029</v>
      </c>
      <c r="G183">
        <f>'Raw Data'!J179</f>
        <v>26140.75</v>
      </c>
      <c r="H183" s="36">
        <f>G182/G183-1</f>
        <v>-1.0095349215305638E-2</v>
      </c>
    </row>
    <row r="184" spans="2:8" x14ac:dyDescent="0.3">
      <c r="B184" s="34">
        <f>'Raw Data'!G180</f>
        <v>46028</v>
      </c>
      <c r="C184">
        <f>'Raw Data'!H180</f>
        <v>3785.6</v>
      </c>
      <c r="D184" s="36">
        <f>C183/C184-1</f>
        <v>-9.7210481825865669E-3</v>
      </c>
      <c r="F184" s="34">
        <f>'Raw Data'!G180</f>
        <v>46028</v>
      </c>
      <c r="G184">
        <f>'Raw Data'!J180</f>
        <v>26178.7</v>
      </c>
      <c r="H184" s="36">
        <f>G183/G184-1</f>
        <v>-1.4496518161711824E-3</v>
      </c>
    </row>
    <row r="185" spans="2:8" x14ac:dyDescent="0.3">
      <c r="B185" s="34">
        <f>'Raw Data'!G181</f>
        <v>46027</v>
      </c>
      <c r="C185">
        <f>'Raw Data'!H181</f>
        <v>3790.3</v>
      </c>
      <c r="D185" s="36">
        <f>C184/C185-1</f>
        <v>-1.2400073872781414E-3</v>
      </c>
      <c r="F185" s="34">
        <f>'Raw Data'!G181</f>
        <v>46027</v>
      </c>
      <c r="G185">
        <f>'Raw Data'!J181</f>
        <v>26250.3</v>
      </c>
      <c r="H185" s="36">
        <f>G184/G185-1</f>
        <v>-2.7275878751861216E-3</v>
      </c>
    </row>
    <row r="186" spans="2:8" x14ac:dyDescent="0.3">
      <c r="B186" s="34">
        <f>'Raw Data'!G182</f>
        <v>46024</v>
      </c>
      <c r="C186">
        <f>'Raw Data'!H182</f>
        <v>3802.4</v>
      </c>
      <c r="D186" s="36">
        <f>C185/C186-1</f>
        <v>-3.1822007153377019E-3</v>
      </c>
      <c r="F186" s="34">
        <f>'Raw Data'!G182</f>
        <v>46024</v>
      </c>
      <c r="G186">
        <f>'Raw Data'!J182</f>
        <v>26328.55</v>
      </c>
      <c r="H186" s="36">
        <f>G185/G186-1</f>
        <v>-2.9720588486642496E-3</v>
      </c>
    </row>
    <row r="187" spans="2:8" x14ac:dyDescent="0.3">
      <c r="B187" s="34">
        <f>'Raw Data'!G183</f>
        <v>46023</v>
      </c>
      <c r="C187">
        <f>'Raw Data'!H183</f>
        <v>3761</v>
      </c>
      <c r="D187" s="36">
        <f>C186/C187-1</f>
        <v>1.1007710715235319E-2</v>
      </c>
      <c r="F187" s="34">
        <f>'Raw Data'!G183</f>
        <v>46023</v>
      </c>
      <c r="G187">
        <f>'Raw Data'!J183</f>
        <v>26146.55</v>
      </c>
      <c r="H187" s="36">
        <f>G186/G187-1</f>
        <v>6.9607653782239876E-3</v>
      </c>
    </row>
    <row r="188" spans="2:8" x14ac:dyDescent="0.3">
      <c r="B188" s="34">
        <f>'Raw Data'!G184</f>
        <v>46022</v>
      </c>
      <c r="C188">
        <f>'Raw Data'!H184</f>
        <v>3709.2</v>
      </c>
      <c r="D188" s="36">
        <f>C187/C188-1</f>
        <v>1.3965275531111931E-2</v>
      </c>
      <c r="F188" s="34">
        <f>'Raw Data'!G184</f>
        <v>46022</v>
      </c>
      <c r="G188">
        <f>'Raw Data'!J184</f>
        <v>26129.599999999999</v>
      </c>
      <c r="H188" s="36">
        <f>G187/G188-1</f>
        <v>6.4868960871966586E-4</v>
      </c>
    </row>
    <row r="189" spans="2:8" x14ac:dyDescent="0.3">
      <c r="B189" s="34">
        <f>'Raw Data'!G185</f>
        <v>46021</v>
      </c>
      <c r="C189">
        <f>'Raw Data'!H185</f>
        <v>3660.3</v>
      </c>
      <c r="D189" s="36">
        <f>C188/C189-1</f>
        <v>1.3359560691746486E-2</v>
      </c>
      <c r="F189" s="34">
        <f>'Raw Data'!G185</f>
        <v>46021</v>
      </c>
      <c r="G189">
        <f>'Raw Data'!J185</f>
        <v>25938.85</v>
      </c>
      <c r="H189" s="36">
        <f>G188/G189-1</f>
        <v>7.3538341136942798E-3</v>
      </c>
    </row>
    <row r="190" spans="2:8" x14ac:dyDescent="0.3">
      <c r="B190" s="34">
        <f>'Raw Data'!G186</f>
        <v>46020</v>
      </c>
      <c r="C190">
        <f>'Raw Data'!H186</f>
        <v>3592.1</v>
      </c>
      <c r="D190" s="36">
        <f>C189/C190-1</f>
        <v>1.8986108404554614E-2</v>
      </c>
      <c r="F190" s="34">
        <f>'Raw Data'!G186</f>
        <v>46020</v>
      </c>
      <c r="G190">
        <f>'Raw Data'!J186</f>
        <v>25942.1</v>
      </c>
      <c r="H190" s="36">
        <f>G189/G190-1</f>
        <v>-1.2527898666647719E-4</v>
      </c>
    </row>
    <row r="191" spans="2:8" x14ac:dyDescent="0.3">
      <c r="B191" s="34">
        <f>'Raw Data'!G187</f>
        <v>46017</v>
      </c>
      <c r="C191">
        <f>'Raw Data'!H187</f>
        <v>3623.1</v>
      </c>
      <c r="D191" s="36">
        <f>C190/C191-1</f>
        <v>-8.5562087714939894E-3</v>
      </c>
      <c r="F191" s="34">
        <f>'Raw Data'!G187</f>
        <v>46017</v>
      </c>
      <c r="G191">
        <f>'Raw Data'!J187</f>
        <v>26042.3</v>
      </c>
      <c r="H191" s="36">
        <f>G190/G191-1</f>
        <v>-3.8475864266981352E-3</v>
      </c>
    </row>
    <row r="192" spans="2:8" x14ac:dyDescent="0.3">
      <c r="B192" s="34">
        <f>'Raw Data'!G188</f>
        <v>46015</v>
      </c>
      <c r="C192">
        <f>'Raw Data'!H188</f>
        <v>3636.7</v>
      </c>
      <c r="D192" s="36">
        <f>C191/C192-1</f>
        <v>-3.73965408199739E-3</v>
      </c>
      <c r="F192" s="34">
        <f>'Raw Data'!G188</f>
        <v>46015</v>
      </c>
      <c r="G192">
        <f>'Raw Data'!J188</f>
        <v>26142.1</v>
      </c>
      <c r="H192" s="36">
        <f>G191/G192-1</f>
        <v>-3.8175969030797008E-3</v>
      </c>
    </row>
    <row r="193" spans="2:8" x14ac:dyDescent="0.3">
      <c r="B193" s="34">
        <f>'Raw Data'!G189</f>
        <v>46014</v>
      </c>
      <c r="C193">
        <f>'Raw Data'!H189</f>
        <v>3625.1</v>
      </c>
      <c r="D193" s="36">
        <f>C192/C193-1</f>
        <v>3.1999117265730792E-3</v>
      </c>
      <c r="F193" s="34">
        <f>'Raw Data'!G189</f>
        <v>46014</v>
      </c>
      <c r="G193">
        <f>'Raw Data'!J189</f>
        <v>26177.15</v>
      </c>
      <c r="H193" s="36">
        <f>G192/G193-1</f>
        <v>-1.3389540114184806E-3</v>
      </c>
    </row>
    <row r="194" spans="2:8" x14ac:dyDescent="0.3">
      <c r="B194" s="34">
        <f>'Raw Data'!G190</f>
        <v>46013</v>
      </c>
      <c r="C194">
        <f>'Raw Data'!H190</f>
        <v>3616.7</v>
      </c>
      <c r="D194" s="36">
        <f>C193/C194-1</f>
        <v>2.3225592390854199E-3</v>
      </c>
      <c r="F194" s="34">
        <f>'Raw Data'!G190</f>
        <v>46013</v>
      </c>
      <c r="G194">
        <f>'Raw Data'!J190</f>
        <v>26172.400000000001</v>
      </c>
      <c r="H194" s="36">
        <f>G193/G194-1</f>
        <v>1.8148889670044355E-4</v>
      </c>
    </row>
    <row r="195" spans="2:8" x14ac:dyDescent="0.3">
      <c r="B195" s="34">
        <f>'Raw Data'!G191</f>
        <v>46010</v>
      </c>
      <c r="C195">
        <f>'Raw Data'!H191</f>
        <v>3603.6</v>
      </c>
      <c r="D195" s="36">
        <f>C194/C195-1</f>
        <v>3.6352536352535214E-3</v>
      </c>
      <c r="F195" s="34">
        <f>'Raw Data'!G191</f>
        <v>46010</v>
      </c>
      <c r="G195">
        <f>'Raw Data'!J191</f>
        <v>25966.400000000001</v>
      </c>
      <c r="H195" s="36">
        <f>G194/G195-1</f>
        <v>7.9333292254606391E-3</v>
      </c>
    </row>
    <row r="196" spans="2:8" x14ac:dyDescent="0.3">
      <c r="B196" s="34">
        <f>'Raw Data'!G192</f>
        <v>46009</v>
      </c>
      <c r="C196">
        <f>'Raw Data'!H192</f>
        <v>3586.6</v>
      </c>
      <c r="D196" s="36">
        <f>C195/C196-1</f>
        <v>4.7398650532537445E-3</v>
      </c>
      <c r="F196" s="34">
        <f>'Raw Data'!G192</f>
        <v>46009</v>
      </c>
      <c r="G196">
        <f>'Raw Data'!J192</f>
        <v>25815.55</v>
      </c>
      <c r="H196" s="36">
        <f>G195/G196-1</f>
        <v>5.8433773442752024E-3</v>
      </c>
    </row>
    <row r="197" spans="2:8" x14ac:dyDescent="0.3">
      <c r="B197" s="34">
        <f>'Raw Data'!G193</f>
        <v>46008</v>
      </c>
      <c r="C197">
        <f>'Raw Data'!H193</f>
        <v>3612.8</v>
      </c>
      <c r="D197" s="36">
        <f>C196/C197-1</f>
        <v>-7.2519929140832939E-3</v>
      </c>
      <c r="F197" s="34">
        <f>'Raw Data'!G193</f>
        <v>46008</v>
      </c>
      <c r="G197">
        <f>'Raw Data'!J193</f>
        <v>25818.55</v>
      </c>
      <c r="H197" s="36">
        <f>G196/G197-1</f>
        <v>-1.1619552608488348E-4</v>
      </c>
    </row>
    <row r="198" spans="2:8" x14ac:dyDescent="0.3">
      <c r="B198" s="34">
        <f>'Raw Data'!G194</f>
        <v>46007</v>
      </c>
      <c r="C198">
        <f>'Raw Data'!H194</f>
        <v>3621</v>
      </c>
      <c r="D198" s="36">
        <f>C197/C198-1</f>
        <v>-2.2645677989505675E-3</v>
      </c>
      <c r="F198" s="34">
        <f>'Raw Data'!G194</f>
        <v>46007</v>
      </c>
      <c r="G198">
        <f>'Raw Data'!J194</f>
        <v>25860.1</v>
      </c>
      <c r="H198" s="36">
        <f>G197/G198-1</f>
        <v>-1.6067223251263751E-3</v>
      </c>
    </row>
    <row r="199" spans="2:8" x14ac:dyDescent="0.3">
      <c r="B199" s="34">
        <f>'Raw Data'!G195</f>
        <v>46006</v>
      </c>
      <c r="C199">
        <f>'Raw Data'!H195</f>
        <v>3608</v>
      </c>
      <c r="D199" s="36">
        <f>C198/C199-1</f>
        <v>3.6031042128603641E-3</v>
      </c>
      <c r="F199" s="34">
        <f>'Raw Data'!G195</f>
        <v>46006</v>
      </c>
      <c r="G199">
        <f>'Raw Data'!J195</f>
        <v>26027.3</v>
      </c>
      <c r="H199" s="36">
        <f>G198/G199-1</f>
        <v>-6.4240240055634112E-3</v>
      </c>
    </row>
    <row r="200" spans="2:8" x14ac:dyDescent="0.3">
      <c r="B200" s="34">
        <f>'Raw Data'!G196</f>
        <v>46003</v>
      </c>
      <c r="C200">
        <f>'Raw Data'!H196</f>
        <v>3679.6</v>
      </c>
      <c r="D200" s="36">
        <f>C199/C200-1</f>
        <v>-1.9458636808348695E-2</v>
      </c>
      <c r="F200" s="34">
        <f>'Raw Data'!G196</f>
        <v>46003</v>
      </c>
      <c r="G200">
        <f>'Raw Data'!J196</f>
        <v>26046.95</v>
      </c>
      <c r="H200" s="36">
        <f>G199/G200-1</f>
        <v>-7.5440694591888402E-4</v>
      </c>
    </row>
    <row r="201" spans="2:8" x14ac:dyDescent="0.3">
      <c r="B201" s="34">
        <f>'Raw Data'!G197</f>
        <v>46002</v>
      </c>
      <c r="C201">
        <f>'Raw Data'!H197</f>
        <v>3665.2</v>
      </c>
      <c r="D201" s="36">
        <f>C200/C201-1</f>
        <v>3.9288442649787481E-3</v>
      </c>
      <c r="F201" s="34">
        <f>'Raw Data'!G197</f>
        <v>46002</v>
      </c>
      <c r="G201">
        <f>'Raw Data'!J197</f>
        <v>25898.55</v>
      </c>
      <c r="H201" s="36">
        <f>G200/G201-1</f>
        <v>5.7300505240640565E-3</v>
      </c>
    </row>
    <row r="202" spans="2:8" x14ac:dyDescent="0.3">
      <c r="B202" s="34">
        <f>'Raw Data'!G198</f>
        <v>46001</v>
      </c>
      <c r="C202">
        <f>'Raw Data'!H198</f>
        <v>3630</v>
      </c>
      <c r="D202" s="36">
        <f>C201/C202-1</f>
        <v>9.6969696969695374E-3</v>
      </c>
      <c r="F202" s="34">
        <f>'Raw Data'!G198</f>
        <v>46001</v>
      </c>
      <c r="G202">
        <f>'Raw Data'!J198</f>
        <v>25758</v>
      </c>
      <c r="H202" s="36">
        <f>G201/G202-1</f>
        <v>5.4565571861169282E-3</v>
      </c>
    </row>
    <row r="203" spans="2:8" x14ac:dyDescent="0.3">
      <c r="B203" s="34">
        <f>'Raw Data'!G199</f>
        <v>46000</v>
      </c>
      <c r="C203">
        <f>'Raw Data'!H199</f>
        <v>3635.9</v>
      </c>
      <c r="D203" s="36">
        <f>C202/C203-1</f>
        <v>-1.6227068951291113E-3</v>
      </c>
      <c r="F203" s="34">
        <f>'Raw Data'!G199</f>
        <v>46000</v>
      </c>
      <c r="G203">
        <f>'Raw Data'!J199</f>
        <v>25839.65</v>
      </c>
      <c r="H203" s="36">
        <f>G202/G203-1</f>
        <v>-3.15987252149319E-3</v>
      </c>
    </row>
    <row r="204" spans="2:8" x14ac:dyDescent="0.3">
      <c r="B204" s="34">
        <f>'Raw Data'!G200</f>
        <v>45999</v>
      </c>
      <c r="C204">
        <f>'Raw Data'!H200</f>
        <v>3681.7</v>
      </c>
      <c r="D204" s="36">
        <f>C203/C204-1</f>
        <v>-1.2439905478447422E-2</v>
      </c>
      <c r="F204" s="34">
        <f>'Raw Data'!G200</f>
        <v>45999</v>
      </c>
      <c r="G204">
        <f>'Raw Data'!J200</f>
        <v>25960.55</v>
      </c>
      <c r="H204" s="36">
        <f>G203/G204-1</f>
        <v>-4.6570662023723841E-3</v>
      </c>
    </row>
    <row r="205" spans="2:8" x14ac:dyDescent="0.3">
      <c r="B205" s="34">
        <f>'Raw Data'!G201</f>
        <v>45996</v>
      </c>
      <c r="C205">
        <f>'Raw Data'!H201</f>
        <v>3717.1</v>
      </c>
      <c r="D205" s="36">
        <f>C204/C205-1</f>
        <v>-9.5235533076861723E-3</v>
      </c>
      <c r="F205" s="34">
        <f>'Raw Data'!G201</f>
        <v>45996</v>
      </c>
      <c r="G205">
        <f>'Raw Data'!J201</f>
        <v>26186.45</v>
      </c>
      <c r="H205" s="36">
        <f>G204/G205-1</f>
        <v>-8.626598870790092E-3</v>
      </c>
    </row>
    <row r="206" spans="2:8" x14ac:dyDescent="0.3">
      <c r="B206" s="34">
        <f>'Raw Data'!G202</f>
        <v>45995</v>
      </c>
      <c r="C206">
        <f>'Raw Data'!H202</f>
        <v>3671.6</v>
      </c>
      <c r="D206" s="36">
        <f>C205/C206-1</f>
        <v>1.2392417474670347E-2</v>
      </c>
      <c r="F206" s="34">
        <f>'Raw Data'!G202</f>
        <v>45995</v>
      </c>
      <c r="G206">
        <f>'Raw Data'!J202</f>
        <v>26033.75</v>
      </c>
      <c r="H206" s="36">
        <f>G205/G206-1</f>
        <v>5.8654631007826197E-3</v>
      </c>
    </row>
    <row r="207" spans="2:8" x14ac:dyDescent="0.3">
      <c r="B207" s="34">
        <f>'Raw Data'!G203</f>
        <v>45994</v>
      </c>
      <c r="C207">
        <f>'Raw Data'!H203</f>
        <v>3649.4</v>
      </c>
      <c r="D207" s="36">
        <f>C206/C207-1</f>
        <v>6.0831917575492334E-3</v>
      </c>
      <c r="F207" s="34">
        <f>'Raw Data'!G203</f>
        <v>45994</v>
      </c>
      <c r="G207">
        <f>'Raw Data'!J203</f>
        <v>25986</v>
      </c>
      <c r="H207" s="36">
        <f>G206/G207-1</f>
        <v>1.8375278996383138E-3</v>
      </c>
    </row>
    <row r="208" spans="2:8" x14ac:dyDescent="0.3">
      <c r="B208" s="34">
        <f>'Raw Data'!G204</f>
        <v>45993</v>
      </c>
      <c r="C208">
        <f>'Raw Data'!H204</f>
        <v>3716.5</v>
      </c>
      <c r="D208" s="36">
        <f>C207/C208-1</f>
        <v>-1.8054621283465577E-2</v>
      </c>
      <c r="F208" s="34">
        <f>'Raw Data'!G204</f>
        <v>45993</v>
      </c>
      <c r="G208">
        <f>'Raw Data'!J204</f>
        <v>26032.2</v>
      </c>
      <c r="H208" s="36">
        <f>G207/G208-1</f>
        <v>-1.7747251480858539E-3</v>
      </c>
    </row>
    <row r="209" spans="2:8" x14ac:dyDescent="0.3">
      <c r="B209" s="34">
        <f>'Raw Data'!G205</f>
        <v>45992</v>
      </c>
      <c r="C209">
        <f>'Raw Data'!H205</f>
        <v>3741.6</v>
      </c>
      <c r="D209" s="36">
        <f>C208/C209-1</f>
        <v>-6.7083600598674131E-3</v>
      </c>
      <c r="F209" s="34">
        <f>'Raw Data'!G205</f>
        <v>45992</v>
      </c>
      <c r="G209">
        <f>'Raw Data'!J205</f>
        <v>26175.75</v>
      </c>
      <c r="H209" s="36">
        <f>G208/G209-1</f>
        <v>-5.4840835506145824E-3</v>
      </c>
    </row>
    <row r="210" spans="2:8" x14ac:dyDescent="0.3">
      <c r="B210" s="34">
        <f>'Raw Data'!G206</f>
        <v>45989</v>
      </c>
      <c r="C210">
        <f>'Raw Data'!H206</f>
        <v>3757.3</v>
      </c>
      <c r="D210" s="36">
        <f>C209/C210-1</f>
        <v>-4.1785324568174298E-3</v>
      </c>
      <c r="F210" s="34">
        <f>'Raw Data'!G206</f>
        <v>45989</v>
      </c>
      <c r="G210">
        <f>'Raw Data'!J206</f>
        <v>26202.95</v>
      </c>
      <c r="H210" s="36">
        <f>G209/G210-1</f>
        <v>-1.0380510591364578E-3</v>
      </c>
    </row>
    <row r="211" spans="2:8" x14ac:dyDescent="0.3">
      <c r="B211" s="34">
        <f>'Raw Data'!G207</f>
        <v>45988</v>
      </c>
      <c r="C211">
        <f>'Raw Data'!H207</f>
        <v>3681.2</v>
      </c>
      <c r="D211" s="36">
        <f>C210/C211-1</f>
        <v>2.0672606758665779E-2</v>
      </c>
      <c r="F211" s="34">
        <f>'Raw Data'!G207</f>
        <v>45988</v>
      </c>
      <c r="G211">
        <f>'Raw Data'!J207</f>
        <v>26215.55</v>
      </c>
      <c r="H211" s="36">
        <f>G210/G211-1</f>
        <v>-4.806307706685109E-4</v>
      </c>
    </row>
    <row r="212" spans="2:8" x14ac:dyDescent="0.3">
      <c r="B212" s="34">
        <f>'Raw Data'!G208</f>
        <v>45987</v>
      </c>
      <c r="C212">
        <f>'Raw Data'!H208</f>
        <v>3686.4</v>
      </c>
      <c r="D212" s="36">
        <f>C211/C212-1</f>
        <v>-1.4105902777779011E-3</v>
      </c>
      <c r="F212" s="34">
        <f>'Raw Data'!G208</f>
        <v>45987</v>
      </c>
      <c r="G212">
        <f>'Raw Data'!J208</f>
        <v>26205.3</v>
      </c>
      <c r="H212" s="36">
        <f>G211/G212-1</f>
        <v>3.9114224985015156E-4</v>
      </c>
    </row>
    <row r="213" spans="2:8" x14ac:dyDescent="0.3">
      <c r="B213" s="34">
        <f>'Raw Data'!G209</f>
        <v>45986</v>
      </c>
      <c r="C213">
        <f>'Raw Data'!H209</f>
        <v>3669.3</v>
      </c>
      <c r="D213" s="36">
        <f>C212/C213-1</f>
        <v>4.6602894285012741E-3</v>
      </c>
      <c r="F213" s="34">
        <f>'Raw Data'!G209</f>
        <v>45986</v>
      </c>
      <c r="G213">
        <f>'Raw Data'!J209</f>
        <v>25884.799999999999</v>
      </c>
      <c r="H213" s="36">
        <f>G212/G213-1</f>
        <v>1.238178390406719E-2</v>
      </c>
    </row>
    <row r="214" spans="2:8" x14ac:dyDescent="0.3">
      <c r="B214" s="34">
        <f>'Raw Data'!G210</f>
        <v>45985</v>
      </c>
      <c r="C214">
        <f>'Raw Data'!H210</f>
        <v>3690.8</v>
      </c>
      <c r="D214" s="36">
        <f>C213/C214-1</f>
        <v>-5.8252953289259501E-3</v>
      </c>
      <c r="F214" s="34">
        <f>'Raw Data'!G210</f>
        <v>45985</v>
      </c>
      <c r="G214">
        <f>'Raw Data'!J210</f>
        <v>25959.5</v>
      </c>
      <c r="H214" s="36">
        <f>G213/G214-1</f>
        <v>-2.8775592750245327E-3</v>
      </c>
    </row>
    <row r="215" spans="2:8" x14ac:dyDescent="0.3">
      <c r="B215" s="34">
        <f>'Raw Data'!G211</f>
        <v>45982</v>
      </c>
      <c r="C215">
        <f>'Raw Data'!H211</f>
        <v>3749.6</v>
      </c>
      <c r="D215" s="36">
        <f>C214/C215-1</f>
        <v>-1.5681672711755801E-2</v>
      </c>
      <c r="F215" s="34">
        <f>'Raw Data'!G211</f>
        <v>45982</v>
      </c>
      <c r="G215">
        <f>'Raw Data'!J211</f>
        <v>26068.15</v>
      </c>
      <c r="H215" s="36">
        <f>G214/G215-1</f>
        <v>-4.1679213906625767E-3</v>
      </c>
    </row>
    <row r="216" spans="2:8" x14ac:dyDescent="0.3">
      <c r="B216" s="34">
        <f>'Raw Data'!G212</f>
        <v>45981</v>
      </c>
      <c r="C216">
        <f>'Raw Data'!H212</f>
        <v>3716.7</v>
      </c>
      <c r="D216" s="36">
        <f>C215/C216-1</f>
        <v>8.8519385476364398E-3</v>
      </c>
      <c r="F216" s="34">
        <f>'Raw Data'!G212</f>
        <v>45981</v>
      </c>
      <c r="G216">
        <f>'Raw Data'!J212</f>
        <v>26192.15</v>
      </c>
      <c r="H216" s="36">
        <f>G215/G216-1</f>
        <v>-4.7342428933859759E-3</v>
      </c>
    </row>
    <row r="217" spans="2:8" x14ac:dyDescent="0.3">
      <c r="B217" s="34">
        <f>'Raw Data'!G213</f>
        <v>45980</v>
      </c>
      <c r="C217">
        <f>'Raw Data'!H213</f>
        <v>3722.5</v>
      </c>
      <c r="D217" s="36">
        <f>C216/C217-1</f>
        <v>-1.558092679650791E-3</v>
      </c>
      <c r="F217" s="34">
        <f>'Raw Data'!G213</f>
        <v>45980</v>
      </c>
      <c r="G217">
        <f>'Raw Data'!J213</f>
        <v>26052.65</v>
      </c>
      <c r="H217" s="36">
        <f>G216/G217-1</f>
        <v>5.3545416685059077E-3</v>
      </c>
    </row>
    <row r="218" spans="2:8" x14ac:dyDescent="0.3">
      <c r="B218" s="34">
        <f>'Raw Data'!G214</f>
        <v>45979</v>
      </c>
      <c r="C218">
        <f>'Raw Data'!H214</f>
        <v>3694.8</v>
      </c>
      <c r="D218" s="36">
        <f>C217/C218-1</f>
        <v>7.4970228429143138E-3</v>
      </c>
      <c r="F218" s="34">
        <f>'Raw Data'!G214</f>
        <v>45979</v>
      </c>
      <c r="G218">
        <f>'Raw Data'!J214</f>
        <v>25910.05</v>
      </c>
      <c r="H218" s="36">
        <f>G217/G218-1</f>
        <v>5.5036559172985111E-3</v>
      </c>
    </row>
    <row r="219" spans="2:8" x14ac:dyDescent="0.3">
      <c r="B219" s="34">
        <f>'Raw Data'!G215</f>
        <v>45978</v>
      </c>
      <c r="C219">
        <f>'Raw Data'!H215</f>
        <v>3734.9</v>
      </c>
      <c r="D219" s="36">
        <f>C218/C219-1</f>
        <v>-1.073656590537897E-2</v>
      </c>
      <c r="F219" s="34">
        <f>'Raw Data'!G215</f>
        <v>45978</v>
      </c>
      <c r="G219">
        <f>'Raw Data'!J215</f>
        <v>26013.45</v>
      </c>
      <c r="H219" s="36">
        <f>G218/G219-1</f>
        <v>-3.9748668477268545E-3</v>
      </c>
    </row>
    <row r="220" spans="2:8" x14ac:dyDescent="0.3">
      <c r="B220" s="34">
        <f>'Raw Data'!G216</f>
        <v>45975</v>
      </c>
      <c r="C220">
        <f>'Raw Data'!H216</f>
        <v>3698.6</v>
      </c>
      <c r="D220" s="36">
        <f>C219/C220-1</f>
        <v>9.8145244146434774E-3</v>
      </c>
      <c r="F220" s="34">
        <f>'Raw Data'!G216</f>
        <v>45975</v>
      </c>
      <c r="G220">
        <f>'Raw Data'!J216</f>
        <v>25910.05</v>
      </c>
      <c r="H220" s="36">
        <f>G219/G220-1</f>
        <v>3.9907294659795589E-3</v>
      </c>
    </row>
    <row r="221" spans="2:8" x14ac:dyDescent="0.3">
      <c r="B221" s="34">
        <f>'Raw Data'!G217</f>
        <v>45974</v>
      </c>
      <c r="C221">
        <f>'Raw Data'!H217</f>
        <v>3699.5</v>
      </c>
      <c r="D221" s="36">
        <f>C220/C221-1</f>
        <v>-2.4327611839436436E-4</v>
      </c>
      <c r="F221" s="34">
        <f>'Raw Data'!G217</f>
        <v>45974</v>
      </c>
      <c r="G221">
        <f>'Raw Data'!J217</f>
        <v>25879.15</v>
      </c>
      <c r="H221" s="36">
        <f>G220/G221-1</f>
        <v>1.194011395273753E-3</v>
      </c>
    </row>
    <row r="222" spans="2:8" x14ac:dyDescent="0.3">
      <c r="B222" s="34">
        <f>'Raw Data'!G218</f>
        <v>45973</v>
      </c>
      <c r="C222">
        <f>'Raw Data'!H218</f>
        <v>3754.3</v>
      </c>
      <c r="D222" s="36">
        <f>C221/C222-1</f>
        <v>-1.4596595903364151E-2</v>
      </c>
      <c r="F222" s="34">
        <f>'Raw Data'!G218</f>
        <v>45973</v>
      </c>
      <c r="G222">
        <f>'Raw Data'!J218</f>
        <v>25875.8</v>
      </c>
      <c r="H222" s="36">
        <f>G221/G222-1</f>
        <v>1.2946459626372864E-4</v>
      </c>
    </row>
    <row r="223" spans="2:8" x14ac:dyDescent="0.3">
      <c r="B223" s="34">
        <f>'Raw Data'!G219</f>
        <v>45972</v>
      </c>
      <c r="C223">
        <f>'Raw Data'!H219</f>
        <v>3749.1</v>
      </c>
      <c r="D223" s="36">
        <f>C222/C223-1</f>
        <v>1.3869995465578544E-3</v>
      </c>
      <c r="F223" s="34">
        <f>'Raw Data'!G219</f>
        <v>45972</v>
      </c>
      <c r="G223">
        <f>'Raw Data'!J219</f>
        <v>25694.95</v>
      </c>
      <c r="H223" s="36">
        <f>G222/G223-1</f>
        <v>7.0383480022337963E-3</v>
      </c>
    </row>
    <row r="224" spans="2:8" x14ac:dyDescent="0.3">
      <c r="B224" s="34">
        <f>'Raw Data'!G220</f>
        <v>45971</v>
      </c>
      <c r="C224">
        <f>'Raw Data'!H220</f>
        <v>3663.9</v>
      </c>
      <c r="D224" s="36">
        <f>C223/C224-1</f>
        <v>2.3253909768279568E-2</v>
      </c>
      <c r="F224" s="34">
        <f>'Raw Data'!G220</f>
        <v>45971</v>
      </c>
      <c r="G224">
        <f>'Raw Data'!J220</f>
        <v>25574.35</v>
      </c>
      <c r="H224" s="36">
        <f>G223/G224-1</f>
        <v>4.7156623726507529E-3</v>
      </c>
    </row>
    <row r="225" spans="2:8" x14ac:dyDescent="0.3">
      <c r="B225" s="34">
        <f>'Raw Data'!G221</f>
        <v>45968</v>
      </c>
      <c r="C225">
        <f>'Raw Data'!H221</f>
        <v>3690.2</v>
      </c>
      <c r="D225" s="36">
        <f>C224/C225-1</f>
        <v>-7.1269849872634961E-3</v>
      </c>
      <c r="F225" s="34">
        <f>'Raw Data'!G221</f>
        <v>45968</v>
      </c>
      <c r="G225">
        <f>'Raw Data'!J221</f>
        <v>25492.3</v>
      </c>
      <c r="H225" s="36">
        <f>G224/G225-1</f>
        <v>3.2186189555276634E-3</v>
      </c>
    </row>
    <row r="226" spans="2:8" x14ac:dyDescent="0.3">
      <c r="B226" s="34">
        <f>'Raw Data'!G222</f>
        <v>45967</v>
      </c>
      <c r="C226">
        <f>'Raw Data'!H222</f>
        <v>3618.5</v>
      </c>
      <c r="D226" s="36">
        <f>C225/C226-1</f>
        <v>1.9814840403482137E-2</v>
      </c>
      <c r="F226" s="34">
        <f>'Raw Data'!G222</f>
        <v>45967</v>
      </c>
      <c r="G226">
        <f>'Raw Data'!J222</f>
        <v>25509.7</v>
      </c>
      <c r="H226" s="36">
        <f>G225/G226-1</f>
        <v>-6.8209347816716726E-4</v>
      </c>
    </row>
    <row r="227" spans="2:8" x14ac:dyDescent="0.3">
      <c r="B227" s="34">
        <f>'Raw Data'!G223</f>
        <v>45965</v>
      </c>
      <c r="C227">
        <f>'Raw Data'!H223</f>
        <v>3581.2</v>
      </c>
      <c r="D227" s="36">
        <f>C226/C227-1</f>
        <v>1.0415503183290653E-2</v>
      </c>
      <c r="F227" s="34">
        <f>'Raw Data'!G223</f>
        <v>45965</v>
      </c>
      <c r="G227">
        <f>'Raw Data'!J223</f>
        <v>25597.65</v>
      </c>
      <c r="H227" s="36">
        <f>G226/G227-1</f>
        <v>-3.4358622764198987E-3</v>
      </c>
    </row>
    <row r="228" spans="2:8" x14ac:dyDescent="0.3">
      <c r="B228" s="34">
        <f>'Raw Data'!G224</f>
        <v>45964</v>
      </c>
      <c r="C228">
        <f>'Raw Data'!H224</f>
        <v>3548.9</v>
      </c>
      <c r="D228" s="36">
        <f>C227/C228-1</f>
        <v>9.1014117050352006E-3</v>
      </c>
      <c r="F228" s="34">
        <f>'Raw Data'!G224</f>
        <v>45964</v>
      </c>
      <c r="G228">
        <f>'Raw Data'!J224</f>
        <v>25763.35</v>
      </c>
      <c r="H228" s="36">
        <f>G227/G228-1</f>
        <v>-6.4316170063286604E-3</v>
      </c>
    </row>
    <row r="229" spans="2:8" x14ac:dyDescent="0.3">
      <c r="B229" s="34">
        <f>'Raw Data'!G225</f>
        <v>45961</v>
      </c>
      <c r="C229">
        <f>'Raw Data'!H225</f>
        <v>3487.2</v>
      </c>
      <c r="D229" s="36">
        <f>C228/C229-1</f>
        <v>1.7693278274833801E-2</v>
      </c>
      <c r="F229" s="34">
        <f>'Raw Data'!G225</f>
        <v>45961</v>
      </c>
      <c r="G229">
        <f>'Raw Data'!J225</f>
        <v>25722.1</v>
      </c>
      <c r="H229" s="36">
        <f>G228/G229-1</f>
        <v>1.6036793263380922E-3</v>
      </c>
    </row>
    <row r="230" spans="2:8" x14ac:dyDescent="0.3">
      <c r="B230" s="34">
        <f>'Raw Data'!G226</f>
        <v>45960</v>
      </c>
      <c r="C230">
        <f>'Raw Data'!H226</f>
        <v>3502.1</v>
      </c>
      <c r="D230" s="36">
        <f>C229/C230-1</f>
        <v>-4.2545901030810462E-3</v>
      </c>
      <c r="F230" s="34">
        <f>'Raw Data'!G226</f>
        <v>45960</v>
      </c>
      <c r="G230">
        <f>'Raw Data'!J226</f>
        <v>25877.85</v>
      </c>
      <c r="H230" s="36">
        <f>G229/G230-1</f>
        <v>-6.0186607465457787E-3</v>
      </c>
    </row>
    <row r="231" spans="2:8" x14ac:dyDescent="0.3">
      <c r="B231" s="34">
        <f>'Raw Data'!G227</f>
        <v>45959</v>
      </c>
      <c r="C231">
        <f>'Raw Data'!H227</f>
        <v>3534.7</v>
      </c>
      <c r="D231" s="36">
        <f>C230/C231-1</f>
        <v>-9.222847766429898E-3</v>
      </c>
      <c r="F231" s="34">
        <f>'Raw Data'!G227</f>
        <v>45959</v>
      </c>
      <c r="G231">
        <f>'Raw Data'!J227</f>
        <v>26053.9</v>
      </c>
      <c r="H231" s="36">
        <f>G230/G231-1</f>
        <v>-6.7571457632064069E-3</v>
      </c>
    </row>
    <row r="232" spans="2:8" x14ac:dyDescent="0.3">
      <c r="B232" s="34">
        <f>'Raw Data'!G228</f>
        <v>45958</v>
      </c>
      <c r="C232">
        <f>'Raw Data'!H228</f>
        <v>3579.1</v>
      </c>
      <c r="D232" s="36">
        <f>C231/C232-1</f>
        <v>-1.2405353301109256E-2</v>
      </c>
      <c r="F232" s="34">
        <f>'Raw Data'!G228</f>
        <v>45958</v>
      </c>
      <c r="G232">
        <f>'Raw Data'!J228</f>
        <v>25936.2</v>
      </c>
      <c r="H232" s="36">
        <f>G231/G232-1</f>
        <v>4.5380587749941359E-3</v>
      </c>
    </row>
    <row r="233" spans="2:8" x14ac:dyDescent="0.3">
      <c r="B233" s="34">
        <f>'Raw Data'!G229</f>
        <v>45957</v>
      </c>
      <c r="C233">
        <f>'Raw Data'!H229</f>
        <v>3611.6</v>
      </c>
      <c r="D233" s="36">
        <f>C232/C233-1</f>
        <v>-8.9987817034001827E-3</v>
      </c>
      <c r="F233" s="34">
        <f>'Raw Data'!G229</f>
        <v>45957</v>
      </c>
      <c r="G233">
        <f>'Raw Data'!J229</f>
        <v>25966.05</v>
      </c>
      <c r="H233" s="36">
        <f>G232/G233-1</f>
        <v>-1.1495780066663741E-3</v>
      </c>
    </row>
    <row r="234" spans="2:8" x14ac:dyDescent="0.3">
      <c r="B234" s="34">
        <f>'Raw Data'!G230</f>
        <v>45954</v>
      </c>
      <c r="C234">
        <f>'Raw Data'!H230</f>
        <v>3625</v>
      </c>
      <c r="D234" s="36">
        <f>C233/C234-1</f>
        <v>-3.6965517241379642E-3</v>
      </c>
      <c r="F234" s="34">
        <f>'Raw Data'!G230</f>
        <v>45954</v>
      </c>
      <c r="G234">
        <f>'Raw Data'!J230</f>
        <v>25795.15</v>
      </c>
      <c r="H234" s="36">
        <f>G233/G234-1</f>
        <v>6.6252764570082778E-3</v>
      </c>
    </row>
    <row r="235" spans="2:8" x14ac:dyDescent="0.3">
      <c r="B235" s="34">
        <f>'Raw Data'!G231</f>
        <v>45953</v>
      </c>
      <c r="C235">
        <f>'Raw Data'!H231</f>
        <v>3623.6</v>
      </c>
      <c r="D235" s="36">
        <f>C234/C235-1</f>
        <v>3.8635610994597336E-4</v>
      </c>
      <c r="F235" s="34">
        <f>'Raw Data'!G231</f>
        <v>45953</v>
      </c>
      <c r="G235">
        <f>'Raw Data'!J231</f>
        <v>25891.4</v>
      </c>
      <c r="H235" s="36">
        <f>G234/G235-1</f>
        <v>-3.7174505820465331E-3</v>
      </c>
    </row>
    <row r="236" spans="2:8" x14ac:dyDescent="0.3">
      <c r="B236" s="34">
        <f>'Raw Data'!G232</f>
        <v>45951</v>
      </c>
      <c r="C236">
        <f>'Raw Data'!H232</f>
        <v>3621.2</v>
      </c>
      <c r="D236" s="36">
        <f>C235/C236-1</f>
        <v>6.627637247320628E-4</v>
      </c>
      <c r="F236" s="34">
        <f>'Raw Data'!G232</f>
        <v>45951</v>
      </c>
      <c r="G236">
        <f>'Raw Data'!J232</f>
        <v>25868.6</v>
      </c>
      <c r="H236" s="36">
        <f>G235/G236-1</f>
        <v>8.8137742282157205E-4</v>
      </c>
    </row>
    <row r="237" spans="2:8" x14ac:dyDescent="0.3">
      <c r="B237" s="34">
        <f>'Raw Data'!G233</f>
        <v>45950</v>
      </c>
      <c r="C237">
        <f>'Raw Data'!H233</f>
        <v>3599.1</v>
      </c>
      <c r="D237" s="36">
        <f>C236/C237-1</f>
        <v>6.1404239948876782E-3</v>
      </c>
      <c r="F237" s="34">
        <f>'Raw Data'!G233</f>
        <v>45950</v>
      </c>
      <c r="G237">
        <f>'Raw Data'!J233</f>
        <v>25843.15</v>
      </c>
      <c r="H237" s="36">
        <f>G236/G237-1</f>
        <v>9.8478707123539344E-4</v>
      </c>
    </row>
    <row r="238" spans="2:8" x14ac:dyDescent="0.3">
      <c r="B238" s="34">
        <f>'Raw Data'!G234</f>
        <v>45947</v>
      </c>
      <c r="C238">
        <f>'Raw Data'!H234</f>
        <v>3647.2</v>
      </c>
      <c r="D238" s="36">
        <f>C237/C238-1</f>
        <v>-1.3188199166483838E-2</v>
      </c>
      <c r="F238" s="34">
        <f>'Raw Data'!G234</f>
        <v>45947</v>
      </c>
      <c r="G238">
        <f>'Raw Data'!J234</f>
        <v>25709.85</v>
      </c>
      <c r="H238" s="36">
        <f>G237/G238-1</f>
        <v>5.1847832640019575E-3</v>
      </c>
    </row>
    <row r="239" spans="2:8" x14ac:dyDescent="0.3">
      <c r="B239" s="34">
        <f>'Raw Data'!G235</f>
        <v>45946</v>
      </c>
      <c r="C239">
        <f>'Raw Data'!H235</f>
        <v>3560.8</v>
      </c>
      <c r="D239" s="36">
        <f>C238/C239-1</f>
        <v>2.4264210289822508E-2</v>
      </c>
      <c r="F239" s="34">
        <f>'Raw Data'!G235</f>
        <v>45946</v>
      </c>
      <c r="G239">
        <f>'Raw Data'!J235</f>
        <v>25585.3</v>
      </c>
      <c r="H239" s="36">
        <f>G238/G239-1</f>
        <v>4.8680296889229702E-3</v>
      </c>
    </row>
    <row r="240" spans="2:8" x14ac:dyDescent="0.3">
      <c r="B240" s="34">
        <f>'Raw Data'!G236</f>
        <v>45945</v>
      </c>
      <c r="C240">
        <f>'Raw Data'!H236</f>
        <v>3497.2</v>
      </c>
      <c r="D240" s="36">
        <f>C239/C240-1</f>
        <v>1.8185977353311289E-2</v>
      </c>
      <c r="F240" s="34">
        <f>'Raw Data'!G236</f>
        <v>45945</v>
      </c>
      <c r="G240">
        <f>'Raw Data'!J236</f>
        <v>25323.55</v>
      </c>
      <c r="H240" s="36">
        <f>G239/G240-1</f>
        <v>1.0336228530360092E-2</v>
      </c>
    </row>
    <row r="241" spans="2:8" x14ac:dyDescent="0.3">
      <c r="B241" s="34">
        <f>'Raw Data'!G237</f>
        <v>45944</v>
      </c>
      <c r="C241">
        <f>'Raw Data'!H237</f>
        <v>3459.8</v>
      </c>
      <c r="D241" s="36">
        <f>C240/C241-1</f>
        <v>1.0809873403086812E-2</v>
      </c>
      <c r="F241" s="34">
        <f>'Raw Data'!G237</f>
        <v>45944</v>
      </c>
      <c r="G241">
        <f>'Raw Data'!J237</f>
        <v>25145.5</v>
      </c>
      <c r="H241" s="36">
        <f>G240/G241-1</f>
        <v>7.0807898033444783E-3</v>
      </c>
    </row>
    <row r="242" spans="2:8" x14ac:dyDescent="0.3">
      <c r="B242" s="34">
        <f>'Raw Data'!G238</f>
        <v>45943</v>
      </c>
      <c r="C242">
        <f>'Raw Data'!H238</f>
        <v>3459.7</v>
      </c>
      <c r="D242" s="36">
        <f>C241/C242-1</f>
        <v>2.8904240252147773E-5</v>
      </c>
      <c r="F242" s="34">
        <f>'Raw Data'!G238</f>
        <v>45943</v>
      </c>
      <c r="G242">
        <f>'Raw Data'!J238</f>
        <v>25227.35</v>
      </c>
      <c r="H242" s="36">
        <f>G241/G242-1</f>
        <v>-3.2444945664129587E-3</v>
      </c>
    </row>
    <row r="243" spans="2:8" x14ac:dyDescent="0.3">
      <c r="B243" s="34">
        <f>'Raw Data'!G239</f>
        <v>45940</v>
      </c>
      <c r="C243">
        <f>'Raw Data'!H239</f>
        <v>3454.9</v>
      </c>
      <c r="D243" s="36">
        <f>C242/C243-1</f>
        <v>1.3893310949664173E-3</v>
      </c>
      <c r="F243" s="34">
        <f>'Raw Data'!G239</f>
        <v>45940</v>
      </c>
      <c r="G243">
        <f>'Raw Data'!J239</f>
        <v>25285.35</v>
      </c>
      <c r="H243" s="36">
        <f>G242/G243-1</f>
        <v>-2.2938183572701609E-3</v>
      </c>
    </row>
    <row r="244" spans="2:8" x14ac:dyDescent="0.3">
      <c r="B244" s="34">
        <f>'Raw Data'!G240</f>
        <v>45939</v>
      </c>
      <c r="C244">
        <f>'Raw Data'!H240</f>
        <v>3442.9</v>
      </c>
      <c r="D244" s="36">
        <f>C243/C244-1</f>
        <v>3.4854337912806344E-3</v>
      </c>
      <c r="F244" s="34">
        <f>'Raw Data'!G240</f>
        <v>45939</v>
      </c>
      <c r="G244">
        <f>'Raw Data'!J240</f>
        <v>25181.8</v>
      </c>
      <c r="H244" s="36">
        <f>G243/G244-1</f>
        <v>4.1120968318388851E-3</v>
      </c>
    </row>
    <row r="245" spans="2:8" x14ac:dyDescent="0.3">
      <c r="B245" s="34">
        <f>'Raw Data'!G241</f>
        <v>45938</v>
      </c>
      <c r="C245">
        <f>'Raw Data'!H241</f>
        <v>3426.5</v>
      </c>
      <c r="D245" s="36">
        <f>C244/C245-1</f>
        <v>4.7862250109440563E-3</v>
      </c>
      <c r="F245" s="34">
        <f>'Raw Data'!G241</f>
        <v>45938</v>
      </c>
      <c r="G245">
        <f>'Raw Data'!J241</f>
        <v>25046.15</v>
      </c>
      <c r="H245" s="36">
        <f>G244/G245-1</f>
        <v>5.4160020601967673E-3</v>
      </c>
    </row>
    <row r="246" spans="2:8" x14ac:dyDescent="0.3">
      <c r="B246" s="34">
        <f>'Raw Data'!G242</f>
        <v>45937</v>
      </c>
      <c r="C246">
        <f>'Raw Data'!H242</f>
        <v>3492.8</v>
      </c>
      <c r="D246" s="36">
        <f>C245/C246-1</f>
        <v>-1.8981905634448015E-2</v>
      </c>
      <c r="F246" s="34">
        <f>'Raw Data'!G242</f>
        <v>45937</v>
      </c>
      <c r="G246">
        <f>'Raw Data'!J242</f>
        <v>25108.3</v>
      </c>
      <c r="H246" s="36">
        <f>G245/G246-1</f>
        <v>-2.4752770996043783E-3</v>
      </c>
    </row>
    <row r="247" spans="2:8" x14ac:dyDescent="0.3">
      <c r="B247" s="34">
        <f>'Raw Data'!G243</f>
        <v>45936</v>
      </c>
      <c r="C247">
        <f>'Raw Data'!H243</f>
        <v>3472</v>
      </c>
      <c r="D247" s="36">
        <f>C246/C247-1</f>
        <v>5.9907834101382562E-3</v>
      </c>
      <c r="F247" s="34">
        <f>'Raw Data'!G243</f>
        <v>45936</v>
      </c>
      <c r="G247">
        <f>'Raw Data'!J243</f>
        <v>25077.65</v>
      </c>
      <c r="H247" s="36">
        <f>G246/G247-1</f>
        <v>1.222203834888802E-3</v>
      </c>
    </row>
    <row r="248" spans="2:8" x14ac:dyDescent="0.3">
      <c r="B248" s="34">
        <f>'Raw Data'!G244</f>
        <v>45933</v>
      </c>
      <c r="C248">
        <f>'Raw Data'!H244</f>
        <v>3462</v>
      </c>
      <c r="D248" s="36">
        <f>C247/C248-1</f>
        <v>2.8885037550547832E-3</v>
      </c>
      <c r="F248" s="34">
        <f>'Raw Data'!G244</f>
        <v>45933</v>
      </c>
      <c r="G248">
        <f>'Raw Data'!J244</f>
        <v>24894.25</v>
      </c>
      <c r="H248" s="36">
        <f>G247/G248-1</f>
        <v>7.3671630999125881E-3</v>
      </c>
    </row>
    <row r="249" spans="2:8" x14ac:dyDescent="0.3">
      <c r="B249" s="34">
        <f>'Raw Data'!G245</f>
        <v>45931</v>
      </c>
      <c r="C249">
        <f>'Raw Data'!H245</f>
        <v>3463.4</v>
      </c>
      <c r="D249" s="36">
        <f>C248/C249-1</f>
        <v>-4.0422706011433718E-4</v>
      </c>
      <c r="F249" s="34">
        <f>'Raw Data'!G245</f>
        <v>45931</v>
      </c>
      <c r="G249">
        <f>'Raw Data'!J245</f>
        <v>24836.3</v>
      </c>
      <c r="H249" s="36">
        <f>G248/G249-1</f>
        <v>2.3332783063501061E-3</v>
      </c>
    </row>
    <row r="250" spans="2:8" x14ac:dyDescent="0.3">
      <c r="B250" s="34">
        <f>'Raw Data'!G246</f>
        <v>45930</v>
      </c>
      <c r="C250">
        <f>'Raw Data'!H246</f>
        <v>3427</v>
      </c>
      <c r="D250" s="36">
        <f>C249/C250-1</f>
        <v>1.062153487014883E-2</v>
      </c>
      <c r="F250" s="34">
        <f>'Raw Data'!G246</f>
        <v>45930</v>
      </c>
      <c r="G250">
        <f>'Raw Data'!J246</f>
        <v>24611.1</v>
      </c>
      <c r="H250" s="36">
        <f>G249/G250-1</f>
        <v>9.1503427315318131E-3</v>
      </c>
    </row>
    <row r="251" spans="2:8" x14ac:dyDescent="0.3">
      <c r="B251" s="34">
        <f>'Raw Data'!G247</f>
        <v>45929</v>
      </c>
      <c r="C251">
        <f>'Raw Data'!H247</f>
        <v>3418.1</v>
      </c>
      <c r="D251" s="36">
        <f>C250/C251-1</f>
        <v>2.6037857289138433E-3</v>
      </c>
      <c r="F251" s="34">
        <f>'Raw Data'!G247</f>
        <v>45929</v>
      </c>
      <c r="G251">
        <f>'Raw Data'!J247</f>
        <v>24634.9</v>
      </c>
      <c r="H251" s="36">
        <f>G250/G251-1</f>
        <v>-9.6610905666361102E-4</v>
      </c>
    </row>
    <row r="252" spans="2:8" x14ac:dyDescent="0.3">
      <c r="B252" s="34">
        <f>'Raw Data'!G248</f>
        <v>45926</v>
      </c>
      <c r="C252">
        <f>'Raw Data'!H248</f>
        <v>3396.5</v>
      </c>
      <c r="D252" s="36">
        <f>C251/C252-1</f>
        <v>6.3594877079347079E-3</v>
      </c>
      <c r="F252" s="34">
        <f>'Raw Data'!G248</f>
        <v>45926</v>
      </c>
      <c r="G252">
        <f>'Raw Data'!J248</f>
        <v>24654.7</v>
      </c>
      <c r="H252" s="36">
        <f>G251/G252-1</f>
        <v>-8.0309231099950917E-4</v>
      </c>
    </row>
    <row r="253" spans="2:8" x14ac:dyDescent="0.3">
      <c r="B253" s="34">
        <f>'Raw Data'!G249</f>
        <v>45925</v>
      </c>
      <c r="C253">
        <f>'Raw Data'!H249</f>
        <v>3530</v>
      </c>
      <c r="D253">
        <f t="shared" ref="D253:D256" si="0">C252/C253-1</f>
        <v>-3.7818696883852643E-2</v>
      </c>
      <c r="F253">
        <f>'Raw Data'!G249</f>
        <v>45925</v>
      </c>
      <c r="G253">
        <f>'Raw Data'!J249</f>
        <v>24890.85</v>
      </c>
      <c r="H253">
        <f t="shared" ref="H253:H256" si="1">G252/G253-1</f>
        <v>-9.4874220848222279E-3</v>
      </c>
    </row>
    <row r="254" spans="2:8" x14ac:dyDescent="0.3">
      <c r="B254" s="34">
        <f>'Raw Data'!G250</f>
        <v>45924</v>
      </c>
      <c r="C254">
        <f>'Raw Data'!H250</f>
        <v>3574.9</v>
      </c>
      <c r="D254">
        <f t="shared" si="0"/>
        <v>-1.2559791882290394E-2</v>
      </c>
      <c r="F254">
        <f>'Raw Data'!G250</f>
        <v>45924</v>
      </c>
      <c r="G254">
        <f>'Raw Data'!J250</f>
        <v>25056.9</v>
      </c>
      <c r="H254">
        <f t="shared" si="1"/>
        <v>-6.6269171365972435E-3</v>
      </c>
    </row>
    <row r="255" spans="2:8" x14ac:dyDescent="0.3">
      <c r="B255" s="34">
        <f>'Raw Data'!G251</f>
        <v>45923</v>
      </c>
      <c r="C255">
        <f>'Raw Data'!H251</f>
        <v>3614.6</v>
      </c>
      <c r="D255">
        <f t="shared" si="0"/>
        <v>-1.0983234659436625E-2</v>
      </c>
      <c r="F255">
        <f>'Raw Data'!G251</f>
        <v>45923</v>
      </c>
      <c r="G255">
        <f>'Raw Data'!J251</f>
        <v>25169.5</v>
      </c>
      <c r="H255">
        <f t="shared" si="1"/>
        <v>-4.4736685273842891E-3</v>
      </c>
    </row>
    <row r="256" spans="2:8" x14ac:dyDescent="0.3">
      <c r="B256" s="34">
        <f>'Raw Data'!G252</f>
        <v>45922</v>
      </c>
      <c r="C256">
        <f>'Raw Data'!H252</f>
        <v>3584.8</v>
      </c>
      <c r="D256">
        <f t="shared" si="0"/>
        <v>8.3128765900468693E-3</v>
      </c>
      <c r="F256">
        <f>'Raw Data'!G252</f>
        <v>45922</v>
      </c>
      <c r="G256">
        <f>'Raw Data'!J252</f>
        <v>25202.35</v>
      </c>
      <c r="H256">
        <f t="shared" si="1"/>
        <v>-1.3034498766979485E-3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Maruti Suzuki</v>
      </c>
      <c r="C14" s="119"/>
      <c r="D14" s="119" t="str">
        <f>'Raw Data'!Q24</f>
        <v>India</v>
      </c>
      <c r="E14" s="124">
        <f>'Raw Data'!R24</f>
        <v>95193.02</v>
      </c>
      <c r="F14" s="124">
        <f>'Raw Data'!S24</f>
        <v>380772.09</v>
      </c>
      <c r="G14" s="120">
        <f>'Raw Data'!T24</f>
        <v>0.3</v>
      </c>
      <c r="H14" s="36">
        <f>E14/F14</f>
        <v>0.24999999343439272</v>
      </c>
      <c r="I14" s="36">
        <f>E14/SUM(E14:F14)</f>
        <v>0.19999999579801131</v>
      </c>
      <c r="J14" s="47">
        <v>1</v>
      </c>
      <c r="K14" s="47">
        <f>J14/(1+(1-G14)*H14)</f>
        <v>0.851063833116107</v>
      </c>
    </row>
    <row r="15" spans="1:12" x14ac:dyDescent="0.3">
      <c r="B15" s="119" t="str">
        <f>'Raw Data'!O25</f>
        <v>MAHINDRA &amp; MAHINDRA LTD</v>
      </c>
      <c r="C15" s="119"/>
      <c r="D15" s="119" t="str">
        <f>'Raw Data'!Q25</f>
        <v>India</v>
      </c>
      <c r="E15" s="124">
        <f>'Raw Data'!R25</f>
        <v>136936</v>
      </c>
      <c r="F15" s="124">
        <f>'Raw Data'!S25</f>
        <v>379805</v>
      </c>
      <c r="G15" s="120">
        <f>'Raw Data'!T25</f>
        <v>0.3</v>
      </c>
      <c r="H15" s="36">
        <f t="shared" ref="H15:H18" si="0">E15/F15</f>
        <v>0.36054291017759116</v>
      </c>
      <c r="I15" s="36">
        <f t="shared" ref="I15:I18" si="1">E15/SUM(E15:F15)</f>
        <v>0.26499929365001035</v>
      </c>
      <c r="J15" s="47">
        <f>'Beta-Regression'!L15</f>
        <v>1.3125506529876976</v>
      </c>
      <c r="K15" s="47">
        <f t="shared" ref="K15:K18" si="2">J15/(1+(1-G15)*H15)</f>
        <v>1.048045013557982</v>
      </c>
    </row>
    <row r="16" spans="1:12" x14ac:dyDescent="0.3">
      <c r="B16" s="119" t="str">
        <f>'Raw Data'!O26</f>
        <v>Hyundai Motor I</v>
      </c>
      <c r="C16" s="119"/>
      <c r="D16" s="119" t="str">
        <f>'Raw Data'!Q26</f>
        <v>India</v>
      </c>
      <c r="E16" s="124">
        <f>'Raw Data'!R26</f>
        <v>44351.360000000001</v>
      </c>
      <c r="F16" s="124">
        <f>'Raw Data'!S26</f>
        <v>177405.45</v>
      </c>
      <c r="G16" s="120">
        <f>'Raw Data'!T26</f>
        <v>0.3</v>
      </c>
      <c r="H16" s="36">
        <f t="shared" si="0"/>
        <v>0.24999998590798647</v>
      </c>
      <c r="I16" s="36">
        <f t="shared" si="1"/>
        <v>0.19999999098111124</v>
      </c>
      <c r="J16">
        <v>1</v>
      </c>
      <c r="K16" s="47">
        <f t="shared" si="2"/>
        <v>0.85106383693212095</v>
      </c>
    </row>
    <row r="17" spans="2:11" x14ac:dyDescent="0.3">
      <c r="B17" s="119" t="str">
        <f>'Raw Data'!O27</f>
        <v>Tata Motors PVeh</v>
      </c>
      <c r="C17" s="119"/>
      <c r="D17" s="119" t="str">
        <f>'Raw Data'!Q27</f>
        <v>India</v>
      </c>
      <c r="E17" s="124">
        <f>'Raw Data'!R27</f>
        <v>27773.61</v>
      </c>
      <c r="F17" s="124">
        <f>'Raw Data'!S27</f>
        <v>111094.43</v>
      </c>
      <c r="G17" s="120">
        <f>'Raw Data'!T27</f>
        <v>0.3</v>
      </c>
      <c r="H17" s="36">
        <f t="shared" si="0"/>
        <v>0.25000002250337844</v>
      </c>
      <c r="I17" s="36">
        <f t="shared" si="1"/>
        <v>0.20000001440216197</v>
      </c>
      <c r="J17" s="47">
        <v>1</v>
      </c>
      <c r="K17" s="47">
        <f t="shared" si="2"/>
        <v>0.85106381837764433</v>
      </c>
    </row>
    <row r="18" spans="2:11" x14ac:dyDescent="0.3">
      <c r="B18" s="119" t="str">
        <f>'Raw Data'!O28</f>
        <v>Force Motors</v>
      </c>
      <c r="C18" s="119"/>
      <c r="D18" s="119" t="str">
        <f>'Raw Data'!Q28</f>
        <v>India</v>
      </c>
      <c r="E18" s="124">
        <f>'Raw Data'!R28</f>
        <v>5700.54</v>
      </c>
      <c r="F18" s="124">
        <f>'Raw Data'!S28</f>
        <v>22802.17</v>
      </c>
      <c r="G18" s="120">
        <f>'Raw Data'!T28</f>
        <v>0.3</v>
      </c>
      <c r="H18" s="36">
        <f t="shared" si="0"/>
        <v>0.24999989036131212</v>
      </c>
      <c r="I18" s="36">
        <f t="shared" si="1"/>
        <v>0.1999999298312336</v>
      </c>
      <c r="J18">
        <v>1</v>
      </c>
      <c r="K18" s="47">
        <f t="shared" si="2"/>
        <v>0.85106388537588884</v>
      </c>
    </row>
    <row r="20" spans="2:11" x14ac:dyDescent="0.3">
      <c r="F20" s="122" t="s">
        <v>339</v>
      </c>
      <c r="G20" s="69">
        <f>AVERAGE(G14:G18)</f>
        <v>0.3</v>
      </c>
      <c r="H20" s="69">
        <f t="shared" ref="H20:K20" si="3">AVERAGE(H14:H18)</f>
        <v>0.27210856047693216</v>
      </c>
      <c r="I20" s="69">
        <f t="shared" si="3"/>
        <v>0.21299984493250568</v>
      </c>
      <c r="J20" s="69">
        <f t="shared" si="3"/>
        <v>1.0625101305975395</v>
      </c>
      <c r="K20" s="69">
        <f t="shared" si="3"/>
        <v>0.89046007747194855</v>
      </c>
    </row>
    <row r="21" spans="2:11" x14ac:dyDescent="0.3">
      <c r="F21" s="68" t="s">
        <v>160</v>
      </c>
      <c r="G21" s="70">
        <f>MEDIAN(G14:G18)</f>
        <v>0.3</v>
      </c>
      <c r="H21" s="70">
        <f t="shared" ref="H21:K21" si="4">MEDIAN(H14:H18)</f>
        <v>0.24999999343439272</v>
      </c>
      <c r="I21" s="70">
        <f t="shared" si="4"/>
        <v>0.19999999579801131</v>
      </c>
      <c r="J21" s="70">
        <f t="shared" si="4"/>
        <v>1</v>
      </c>
      <c r="K21" s="70">
        <f t="shared" si="4"/>
        <v>0.85106383693212095</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f>G15</f>
        <v>0.3</v>
      </c>
      <c r="G27" t="s">
        <v>231</v>
      </c>
      <c r="K27" s="121">
        <v>6.5000000000000002E-2</v>
      </c>
    </row>
    <row r="28" spans="2:11" x14ac:dyDescent="0.3">
      <c r="B28" s="67" t="s">
        <v>229</v>
      </c>
      <c r="C28" s="64"/>
      <c r="D28" s="64"/>
      <c r="E28" s="66">
        <f>E26*(1-E27)</f>
        <v>5.6349999999999997E-2</v>
      </c>
      <c r="G28" t="s">
        <v>224</v>
      </c>
      <c r="K28" s="47">
        <f>K36</f>
        <v>1.0123008136834928</v>
      </c>
    </row>
    <row r="29" spans="2:11" x14ac:dyDescent="0.3">
      <c r="G29" s="67" t="s">
        <v>227</v>
      </c>
      <c r="H29" s="64"/>
      <c r="I29" s="64"/>
      <c r="J29" s="64"/>
      <c r="K29" s="66">
        <f>K26+K27*K28</f>
        <v>0.13579955288942702</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0.85106383693212095</v>
      </c>
    </row>
    <row r="34" spans="2:11" x14ac:dyDescent="0.3">
      <c r="B34" t="s">
        <v>220</v>
      </c>
      <c r="C34" s="106">
        <f>E15</f>
        <v>136936</v>
      </c>
      <c r="D34" s="36">
        <f>C34/C$36</f>
        <v>0.26499929365001035</v>
      </c>
      <c r="E34" s="46">
        <f>I20</f>
        <v>0.21299984493250568</v>
      </c>
      <c r="G34" t="s">
        <v>234</v>
      </c>
      <c r="K34" s="46">
        <f>E38</f>
        <v>0.27064778013193463</v>
      </c>
    </row>
    <row r="35" spans="2:11" x14ac:dyDescent="0.3">
      <c r="B35" t="s">
        <v>79</v>
      </c>
      <c r="C35" s="106">
        <f>F15</f>
        <v>379805</v>
      </c>
      <c r="D35" s="36">
        <f t="shared" ref="D35:D36" si="5">C35/C$36</f>
        <v>0.7350007063499896</v>
      </c>
      <c r="E35" s="46">
        <f>E36-E34</f>
        <v>0.78700015506749432</v>
      </c>
      <c r="G35" t="s">
        <v>111</v>
      </c>
      <c r="K35" s="46">
        <f>E27</f>
        <v>0.3</v>
      </c>
    </row>
    <row r="36" spans="2:11" x14ac:dyDescent="0.3">
      <c r="B36" t="s">
        <v>237</v>
      </c>
      <c r="C36" s="125">
        <f>SUM(C34:C35)</f>
        <v>516741</v>
      </c>
      <c r="D36" s="63">
        <f t="shared" si="5"/>
        <v>1</v>
      </c>
      <c r="E36" s="62">
        <f>D36</f>
        <v>1</v>
      </c>
      <c r="G36" s="67" t="s">
        <v>224</v>
      </c>
      <c r="H36" s="64"/>
      <c r="I36" s="64"/>
      <c r="J36" s="64"/>
      <c r="K36" s="126">
        <f>K33*(1+(1-K35)*K34)</f>
        <v>1.0123008136834928</v>
      </c>
    </row>
    <row r="38" spans="2:11" x14ac:dyDescent="0.3">
      <c r="B38" t="s">
        <v>222</v>
      </c>
      <c r="D38" s="65">
        <f>D34/D35</f>
        <v>0.36054291017759116</v>
      </c>
      <c r="E38" s="65">
        <f>E34/E35</f>
        <v>0.27064778013193463</v>
      </c>
      <c r="G38" s="37" t="s">
        <v>238</v>
      </c>
    </row>
    <row r="39" spans="2:11" x14ac:dyDescent="0.3">
      <c r="G39" s="60"/>
      <c r="H39" s="60"/>
      <c r="I39" s="60"/>
      <c r="J39" s="60"/>
      <c r="K39" s="60"/>
    </row>
    <row r="40" spans="2:11" x14ac:dyDescent="0.3">
      <c r="G40" s="18" t="s">
        <v>240</v>
      </c>
      <c r="K40" s="46">
        <f>K29</f>
        <v>0.13579955288942702</v>
      </c>
    </row>
    <row r="41" spans="2:11" x14ac:dyDescent="0.3">
      <c r="G41" s="18" t="s">
        <v>239</v>
      </c>
      <c r="K41" s="46">
        <f>E35</f>
        <v>0.78700015506749432</v>
      </c>
    </row>
    <row r="43" spans="2:11" x14ac:dyDescent="0.3">
      <c r="G43" t="s">
        <v>226</v>
      </c>
      <c r="K43" s="46">
        <f>E28</f>
        <v>5.6349999999999997E-2</v>
      </c>
    </row>
    <row r="44" spans="2:11" x14ac:dyDescent="0.3">
      <c r="G44" t="s">
        <v>241</v>
      </c>
      <c r="K44" s="46">
        <f>E34</f>
        <v>0.21299984493250568</v>
      </c>
    </row>
    <row r="45" spans="2:11" ht="3.6" customHeight="1" x14ac:dyDescent="0.3"/>
    <row r="46" spans="2:11" x14ac:dyDescent="0.3">
      <c r="G46" s="67" t="s">
        <v>238</v>
      </c>
      <c r="H46" s="64"/>
      <c r="I46" s="64"/>
      <c r="J46" s="64"/>
      <c r="K46" s="66">
        <f>(K40*K41)+(K43*K44)</f>
        <v>0.11887681044402215</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11596</v>
      </c>
      <c r="I9" s="130">
        <f>'Raw FS'!K39</f>
        <v>16855</v>
      </c>
      <c r="J9" s="130">
        <f>'Raw FS'!L39</f>
        <v>18590</v>
      </c>
      <c r="K9" s="130">
        <f>'Raw FS'!M39</f>
        <v>20331</v>
      </c>
      <c r="L9" s="130">
        <f>'Raw FS'!N39</f>
        <v>22044</v>
      </c>
    </row>
    <row r="10" spans="1:12" x14ac:dyDescent="0.3">
      <c r="B10" s="72" t="s">
        <v>273</v>
      </c>
      <c r="C10" s="72"/>
      <c r="D10" s="72"/>
      <c r="E10" s="72"/>
      <c r="F10" s="72"/>
      <c r="G10" s="72"/>
      <c r="H10" s="130">
        <f>'Raw FS'!J40</f>
        <v>6374</v>
      </c>
      <c r="I10" s="130">
        <f>'Raw FS'!K40</f>
        <v>7028</v>
      </c>
      <c r="J10" s="130">
        <f>'Raw FS'!L40</f>
        <v>7459</v>
      </c>
      <c r="K10" s="130">
        <f>'Raw FS'!M40</f>
        <v>8280</v>
      </c>
      <c r="L10" s="130">
        <f>'Raw FS'!N40</f>
        <v>9064</v>
      </c>
    </row>
    <row r="11" spans="1:12" x14ac:dyDescent="0.3">
      <c r="B11" s="72" t="str">
        <f>'Raw FS'!B42</f>
        <v>Loans n Advances</v>
      </c>
      <c r="C11" s="72"/>
      <c r="D11" s="72"/>
      <c r="E11" s="72"/>
      <c r="F11" s="72"/>
      <c r="G11" s="72"/>
      <c r="H11" s="130">
        <f>'Raw FS'!J42</f>
        <v>29242</v>
      </c>
      <c r="I11" s="130">
        <f>'Raw FS'!K42</f>
        <v>34685</v>
      </c>
      <c r="J11" s="130">
        <f>'Raw FS'!L42</f>
        <v>39060</v>
      </c>
      <c r="K11" s="130">
        <f>'Raw FS'!M42</f>
        <v>44645</v>
      </c>
      <c r="L11" s="130">
        <f>'Raw FS'!N42</f>
        <v>51137</v>
      </c>
    </row>
    <row r="12" spans="1:12" ht="15" thickBot="1" x14ac:dyDescent="0.35">
      <c r="B12" t="str">
        <f>'Raw FS'!B43</f>
        <v>Other asset items</v>
      </c>
      <c r="H12" s="106">
        <f>'Raw FS'!J43</f>
        <v>51277</v>
      </c>
      <c r="I12" s="106">
        <f>'Raw FS'!K43</f>
        <v>68061</v>
      </c>
      <c r="J12" s="106">
        <f>'Raw FS'!L43</f>
        <v>86222</v>
      </c>
      <c r="K12" s="106">
        <f>'Raw FS'!M43</f>
        <v>97900</v>
      </c>
      <c r="L12" s="106">
        <f>'Raw FS'!N43</f>
        <v>115307</v>
      </c>
    </row>
    <row r="13" spans="1:12" x14ac:dyDescent="0.3">
      <c r="B13" s="137" t="s">
        <v>126</v>
      </c>
      <c r="C13" s="137"/>
      <c r="D13" s="137"/>
      <c r="E13" s="137"/>
      <c r="F13" s="137"/>
      <c r="G13" s="137"/>
      <c r="H13" s="138">
        <f>SUM(H9:H12)</f>
        <v>98489</v>
      </c>
      <c r="I13" s="138">
        <f t="shared" ref="I13:L13" si="0">SUM(I9:I12)</f>
        <v>126629</v>
      </c>
      <c r="J13" s="138">
        <f t="shared" si="0"/>
        <v>151331</v>
      </c>
      <c r="K13" s="138">
        <f t="shared" si="0"/>
        <v>171156</v>
      </c>
      <c r="L13" s="138">
        <f t="shared" si="0"/>
        <v>197552</v>
      </c>
    </row>
    <row r="15" spans="1:12" x14ac:dyDescent="0.3">
      <c r="B15" s="37" t="s">
        <v>274</v>
      </c>
    </row>
    <row r="16" spans="1:12" x14ac:dyDescent="0.3">
      <c r="B16" s="72" t="str">
        <f>'Raw FS'!B14</f>
        <v>Trade Payables</v>
      </c>
      <c r="C16" s="72"/>
      <c r="D16" s="72"/>
      <c r="E16" s="72"/>
      <c r="F16" s="72"/>
      <c r="G16" s="72"/>
      <c r="H16" s="130">
        <f>'Raw FS'!J14</f>
        <v>19037</v>
      </c>
      <c r="I16" s="130">
        <f>'Raw FS'!K14</f>
        <v>23836</v>
      </c>
      <c r="J16" s="130">
        <f>'Raw FS'!L14</f>
        <v>25666</v>
      </c>
      <c r="K16" s="130">
        <f>'Raw FS'!M14</f>
        <v>30855</v>
      </c>
      <c r="L16" s="130">
        <f>'Raw FS'!N14</f>
        <v>37889</v>
      </c>
    </row>
    <row r="17" spans="1:12" x14ac:dyDescent="0.3">
      <c r="B17" s="72" t="str">
        <f>'Raw FS'!B15</f>
        <v>Advance from Customers</v>
      </c>
      <c r="C17" s="72"/>
      <c r="D17" s="72"/>
      <c r="E17" s="72"/>
      <c r="F17" s="72"/>
      <c r="G17" s="72"/>
      <c r="H17" s="130">
        <f>'Raw FS'!J15</f>
        <v>0</v>
      </c>
      <c r="I17" s="130">
        <f>'Raw FS'!K15</f>
        <v>0</v>
      </c>
      <c r="J17" s="130">
        <f>'Raw FS'!L15</f>
        <v>0</v>
      </c>
      <c r="K17" s="130">
        <f>'Raw FS'!M15</f>
        <v>0</v>
      </c>
      <c r="L17" s="130">
        <f>'Raw FS'!N15</f>
        <v>0</v>
      </c>
    </row>
    <row r="18" spans="1:12" ht="15" thickBot="1" x14ac:dyDescent="0.35">
      <c r="B18" t="str">
        <f>'Raw FS'!B16</f>
        <v>Other liability items</v>
      </c>
      <c r="H18" s="106">
        <f>'Raw FS'!J16</f>
        <v>18921</v>
      </c>
      <c r="I18" s="106">
        <f>'Raw FS'!K16</f>
        <v>20719</v>
      </c>
      <c r="J18" s="106">
        <f>'Raw FS'!L16</f>
        <v>22900</v>
      </c>
      <c r="K18" s="106">
        <f>'Raw FS'!M16</f>
        <v>27035</v>
      </c>
      <c r="L18" s="106">
        <f>'Raw FS'!N16</f>
        <v>31738</v>
      </c>
    </row>
    <row r="19" spans="1:12" ht="15" thickTop="1" x14ac:dyDescent="0.3">
      <c r="B19" s="139" t="s">
        <v>275</v>
      </c>
      <c r="C19" s="139"/>
      <c r="D19" s="139"/>
      <c r="E19" s="139"/>
      <c r="F19" s="139"/>
      <c r="G19" s="139"/>
      <c r="H19" s="140">
        <f>SUM(H16:H18)</f>
        <v>37958</v>
      </c>
      <c r="I19" s="140">
        <f t="shared" ref="I19:L19" si="1">SUM(I16:I18)</f>
        <v>44555</v>
      </c>
      <c r="J19" s="140">
        <f t="shared" si="1"/>
        <v>48566</v>
      </c>
      <c r="K19" s="140">
        <f t="shared" si="1"/>
        <v>57890</v>
      </c>
      <c r="L19" s="140">
        <f t="shared" si="1"/>
        <v>69627</v>
      </c>
    </row>
    <row r="20" spans="1:12" ht="15" thickBot="1" x14ac:dyDescent="0.35"/>
    <row r="21" spans="1:12" ht="15" thickBot="1" x14ac:dyDescent="0.35">
      <c r="A21" t="s">
        <v>121</v>
      </c>
      <c r="B21" s="141" t="s">
        <v>276</v>
      </c>
      <c r="C21" s="141"/>
      <c r="D21" s="141"/>
      <c r="E21" s="141"/>
      <c r="F21" s="141"/>
      <c r="G21" s="141"/>
      <c r="H21" s="142">
        <f>H13-H19</f>
        <v>60531</v>
      </c>
      <c r="I21" s="142">
        <f t="shared" ref="I21:L21" si="2">I13-I19</f>
        <v>82074</v>
      </c>
      <c r="J21" s="142">
        <f t="shared" si="2"/>
        <v>102765</v>
      </c>
      <c r="K21" s="142">
        <f t="shared" si="2"/>
        <v>113266</v>
      </c>
      <c r="L21" s="142">
        <f t="shared" si="2"/>
        <v>127925</v>
      </c>
    </row>
    <row r="23" spans="1:12" x14ac:dyDescent="0.3">
      <c r="B23" s="37" t="s">
        <v>278</v>
      </c>
    </row>
    <row r="24" spans="1:12" x14ac:dyDescent="0.3">
      <c r="B24" s="72" t="str">
        <f>'Raw FS'!B22</f>
        <v>Land</v>
      </c>
      <c r="C24" s="72"/>
      <c r="D24" s="72"/>
      <c r="E24" s="72"/>
      <c r="F24" s="72"/>
      <c r="G24" s="72"/>
      <c r="H24" s="130">
        <f>'Raw FS'!J22</f>
        <v>1931</v>
      </c>
      <c r="I24" s="130">
        <f>'Raw FS'!K22</f>
        <v>1977</v>
      </c>
      <c r="J24" s="130">
        <f>'Raw FS'!L22</f>
        <v>2098</v>
      </c>
      <c r="K24" s="130">
        <f>'Raw FS'!M22</f>
        <v>2115</v>
      </c>
      <c r="L24" s="130">
        <f>'Raw FS'!N22</f>
        <v>2166</v>
      </c>
    </row>
    <row r="25" spans="1:12" x14ac:dyDescent="0.3">
      <c r="B25" s="72" t="str">
        <f>'Raw FS'!B23</f>
        <v>Building</v>
      </c>
      <c r="C25" s="72"/>
      <c r="D25" s="72"/>
      <c r="E25" s="72"/>
      <c r="F25" s="72"/>
      <c r="G25" s="72"/>
      <c r="H25" s="130">
        <f>'Raw FS'!J23</f>
        <v>9728</v>
      </c>
      <c r="I25" s="130">
        <f>'Raw FS'!K23</f>
        <v>10862</v>
      </c>
      <c r="J25" s="130">
        <f>'Raw FS'!L23</f>
        <v>11496</v>
      </c>
      <c r="K25" s="130">
        <f>'Raw FS'!M23</f>
        <v>13100</v>
      </c>
      <c r="L25" s="130">
        <f>'Raw FS'!N23</f>
        <v>14886</v>
      </c>
    </row>
    <row r="26" spans="1:12" x14ac:dyDescent="0.3">
      <c r="B26" s="72" t="str">
        <f>'Raw FS'!B24</f>
        <v>Plant Machinery</v>
      </c>
      <c r="C26" s="72"/>
      <c r="D26" s="72"/>
      <c r="E26" s="72"/>
      <c r="F26" s="72"/>
      <c r="G26" s="72"/>
      <c r="H26" s="130">
        <f>'Raw FS'!J24</f>
        <v>26484</v>
      </c>
      <c r="I26" s="130">
        <f>'Raw FS'!K24</f>
        <v>24928</v>
      </c>
      <c r="J26" s="130">
        <f>'Raw FS'!L24</f>
        <v>27230</v>
      </c>
      <c r="K26" s="130">
        <f>'Raw FS'!M24</f>
        <v>32547</v>
      </c>
      <c r="L26" s="130">
        <f>'Raw FS'!N24</f>
        <v>37437</v>
      </c>
    </row>
    <row r="27" spans="1:12" x14ac:dyDescent="0.3">
      <c r="B27" s="72" t="str">
        <f>'Raw FS'!B25</f>
        <v>Equipments</v>
      </c>
      <c r="C27" s="72"/>
      <c r="D27" s="72"/>
      <c r="E27" s="72"/>
      <c r="F27" s="72"/>
      <c r="G27" s="72"/>
      <c r="H27" s="130">
        <f>'Raw FS'!J25</f>
        <v>445</v>
      </c>
      <c r="I27" s="130">
        <f>'Raw FS'!K25</f>
        <v>452</v>
      </c>
      <c r="J27" s="130">
        <f>'Raw FS'!L25</f>
        <v>481</v>
      </c>
      <c r="K27" s="130">
        <f>'Raw FS'!M25</f>
        <v>493</v>
      </c>
      <c r="L27" s="130">
        <f>'Raw FS'!N25</f>
        <v>542</v>
      </c>
    </row>
    <row r="28" spans="1:12" x14ac:dyDescent="0.3">
      <c r="B28" s="72" t="str">
        <f>'Raw FS'!B26</f>
        <v>Furniture n fittings</v>
      </c>
      <c r="C28" s="72"/>
      <c r="D28" s="72"/>
      <c r="E28" s="72"/>
      <c r="F28" s="72"/>
      <c r="G28" s="72"/>
      <c r="H28" s="130">
        <f>'Raw FS'!J26</f>
        <v>844</v>
      </c>
      <c r="I28" s="130">
        <f>'Raw FS'!K26</f>
        <v>925</v>
      </c>
      <c r="J28" s="130">
        <f>'Raw FS'!L26</f>
        <v>1011</v>
      </c>
      <c r="K28" s="130">
        <f>'Raw FS'!M26</f>
        <v>1118</v>
      </c>
      <c r="L28" s="130">
        <f>'Raw FS'!N26</f>
        <v>1245</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1080</v>
      </c>
      <c r="I30" s="130">
        <f>'Raw FS'!K28</f>
        <v>1238</v>
      </c>
      <c r="J30" s="130">
        <f>'Raw FS'!L28</f>
        <v>1356</v>
      </c>
      <c r="K30" s="130">
        <f>'Raw FS'!M28</f>
        <v>1593</v>
      </c>
      <c r="L30" s="130">
        <f>'Raw FS'!N28</f>
        <v>1686</v>
      </c>
    </row>
    <row r="31" spans="1:12" x14ac:dyDescent="0.3">
      <c r="B31" s="72" t="str">
        <f>'Raw FS'!B29</f>
        <v>Intangible Assets</v>
      </c>
      <c r="C31" s="72"/>
      <c r="D31" s="72"/>
      <c r="E31" s="72"/>
      <c r="F31" s="72"/>
      <c r="G31" s="72"/>
      <c r="H31" s="130">
        <f>'Raw FS'!J29</f>
        <v>7015</v>
      </c>
      <c r="I31" s="130">
        <f>'Raw FS'!K29</f>
        <v>10625</v>
      </c>
      <c r="J31" s="130">
        <f>'Raw FS'!L29</f>
        <v>11589</v>
      </c>
      <c r="K31" s="130">
        <f>'Raw FS'!M29</f>
        <v>13723</v>
      </c>
      <c r="L31" s="130">
        <f>'Raw FS'!N29</f>
        <v>16243</v>
      </c>
    </row>
    <row r="32" spans="1:12" x14ac:dyDescent="0.3">
      <c r="B32" s="72" t="str">
        <f>'Raw FS'!B30</f>
        <v>Other fixed assets</v>
      </c>
      <c r="C32" s="72"/>
      <c r="D32" s="72"/>
      <c r="E32" s="72"/>
      <c r="F32" s="72"/>
      <c r="G32" s="72"/>
      <c r="H32" s="130">
        <f>'Raw FS'!J30</f>
        <v>999</v>
      </c>
      <c r="I32" s="130">
        <f>'Raw FS'!K30</f>
        <v>1084</v>
      </c>
      <c r="J32" s="130">
        <f>'Raw FS'!L30</f>
        <v>1202</v>
      </c>
      <c r="K32" s="130">
        <f>'Raw FS'!M30</f>
        <v>1454</v>
      </c>
      <c r="L32" s="130">
        <f>'Raw FS'!N30</f>
        <v>1750</v>
      </c>
    </row>
    <row r="33" spans="2:12" x14ac:dyDescent="0.3">
      <c r="B33" s="122" t="str">
        <f>'Raw FS'!B31</f>
        <v>Gross Block</v>
      </c>
      <c r="C33" s="122"/>
      <c r="D33" s="122"/>
      <c r="E33" s="122"/>
      <c r="F33" s="122"/>
      <c r="G33" s="122"/>
      <c r="H33" s="136">
        <f>'Raw FS'!J31</f>
        <v>48526</v>
      </c>
      <c r="I33" s="136">
        <f>'Raw FS'!K31</f>
        <v>52090</v>
      </c>
      <c r="J33" s="136">
        <f>'Raw FS'!L31</f>
        <v>56462</v>
      </c>
      <c r="K33" s="136">
        <f>'Raw FS'!M31</f>
        <v>66143</v>
      </c>
      <c r="L33" s="136">
        <f>'Raw FS'!N31</f>
        <v>75955</v>
      </c>
    </row>
    <row r="34" spans="2:12" ht="15" thickBot="1" x14ac:dyDescent="0.35">
      <c r="B34" t="str">
        <f>'Raw FS'!B32</f>
        <v>Accumulated Depreciation</v>
      </c>
      <c r="H34" s="106">
        <f>'Raw FS'!J32</f>
        <v>22508</v>
      </c>
      <c r="I34" s="106">
        <f>'Raw FS'!K32</f>
        <v>24950</v>
      </c>
      <c r="J34" s="106">
        <f>'Raw FS'!L32</f>
        <v>28333</v>
      </c>
      <c r="K34" s="106">
        <f>'Raw FS'!M32</f>
        <v>31506</v>
      </c>
      <c r="L34" s="106">
        <f>'Raw FS'!N32</f>
        <v>37496</v>
      </c>
    </row>
    <row r="35" spans="2:12" ht="15" thickBot="1" x14ac:dyDescent="0.35">
      <c r="B35" s="141" t="s">
        <v>277</v>
      </c>
      <c r="C35" s="141"/>
      <c r="D35" s="141"/>
      <c r="E35" s="141"/>
      <c r="F35" s="141"/>
      <c r="G35" s="141"/>
      <c r="H35" s="142">
        <f>'Raw FS'!J33</f>
        <v>26018</v>
      </c>
      <c r="I35" s="142">
        <f>'Raw FS'!K33</f>
        <v>27140</v>
      </c>
      <c r="J35" s="142">
        <f>'Raw FS'!L33</f>
        <v>28129</v>
      </c>
      <c r="K35" s="142">
        <f>'Raw FS'!M33</f>
        <v>34636</v>
      </c>
      <c r="L35" s="142">
        <f>'Raw FS'!N33</f>
        <v>38459</v>
      </c>
    </row>
    <row r="37" spans="2:12" x14ac:dyDescent="0.3">
      <c r="B37" s="145" t="s">
        <v>279</v>
      </c>
      <c r="C37" s="145"/>
      <c r="D37" s="145"/>
      <c r="E37" s="145"/>
      <c r="F37" s="145"/>
      <c r="G37" s="145"/>
      <c r="H37" s="146">
        <f>H35+H21</f>
        <v>86549</v>
      </c>
      <c r="I37" s="146">
        <f t="shared" ref="I37:L37" si="3">I35+I21</f>
        <v>109214</v>
      </c>
      <c r="J37" s="146">
        <f t="shared" si="3"/>
        <v>130894</v>
      </c>
      <c r="K37" s="146">
        <f t="shared" si="3"/>
        <v>147902</v>
      </c>
      <c r="L37" s="146">
        <f t="shared" si="3"/>
        <v>166384</v>
      </c>
    </row>
    <row r="38" spans="2:12" x14ac:dyDescent="0.3">
      <c r="B38" s="145" t="s">
        <v>106</v>
      </c>
      <c r="C38" s="145"/>
      <c r="D38" s="145"/>
      <c r="E38" s="145"/>
      <c r="F38" s="145"/>
      <c r="G38" s="145"/>
      <c r="H38" s="146">
        <f>'Raw FS'!Z11+'Raw FS'!Z9</f>
        <v>14380</v>
      </c>
      <c r="I38" s="146">
        <f>'Raw FS'!AA11+'Raw FS'!AA9</f>
        <v>19890</v>
      </c>
      <c r="J38" s="146">
        <f>'Raw FS'!AB11+'Raw FS'!AB9</f>
        <v>23466</v>
      </c>
      <c r="K38" s="146">
        <f>'Raw FS'!AC11+'Raw FS'!AC9</f>
        <v>28163</v>
      </c>
      <c r="L38" s="146">
        <f>'Raw FS'!AD11+'Raw FS'!AD9</f>
        <v>34776</v>
      </c>
    </row>
    <row r="39" spans="2:12" ht="7.8" customHeight="1" thickBot="1" x14ac:dyDescent="0.35"/>
    <row r="40" spans="2:12" ht="15" thickBot="1" x14ac:dyDescent="0.35">
      <c r="B40" s="141" t="s">
        <v>287</v>
      </c>
      <c r="C40" s="141"/>
      <c r="D40" s="141"/>
      <c r="E40" s="141"/>
      <c r="F40" s="141"/>
      <c r="G40" s="141"/>
      <c r="H40" s="144">
        <f>H38/H37</f>
        <v>0.16614865567482004</v>
      </c>
      <c r="I40" s="144">
        <f t="shared" ref="I40:L40" si="4">I38/I37</f>
        <v>0.1821195084879228</v>
      </c>
      <c r="J40" s="144">
        <f t="shared" si="4"/>
        <v>0.17927483307103459</v>
      </c>
      <c r="K40" s="144">
        <f t="shared" si="4"/>
        <v>0.19041662722613623</v>
      </c>
      <c r="L40" s="144">
        <f t="shared" si="4"/>
        <v>0.20901048177709394</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5920</v>
      </c>
      <c r="I44" s="130">
        <f>-SUM('Raw FS'!AA27:AA28)</f>
        <v>6167</v>
      </c>
      <c r="J44" s="130">
        <f>-SUM('Raw FS'!AB27:AB28)</f>
        <v>9673</v>
      </c>
      <c r="K44" s="130">
        <f>-SUM('Raw FS'!AC27:AC28)</f>
        <v>9809</v>
      </c>
      <c r="L44" s="130">
        <f>-SUM('Raw FS'!AD27:AD28)</f>
        <v>9112</v>
      </c>
    </row>
    <row r="45" spans="2:12" x14ac:dyDescent="0.3">
      <c r="B45" s="72" t="s">
        <v>290</v>
      </c>
      <c r="C45" s="72"/>
      <c r="D45" s="72"/>
      <c r="E45" s="72"/>
      <c r="F45" s="72"/>
      <c r="G45" s="72"/>
      <c r="H45" s="132" t="s">
        <v>120</v>
      </c>
      <c r="I45" s="133">
        <f>I21-H21</f>
        <v>21543</v>
      </c>
      <c r="J45" s="133">
        <f t="shared" ref="J45:L45" si="5">J21-I21</f>
        <v>20691</v>
      </c>
      <c r="K45" s="133">
        <f t="shared" si="5"/>
        <v>10501</v>
      </c>
      <c r="L45" s="133">
        <f t="shared" si="5"/>
        <v>14659</v>
      </c>
    </row>
    <row r="47" spans="2:12" x14ac:dyDescent="0.3">
      <c r="B47" s="72" t="s">
        <v>106</v>
      </c>
      <c r="C47" s="72"/>
      <c r="D47" s="72"/>
      <c r="E47" s="72"/>
      <c r="F47" s="72"/>
      <c r="G47" s="72"/>
      <c r="H47" s="130">
        <f>H38</f>
        <v>14380</v>
      </c>
      <c r="I47" s="130">
        <f t="shared" ref="I47:L47" si="6">I38</f>
        <v>19890</v>
      </c>
      <c r="J47" s="130">
        <f t="shared" si="6"/>
        <v>23466</v>
      </c>
      <c r="K47" s="130">
        <f t="shared" si="6"/>
        <v>28163</v>
      </c>
      <c r="L47" s="130">
        <f t="shared" si="6"/>
        <v>34776</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10066</v>
      </c>
      <c r="I49" s="130">
        <f t="shared" ref="I49:L49" si="8">I47*(1-I48)</f>
        <v>13923</v>
      </c>
      <c r="J49" s="130">
        <f t="shared" si="8"/>
        <v>16426.2</v>
      </c>
      <c r="K49" s="130">
        <f t="shared" si="8"/>
        <v>19714.099999999999</v>
      </c>
      <c r="L49" s="130">
        <f t="shared" si="8"/>
        <v>24343.199999999997</v>
      </c>
    </row>
    <row r="51" spans="2:12" x14ac:dyDescent="0.3">
      <c r="B51" t="s">
        <v>292</v>
      </c>
      <c r="H51" s="45" t="s">
        <v>120</v>
      </c>
      <c r="I51" s="106">
        <f>SUM(I44:I45)</f>
        <v>27710</v>
      </c>
      <c r="J51" s="106">
        <f t="shared" ref="J51:L51" si="9">SUM(J44:J45)</f>
        <v>30364</v>
      </c>
      <c r="K51" s="106">
        <f t="shared" si="9"/>
        <v>20310</v>
      </c>
      <c r="L51" s="106">
        <f t="shared" si="9"/>
        <v>23771</v>
      </c>
    </row>
    <row r="52" spans="2:12" ht="15" thickBot="1" x14ac:dyDescent="0.35">
      <c r="B52" s="127" t="s">
        <v>293</v>
      </c>
      <c r="C52" s="127"/>
      <c r="D52" s="127"/>
      <c r="E52" s="127"/>
      <c r="F52" s="127"/>
      <c r="G52" s="127"/>
      <c r="H52" s="147" t="s">
        <v>120</v>
      </c>
      <c r="I52" s="143">
        <f>I51/I49</f>
        <v>1.9902319902319903</v>
      </c>
      <c r="J52" s="143">
        <f t="shared" ref="J52:L52" si="10">J51/J49</f>
        <v>1.8485103067051416</v>
      </c>
      <c r="K52" s="143">
        <f t="shared" si="10"/>
        <v>1.030227096342212</v>
      </c>
      <c r="L52" s="143">
        <f t="shared" si="10"/>
        <v>0.97649446251930738</v>
      </c>
    </row>
    <row r="54" spans="2:12" x14ac:dyDescent="0.3">
      <c r="J54" s="37" t="s">
        <v>294</v>
      </c>
      <c r="K54" s="37"/>
      <c r="L54" s="114">
        <f>AVERAGE(I52:L52)</f>
        <v>1.4613659639496626</v>
      </c>
    </row>
    <row r="55" spans="2:12" x14ac:dyDescent="0.3">
      <c r="J55" s="37" t="s">
        <v>295</v>
      </c>
      <c r="K55" s="37"/>
      <c r="L55" s="114">
        <f>MEDIAN(I52:L52)</f>
        <v>1.4393687015236769</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0.16614865567482004</v>
      </c>
      <c r="I59" s="81">
        <f t="shared" ref="I59:L59" si="11">I40</f>
        <v>0.1821195084879228</v>
      </c>
      <c r="J59" s="81">
        <f t="shared" si="11"/>
        <v>0.17927483307103459</v>
      </c>
      <c r="K59" s="81">
        <f t="shared" si="11"/>
        <v>0.19041662722613623</v>
      </c>
      <c r="L59" s="81">
        <f t="shared" si="11"/>
        <v>0.20901048177709394</v>
      </c>
    </row>
    <row r="60" spans="2:12" x14ac:dyDescent="0.3">
      <c r="B60" s="72" t="s">
        <v>293</v>
      </c>
      <c r="C60" s="72"/>
      <c r="D60" s="72"/>
      <c r="E60" s="72"/>
      <c r="F60" s="72"/>
      <c r="G60" s="72"/>
      <c r="H60" s="82" t="s">
        <v>120</v>
      </c>
      <c r="I60" s="134">
        <f>I52</f>
        <v>1.9902319902319903</v>
      </c>
      <c r="J60" s="134">
        <f t="shared" ref="J60:L60" si="12">J52</f>
        <v>1.8485103067051416</v>
      </c>
      <c r="K60" s="134">
        <f t="shared" si="12"/>
        <v>1.030227096342212</v>
      </c>
      <c r="L60" s="134">
        <f t="shared" si="12"/>
        <v>0.97649446251930738</v>
      </c>
    </row>
    <row r="61" spans="2:12" ht="4.2" customHeight="1" x14ac:dyDescent="0.3"/>
    <row r="62" spans="2:12" ht="15" thickBot="1" x14ac:dyDescent="0.35">
      <c r="B62" s="74" t="s">
        <v>297</v>
      </c>
      <c r="C62" s="74"/>
      <c r="D62" s="74"/>
      <c r="E62" s="74"/>
      <c r="F62" s="74"/>
      <c r="G62" s="74"/>
      <c r="H62" s="74"/>
      <c r="I62" s="135">
        <f>I59*I60</f>
        <v>0.36246007183799045</v>
      </c>
      <c r="J62" s="135">
        <f t="shared" ref="J62:L62" si="13">J59*J60</f>
        <v>0.33139137666465124</v>
      </c>
      <c r="K62" s="135">
        <f t="shared" si="13"/>
        <v>0.19617236896245971</v>
      </c>
      <c r="L62" s="135">
        <f t="shared" si="13"/>
        <v>0.20409757806382484</v>
      </c>
    </row>
    <row r="64" spans="2:12" x14ac:dyDescent="0.3">
      <c r="J64" s="37" t="s">
        <v>294</v>
      </c>
      <c r="K64" s="37"/>
      <c r="L64" s="114">
        <f>AVERAGE(I62:L62)</f>
        <v>0.27353034888223154</v>
      </c>
    </row>
    <row r="65" spans="10:12" x14ac:dyDescent="0.3">
      <c r="J65" s="37" t="s">
        <v>295</v>
      </c>
      <c r="K65" s="37"/>
      <c r="L65" s="114">
        <f>MEDIAN(I62:L62)</f>
        <v>0.26774447736423801</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34776</v>
      </c>
      <c r="I8" s="130">
        <f>H8*(1+$D$18)</f>
        <v>36584.351999999999</v>
      </c>
      <c r="J8" s="130">
        <f>I8*(1+$D$18)</f>
        <v>38486.738303999999</v>
      </c>
      <c r="K8" s="130">
        <f>J8*(1+$D$18)</f>
        <v>40488.048695808</v>
      </c>
      <c r="L8" s="130">
        <f>K8*(1+$D$18)</f>
        <v>42593.427227990018</v>
      </c>
      <c r="M8" s="130">
        <f>L8*(1+$D$18)</f>
        <v>44808.285443845503</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24343.199999999997</v>
      </c>
      <c r="I10" s="130">
        <f t="shared" ref="I10:M10" si="2">I8*(1-I9)</f>
        <v>25609.046399999999</v>
      </c>
      <c r="J10" s="130">
        <f t="shared" si="2"/>
        <v>26940.716812799998</v>
      </c>
      <c r="K10" s="130">
        <f t="shared" si="2"/>
        <v>28341.634087065599</v>
      </c>
      <c r="L10" s="130">
        <f t="shared" si="2"/>
        <v>29815.399059593012</v>
      </c>
      <c r="M10" s="130">
        <f t="shared" si="2"/>
        <v>31365.799810691849</v>
      </c>
    </row>
    <row r="11" spans="1:13" x14ac:dyDescent="0.3">
      <c r="B11" s="72" t="s">
        <v>303</v>
      </c>
      <c r="C11" s="72"/>
      <c r="D11" s="72"/>
      <c r="E11" s="72"/>
      <c r="F11" s="72"/>
      <c r="G11" s="72"/>
      <c r="H11" s="81">
        <f>'Intrinsic Valuation'!$L$55</f>
        <v>1.4393687015236769</v>
      </c>
      <c r="I11" s="81">
        <f>MIN(0.85, MAX(0.15, 'Intrinsic Valuation'!$L$55))</f>
        <v>0.85</v>
      </c>
      <c r="J11" s="81">
        <f>$I$11+($M$11-$I$11)/4*1</f>
        <v>0.72162069572398979</v>
      </c>
      <c r="K11" s="81">
        <f>$I$11+($M$11-$I$11)/4*2</f>
        <v>0.5932413914479796</v>
      </c>
      <c r="L11" s="81">
        <f>$I$11+($M$11-$I$11)/4*3</f>
        <v>0.46486208717196942</v>
      </c>
      <c r="M11" s="81">
        <f>D21</f>
        <v>0.33648278289595918</v>
      </c>
    </row>
    <row r="12" spans="1:13" x14ac:dyDescent="0.3">
      <c r="B12" s="72" t="s">
        <v>304</v>
      </c>
      <c r="C12" s="72"/>
      <c r="D12" s="72"/>
      <c r="E12" s="72"/>
      <c r="F12" s="72"/>
      <c r="G12" s="72"/>
      <c r="H12" s="130">
        <f>H10*(1-H11)</f>
        <v>-10695.64017493117</v>
      </c>
      <c r="I12" s="130">
        <f>I10*(1-MIN(0.85, I11))</f>
        <v>3841.3569600000005</v>
      </c>
      <c r="J12" s="130">
        <f>J10*(1-MIN(0.85, J11))</f>
        <v>7499.7380030442746</v>
      </c>
      <c r="K12" s="130">
        <f>K10*(1-MIN(0.85, K11))</f>
        <v>11528.203645345313</v>
      </c>
      <c r="L12" s="130">
        <f>L10*(1-MIN(0.85, L11))</f>
        <v>15955.350422885431</v>
      </c>
      <c r="M12" s="130">
        <f>M10*(1-MIN(0.85, M11))</f>
        <v>20811.748202632709</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0.94538534024263443</v>
      </c>
      <c r="J14" s="72">
        <f t="shared" ref="J14:M14" si="4">1/(1+$D$20)^J13</f>
        <v>0.84494140142868979</v>
      </c>
      <c r="K14" s="72">
        <f t="shared" si="4"/>
        <v>0.75516928543132278</v>
      </c>
      <c r="L14" s="72">
        <f t="shared" si="4"/>
        <v>0.6749351478038379</v>
      </c>
      <c r="M14" s="72">
        <f t="shared" si="4"/>
        <v>0.60322561116982343</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3631.5625566230124</v>
      </c>
      <c r="J16" s="131">
        <f t="shared" ref="J16:M16" si="5">J12*J14</f>
        <v>6336.8391386402327</v>
      </c>
      <c r="K16" s="131">
        <f t="shared" si="5"/>
        <v>8705.7453091621901</v>
      </c>
      <c r="L16" s="131">
        <f t="shared" si="5"/>
        <v>10768.826795932206</v>
      </c>
      <c r="M16" s="131">
        <f t="shared" si="5"/>
        <v>12554.17952904559</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0.11887681044402215</v>
      </c>
    </row>
    <row r="21" spans="2:4" x14ac:dyDescent="0.3">
      <c r="B21" s="79" t="s">
        <v>307</v>
      </c>
      <c r="C21" s="79"/>
      <c r="D21" s="80">
        <f>D19/D20</f>
        <v>0.33648278289595918</v>
      </c>
    </row>
    <row r="23" spans="2:4" x14ac:dyDescent="0.3">
      <c r="B23" s="32" t="s">
        <v>308</v>
      </c>
      <c r="C23" s="32"/>
      <c r="D23" s="32"/>
    </row>
    <row r="25" spans="2:4" x14ac:dyDescent="0.3">
      <c r="B25" t="s">
        <v>309</v>
      </c>
      <c r="D25" s="106">
        <f>M12*(1+D19)</f>
        <v>21644.21813073802</v>
      </c>
    </row>
    <row r="26" spans="2:4" x14ac:dyDescent="0.3">
      <c r="B26" t="s">
        <v>238</v>
      </c>
      <c r="D26" s="46">
        <f>D20</f>
        <v>0.11887681044402215</v>
      </c>
    </row>
    <row r="27" spans="2:4" x14ac:dyDescent="0.3">
      <c r="B27" t="s">
        <v>306</v>
      </c>
      <c r="D27" s="46">
        <f>D19</f>
        <v>0.04</v>
      </c>
    </row>
    <row r="28" spans="2:4" x14ac:dyDescent="0.3">
      <c r="D28" s="46"/>
    </row>
    <row r="29" spans="2:4" ht="15" thickBot="1" x14ac:dyDescent="0.35">
      <c r="B29" s="127" t="s">
        <v>310</v>
      </c>
      <c r="C29" s="127"/>
      <c r="D29" s="128">
        <f>D25/(D26-D27)</f>
        <v>274405.34180953784</v>
      </c>
    </row>
    <row r="31" spans="2:4" x14ac:dyDescent="0.3">
      <c r="B31" s="32" t="s">
        <v>311</v>
      </c>
      <c r="C31" s="32"/>
      <c r="D31" s="32"/>
    </row>
    <row r="33" spans="2:4" x14ac:dyDescent="0.3">
      <c r="B33" t="s">
        <v>302</v>
      </c>
      <c r="D33" s="106">
        <f>SUM(I16:M16)</f>
        <v>41997.153329403234</v>
      </c>
    </row>
    <row r="34" spans="2:4" x14ac:dyDescent="0.3">
      <c r="B34" t="s">
        <v>310</v>
      </c>
      <c r="D34" s="106">
        <f>D29*M14</f>
        <v>165528.33002132276</v>
      </c>
    </row>
    <row r="35" spans="2:4" x14ac:dyDescent="0.3">
      <c r="B35" s="37" t="s">
        <v>314</v>
      </c>
      <c r="C35" s="37"/>
      <c r="D35" s="129">
        <f>SUM(D33:D34)</f>
        <v>207525.48335072599</v>
      </c>
    </row>
    <row r="37" spans="2:4" x14ac:dyDescent="0.3">
      <c r="B37" t="s">
        <v>312</v>
      </c>
      <c r="D37" s="106">
        <f>'Data Sheet'!K69</f>
        <v>31979</v>
      </c>
    </row>
    <row r="38" spans="2:4" x14ac:dyDescent="0.3">
      <c r="B38" t="s">
        <v>313</v>
      </c>
      <c r="D38" s="106">
        <f>'Data Sheet'!K59</f>
        <v>136936</v>
      </c>
    </row>
    <row r="39" spans="2:4" x14ac:dyDescent="0.3">
      <c r="B39" s="37" t="s">
        <v>315</v>
      </c>
      <c r="C39" s="37"/>
      <c r="D39" s="129">
        <f>D35+D37-D38</f>
        <v>102568.48335072599</v>
      </c>
    </row>
    <row r="40" spans="2:4" x14ac:dyDescent="0.3">
      <c r="B40" t="s">
        <v>316</v>
      </c>
      <c r="D40">
        <f>'Data Sheet'!K70/10000000</f>
        <v>111.8</v>
      </c>
    </row>
    <row r="42" spans="2:4" ht="15" thickBot="1" x14ac:dyDescent="0.35">
      <c r="B42" s="127" t="s">
        <v>317</v>
      </c>
      <c r="C42" s="127"/>
      <c r="D42" s="128">
        <f>D39/D40</f>
        <v>917.42829472921278</v>
      </c>
    </row>
    <row r="44" spans="2:4" x14ac:dyDescent="0.3">
      <c r="B44" t="s">
        <v>318</v>
      </c>
      <c r="D44" s="106">
        <f>'Data Sheet'!B8</f>
        <v>3055</v>
      </c>
    </row>
    <row r="45" spans="2:4" x14ac:dyDescent="0.3">
      <c r="B45" t="s">
        <v>319</v>
      </c>
      <c r="D45" s="83">
        <f>D44/D42</f>
        <v>3.3299605184966645</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46286</v>
      </c>
      <c r="H6">
        <v>3055.3</v>
      </c>
      <c r="J6">
        <v>23414.3</v>
      </c>
    </row>
    <row r="7" spans="2:24" x14ac:dyDescent="0.3">
      <c r="B7">
        <v>2024</v>
      </c>
      <c r="C7" s="46">
        <v>8.7499999999999994E-2</v>
      </c>
      <c r="G7" s="34">
        <v>46283</v>
      </c>
      <c r="H7">
        <v>3052</v>
      </c>
      <c r="J7">
        <v>23346.400000000001</v>
      </c>
    </row>
    <row r="8" spans="2:24" x14ac:dyDescent="0.3">
      <c r="B8">
        <v>2023</v>
      </c>
      <c r="C8" s="46">
        <v>0.19420000000000001</v>
      </c>
      <c r="G8" s="34">
        <v>46282</v>
      </c>
      <c r="H8">
        <v>3076.5</v>
      </c>
      <c r="J8">
        <v>23270.6</v>
      </c>
    </row>
    <row r="9" spans="2:24" x14ac:dyDescent="0.3">
      <c r="B9">
        <v>2022</v>
      </c>
      <c r="C9" s="46">
        <v>4.3200000000000002E-2</v>
      </c>
      <c r="G9" s="34">
        <v>46281</v>
      </c>
      <c r="H9">
        <v>3070</v>
      </c>
      <c r="J9">
        <v>23217.599999999999</v>
      </c>
    </row>
    <row r="10" spans="2:24" x14ac:dyDescent="0.3">
      <c r="B10">
        <v>2021</v>
      </c>
      <c r="C10" s="46">
        <v>0.2412</v>
      </c>
      <c r="G10" s="34">
        <v>46280</v>
      </c>
      <c r="H10">
        <v>3029.5</v>
      </c>
      <c r="J10">
        <v>23118.6</v>
      </c>
    </row>
    <row r="11" spans="2:24" x14ac:dyDescent="0.3">
      <c r="B11">
        <v>2020</v>
      </c>
      <c r="C11" s="46">
        <v>0.14899999999999999</v>
      </c>
      <c r="G11" s="34">
        <v>46276</v>
      </c>
      <c r="H11">
        <v>3107</v>
      </c>
      <c r="J11">
        <v>23398.1</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46275</v>
      </c>
      <c r="H12">
        <v>3123.8</v>
      </c>
      <c r="J12">
        <v>23477.8</v>
      </c>
      <c r="N12">
        <v>1</v>
      </c>
      <c r="O12" t="s">
        <v>8611</v>
      </c>
      <c r="P12">
        <v>12153</v>
      </c>
      <c r="Q12">
        <v>31.33</v>
      </c>
      <c r="R12">
        <v>380772.09</v>
      </c>
      <c r="S12">
        <v>95193.02</v>
      </c>
      <c r="T12">
        <v>19038.599999999999</v>
      </c>
      <c r="U12">
        <v>456926.51</v>
      </c>
      <c r="V12">
        <v>66052</v>
      </c>
      <c r="W12">
        <v>30.61</v>
      </c>
      <c r="X12">
        <v>14971</v>
      </c>
    </row>
    <row r="13" spans="2:24" x14ac:dyDescent="0.3">
      <c r="B13">
        <v>2018</v>
      </c>
      <c r="C13" s="46">
        <v>3.15E-2</v>
      </c>
      <c r="G13" s="34">
        <v>46274</v>
      </c>
      <c r="H13">
        <v>3150</v>
      </c>
      <c r="J13">
        <v>23431.5</v>
      </c>
      <c r="N13">
        <v>2</v>
      </c>
      <c r="O13" t="s">
        <v>3974</v>
      </c>
      <c r="P13">
        <v>0</v>
      </c>
      <c r="Q13">
        <v>82.75</v>
      </c>
      <c r="R13">
        <v>379805</v>
      </c>
      <c r="S13">
        <v>136936</v>
      </c>
      <c r="T13">
        <v>8870.27</v>
      </c>
      <c r="U13">
        <v>212886.54</v>
      </c>
      <c r="V13">
        <v>76487.98</v>
      </c>
      <c r="W13">
        <v>12.44</v>
      </c>
      <c r="X13">
        <v>20183.53</v>
      </c>
    </row>
    <row r="14" spans="2:24" x14ac:dyDescent="0.3">
      <c r="B14">
        <v>2017</v>
      </c>
      <c r="C14" s="46">
        <v>0.28649999999999998</v>
      </c>
      <c r="G14" s="34">
        <v>46273</v>
      </c>
      <c r="H14">
        <v>3160</v>
      </c>
      <c r="J14">
        <v>23635.1</v>
      </c>
      <c r="N14">
        <v>3</v>
      </c>
      <c r="O14" t="s">
        <v>8612</v>
      </c>
      <c r="P14">
        <v>2144</v>
      </c>
      <c r="Q14">
        <v>368.29</v>
      </c>
      <c r="R14">
        <v>177405.45</v>
      </c>
      <c r="S14">
        <v>44351.360000000001</v>
      </c>
      <c r="T14">
        <v>5554.72</v>
      </c>
      <c r="U14">
        <v>133313.32</v>
      </c>
      <c r="V14">
        <v>4400.1899999999996</v>
      </c>
      <c r="W14">
        <v>20.53</v>
      </c>
      <c r="X14">
        <v>158.30000000000001</v>
      </c>
    </row>
    <row r="15" spans="2:24" x14ac:dyDescent="0.3">
      <c r="B15">
        <v>2016</v>
      </c>
      <c r="C15" s="46">
        <v>3.0099999999999998E-2</v>
      </c>
      <c r="G15" s="34">
        <v>46272</v>
      </c>
      <c r="H15">
        <v>3160</v>
      </c>
      <c r="J15">
        <v>23779.15</v>
      </c>
      <c r="N15">
        <v>4</v>
      </c>
      <c r="O15" t="s">
        <v>8613</v>
      </c>
      <c r="P15">
        <v>301.64999999999998</v>
      </c>
      <c r="Q15">
        <v>1.3</v>
      </c>
      <c r="R15">
        <v>111094.43</v>
      </c>
      <c r="S15">
        <v>27773.61</v>
      </c>
      <c r="T15">
        <v>1140.1099999999999</v>
      </c>
      <c r="U15">
        <v>27362.6</v>
      </c>
      <c r="V15">
        <v>2012.58</v>
      </c>
      <c r="W15">
        <v>12.74</v>
      </c>
      <c r="X15">
        <v>0.22</v>
      </c>
    </row>
    <row r="16" spans="2:24" x14ac:dyDescent="0.3">
      <c r="B16">
        <v>2015</v>
      </c>
      <c r="C16" s="46">
        <v>-4.0599999999999997E-2</v>
      </c>
      <c r="G16" s="34">
        <v>46269</v>
      </c>
      <c r="H16">
        <v>3170</v>
      </c>
      <c r="J16">
        <v>23897.7</v>
      </c>
      <c r="N16">
        <v>5</v>
      </c>
      <c r="O16" t="s">
        <v>8614</v>
      </c>
      <c r="P16">
        <v>17485</v>
      </c>
      <c r="Q16">
        <v>8.1999999999999993</v>
      </c>
      <c r="R16">
        <v>22802.17</v>
      </c>
      <c r="S16">
        <v>5700.54</v>
      </c>
      <c r="T16">
        <v>494.68</v>
      </c>
      <c r="U16">
        <v>11872.29</v>
      </c>
      <c r="V16">
        <v>238.77</v>
      </c>
      <c r="W16">
        <v>13.43</v>
      </c>
      <c r="X16">
        <v>8.51</v>
      </c>
    </row>
    <row r="17" spans="2:21" x14ac:dyDescent="0.3">
      <c r="B17">
        <v>2014</v>
      </c>
      <c r="C17" s="46">
        <v>0.31390000000000001</v>
      </c>
      <c r="G17" s="34">
        <v>46268</v>
      </c>
      <c r="H17">
        <v>3150</v>
      </c>
      <c r="J17">
        <v>23873.45</v>
      </c>
      <c r="N17">
        <v>6</v>
      </c>
      <c r="O17" t="s">
        <v>8616</v>
      </c>
      <c r="P17">
        <v>39.81</v>
      </c>
      <c r="Q17">
        <v>19.02</v>
      </c>
      <c r="R17">
        <v>757.23</v>
      </c>
      <c r="S17">
        <v>189.31</v>
      </c>
      <c r="T17">
        <v>37.86</v>
      </c>
      <c r="U17">
        <v>908.68</v>
      </c>
    </row>
    <row r="18" spans="2:21" x14ac:dyDescent="0.3">
      <c r="B18">
        <v>2013</v>
      </c>
      <c r="C18" s="46">
        <v>6.7599999999999993E-2</v>
      </c>
      <c r="G18" s="34">
        <v>46267</v>
      </c>
      <c r="H18">
        <v>3190</v>
      </c>
      <c r="J18">
        <v>23914.45</v>
      </c>
    </row>
    <row r="19" spans="2:21" x14ac:dyDescent="0.3">
      <c r="B19">
        <v>2012</v>
      </c>
      <c r="C19" s="46">
        <v>0.27700000000000002</v>
      </c>
      <c r="G19" s="34">
        <v>46266</v>
      </c>
      <c r="H19">
        <v>3259</v>
      </c>
      <c r="J19">
        <v>24055.8</v>
      </c>
    </row>
    <row r="20" spans="2:21" x14ac:dyDescent="0.3">
      <c r="B20">
        <v>2011</v>
      </c>
      <c r="C20" s="46">
        <v>-0.2462</v>
      </c>
      <c r="G20" s="34">
        <v>46265</v>
      </c>
      <c r="H20">
        <v>3282</v>
      </c>
      <c r="J20">
        <v>24080.400000000001</v>
      </c>
    </row>
    <row r="21" spans="2:21" x14ac:dyDescent="0.3">
      <c r="B21">
        <v>2010</v>
      </c>
      <c r="C21" s="46">
        <v>0.17949999999999999</v>
      </c>
      <c r="G21" s="34">
        <v>46262</v>
      </c>
      <c r="H21">
        <v>3334</v>
      </c>
      <c r="J21">
        <v>24175.65</v>
      </c>
    </row>
    <row r="22" spans="2:21" x14ac:dyDescent="0.3">
      <c r="B22">
        <v>2009</v>
      </c>
      <c r="C22" s="46">
        <v>0.75760000000000005</v>
      </c>
      <c r="G22" s="34">
        <v>46261</v>
      </c>
      <c r="H22">
        <v>3330</v>
      </c>
      <c r="J22">
        <v>24090.85</v>
      </c>
    </row>
    <row r="23" spans="2:21" x14ac:dyDescent="0.3">
      <c r="B23">
        <v>2008</v>
      </c>
      <c r="C23" s="46">
        <v>-0.51790000000000003</v>
      </c>
      <c r="G23" s="34">
        <v>46260</v>
      </c>
      <c r="H23">
        <v>3398.2</v>
      </c>
      <c r="J23">
        <v>24207.75</v>
      </c>
    </row>
    <row r="24" spans="2:21" x14ac:dyDescent="0.3">
      <c r="B24">
        <v>2007</v>
      </c>
      <c r="C24" s="46">
        <v>0.54769999999999996</v>
      </c>
      <c r="G24" s="34">
        <v>46259</v>
      </c>
      <c r="H24">
        <v>3443</v>
      </c>
      <c r="J24">
        <v>24334.55</v>
      </c>
      <c r="O24" t="s">
        <v>8611</v>
      </c>
      <c r="Q24" t="s">
        <v>214</v>
      </c>
      <c r="R24">
        <v>95193.02</v>
      </c>
      <c r="S24">
        <v>380772.09</v>
      </c>
      <c r="T24" s="46">
        <v>0.3</v>
      </c>
    </row>
    <row r="25" spans="2:21" x14ac:dyDescent="0.3">
      <c r="B25">
        <v>2006</v>
      </c>
      <c r="C25" s="46">
        <v>0.39829999999999999</v>
      </c>
      <c r="G25" s="34">
        <v>46258</v>
      </c>
      <c r="H25">
        <v>3414.1</v>
      </c>
      <c r="J25">
        <v>24219.05</v>
      </c>
      <c r="O25" t="s">
        <v>3974</v>
      </c>
      <c r="Q25" t="str">
        <f>Q24</f>
        <v>India</v>
      </c>
      <c r="R25">
        <v>136936</v>
      </c>
      <c r="S25">
        <v>379805</v>
      </c>
      <c r="T25" s="46">
        <f>T24</f>
        <v>0.3</v>
      </c>
    </row>
    <row r="26" spans="2:21" x14ac:dyDescent="0.3">
      <c r="B26">
        <v>2005</v>
      </c>
      <c r="C26" s="46">
        <v>0.3634</v>
      </c>
      <c r="G26" s="34">
        <v>46255</v>
      </c>
      <c r="H26">
        <v>3412.2</v>
      </c>
      <c r="J26">
        <v>24252</v>
      </c>
      <c r="O26" t="s">
        <v>8612</v>
      </c>
      <c r="Q26" t="str">
        <f>Q25</f>
        <v>India</v>
      </c>
      <c r="R26">
        <v>44351.360000000001</v>
      </c>
      <c r="S26">
        <v>177405.45</v>
      </c>
      <c r="T26" s="46">
        <f>T25</f>
        <v>0.3</v>
      </c>
    </row>
    <row r="27" spans="2:21" x14ac:dyDescent="0.3">
      <c r="B27">
        <v>2004</v>
      </c>
      <c r="C27" s="46">
        <v>0.10680000000000001</v>
      </c>
      <c r="G27" s="34">
        <v>46254</v>
      </c>
      <c r="H27">
        <v>3424.8</v>
      </c>
      <c r="J27">
        <v>24231.85</v>
      </c>
      <c r="O27" t="s">
        <v>8613</v>
      </c>
      <c r="Q27" t="str">
        <f>Q26</f>
        <v>India</v>
      </c>
      <c r="R27">
        <v>27773.61</v>
      </c>
      <c r="S27">
        <v>111094.43</v>
      </c>
      <c r="T27" s="46">
        <f>T26</f>
        <v>0.3</v>
      </c>
    </row>
    <row r="28" spans="2:21" x14ac:dyDescent="0.3">
      <c r="B28">
        <v>2003</v>
      </c>
      <c r="C28" s="46">
        <v>0.71899999999999997</v>
      </c>
      <c r="G28" s="34">
        <v>46253</v>
      </c>
      <c r="H28">
        <v>3415</v>
      </c>
      <c r="J28">
        <v>24078.3</v>
      </c>
      <c r="O28" t="s">
        <v>8614</v>
      </c>
      <c r="Q28" t="str">
        <f>Q27</f>
        <v>India</v>
      </c>
      <c r="R28">
        <v>5700.54</v>
      </c>
      <c r="S28">
        <v>22802.17</v>
      </c>
      <c r="T28" s="46">
        <f>T27</f>
        <v>0.3</v>
      </c>
    </row>
    <row r="29" spans="2:21" x14ac:dyDescent="0.3">
      <c r="B29">
        <v>2002</v>
      </c>
      <c r="C29" s="46">
        <v>3.2500000000000001E-2</v>
      </c>
      <c r="G29" s="34">
        <v>46252</v>
      </c>
      <c r="H29">
        <v>3421.5</v>
      </c>
      <c r="J29">
        <v>24154.9</v>
      </c>
    </row>
    <row r="30" spans="2:21" x14ac:dyDescent="0.3">
      <c r="G30" s="34">
        <v>46251</v>
      </c>
      <c r="H30">
        <v>3390.4</v>
      </c>
      <c r="J30">
        <v>24287.65</v>
      </c>
    </row>
    <row r="31" spans="2:21" x14ac:dyDescent="0.3">
      <c r="G31" s="34">
        <v>46248</v>
      </c>
      <c r="H31">
        <v>3428.3</v>
      </c>
      <c r="J31">
        <v>24366</v>
      </c>
    </row>
    <row r="32" spans="2:21" x14ac:dyDescent="0.3">
      <c r="G32" s="34">
        <v>46247</v>
      </c>
      <c r="H32">
        <v>3428.2</v>
      </c>
      <c r="J32">
        <v>24395.85</v>
      </c>
    </row>
    <row r="33" spans="7:10" x14ac:dyDescent="0.3">
      <c r="G33" s="34">
        <v>46246</v>
      </c>
      <c r="H33">
        <v>3403.6</v>
      </c>
      <c r="J33">
        <v>24435.95</v>
      </c>
    </row>
    <row r="34" spans="7:10" x14ac:dyDescent="0.3">
      <c r="G34" s="34">
        <v>46245</v>
      </c>
      <c r="H34">
        <v>3460.1</v>
      </c>
      <c r="J34">
        <v>24471.7</v>
      </c>
    </row>
    <row r="35" spans="7:10" x14ac:dyDescent="0.3">
      <c r="G35" s="34">
        <v>46244</v>
      </c>
      <c r="H35">
        <v>3517</v>
      </c>
      <c r="J35">
        <v>24583.8</v>
      </c>
    </row>
    <row r="36" spans="7:10" x14ac:dyDescent="0.3">
      <c r="G36" s="34">
        <v>46241</v>
      </c>
      <c r="H36">
        <v>3502</v>
      </c>
      <c r="J36">
        <v>24570.65</v>
      </c>
    </row>
    <row r="37" spans="7:10" x14ac:dyDescent="0.3">
      <c r="G37" s="34">
        <v>46240</v>
      </c>
      <c r="H37">
        <v>3406</v>
      </c>
      <c r="J37">
        <v>24636</v>
      </c>
    </row>
    <row r="38" spans="7:10" x14ac:dyDescent="0.3">
      <c r="G38" s="34">
        <v>46239</v>
      </c>
      <c r="H38">
        <v>3455.4</v>
      </c>
      <c r="J38">
        <v>24624.65</v>
      </c>
    </row>
    <row r="39" spans="7:10" x14ac:dyDescent="0.3">
      <c r="G39" s="34">
        <v>46238</v>
      </c>
      <c r="H39">
        <v>3433</v>
      </c>
      <c r="J39">
        <v>24614.9</v>
      </c>
    </row>
    <row r="40" spans="7:10" x14ac:dyDescent="0.3">
      <c r="G40" s="34">
        <v>46237</v>
      </c>
      <c r="H40">
        <v>3428.6</v>
      </c>
      <c r="J40">
        <v>24774.3</v>
      </c>
    </row>
    <row r="41" spans="7:10" x14ac:dyDescent="0.3">
      <c r="G41" s="34">
        <v>46234</v>
      </c>
      <c r="H41">
        <v>3398.5</v>
      </c>
      <c r="J41">
        <v>24383.599999999999</v>
      </c>
    </row>
    <row r="42" spans="7:10" x14ac:dyDescent="0.3">
      <c r="G42" s="34">
        <v>46233</v>
      </c>
      <c r="H42">
        <v>3283.7</v>
      </c>
      <c r="J42">
        <v>24317.15</v>
      </c>
    </row>
    <row r="43" spans="7:10" x14ac:dyDescent="0.3">
      <c r="G43" s="34">
        <v>46232</v>
      </c>
      <c r="H43">
        <v>3221.8</v>
      </c>
      <c r="J43">
        <v>24250.2</v>
      </c>
    </row>
    <row r="44" spans="7:10" x14ac:dyDescent="0.3">
      <c r="G44" s="34">
        <v>46231</v>
      </c>
      <c r="H44">
        <v>3271.2</v>
      </c>
      <c r="J44">
        <v>23985.35</v>
      </c>
    </row>
    <row r="45" spans="7:10" x14ac:dyDescent="0.3">
      <c r="G45" s="34">
        <v>46230</v>
      </c>
      <c r="H45">
        <v>3238.6</v>
      </c>
      <c r="J45">
        <v>23995.95</v>
      </c>
    </row>
    <row r="46" spans="7:10" x14ac:dyDescent="0.3">
      <c r="G46" s="34">
        <v>46227</v>
      </c>
      <c r="H46">
        <v>3161.4</v>
      </c>
      <c r="J46">
        <v>23767.45</v>
      </c>
    </row>
    <row r="47" spans="7:10" x14ac:dyDescent="0.3">
      <c r="G47" s="34">
        <v>46226</v>
      </c>
      <c r="H47">
        <v>3229.7</v>
      </c>
      <c r="J47">
        <v>23869.599999999999</v>
      </c>
    </row>
    <row r="48" spans="7:10" x14ac:dyDescent="0.3">
      <c r="G48" s="34">
        <v>46225</v>
      </c>
      <c r="H48">
        <v>3175.3</v>
      </c>
      <c r="J48">
        <v>23996.25</v>
      </c>
    </row>
    <row r="49" spans="7:10" x14ac:dyDescent="0.3">
      <c r="G49" s="34">
        <v>46224</v>
      </c>
      <c r="H49">
        <v>3201.7</v>
      </c>
      <c r="J49">
        <v>24187.7</v>
      </c>
    </row>
    <row r="50" spans="7:10" x14ac:dyDescent="0.3">
      <c r="G50" s="34">
        <v>46223</v>
      </c>
      <c r="H50">
        <v>3165.5</v>
      </c>
      <c r="J50">
        <v>24238.5</v>
      </c>
    </row>
    <row r="51" spans="7:10" x14ac:dyDescent="0.3">
      <c r="G51" s="34">
        <v>46220</v>
      </c>
      <c r="H51">
        <v>3179.2</v>
      </c>
      <c r="J51">
        <v>24334.3</v>
      </c>
    </row>
    <row r="52" spans="7:10" x14ac:dyDescent="0.3">
      <c r="G52" s="34">
        <v>46219</v>
      </c>
      <c r="H52">
        <v>3117.8</v>
      </c>
      <c r="J52">
        <v>24072.75</v>
      </c>
    </row>
    <row r="53" spans="7:10" x14ac:dyDescent="0.3">
      <c r="G53" s="34">
        <v>46218</v>
      </c>
      <c r="H53">
        <v>3082.9</v>
      </c>
      <c r="J53">
        <v>24078.5</v>
      </c>
    </row>
    <row r="54" spans="7:10" x14ac:dyDescent="0.3">
      <c r="G54" s="34">
        <v>46217</v>
      </c>
      <c r="H54">
        <v>3093.3</v>
      </c>
      <c r="J54">
        <v>24052.05</v>
      </c>
    </row>
    <row r="55" spans="7:10" x14ac:dyDescent="0.3">
      <c r="G55" s="34">
        <v>46216</v>
      </c>
      <c r="H55">
        <v>3160.4</v>
      </c>
      <c r="J55">
        <v>24211</v>
      </c>
    </row>
    <row r="56" spans="7:10" x14ac:dyDescent="0.3">
      <c r="G56" s="34">
        <v>46213</v>
      </c>
      <c r="H56">
        <v>3129.4</v>
      </c>
      <c r="J56">
        <v>24206.9</v>
      </c>
    </row>
    <row r="57" spans="7:10" x14ac:dyDescent="0.3">
      <c r="G57" s="34">
        <v>46212</v>
      </c>
      <c r="H57">
        <v>3085.4</v>
      </c>
      <c r="J57">
        <v>23962.799999999999</v>
      </c>
    </row>
    <row r="58" spans="7:10" x14ac:dyDescent="0.3">
      <c r="G58" s="34">
        <v>46211</v>
      </c>
      <c r="H58">
        <v>3102.5</v>
      </c>
      <c r="J58">
        <v>23882.05</v>
      </c>
    </row>
    <row r="59" spans="7:10" x14ac:dyDescent="0.3">
      <c r="G59" s="34">
        <v>46210</v>
      </c>
      <c r="H59">
        <v>3196.4</v>
      </c>
      <c r="J59">
        <v>24398.7</v>
      </c>
    </row>
    <row r="60" spans="7:10" x14ac:dyDescent="0.3">
      <c r="G60" s="34">
        <v>46209</v>
      </c>
      <c r="H60">
        <v>3201.2</v>
      </c>
      <c r="J60">
        <v>24430.35</v>
      </c>
    </row>
    <row r="61" spans="7:10" x14ac:dyDescent="0.3">
      <c r="G61" s="34">
        <v>46206</v>
      </c>
      <c r="H61">
        <v>3136.9</v>
      </c>
      <c r="J61">
        <v>24270.85</v>
      </c>
    </row>
    <row r="62" spans="7:10" x14ac:dyDescent="0.3">
      <c r="G62" s="34">
        <v>46205</v>
      </c>
      <c r="H62">
        <v>3175.4</v>
      </c>
      <c r="J62">
        <v>24175.7</v>
      </c>
    </row>
    <row r="63" spans="7:10" x14ac:dyDescent="0.3">
      <c r="G63" s="34">
        <v>46204</v>
      </c>
      <c r="H63">
        <v>3130</v>
      </c>
      <c r="J63">
        <v>24005.85</v>
      </c>
    </row>
    <row r="64" spans="7:10" x14ac:dyDescent="0.3">
      <c r="G64" s="34">
        <v>46203</v>
      </c>
      <c r="H64">
        <v>3068.8</v>
      </c>
      <c r="J64">
        <v>23865.75</v>
      </c>
    </row>
    <row r="65" spans="7:10" x14ac:dyDescent="0.3">
      <c r="G65" s="34">
        <v>46202</v>
      </c>
      <c r="H65">
        <v>3093</v>
      </c>
      <c r="J65">
        <v>23946.25</v>
      </c>
    </row>
    <row r="66" spans="7:10" x14ac:dyDescent="0.3">
      <c r="G66" s="34">
        <v>46198</v>
      </c>
      <c r="H66">
        <v>3182.2</v>
      </c>
      <c r="J66">
        <v>24056</v>
      </c>
    </row>
    <row r="67" spans="7:10" x14ac:dyDescent="0.3">
      <c r="G67" s="34">
        <v>46197</v>
      </c>
      <c r="H67">
        <v>3064.5</v>
      </c>
      <c r="J67">
        <v>24021.65</v>
      </c>
    </row>
    <row r="68" spans="7:10" x14ac:dyDescent="0.3">
      <c r="G68" s="34">
        <v>46196</v>
      </c>
      <c r="H68">
        <v>3037.3</v>
      </c>
      <c r="J68">
        <v>23824.1</v>
      </c>
    </row>
    <row r="69" spans="7:10" x14ac:dyDescent="0.3">
      <c r="G69" s="34">
        <v>46195</v>
      </c>
      <c r="H69">
        <v>3063.4</v>
      </c>
      <c r="J69">
        <v>24102.9</v>
      </c>
    </row>
    <row r="70" spans="7:10" x14ac:dyDescent="0.3">
      <c r="G70" s="34">
        <v>46192</v>
      </c>
      <c r="H70">
        <v>3074.8</v>
      </c>
      <c r="J70">
        <v>24013.1</v>
      </c>
    </row>
    <row r="71" spans="7:10" x14ac:dyDescent="0.3">
      <c r="G71" s="34">
        <v>46191</v>
      </c>
      <c r="H71">
        <v>3136.5</v>
      </c>
      <c r="J71">
        <v>24168</v>
      </c>
    </row>
    <row r="72" spans="7:10" x14ac:dyDescent="0.3">
      <c r="G72" s="34">
        <v>46190</v>
      </c>
      <c r="H72">
        <v>3132.9</v>
      </c>
      <c r="J72">
        <v>24085.7</v>
      </c>
    </row>
    <row r="73" spans="7:10" x14ac:dyDescent="0.3">
      <c r="G73" s="34">
        <v>46189</v>
      </c>
      <c r="H73">
        <v>3137.9</v>
      </c>
      <c r="J73">
        <v>23989.15</v>
      </c>
    </row>
    <row r="74" spans="7:10" x14ac:dyDescent="0.3">
      <c r="G74" s="34">
        <v>46188</v>
      </c>
      <c r="H74">
        <v>3134.3</v>
      </c>
      <c r="J74">
        <v>23853.9</v>
      </c>
    </row>
    <row r="75" spans="7:10" x14ac:dyDescent="0.3">
      <c r="G75" s="34">
        <v>46185</v>
      </c>
      <c r="H75">
        <v>3042.9</v>
      </c>
      <c r="J75">
        <v>23622.9</v>
      </c>
    </row>
    <row r="76" spans="7:10" x14ac:dyDescent="0.3">
      <c r="G76" s="34">
        <v>46184</v>
      </c>
      <c r="H76">
        <v>3000.9</v>
      </c>
      <c r="J76">
        <v>23161.599999999999</v>
      </c>
    </row>
    <row r="77" spans="7:10" x14ac:dyDescent="0.3">
      <c r="G77" s="34">
        <v>46183</v>
      </c>
      <c r="H77">
        <v>2952.5</v>
      </c>
      <c r="J77">
        <v>23214.95</v>
      </c>
    </row>
    <row r="78" spans="7:10" x14ac:dyDescent="0.3">
      <c r="G78" s="34">
        <v>46182</v>
      </c>
      <c r="H78">
        <v>2990.1</v>
      </c>
      <c r="J78">
        <v>23242.1</v>
      </c>
    </row>
    <row r="79" spans="7:10" x14ac:dyDescent="0.3">
      <c r="G79" s="34">
        <v>46181</v>
      </c>
      <c r="H79">
        <v>2966</v>
      </c>
      <c r="J79">
        <v>23123</v>
      </c>
    </row>
    <row r="80" spans="7:10" x14ac:dyDescent="0.3">
      <c r="G80" s="34">
        <v>46178</v>
      </c>
      <c r="H80">
        <v>3040.5</v>
      </c>
      <c r="J80">
        <v>23366.7</v>
      </c>
    </row>
    <row r="81" spans="7:10" x14ac:dyDescent="0.3">
      <c r="G81" s="34">
        <v>46177</v>
      </c>
      <c r="H81">
        <v>3016.1</v>
      </c>
      <c r="J81">
        <v>23416.55</v>
      </c>
    </row>
    <row r="82" spans="7:10" x14ac:dyDescent="0.3">
      <c r="G82" s="34">
        <v>46176</v>
      </c>
      <c r="H82">
        <v>3011.1</v>
      </c>
      <c r="J82">
        <v>23405.599999999999</v>
      </c>
    </row>
    <row r="83" spans="7:10" x14ac:dyDescent="0.3">
      <c r="G83" s="34">
        <v>46175</v>
      </c>
      <c r="H83">
        <v>2998.3</v>
      </c>
      <c r="J83">
        <v>23483.55</v>
      </c>
    </row>
    <row r="84" spans="7:10" x14ac:dyDescent="0.3">
      <c r="G84" s="34">
        <v>46174</v>
      </c>
      <c r="H84">
        <v>2970.2</v>
      </c>
      <c r="J84">
        <v>23382.6</v>
      </c>
    </row>
    <row r="85" spans="7:10" x14ac:dyDescent="0.3">
      <c r="G85" s="34">
        <v>46171</v>
      </c>
      <c r="H85">
        <v>3045.6</v>
      </c>
      <c r="J85">
        <v>23547.75</v>
      </c>
    </row>
    <row r="86" spans="7:10" x14ac:dyDescent="0.3">
      <c r="G86" s="34">
        <v>46169</v>
      </c>
      <c r="H86">
        <v>3121.6</v>
      </c>
      <c r="J86">
        <v>23907.15</v>
      </c>
    </row>
    <row r="87" spans="7:10" x14ac:dyDescent="0.3">
      <c r="G87" s="34">
        <v>46168</v>
      </c>
      <c r="H87">
        <v>3107.3</v>
      </c>
      <c r="J87">
        <v>23913.7</v>
      </c>
    </row>
    <row r="88" spans="7:10" x14ac:dyDescent="0.3">
      <c r="G88" s="34">
        <v>46167</v>
      </c>
      <c r="H88">
        <v>3139</v>
      </c>
      <c r="J88">
        <v>24031.7</v>
      </c>
    </row>
    <row r="89" spans="7:10" x14ac:dyDescent="0.3">
      <c r="G89" s="34">
        <v>46164</v>
      </c>
      <c r="H89">
        <v>3081.3</v>
      </c>
      <c r="J89">
        <v>23719.3</v>
      </c>
    </row>
    <row r="90" spans="7:10" x14ac:dyDescent="0.3">
      <c r="G90" s="34">
        <v>46163</v>
      </c>
      <c r="H90">
        <v>3099</v>
      </c>
      <c r="J90">
        <v>23654.7</v>
      </c>
    </row>
    <row r="91" spans="7:10" x14ac:dyDescent="0.3">
      <c r="G91" s="34">
        <v>46162</v>
      </c>
      <c r="H91">
        <v>3122.2</v>
      </c>
      <c r="J91">
        <v>23659</v>
      </c>
    </row>
    <row r="92" spans="7:10" x14ac:dyDescent="0.3">
      <c r="G92" s="34">
        <v>46161</v>
      </c>
      <c r="H92">
        <v>3092.3</v>
      </c>
      <c r="J92">
        <v>23618</v>
      </c>
    </row>
    <row r="93" spans="7:10" x14ac:dyDescent="0.3">
      <c r="G93" s="34">
        <v>46160</v>
      </c>
      <c r="H93">
        <v>3083.7</v>
      </c>
      <c r="J93">
        <v>23649.95</v>
      </c>
    </row>
    <row r="94" spans="7:10" x14ac:dyDescent="0.3">
      <c r="G94" s="34">
        <v>46157</v>
      </c>
      <c r="H94">
        <v>3123.1</v>
      </c>
      <c r="J94">
        <v>23643.5</v>
      </c>
    </row>
    <row r="95" spans="7:10" x14ac:dyDescent="0.3">
      <c r="G95" s="34">
        <v>46156</v>
      </c>
      <c r="H95">
        <v>3173.9</v>
      </c>
      <c r="J95">
        <v>23689.599999999999</v>
      </c>
    </row>
    <row r="96" spans="7:10" x14ac:dyDescent="0.3">
      <c r="G96" s="34">
        <v>46155</v>
      </c>
      <c r="H96">
        <v>3111.8</v>
      </c>
      <c r="J96">
        <v>23412.6</v>
      </c>
    </row>
    <row r="97" spans="7:10" x14ac:dyDescent="0.3">
      <c r="G97" s="34">
        <v>46154</v>
      </c>
      <c r="H97">
        <v>3176</v>
      </c>
      <c r="J97">
        <v>23379.55</v>
      </c>
    </row>
    <row r="98" spans="7:10" x14ac:dyDescent="0.3">
      <c r="G98" s="34">
        <v>46153</v>
      </c>
      <c r="H98">
        <v>3245.9</v>
      </c>
      <c r="J98">
        <v>23815.85</v>
      </c>
    </row>
    <row r="99" spans="7:10" x14ac:dyDescent="0.3">
      <c r="G99" s="34">
        <v>46150</v>
      </c>
      <c r="H99">
        <v>3330.4</v>
      </c>
      <c r="J99">
        <v>24176.15</v>
      </c>
    </row>
    <row r="100" spans="7:10" x14ac:dyDescent="0.3">
      <c r="G100" s="34">
        <v>46149</v>
      </c>
      <c r="H100">
        <v>3370.7</v>
      </c>
      <c r="J100">
        <v>24326.65</v>
      </c>
    </row>
    <row r="101" spans="7:10" x14ac:dyDescent="0.3">
      <c r="G101" s="34">
        <v>46148</v>
      </c>
      <c r="H101">
        <v>3300.8</v>
      </c>
      <c r="J101">
        <v>24330.95</v>
      </c>
    </row>
    <row r="102" spans="7:10" x14ac:dyDescent="0.3">
      <c r="G102" s="34">
        <v>46147</v>
      </c>
      <c r="H102">
        <v>3210.8</v>
      </c>
      <c r="J102">
        <v>24032.799999999999</v>
      </c>
    </row>
    <row r="103" spans="7:10" x14ac:dyDescent="0.3">
      <c r="G103" s="34">
        <v>46146</v>
      </c>
      <c r="H103">
        <v>3106.5</v>
      </c>
      <c r="J103">
        <v>24119.3</v>
      </c>
    </row>
    <row r="104" spans="7:10" x14ac:dyDescent="0.3">
      <c r="G104" s="34">
        <v>46142</v>
      </c>
      <c r="H104">
        <v>3097.5</v>
      </c>
      <c r="J104">
        <v>23997.55</v>
      </c>
    </row>
    <row r="105" spans="7:10" x14ac:dyDescent="0.3">
      <c r="G105" s="34">
        <v>46141</v>
      </c>
      <c r="H105">
        <v>3152.3</v>
      </c>
      <c r="J105">
        <v>24177.65</v>
      </c>
    </row>
    <row r="106" spans="7:10" x14ac:dyDescent="0.3">
      <c r="G106" s="34">
        <v>46140</v>
      </c>
      <c r="H106">
        <v>3088.1</v>
      </c>
      <c r="J106">
        <v>23995.7</v>
      </c>
    </row>
    <row r="107" spans="7:10" x14ac:dyDescent="0.3">
      <c r="G107" s="34">
        <v>46139</v>
      </c>
      <c r="H107">
        <v>3102.4</v>
      </c>
      <c r="J107">
        <v>24092.7</v>
      </c>
    </row>
    <row r="108" spans="7:10" x14ac:dyDescent="0.3">
      <c r="G108" s="34">
        <v>46136</v>
      </c>
      <c r="H108">
        <v>3038.4</v>
      </c>
      <c r="J108">
        <v>23897.95</v>
      </c>
    </row>
    <row r="109" spans="7:10" x14ac:dyDescent="0.3">
      <c r="G109" s="34">
        <v>46135</v>
      </c>
      <c r="H109">
        <v>3047.7</v>
      </c>
      <c r="J109">
        <v>24173.05</v>
      </c>
    </row>
    <row r="110" spans="7:10" x14ac:dyDescent="0.3">
      <c r="G110" s="34">
        <v>46134</v>
      </c>
      <c r="H110">
        <v>3149.7</v>
      </c>
      <c r="J110">
        <v>24378.1</v>
      </c>
    </row>
    <row r="111" spans="7:10" x14ac:dyDescent="0.3">
      <c r="G111" s="34">
        <v>46133</v>
      </c>
      <c r="H111">
        <v>3247.3</v>
      </c>
      <c r="J111">
        <v>24576.6</v>
      </c>
    </row>
    <row r="112" spans="7:10" x14ac:dyDescent="0.3">
      <c r="G112" s="34">
        <v>46132</v>
      </c>
      <c r="H112">
        <v>3221.6</v>
      </c>
      <c r="J112">
        <v>24364.85</v>
      </c>
    </row>
    <row r="113" spans="7:10" x14ac:dyDescent="0.3">
      <c r="G113" s="34">
        <v>46129</v>
      </c>
      <c r="H113">
        <v>3200.2</v>
      </c>
      <c r="J113">
        <v>24353.55</v>
      </c>
    </row>
    <row r="114" spans="7:10" x14ac:dyDescent="0.3">
      <c r="G114" s="34">
        <v>46128</v>
      </c>
      <c r="H114">
        <v>3222.3</v>
      </c>
      <c r="J114">
        <v>24196.75</v>
      </c>
    </row>
    <row r="115" spans="7:10" x14ac:dyDescent="0.3">
      <c r="G115" s="34">
        <v>46127</v>
      </c>
      <c r="H115">
        <v>3256.5</v>
      </c>
      <c r="J115">
        <v>24231.3</v>
      </c>
    </row>
    <row r="116" spans="7:10" x14ac:dyDescent="0.3">
      <c r="G116" s="34">
        <v>46125</v>
      </c>
      <c r="H116">
        <v>3220.2</v>
      </c>
      <c r="J116">
        <v>23842.65</v>
      </c>
    </row>
    <row r="117" spans="7:10" x14ac:dyDescent="0.3">
      <c r="G117" s="34">
        <v>46122</v>
      </c>
      <c r="H117">
        <v>3259.8</v>
      </c>
      <c r="J117">
        <v>24050.6</v>
      </c>
    </row>
    <row r="118" spans="7:10" x14ac:dyDescent="0.3">
      <c r="G118" s="34">
        <v>46121</v>
      </c>
      <c r="H118">
        <v>3166.8</v>
      </c>
      <c r="J118">
        <v>23775.1</v>
      </c>
    </row>
    <row r="119" spans="7:10" x14ac:dyDescent="0.3">
      <c r="G119" s="34">
        <v>46120</v>
      </c>
      <c r="H119">
        <v>3210.1</v>
      </c>
      <c r="J119">
        <v>23997.35</v>
      </c>
    </row>
    <row r="120" spans="7:10" x14ac:dyDescent="0.3">
      <c r="G120" s="34">
        <v>46119</v>
      </c>
      <c r="H120">
        <v>3006.6</v>
      </c>
      <c r="J120">
        <v>23123.65</v>
      </c>
    </row>
    <row r="121" spans="7:10" x14ac:dyDescent="0.3">
      <c r="G121" s="34">
        <v>46118</v>
      </c>
      <c r="H121">
        <v>3021.6</v>
      </c>
      <c r="J121">
        <v>22968.25</v>
      </c>
    </row>
    <row r="122" spans="7:10" x14ac:dyDescent="0.3">
      <c r="G122" s="34">
        <v>46114</v>
      </c>
      <c r="H122">
        <v>3011.7</v>
      </c>
      <c r="J122">
        <v>22713.1</v>
      </c>
    </row>
    <row r="123" spans="7:10" x14ac:dyDescent="0.3">
      <c r="G123" s="34">
        <v>46113</v>
      </c>
      <c r="H123">
        <v>3031.5</v>
      </c>
      <c r="J123">
        <v>22679.4</v>
      </c>
    </row>
    <row r="124" spans="7:10" x14ac:dyDescent="0.3">
      <c r="G124" s="34">
        <v>46111</v>
      </c>
      <c r="H124">
        <v>2954.7</v>
      </c>
      <c r="J124">
        <v>22331.4</v>
      </c>
    </row>
    <row r="125" spans="7:10" x14ac:dyDescent="0.3">
      <c r="G125" s="34">
        <v>46108</v>
      </c>
      <c r="H125">
        <v>3041.3</v>
      </c>
      <c r="J125">
        <v>22819.599999999999</v>
      </c>
    </row>
    <row r="126" spans="7:10" x14ac:dyDescent="0.3">
      <c r="G126" s="34">
        <v>46106</v>
      </c>
      <c r="H126">
        <v>3128.1</v>
      </c>
      <c r="J126">
        <v>23306.45</v>
      </c>
    </row>
    <row r="127" spans="7:10" x14ac:dyDescent="0.3">
      <c r="G127" s="34">
        <v>46105</v>
      </c>
      <c r="H127">
        <v>3031.3</v>
      </c>
      <c r="J127">
        <v>22912.400000000001</v>
      </c>
    </row>
    <row r="128" spans="7:10" x14ac:dyDescent="0.3">
      <c r="G128" s="34">
        <v>46104</v>
      </c>
      <c r="H128">
        <v>2955.8</v>
      </c>
      <c r="J128">
        <v>22512.65</v>
      </c>
    </row>
    <row r="129" spans="7:10" x14ac:dyDescent="0.3">
      <c r="G129" s="34">
        <v>46101</v>
      </c>
      <c r="H129">
        <v>3066.1</v>
      </c>
      <c r="J129">
        <v>23114.5</v>
      </c>
    </row>
    <row r="130" spans="7:10" x14ac:dyDescent="0.3">
      <c r="G130" s="34">
        <v>46100</v>
      </c>
      <c r="H130">
        <v>3045.4</v>
      </c>
      <c r="J130">
        <v>23002.15</v>
      </c>
    </row>
    <row r="131" spans="7:10" x14ac:dyDescent="0.3">
      <c r="G131" s="34">
        <v>46099</v>
      </c>
      <c r="H131">
        <v>3214.6</v>
      </c>
      <c r="J131">
        <v>23777.8</v>
      </c>
    </row>
    <row r="132" spans="7:10" x14ac:dyDescent="0.3">
      <c r="G132" s="34">
        <v>46098</v>
      </c>
      <c r="H132">
        <v>3128.9</v>
      </c>
      <c r="J132">
        <v>23581.15</v>
      </c>
    </row>
    <row r="133" spans="7:10" x14ac:dyDescent="0.3">
      <c r="G133" s="34">
        <v>46097</v>
      </c>
      <c r="H133">
        <v>3036.1</v>
      </c>
      <c r="J133">
        <v>23408.799999999999</v>
      </c>
    </row>
    <row r="134" spans="7:10" x14ac:dyDescent="0.3">
      <c r="G134" s="34">
        <v>46094</v>
      </c>
      <c r="H134">
        <v>2931.1</v>
      </c>
      <c r="J134">
        <v>23151.1</v>
      </c>
    </row>
    <row r="135" spans="7:10" x14ac:dyDescent="0.3">
      <c r="G135" s="34">
        <v>46093</v>
      </c>
      <c r="H135">
        <v>3031.2</v>
      </c>
      <c r="J135">
        <v>23639.15</v>
      </c>
    </row>
    <row r="136" spans="7:10" x14ac:dyDescent="0.3">
      <c r="G136" s="34">
        <v>46092</v>
      </c>
      <c r="H136">
        <v>3168.2</v>
      </c>
      <c r="J136">
        <v>23866.85</v>
      </c>
    </row>
    <row r="137" spans="7:10" x14ac:dyDescent="0.3">
      <c r="G137" s="34">
        <v>46091</v>
      </c>
      <c r="H137">
        <v>3293.7</v>
      </c>
      <c r="J137">
        <v>24261.599999999999</v>
      </c>
    </row>
    <row r="138" spans="7:10" x14ac:dyDescent="0.3">
      <c r="G138" s="34">
        <v>46090</v>
      </c>
      <c r="H138">
        <v>3187.6</v>
      </c>
      <c r="J138">
        <v>24028.05</v>
      </c>
    </row>
    <row r="139" spans="7:10" x14ac:dyDescent="0.3">
      <c r="G139" s="34">
        <v>46087</v>
      </c>
      <c r="H139">
        <v>3332.5</v>
      </c>
      <c r="J139">
        <v>24450.45</v>
      </c>
    </row>
    <row r="140" spans="7:10" x14ac:dyDescent="0.3">
      <c r="G140" s="34">
        <v>46086</v>
      </c>
      <c r="H140">
        <v>3348</v>
      </c>
      <c r="J140">
        <v>24765.9</v>
      </c>
    </row>
    <row r="141" spans="7:10" x14ac:dyDescent="0.3">
      <c r="G141" s="34">
        <v>46085</v>
      </c>
      <c r="H141">
        <v>3264.3</v>
      </c>
      <c r="J141">
        <v>24480.5</v>
      </c>
    </row>
    <row r="142" spans="7:10" x14ac:dyDescent="0.3">
      <c r="G142" s="34">
        <v>46083</v>
      </c>
      <c r="H142">
        <v>3334.3</v>
      </c>
      <c r="J142">
        <v>24865.7</v>
      </c>
    </row>
    <row r="143" spans="7:10" x14ac:dyDescent="0.3">
      <c r="G143" s="34">
        <v>46080</v>
      </c>
      <c r="H143">
        <v>3397.4</v>
      </c>
      <c r="J143">
        <v>25178.65</v>
      </c>
    </row>
    <row r="144" spans="7:10" x14ac:dyDescent="0.3">
      <c r="G144" s="34">
        <v>46079</v>
      </c>
      <c r="H144">
        <v>3484.6</v>
      </c>
      <c r="J144">
        <v>25496.55</v>
      </c>
    </row>
    <row r="145" spans="7:10" x14ac:dyDescent="0.3">
      <c r="G145" s="34">
        <v>46078</v>
      </c>
      <c r="H145">
        <v>3491.3</v>
      </c>
      <c r="J145">
        <v>25482.5</v>
      </c>
    </row>
    <row r="146" spans="7:10" x14ac:dyDescent="0.3">
      <c r="G146" s="34">
        <v>46077</v>
      </c>
      <c r="H146">
        <v>3433.2</v>
      </c>
      <c r="J146">
        <v>25424.65</v>
      </c>
    </row>
    <row r="147" spans="7:10" x14ac:dyDescent="0.3">
      <c r="G147" s="34">
        <v>46076</v>
      </c>
      <c r="H147">
        <v>3447.1</v>
      </c>
      <c r="J147">
        <v>25713</v>
      </c>
    </row>
    <row r="148" spans="7:10" x14ac:dyDescent="0.3">
      <c r="G148" s="34">
        <v>46073</v>
      </c>
      <c r="H148">
        <v>3412.8</v>
      </c>
      <c r="J148">
        <v>25571.25</v>
      </c>
    </row>
    <row r="149" spans="7:10" x14ac:dyDescent="0.3">
      <c r="G149" s="34">
        <v>46072</v>
      </c>
      <c r="H149">
        <v>3431.8</v>
      </c>
      <c r="J149">
        <v>25454.35</v>
      </c>
    </row>
    <row r="150" spans="7:10" x14ac:dyDescent="0.3">
      <c r="G150" s="34">
        <v>46071</v>
      </c>
      <c r="H150">
        <v>3530.5</v>
      </c>
      <c r="J150">
        <v>25819.35</v>
      </c>
    </row>
    <row r="151" spans="7:10" x14ac:dyDescent="0.3">
      <c r="G151" s="34">
        <v>46070</v>
      </c>
      <c r="H151">
        <v>3489.2</v>
      </c>
      <c r="J151">
        <v>25725.4</v>
      </c>
    </row>
    <row r="152" spans="7:10" x14ac:dyDescent="0.3">
      <c r="G152" s="34">
        <v>46069</v>
      </c>
      <c r="H152">
        <v>3509.7</v>
      </c>
      <c r="J152">
        <v>25682.75</v>
      </c>
    </row>
    <row r="153" spans="7:10" x14ac:dyDescent="0.3">
      <c r="G153" s="34">
        <v>46066</v>
      </c>
      <c r="H153">
        <v>3533.4</v>
      </c>
      <c r="J153">
        <v>25471.1</v>
      </c>
    </row>
    <row r="154" spans="7:10" x14ac:dyDescent="0.3">
      <c r="G154" s="34">
        <v>46065</v>
      </c>
      <c r="H154">
        <v>3593.1</v>
      </c>
      <c r="J154">
        <v>25807.200000000001</v>
      </c>
    </row>
    <row r="155" spans="7:10" x14ac:dyDescent="0.3">
      <c r="G155" s="34">
        <v>46064</v>
      </c>
      <c r="H155">
        <v>3674.9</v>
      </c>
      <c r="J155">
        <v>25953.85</v>
      </c>
    </row>
    <row r="156" spans="7:10" x14ac:dyDescent="0.3">
      <c r="G156" s="34">
        <v>46063</v>
      </c>
      <c r="H156">
        <v>3675.8</v>
      </c>
      <c r="J156">
        <v>25935.15</v>
      </c>
    </row>
    <row r="157" spans="7:10" x14ac:dyDescent="0.3">
      <c r="G157" s="34">
        <v>46062</v>
      </c>
      <c r="H157">
        <v>3609.6</v>
      </c>
      <c r="J157">
        <v>25867.3</v>
      </c>
    </row>
    <row r="158" spans="7:10" x14ac:dyDescent="0.3">
      <c r="G158" s="34">
        <v>46059</v>
      </c>
      <c r="H158">
        <v>3578</v>
      </c>
      <c r="J158">
        <v>25693.7</v>
      </c>
    </row>
    <row r="159" spans="7:10" x14ac:dyDescent="0.3">
      <c r="G159" s="34">
        <v>46058</v>
      </c>
      <c r="H159">
        <v>3572</v>
      </c>
      <c r="J159">
        <v>25642.799999999999</v>
      </c>
    </row>
    <row r="160" spans="7:10" x14ac:dyDescent="0.3">
      <c r="G160" s="34">
        <v>46057</v>
      </c>
      <c r="H160">
        <v>3574</v>
      </c>
      <c r="J160">
        <v>25776</v>
      </c>
    </row>
    <row r="161" spans="7:10" x14ac:dyDescent="0.3">
      <c r="G161" s="34">
        <v>46056</v>
      </c>
      <c r="H161">
        <v>3527.9</v>
      </c>
      <c r="J161">
        <v>25727.55</v>
      </c>
    </row>
    <row r="162" spans="7:10" x14ac:dyDescent="0.3">
      <c r="G162" s="34">
        <v>46055</v>
      </c>
      <c r="H162">
        <v>3463.2</v>
      </c>
      <c r="J162">
        <v>25088.400000000001</v>
      </c>
    </row>
    <row r="163" spans="7:10" x14ac:dyDescent="0.3">
      <c r="G163" s="34">
        <v>46054</v>
      </c>
      <c r="H163">
        <v>3363.8</v>
      </c>
      <c r="J163">
        <v>25320.65</v>
      </c>
    </row>
    <row r="164" spans="7:10" x14ac:dyDescent="0.3">
      <c r="G164" s="34">
        <v>46052</v>
      </c>
      <c r="H164">
        <v>3431.8</v>
      </c>
      <c r="J164">
        <v>25320.65</v>
      </c>
    </row>
    <row r="165" spans="7:10" x14ac:dyDescent="0.3">
      <c r="G165" s="34">
        <v>46051</v>
      </c>
      <c r="H165">
        <v>3384.4</v>
      </c>
      <c r="J165">
        <v>25418.9</v>
      </c>
    </row>
    <row r="166" spans="7:10" x14ac:dyDescent="0.3">
      <c r="G166" s="34">
        <v>46050</v>
      </c>
      <c r="H166">
        <v>3449.2</v>
      </c>
      <c r="J166">
        <v>25342.75</v>
      </c>
    </row>
    <row r="167" spans="7:10" x14ac:dyDescent="0.3">
      <c r="G167" s="34">
        <v>46049</v>
      </c>
      <c r="H167">
        <v>3393.5</v>
      </c>
      <c r="J167">
        <v>25175.4</v>
      </c>
    </row>
    <row r="168" spans="7:10" x14ac:dyDescent="0.3">
      <c r="G168" s="34">
        <v>46045</v>
      </c>
      <c r="H168">
        <v>3543.4</v>
      </c>
      <c r="J168">
        <v>25048.65</v>
      </c>
    </row>
    <row r="169" spans="7:10" x14ac:dyDescent="0.3">
      <c r="G169" s="34">
        <v>46044</v>
      </c>
      <c r="H169">
        <v>3573.7</v>
      </c>
      <c r="J169">
        <v>25289.9</v>
      </c>
    </row>
    <row r="170" spans="7:10" x14ac:dyDescent="0.3">
      <c r="G170" s="34">
        <v>46043</v>
      </c>
      <c r="H170">
        <v>3553.3</v>
      </c>
      <c r="J170">
        <v>25157.5</v>
      </c>
    </row>
    <row r="171" spans="7:10" x14ac:dyDescent="0.3">
      <c r="G171" s="34">
        <v>46042</v>
      </c>
      <c r="H171">
        <v>3557.5</v>
      </c>
      <c r="J171">
        <v>25232.5</v>
      </c>
    </row>
    <row r="172" spans="7:10" x14ac:dyDescent="0.3">
      <c r="G172" s="34">
        <v>46041</v>
      </c>
      <c r="H172">
        <v>3657.4</v>
      </c>
      <c r="J172">
        <v>25585.5</v>
      </c>
    </row>
    <row r="173" spans="7:10" x14ac:dyDescent="0.3">
      <c r="G173" s="34">
        <v>46038</v>
      </c>
      <c r="H173">
        <v>3658.2</v>
      </c>
      <c r="J173">
        <v>25694.35</v>
      </c>
    </row>
    <row r="174" spans="7:10" x14ac:dyDescent="0.3">
      <c r="G174" s="34">
        <v>46036</v>
      </c>
      <c r="H174">
        <v>3649.5</v>
      </c>
      <c r="J174">
        <v>25665.599999999999</v>
      </c>
    </row>
    <row r="175" spans="7:10" x14ac:dyDescent="0.3">
      <c r="G175" s="34">
        <v>46035</v>
      </c>
      <c r="H175">
        <v>3661.5</v>
      </c>
      <c r="J175">
        <v>25732.3</v>
      </c>
    </row>
    <row r="176" spans="7:10" x14ac:dyDescent="0.3">
      <c r="G176" s="34">
        <v>46034</v>
      </c>
      <c r="H176">
        <v>3682</v>
      </c>
      <c r="J176">
        <v>25790.25</v>
      </c>
    </row>
    <row r="177" spans="7:10" x14ac:dyDescent="0.3">
      <c r="G177" s="34">
        <v>46031</v>
      </c>
      <c r="H177">
        <v>3677.3</v>
      </c>
      <c r="J177">
        <v>25683.3</v>
      </c>
    </row>
    <row r="178" spans="7:10" x14ac:dyDescent="0.3">
      <c r="G178" s="34">
        <v>46030</v>
      </c>
      <c r="H178">
        <v>3724</v>
      </c>
      <c r="J178">
        <v>25876.85</v>
      </c>
    </row>
    <row r="179" spans="7:10" x14ac:dyDescent="0.3">
      <c r="G179" s="34">
        <v>46029</v>
      </c>
      <c r="H179">
        <v>3748.8</v>
      </c>
      <c r="J179">
        <v>26140.75</v>
      </c>
    </row>
    <row r="180" spans="7:10" x14ac:dyDescent="0.3">
      <c r="G180" s="34">
        <v>46028</v>
      </c>
      <c r="H180">
        <v>3785.6</v>
      </c>
      <c r="J180">
        <v>26178.7</v>
      </c>
    </row>
    <row r="181" spans="7:10" x14ac:dyDescent="0.3">
      <c r="G181" s="34">
        <v>46027</v>
      </c>
      <c r="H181">
        <v>3790.3</v>
      </c>
      <c r="J181">
        <v>26250.3</v>
      </c>
    </row>
    <row r="182" spans="7:10" x14ac:dyDescent="0.3">
      <c r="G182" s="34">
        <v>46024</v>
      </c>
      <c r="H182">
        <v>3802.4</v>
      </c>
      <c r="J182">
        <v>26328.55</v>
      </c>
    </row>
    <row r="183" spans="7:10" x14ac:dyDescent="0.3">
      <c r="G183" s="34">
        <v>46023</v>
      </c>
      <c r="H183">
        <v>3761</v>
      </c>
      <c r="J183">
        <v>26146.55</v>
      </c>
    </row>
    <row r="184" spans="7:10" x14ac:dyDescent="0.3">
      <c r="G184" s="34">
        <v>46022</v>
      </c>
      <c r="H184">
        <v>3709.2</v>
      </c>
      <c r="J184">
        <v>26129.599999999999</v>
      </c>
    </row>
    <row r="185" spans="7:10" x14ac:dyDescent="0.3">
      <c r="G185" s="34">
        <v>46021</v>
      </c>
      <c r="H185">
        <v>3660.3</v>
      </c>
      <c r="J185">
        <v>25938.85</v>
      </c>
    </row>
    <row r="186" spans="7:10" x14ac:dyDescent="0.3">
      <c r="G186" s="34">
        <v>46020</v>
      </c>
      <c r="H186">
        <v>3592.1</v>
      </c>
      <c r="J186">
        <v>25942.1</v>
      </c>
    </row>
    <row r="187" spans="7:10" x14ac:dyDescent="0.3">
      <c r="G187" s="34">
        <v>46017</v>
      </c>
      <c r="H187">
        <v>3623.1</v>
      </c>
      <c r="J187">
        <v>26042.3</v>
      </c>
    </row>
    <row r="188" spans="7:10" x14ac:dyDescent="0.3">
      <c r="G188" s="34">
        <v>46015</v>
      </c>
      <c r="H188">
        <v>3636.7</v>
      </c>
      <c r="J188">
        <v>26142.1</v>
      </c>
    </row>
    <row r="189" spans="7:10" x14ac:dyDescent="0.3">
      <c r="G189" s="34">
        <v>46014</v>
      </c>
      <c r="H189">
        <v>3625.1</v>
      </c>
      <c r="J189">
        <v>26177.15</v>
      </c>
    </row>
    <row r="190" spans="7:10" x14ac:dyDescent="0.3">
      <c r="G190" s="34">
        <v>46013</v>
      </c>
      <c r="H190">
        <v>3616.7</v>
      </c>
      <c r="J190">
        <v>26172.400000000001</v>
      </c>
    </row>
    <row r="191" spans="7:10" x14ac:dyDescent="0.3">
      <c r="G191" s="34">
        <v>46010</v>
      </c>
      <c r="H191">
        <v>3603.6</v>
      </c>
      <c r="J191">
        <v>25966.400000000001</v>
      </c>
    </row>
    <row r="192" spans="7:10" x14ac:dyDescent="0.3">
      <c r="G192" s="34">
        <v>46009</v>
      </c>
      <c r="H192">
        <v>3586.6</v>
      </c>
      <c r="J192">
        <v>25815.55</v>
      </c>
    </row>
    <row r="193" spans="7:10" x14ac:dyDescent="0.3">
      <c r="G193" s="34">
        <v>46008</v>
      </c>
      <c r="H193">
        <v>3612.8</v>
      </c>
      <c r="J193">
        <v>25818.55</v>
      </c>
    </row>
    <row r="194" spans="7:10" x14ac:dyDescent="0.3">
      <c r="G194" s="34">
        <v>46007</v>
      </c>
      <c r="H194">
        <v>3621</v>
      </c>
      <c r="J194">
        <v>25860.1</v>
      </c>
    </row>
    <row r="195" spans="7:10" x14ac:dyDescent="0.3">
      <c r="G195" s="34">
        <v>46006</v>
      </c>
      <c r="H195">
        <v>3608</v>
      </c>
      <c r="J195">
        <v>26027.3</v>
      </c>
    </row>
    <row r="196" spans="7:10" x14ac:dyDescent="0.3">
      <c r="G196" s="34">
        <v>46003</v>
      </c>
      <c r="H196">
        <v>3679.6</v>
      </c>
      <c r="J196">
        <v>26046.95</v>
      </c>
    </row>
    <row r="197" spans="7:10" x14ac:dyDescent="0.3">
      <c r="G197" s="34">
        <v>46002</v>
      </c>
      <c r="H197">
        <v>3665.2</v>
      </c>
      <c r="J197">
        <v>25898.55</v>
      </c>
    </row>
    <row r="198" spans="7:10" x14ac:dyDescent="0.3">
      <c r="G198" s="34">
        <v>46001</v>
      </c>
      <c r="H198">
        <v>3630</v>
      </c>
      <c r="J198">
        <v>25758</v>
      </c>
    </row>
    <row r="199" spans="7:10" x14ac:dyDescent="0.3">
      <c r="G199" s="34">
        <v>46000</v>
      </c>
      <c r="H199">
        <v>3635.9</v>
      </c>
      <c r="J199">
        <v>25839.65</v>
      </c>
    </row>
    <row r="200" spans="7:10" x14ac:dyDescent="0.3">
      <c r="G200" s="34">
        <v>45999</v>
      </c>
      <c r="H200">
        <v>3681.7</v>
      </c>
      <c r="J200">
        <v>25960.55</v>
      </c>
    </row>
    <row r="201" spans="7:10" x14ac:dyDescent="0.3">
      <c r="G201" s="34">
        <v>45996</v>
      </c>
      <c r="H201">
        <v>3717.1</v>
      </c>
      <c r="J201">
        <v>26186.45</v>
      </c>
    </row>
    <row r="202" spans="7:10" x14ac:dyDescent="0.3">
      <c r="G202" s="34">
        <v>45995</v>
      </c>
      <c r="H202">
        <v>3671.6</v>
      </c>
      <c r="J202">
        <v>26033.75</v>
      </c>
    </row>
    <row r="203" spans="7:10" x14ac:dyDescent="0.3">
      <c r="G203" s="34">
        <v>45994</v>
      </c>
      <c r="H203">
        <v>3649.4</v>
      </c>
      <c r="J203">
        <v>25986</v>
      </c>
    </row>
    <row r="204" spans="7:10" x14ac:dyDescent="0.3">
      <c r="G204" s="34">
        <v>45993</v>
      </c>
      <c r="H204">
        <v>3716.5</v>
      </c>
      <c r="J204">
        <v>26032.2</v>
      </c>
    </row>
    <row r="205" spans="7:10" x14ac:dyDescent="0.3">
      <c r="G205" s="34">
        <v>45992</v>
      </c>
      <c r="H205">
        <v>3741.6</v>
      </c>
      <c r="J205">
        <v>26175.75</v>
      </c>
    </row>
    <row r="206" spans="7:10" x14ac:dyDescent="0.3">
      <c r="G206" s="34">
        <v>45989</v>
      </c>
      <c r="H206">
        <v>3757.3</v>
      </c>
      <c r="J206">
        <v>26202.95</v>
      </c>
    </row>
    <row r="207" spans="7:10" x14ac:dyDescent="0.3">
      <c r="G207" s="34">
        <v>45988</v>
      </c>
      <c r="H207">
        <v>3681.2</v>
      </c>
      <c r="J207">
        <v>26215.55</v>
      </c>
    </row>
    <row r="208" spans="7:10" x14ac:dyDescent="0.3">
      <c r="G208" s="34">
        <v>45987</v>
      </c>
      <c r="H208">
        <v>3686.4</v>
      </c>
      <c r="J208">
        <v>26205.3</v>
      </c>
    </row>
    <row r="209" spans="7:10" x14ac:dyDescent="0.3">
      <c r="G209" s="34">
        <v>45986</v>
      </c>
      <c r="H209">
        <v>3669.3</v>
      </c>
      <c r="J209">
        <v>25884.799999999999</v>
      </c>
    </row>
    <row r="210" spans="7:10" x14ac:dyDescent="0.3">
      <c r="G210" s="34">
        <v>45985</v>
      </c>
      <c r="H210">
        <v>3690.8</v>
      </c>
      <c r="J210">
        <v>25959.5</v>
      </c>
    </row>
    <row r="211" spans="7:10" x14ac:dyDescent="0.3">
      <c r="G211" s="34">
        <v>45982</v>
      </c>
      <c r="H211">
        <v>3749.6</v>
      </c>
      <c r="J211">
        <v>26068.15</v>
      </c>
    </row>
    <row r="212" spans="7:10" x14ac:dyDescent="0.3">
      <c r="G212" s="34">
        <v>45981</v>
      </c>
      <c r="H212">
        <v>3716.7</v>
      </c>
      <c r="J212">
        <v>26192.15</v>
      </c>
    </row>
    <row r="213" spans="7:10" x14ac:dyDescent="0.3">
      <c r="G213" s="34">
        <v>45980</v>
      </c>
      <c r="H213">
        <v>3722.5</v>
      </c>
      <c r="J213">
        <v>26052.65</v>
      </c>
    </row>
    <row r="214" spans="7:10" x14ac:dyDescent="0.3">
      <c r="G214" s="34">
        <v>45979</v>
      </c>
      <c r="H214">
        <v>3694.8</v>
      </c>
      <c r="J214">
        <v>25910.05</v>
      </c>
    </row>
    <row r="215" spans="7:10" x14ac:dyDescent="0.3">
      <c r="G215" s="34">
        <v>45978</v>
      </c>
      <c r="H215">
        <v>3734.9</v>
      </c>
      <c r="J215">
        <v>26013.45</v>
      </c>
    </row>
    <row r="216" spans="7:10" x14ac:dyDescent="0.3">
      <c r="G216" s="34">
        <v>45975</v>
      </c>
      <c r="H216">
        <v>3698.6</v>
      </c>
      <c r="J216">
        <v>25910.05</v>
      </c>
    </row>
    <row r="217" spans="7:10" x14ac:dyDescent="0.3">
      <c r="G217" s="34">
        <v>45974</v>
      </c>
      <c r="H217">
        <v>3699.5</v>
      </c>
      <c r="J217">
        <v>25879.15</v>
      </c>
    </row>
    <row r="218" spans="7:10" x14ac:dyDescent="0.3">
      <c r="G218" s="34">
        <v>45973</v>
      </c>
      <c r="H218">
        <v>3754.3</v>
      </c>
      <c r="J218">
        <v>25875.8</v>
      </c>
    </row>
    <row r="219" spans="7:10" x14ac:dyDescent="0.3">
      <c r="G219" s="34">
        <v>45972</v>
      </c>
      <c r="H219">
        <v>3749.1</v>
      </c>
      <c r="J219">
        <v>25694.95</v>
      </c>
    </row>
    <row r="220" spans="7:10" x14ac:dyDescent="0.3">
      <c r="G220" s="34">
        <v>45971</v>
      </c>
      <c r="H220">
        <v>3663.9</v>
      </c>
      <c r="J220">
        <v>25574.35</v>
      </c>
    </row>
    <row r="221" spans="7:10" x14ac:dyDescent="0.3">
      <c r="G221" s="34">
        <v>45968</v>
      </c>
      <c r="H221">
        <v>3690.2</v>
      </c>
      <c r="J221">
        <v>25492.3</v>
      </c>
    </row>
    <row r="222" spans="7:10" x14ac:dyDescent="0.3">
      <c r="G222" s="34">
        <v>45967</v>
      </c>
      <c r="H222">
        <v>3618.5</v>
      </c>
      <c r="J222">
        <v>25509.7</v>
      </c>
    </row>
    <row r="223" spans="7:10" x14ac:dyDescent="0.3">
      <c r="G223" s="34">
        <v>45965</v>
      </c>
      <c r="H223">
        <v>3581.2</v>
      </c>
      <c r="J223">
        <v>25597.65</v>
      </c>
    </row>
    <row r="224" spans="7:10" x14ac:dyDescent="0.3">
      <c r="G224" s="34">
        <v>45964</v>
      </c>
      <c r="H224">
        <v>3548.9</v>
      </c>
      <c r="J224">
        <v>25763.35</v>
      </c>
    </row>
    <row r="225" spans="7:10" x14ac:dyDescent="0.3">
      <c r="G225" s="34">
        <v>45961</v>
      </c>
      <c r="H225">
        <v>3487.2</v>
      </c>
      <c r="J225">
        <v>25722.1</v>
      </c>
    </row>
    <row r="226" spans="7:10" x14ac:dyDescent="0.3">
      <c r="G226" s="34">
        <v>45960</v>
      </c>
      <c r="H226">
        <v>3502.1</v>
      </c>
      <c r="J226">
        <v>25877.85</v>
      </c>
    </row>
    <row r="227" spans="7:10" x14ac:dyDescent="0.3">
      <c r="G227" s="34">
        <v>45959</v>
      </c>
      <c r="H227">
        <v>3534.7</v>
      </c>
      <c r="J227">
        <v>26053.9</v>
      </c>
    </row>
    <row r="228" spans="7:10" x14ac:dyDescent="0.3">
      <c r="G228" s="34">
        <v>45958</v>
      </c>
      <c r="H228">
        <v>3579.1</v>
      </c>
      <c r="J228">
        <v>25936.2</v>
      </c>
    </row>
    <row r="229" spans="7:10" x14ac:dyDescent="0.3">
      <c r="G229" s="34">
        <v>45957</v>
      </c>
      <c r="H229">
        <v>3611.6</v>
      </c>
      <c r="J229">
        <v>25966.05</v>
      </c>
    </row>
    <row r="230" spans="7:10" x14ac:dyDescent="0.3">
      <c r="G230" s="34">
        <v>45954</v>
      </c>
      <c r="H230">
        <v>3625</v>
      </c>
      <c r="J230">
        <v>25795.15</v>
      </c>
    </row>
    <row r="231" spans="7:10" x14ac:dyDescent="0.3">
      <c r="G231" s="34">
        <v>45953</v>
      </c>
      <c r="H231">
        <v>3623.6</v>
      </c>
      <c r="J231">
        <v>25891.4</v>
      </c>
    </row>
    <row r="232" spans="7:10" x14ac:dyDescent="0.3">
      <c r="G232" s="34">
        <v>45951</v>
      </c>
      <c r="H232">
        <v>3621.2</v>
      </c>
      <c r="J232">
        <v>25868.6</v>
      </c>
    </row>
    <row r="233" spans="7:10" x14ac:dyDescent="0.3">
      <c r="G233" s="34">
        <v>45950</v>
      </c>
      <c r="H233">
        <v>3599.1</v>
      </c>
      <c r="J233">
        <v>25843.15</v>
      </c>
    </row>
    <row r="234" spans="7:10" x14ac:dyDescent="0.3">
      <c r="G234" s="34">
        <v>45947</v>
      </c>
      <c r="H234">
        <v>3647.2</v>
      </c>
      <c r="J234">
        <v>25709.85</v>
      </c>
    </row>
    <row r="235" spans="7:10" x14ac:dyDescent="0.3">
      <c r="G235" s="34">
        <v>45946</v>
      </c>
      <c r="H235">
        <v>3560.8</v>
      </c>
      <c r="J235">
        <v>25585.3</v>
      </c>
    </row>
    <row r="236" spans="7:10" x14ac:dyDescent="0.3">
      <c r="G236" s="34">
        <v>45945</v>
      </c>
      <c r="H236">
        <v>3497.2</v>
      </c>
      <c r="J236">
        <v>25323.55</v>
      </c>
    </row>
    <row r="237" spans="7:10" x14ac:dyDescent="0.3">
      <c r="G237" s="34">
        <v>45944</v>
      </c>
      <c r="H237">
        <v>3459.8</v>
      </c>
      <c r="J237">
        <v>25145.5</v>
      </c>
    </row>
    <row r="238" spans="7:10" x14ac:dyDescent="0.3">
      <c r="G238" s="34">
        <v>45943</v>
      </c>
      <c r="H238">
        <v>3459.7</v>
      </c>
      <c r="J238">
        <v>25227.35</v>
      </c>
    </row>
    <row r="239" spans="7:10" x14ac:dyDescent="0.3">
      <c r="G239" s="34">
        <v>45940</v>
      </c>
      <c r="H239">
        <v>3454.9</v>
      </c>
      <c r="J239">
        <v>25285.35</v>
      </c>
    </row>
    <row r="240" spans="7:10" x14ac:dyDescent="0.3">
      <c r="G240" s="34">
        <v>45939</v>
      </c>
      <c r="H240">
        <v>3442.9</v>
      </c>
      <c r="J240">
        <v>25181.8</v>
      </c>
    </row>
    <row r="241" spans="7:10" x14ac:dyDescent="0.3">
      <c r="G241" s="34">
        <v>45938</v>
      </c>
      <c r="H241">
        <v>3426.5</v>
      </c>
      <c r="J241">
        <v>25046.15</v>
      </c>
    </row>
    <row r="242" spans="7:10" x14ac:dyDescent="0.3">
      <c r="G242" s="34">
        <v>45937</v>
      </c>
      <c r="H242">
        <v>3492.8</v>
      </c>
      <c r="J242">
        <v>25108.3</v>
      </c>
    </row>
    <row r="243" spans="7:10" x14ac:dyDescent="0.3">
      <c r="G243" s="34">
        <v>45936</v>
      </c>
      <c r="H243">
        <v>3472</v>
      </c>
      <c r="J243">
        <v>25077.65</v>
      </c>
    </row>
    <row r="244" spans="7:10" x14ac:dyDescent="0.3">
      <c r="G244" s="34">
        <v>45933</v>
      </c>
      <c r="H244">
        <v>3462</v>
      </c>
      <c r="J244">
        <v>24894.25</v>
      </c>
    </row>
    <row r="245" spans="7:10" x14ac:dyDescent="0.3">
      <c r="G245" s="34">
        <v>45931</v>
      </c>
      <c r="H245">
        <v>3463.4</v>
      </c>
      <c r="J245">
        <v>24836.3</v>
      </c>
    </row>
    <row r="246" spans="7:10" x14ac:dyDescent="0.3">
      <c r="G246" s="34">
        <v>45930</v>
      </c>
      <c r="H246">
        <v>3427</v>
      </c>
      <c r="J246">
        <v>24611.1</v>
      </c>
    </row>
    <row r="247" spans="7:10" x14ac:dyDescent="0.3">
      <c r="G247" s="34">
        <v>45929</v>
      </c>
      <c r="H247">
        <v>3418.1</v>
      </c>
      <c r="J247">
        <v>24634.9</v>
      </c>
    </row>
    <row r="248" spans="7:10" x14ac:dyDescent="0.3">
      <c r="G248" s="34">
        <v>45926</v>
      </c>
      <c r="H248">
        <v>3396.5</v>
      </c>
      <c r="J248">
        <v>24654.7</v>
      </c>
    </row>
    <row r="249" spans="7:10" x14ac:dyDescent="0.3">
      <c r="G249" s="171">
        <v>45925</v>
      </c>
      <c r="H249">
        <v>3530</v>
      </c>
      <c r="J249">
        <v>24890.85</v>
      </c>
    </row>
    <row r="250" spans="7:10" x14ac:dyDescent="0.3">
      <c r="G250" s="171">
        <v>45924</v>
      </c>
      <c r="H250">
        <v>3574.9</v>
      </c>
      <c r="J250">
        <v>25056.9</v>
      </c>
    </row>
    <row r="251" spans="7:10" x14ac:dyDescent="0.3">
      <c r="G251" s="171">
        <v>45923</v>
      </c>
      <c r="H251">
        <v>3614.6</v>
      </c>
      <c r="J251">
        <v>25169.5</v>
      </c>
    </row>
    <row r="252" spans="7:10" x14ac:dyDescent="0.3">
      <c r="G252" s="171">
        <v>45922</v>
      </c>
      <c r="H252">
        <v>3584.8</v>
      </c>
      <c r="J252">
        <v>25202.35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Maruti Suzuki</v>
      </c>
      <c r="C12" s="150" t="s">
        <v>4076</v>
      </c>
      <c r="D12" s="155">
        <f>'Raw FS'!M57</f>
        <v>12153</v>
      </c>
      <c r="E12" s="155">
        <f>'Raw FS'!N57</f>
        <v>31.33</v>
      </c>
      <c r="F12" s="155">
        <f>D12*E12</f>
        <v>380753.49</v>
      </c>
      <c r="G12" s="155">
        <f>'Raw FS'!AS57</f>
        <v>76154.420000000013</v>
      </c>
      <c r="H12" s="155">
        <f>'Raw FS'!AT57</f>
        <v>456926.51</v>
      </c>
      <c r="I12" s="150">
        <f>IF(G12&gt;0, F12/G12, "N/A")</f>
        <v>4.9997556281040536</v>
      </c>
      <c r="J12" s="150">
        <f>IF(H12&gt;0, F12/H12, "N/A")</f>
        <v>0.83329262292091566</v>
      </c>
      <c r="K12" s="155">
        <f>'Raw FS'!AU57</f>
        <v>209879.2</v>
      </c>
      <c r="L12" s="155">
        <f>'Raw FS'!AV57</f>
        <v>31481.88</v>
      </c>
      <c r="M12" s="155">
        <f>'Raw FS'!AW57</f>
        <v>13787.6</v>
      </c>
      <c r="N12" s="150"/>
      <c r="O12" s="151">
        <f>IFERROR($H12/K12, "N/A")</f>
        <v>2.1770928705655441</v>
      </c>
      <c r="P12" s="151">
        <f>IFERROR($H12/L12, "N/A")</f>
        <v>14.513952470436962</v>
      </c>
      <c r="Q12" s="151">
        <f>IFERROR(F12/M12, "N/A")</f>
        <v>27.615646668020538</v>
      </c>
    </row>
    <row r="13" spans="1:17" x14ac:dyDescent="0.3">
      <c r="B13" s="150" t="str">
        <f>'Raw FS'!L58</f>
        <v>Hyundai Motor I</v>
      </c>
      <c r="C13" s="150" t="s">
        <v>8619</v>
      </c>
      <c r="D13" s="155">
        <f>'Raw FS'!M58</f>
        <v>2144</v>
      </c>
      <c r="E13" s="155">
        <f>'Raw FS'!N58</f>
        <v>82.75</v>
      </c>
      <c r="F13" s="155">
        <f>D13*E13</f>
        <v>177416</v>
      </c>
      <c r="G13" s="155">
        <f>'Raw FS'!AS58</f>
        <v>35481.089999999997</v>
      </c>
      <c r="H13" s="155">
        <f>'Raw FS'!AT58</f>
        <v>212886.54</v>
      </c>
      <c r="I13" s="150">
        <f>IF(G13&gt;0, F13/G13, "N/A")</f>
        <v>5.0002973414852816</v>
      </c>
      <c r="J13" s="150">
        <f>IF(H13&gt;0, F13/H13, "N/A")</f>
        <v>0.83338289024754686</v>
      </c>
      <c r="K13" s="155">
        <f>'Raw FS'!AU58</f>
        <v>65338.52</v>
      </c>
      <c r="L13" s="155">
        <f>'Raw FS'!AV58</f>
        <v>9800.7800000000007</v>
      </c>
      <c r="M13" s="155">
        <f>'Raw FS'!AW58</f>
        <v>3554.48</v>
      </c>
      <c r="N13" s="150"/>
      <c r="O13" s="151">
        <f>IFERROR($H13/K13, "N/A")</f>
        <v>3.2582087870983307</v>
      </c>
      <c r="P13" s="151">
        <f>IFERROR($H13/L13, "N/A")</f>
        <v>21.721387481404541</v>
      </c>
      <c r="Q13" s="151">
        <f>IFERROR(F13/M13, "N/A")</f>
        <v>49.913348788008371</v>
      </c>
    </row>
    <row r="14" spans="1:17" x14ac:dyDescent="0.3">
      <c r="B14" s="150" t="str">
        <f>'Raw FS'!L59</f>
        <v>Tata Motors PVeh</v>
      </c>
      <c r="C14" s="150" t="s">
        <v>8620</v>
      </c>
      <c r="D14" s="155">
        <f>'Raw FS'!M59</f>
        <v>301.64999999999998</v>
      </c>
      <c r="E14" s="155">
        <f>'Raw FS'!N59</f>
        <v>368.29</v>
      </c>
      <c r="F14" s="155">
        <f>D14*E14</f>
        <v>111094.67849999999</v>
      </c>
      <c r="G14" s="155">
        <f>'Raw FS'!AS59</f>
        <v>22218.89</v>
      </c>
      <c r="H14" s="155">
        <f>'Raw FS'!AT59</f>
        <v>133313.32</v>
      </c>
      <c r="I14" s="150">
        <f>IF(G14&gt;0, F14/G14, "N/A")</f>
        <v>5.0000102840420917</v>
      </c>
      <c r="J14" s="150">
        <f>IF(H14&gt;0, F14/H14, "N/A")</f>
        <v>0.83333517235937105</v>
      </c>
      <c r="K14" s="155">
        <f>'Raw FS'!AU59</f>
        <v>383196</v>
      </c>
      <c r="L14" s="155">
        <f>'Raw FS'!AV59</f>
        <v>57479.4</v>
      </c>
      <c r="M14" s="155">
        <f>'Raw FS'!AW59</f>
        <v>3436</v>
      </c>
      <c r="N14" s="150"/>
      <c r="O14" s="151">
        <f>IFERROR($H14/K14, "N/A")</f>
        <v>0.34789851668597793</v>
      </c>
      <c r="P14" s="151">
        <f>IFERROR($H14/L14, "N/A")</f>
        <v>2.3193234445731861</v>
      </c>
      <c r="Q14" s="151">
        <f>IFERROR(F14/M14, "N/A")</f>
        <v>32.332560681024447</v>
      </c>
    </row>
    <row r="15" spans="1:17" x14ac:dyDescent="0.3">
      <c r="B15" s="150" t="str">
        <f>'Raw FS'!L60</f>
        <v>Force Motors</v>
      </c>
      <c r="C15" s="150" t="s">
        <v>8621</v>
      </c>
      <c r="D15" s="155">
        <f>'Raw FS'!M60</f>
        <v>17485</v>
      </c>
      <c r="E15" s="155">
        <f>'Raw FS'!N60</f>
        <v>1.3</v>
      </c>
      <c r="F15" s="155">
        <f>D15*E15</f>
        <v>22730.5</v>
      </c>
      <c r="G15" s="155">
        <f>'Raw FS'!AS60</f>
        <v>4560.43</v>
      </c>
      <c r="H15" s="155">
        <f>'Raw FS'!AT60</f>
        <v>27362.6</v>
      </c>
      <c r="I15" s="150">
        <f>IF(G15&gt;0, F15/G15, "N/A")</f>
        <v>4.9842887622439109</v>
      </c>
      <c r="J15" s="150">
        <f>IF(H15&gt;0, F15/H15, "N/A")</f>
        <v>0.83071418651736317</v>
      </c>
      <c r="K15" s="155">
        <f>'Raw FS'!AU60</f>
        <v>9760.0400000000009</v>
      </c>
      <c r="L15" s="155">
        <f>'Raw FS'!AV60</f>
        <v>1464.01</v>
      </c>
      <c r="M15" s="155">
        <f>'Raw FS'!AW60</f>
        <v>866.36</v>
      </c>
      <c r="N15" s="150"/>
      <c r="O15" s="151">
        <f>IFERROR($H15/K15, "N/A")</f>
        <v>2.8035335920754418</v>
      </c>
      <c r="P15" s="151">
        <f>IFERROR($H15/L15, "N/A")</f>
        <v>18.690172881332778</v>
      </c>
      <c r="Q15" s="151">
        <f>IFERROR(F15/M15, "N/A")</f>
        <v>26.236783785031626</v>
      </c>
    </row>
    <row r="16" spans="1:17" x14ac:dyDescent="0.3">
      <c r="B16" s="150" t="str">
        <f>'Raw FS'!L61</f>
        <v>Olectra Greentec</v>
      </c>
      <c r="C16" s="150" t="s">
        <v>4651</v>
      </c>
      <c r="D16" s="155">
        <f>'Raw FS'!M61</f>
        <v>1205.8</v>
      </c>
      <c r="E16" s="155">
        <f>'Raw FS'!N61</f>
        <v>8.1999999999999993</v>
      </c>
      <c r="F16" s="155">
        <f>D16*E16</f>
        <v>9887.56</v>
      </c>
      <c r="G16" s="155">
        <f>'Raw FS'!AS61</f>
        <v>1978.7099999999998</v>
      </c>
      <c r="H16" s="155">
        <f>'Raw FS'!AT61</f>
        <v>11872.289999999999</v>
      </c>
      <c r="I16" s="150">
        <f>IF(G16&gt;0, F16/G16, "N/A")</f>
        <v>4.9969727751919182</v>
      </c>
      <c r="J16" s="150">
        <f>IF(H16&gt;0, F16/H16, "N/A")</f>
        <v>0.83282669139652088</v>
      </c>
      <c r="K16" s="155">
        <f>'Raw FS'!AU61</f>
        <v>2302.04</v>
      </c>
      <c r="L16" s="155">
        <f>'Raw FS'!AV61</f>
        <v>345.31</v>
      </c>
      <c r="M16" s="155">
        <f>'Raw FS'!AW61</f>
        <v>106.64</v>
      </c>
      <c r="N16" s="150"/>
      <c r="O16" s="151">
        <f>IFERROR($H16/K16, "N/A")</f>
        <v>5.1572909245712495</v>
      </c>
      <c r="P16" s="151">
        <f>IFERROR($H16/L16, "N/A")</f>
        <v>34.38154122382786</v>
      </c>
      <c r="Q16" s="151">
        <f>IFERROR(F16/M16, "N/A")</f>
        <v>92.71905476369092</v>
      </c>
    </row>
    <row r="17" spans="2:17" x14ac:dyDescent="0.3">
      <c r="B17" s="150" t="str">
        <f>'Raw FS'!L62</f>
        <v>Mercury EV-Tech</v>
      </c>
      <c r="C17" s="150" t="s">
        <v>8622</v>
      </c>
      <c r="D17" s="155">
        <f>'Raw FS'!M62</f>
        <v>39.81</v>
      </c>
      <c r="E17" s="155">
        <f>'Raw FS'!N62</f>
        <v>19.02</v>
      </c>
      <c r="F17" s="155">
        <f>D17*E17</f>
        <v>757.18619999999999</v>
      </c>
      <c r="G17" s="155">
        <f>'Raw FS'!AS62</f>
        <v>151.44999999999999</v>
      </c>
      <c r="H17" s="155">
        <f>'Raw FS'!AT62</f>
        <v>908.68000000000006</v>
      </c>
      <c r="I17" s="150">
        <f>IF(G17&gt;0, F17/G17, "N/A")</f>
        <v>4.9995787388577089</v>
      </c>
      <c r="J17" s="150">
        <f>IF(H17&gt;0, F17/H17, "N/A")</f>
        <v>0.83328146322137597</v>
      </c>
      <c r="K17" s="155">
        <f>'Raw FS'!AU62</f>
        <v>133.52000000000001</v>
      </c>
      <c r="L17" s="155">
        <f>'Raw FS'!AV62</f>
        <v>20.03</v>
      </c>
      <c r="M17" s="155">
        <f>'Raw FS'!AW62</f>
        <v>6.6</v>
      </c>
      <c r="N17" s="150"/>
      <c r="O17" s="151">
        <f>IFERROR($H17/K17, "N/A")</f>
        <v>6.8055721989215101</v>
      </c>
      <c r="P17" s="151">
        <f>IFERROR($H17/L17, "N/A")</f>
        <v>45.365951073389915</v>
      </c>
      <c r="Q17" s="151">
        <f>IFERROR(F17/M17, "N/A")</f>
        <v>114.72518181818182</v>
      </c>
    </row>
    <row r="18" spans="2:17" x14ac:dyDescent="0.3">
      <c r="B18" s="150"/>
      <c r="C18" s="150"/>
      <c r="D18" s="155"/>
      <c r="E18" s="155"/>
      <c r="F18" s="155"/>
      <c r="G18" s="155"/>
      <c r="H18" s="155"/>
      <c r="I18" s="150"/>
      <c r="J18" s="150"/>
      <c r="K18" s="155"/>
      <c r="L18" s="155"/>
      <c r="M18" s="155"/>
      <c r="N18" s="150"/>
      <c r="O18" s="151"/>
      <c r="P18" s="151"/>
      <c r="Q18" s="151"/>
    </row>
    <row r="19" spans="2:17" x14ac:dyDescent="0.3">
      <c r="B19" s="150"/>
      <c r="C19" s="150"/>
      <c r="D19" s="155"/>
      <c r="E19" s="155"/>
      <c r="F19" s="155"/>
      <c r="G19" s="155"/>
      <c r="H19" s="155"/>
      <c r="I19" s="150"/>
      <c r="J19" s="150"/>
      <c r="K19" s="155"/>
      <c r="L19" s="155"/>
      <c r="M19" s="155"/>
      <c r="N19" s="150"/>
      <c r="O19" s="151"/>
      <c r="P19" s="151"/>
      <c r="Q19" s="151"/>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MAX(I12:I17)</f>
        <v>5.0002973414852816</v>
      </c>
      <c r="J23" s="79">
        <f>MAX(J12:J17)</f>
        <v>0.83338289024754686</v>
      </c>
      <c r="K23" s="79"/>
      <c r="L23" s="79"/>
      <c r="M23" s="79"/>
      <c r="N23" s="79"/>
      <c r="O23" s="86">
        <f>MAX(O12:O17)</f>
        <v>6.8055721989215101</v>
      </c>
      <c r="P23" s="86">
        <f>MAX(P12:P17)</f>
        <v>45.365951073389915</v>
      </c>
      <c r="Q23" s="86">
        <f>MAX(Q12:Q17)</f>
        <v>114.72518181818182</v>
      </c>
    </row>
    <row r="24" spans="2:17" x14ac:dyDescent="0.3">
      <c r="B24" s="79" t="s">
        <v>338</v>
      </c>
      <c r="C24" s="79"/>
      <c r="D24" s="79"/>
      <c r="E24" s="79"/>
      <c r="F24" s="79"/>
      <c r="G24" s="79"/>
      <c r="H24" s="79"/>
      <c r="I24" s="79">
        <f>_xlfn.QUARTILE.INC(I12:I17,1)</f>
        <v>4.9976242661083656</v>
      </c>
      <c r="J24" s="79">
        <f>_xlfn.QUARTILE.INC(J12:J17,1)</f>
        <v>0.83294038435273465</v>
      </c>
      <c r="K24" s="79"/>
      <c r="L24" s="79"/>
      <c r="M24" s="79"/>
      <c r="N24" s="79"/>
      <c r="O24" s="87">
        <f>_xlfn.QUARTILE.INC(O12:O17,1)</f>
        <v>2.3337030509430186</v>
      </c>
      <c r="P24" s="87">
        <f>_xlfn.QUARTILE.INC(P12:P17,1)</f>
        <v>15.558007573160916</v>
      </c>
      <c r="Q24" s="87">
        <f>_xlfn.QUARTILE.INC(Q12:Q17,1)</f>
        <v>28.794875171271514</v>
      </c>
    </row>
    <row r="25" spans="2:17" x14ac:dyDescent="0.3">
      <c r="B25" s="152" t="s">
        <v>160</v>
      </c>
      <c r="C25" s="152"/>
      <c r="D25" s="152"/>
      <c r="E25" s="152"/>
      <c r="F25" s="152"/>
      <c r="G25" s="152"/>
      <c r="H25" s="152"/>
      <c r="I25" s="152">
        <f>MEDIAN(I12:I17)</f>
        <v>4.9996671834808808</v>
      </c>
      <c r="J25" s="152">
        <f>MEDIAN(J12:J17)</f>
        <v>0.83328704307114587</v>
      </c>
      <c r="K25" s="152"/>
      <c r="L25" s="152"/>
      <c r="M25" s="152"/>
      <c r="N25" s="152"/>
      <c r="O25" s="153">
        <f>MEDIAN(O12:O17)</f>
        <v>3.0308711895868861</v>
      </c>
      <c r="P25" s="153">
        <f>MEDIAN(P12:P17)</f>
        <v>20.205780181368659</v>
      </c>
      <c r="Q25" s="153">
        <f>MEDIAN(Q12:Q17)</f>
        <v>41.122954734516412</v>
      </c>
    </row>
    <row r="26" spans="2:17" x14ac:dyDescent="0.3">
      <c r="B26" s="152" t="s">
        <v>339</v>
      </c>
      <c r="C26" s="152"/>
      <c r="D26" s="152"/>
      <c r="E26" s="152"/>
      <c r="F26" s="152"/>
      <c r="G26" s="152"/>
      <c r="H26" s="152"/>
      <c r="I26" s="152">
        <f>AVERAGE(I12:I17)</f>
        <v>4.9968172549874943</v>
      </c>
      <c r="J26" s="152">
        <f>AVERAGE(J12:J17)</f>
        <v>0.83280550444384904</v>
      </c>
      <c r="K26" s="152"/>
      <c r="L26" s="152"/>
      <c r="M26" s="152"/>
      <c r="N26" s="152"/>
      <c r="O26" s="153">
        <f>AVERAGE(O12:O17)</f>
        <v>3.4249328149863421</v>
      </c>
      <c r="P26" s="153">
        <f>AVERAGE(P12:P17)</f>
        <v>22.832054762494206</v>
      </c>
      <c r="Q26" s="153">
        <f>AVERAGE(Q12:Q17)</f>
        <v>57.257096083992963</v>
      </c>
    </row>
    <row r="27" spans="2:17" x14ac:dyDescent="0.3">
      <c r="B27" s="79" t="s">
        <v>340</v>
      </c>
      <c r="C27" s="79"/>
      <c r="D27" s="79"/>
      <c r="E27" s="79"/>
      <c r="F27" s="79"/>
      <c r="G27" s="79"/>
      <c r="H27" s="79"/>
      <c r="I27" s="79">
        <f>_xlfn.QUARTILE.INC(I12:I17,3)</f>
        <v>4.9999466200575817</v>
      </c>
      <c r="J27" s="79">
        <f>_xlfn.QUARTILE.INC(J12:J17,3)</f>
        <v>0.83332453499975723</v>
      </c>
      <c r="K27" s="79"/>
      <c r="L27" s="79"/>
      <c r="M27" s="79"/>
      <c r="N27" s="79"/>
      <c r="O27" s="87">
        <f>_xlfn.QUARTILE.INC(O12:O17,3)</f>
        <v>4.6825203902030204</v>
      </c>
      <c r="P27" s="87">
        <f>_xlfn.QUARTILE.INC(P12:P17,3)</f>
        <v>31.21650278822203</v>
      </c>
      <c r="Q27" s="87">
        <f>_xlfn.QUARTILE.INC(Q12:Q17,3)</f>
        <v>82.017628269770285</v>
      </c>
    </row>
    <row r="28" spans="2:17" x14ac:dyDescent="0.3">
      <c r="B28" s="79" t="s">
        <v>8602</v>
      </c>
      <c r="C28" s="79"/>
      <c r="D28" s="79"/>
      <c r="E28" s="79"/>
      <c r="F28" s="79"/>
      <c r="G28" s="79"/>
      <c r="H28" s="79"/>
      <c r="I28" s="79">
        <f>MIN(I12:I17)</f>
        <v>4.9842887622439109</v>
      </c>
      <c r="J28" s="79">
        <f>MIN(J12:J17)</f>
        <v>0.83071418651736317</v>
      </c>
      <c r="K28" s="79"/>
      <c r="L28" s="79"/>
      <c r="M28" s="79"/>
      <c r="N28" s="79"/>
      <c r="O28" s="86">
        <f>MIN(O12:O17)</f>
        <v>0.34789851668597793</v>
      </c>
      <c r="P28" s="86">
        <f>MIN(P12:P17)</f>
        <v>2.3193234445731861</v>
      </c>
      <c r="Q28" s="86">
        <f>MIN(Q12:Q17)</f>
        <v>26.236783785031626</v>
      </c>
    </row>
    <row r="30" spans="2:17" x14ac:dyDescent="0.3">
      <c r="B30" s="32" t="s">
        <v>8618</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c r="J32" s="150"/>
      <c r="K32" s="150"/>
      <c r="L32" s="150"/>
      <c r="M32" s="150"/>
      <c r="N32" s="150"/>
      <c r="O32" s="155">
        <f>'Raw FS'!AU56*O26</f>
        <v>680325.22943607206</v>
      </c>
      <c r="P32" s="155">
        <f>'Raw FS'!AV56*P26</f>
        <v>1386362.3651786481</v>
      </c>
      <c r="Q32" s="155">
        <f>'Raw FS'!AW56*Q26</f>
        <v>1066241.643276117</v>
      </c>
    </row>
    <row r="33" spans="2:17" x14ac:dyDescent="0.3">
      <c r="B33" s="150" t="s">
        <v>343</v>
      </c>
      <c r="C33" s="150"/>
      <c r="D33" s="150"/>
      <c r="E33" s="150"/>
      <c r="F33" s="150"/>
      <c r="G33" s="150"/>
      <c r="H33" s="150"/>
      <c r="I33" s="150"/>
      <c r="J33" s="150"/>
      <c r="K33" s="150"/>
      <c r="L33" s="150"/>
      <c r="M33" s="150"/>
      <c r="N33" s="150"/>
      <c r="O33" s="155">
        <f>'Raw FS'!AS56</f>
        <v>104957</v>
      </c>
      <c r="P33" s="155">
        <f>'Raw FS'!AS56</f>
        <v>104957</v>
      </c>
      <c r="Q33" s="155">
        <f>'Raw FS'!AS56</f>
        <v>104957</v>
      </c>
    </row>
    <row r="34" spans="2:17" x14ac:dyDescent="0.3">
      <c r="B34" s="150" t="s">
        <v>342</v>
      </c>
      <c r="C34" s="150"/>
      <c r="D34" s="150"/>
      <c r="E34" s="150"/>
      <c r="F34" s="150"/>
      <c r="G34" s="150"/>
      <c r="H34" s="150"/>
      <c r="I34" s="150"/>
      <c r="J34" s="150"/>
      <c r="K34" s="150"/>
      <c r="L34" s="150"/>
      <c r="M34" s="150"/>
      <c r="N34" s="150"/>
      <c r="O34" s="155">
        <f>O32-O33</f>
        <v>575368.22943607206</v>
      </c>
      <c r="P34" s="155">
        <f>P32-P33</f>
        <v>1281405.3651786481</v>
      </c>
      <c r="Q34" s="155">
        <f>Q32</f>
        <v>1066241.643276117</v>
      </c>
    </row>
    <row r="35" spans="2:17" x14ac:dyDescent="0.3">
      <c r="B35" s="150" t="s">
        <v>324</v>
      </c>
      <c r="C35" s="150"/>
      <c r="D35" s="150"/>
      <c r="E35" s="150"/>
      <c r="F35" s="150"/>
      <c r="G35" s="150"/>
      <c r="H35" s="150"/>
      <c r="I35" s="150"/>
      <c r="J35" s="150"/>
      <c r="K35" s="150"/>
      <c r="L35" s="150"/>
      <c r="M35" s="150"/>
      <c r="N35" s="150"/>
      <c r="O35" s="155">
        <f>'Raw FS'!N56</f>
        <v>124.32242225859247</v>
      </c>
      <c r="P35" s="155">
        <f>'Raw FS'!N56</f>
        <v>124.32242225859247</v>
      </c>
      <c r="Q35" s="155">
        <f>'Raw FS'!N56</f>
        <v>124.32242225859247</v>
      </c>
    </row>
    <row r="36" spans="2:17" s="93" customFormat="1" ht="3.6" customHeight="1" x14ac:dyDescent="0.3">
      <c r="O36" s="156"/>
      <c r="P36" s="156"/>
      <c r="Q36" s="156"/>
    </row>
    <row r="37" spans="2:17" x14ac:dyDescent="0.3">
      <c r="B37" s="152" t="s">
        <v>344</v>
      </c>
      <c r="C37" s="152"/>
      <c r="D37" s="152"/>
      <c r="E37" s="152"/>
      <c r="F37" s="152"/>
      <c r="G37" s="152"/>
      <c r="H37" s="152"/>
      <c r="I37" s="152"/>
      <c r="J37" s="152"/>
      <c r="K37" s="152"/>
      <c r="L37" s="152"/>
      <c r="M37" s="152"/>
      <c r="N37" s="152"/>
      <c r="O37" s="157">
        <f>O34/O35</f>
        <v>4628.0326507739501</v>
      </c>
      <c r="P37" s="157">
        <f>P34/P35</f>
        <v>10307.113889024025</v>
      </c>
      <c r="Q37" s="157">
        <f>Q34/Q35</f>
        <v>8576.4226911402893</v>
      </c>
    </row>
    <row r="38" spans="2:17" x14ac:dyDescent="0.3">
      <c r="B38" s="52" t="s">
        <v>345</v>
      </c>
    </row>
    <row r="39" spans="2:17" x14ac:dyDescent="0.3">
      <c r="B39" t="s">
        <v>8623</v>
      </c>
      <c r="O39" t="str">
        <f>IF(O37&gt;'Raw FS'!M56,"Undervalued","Overvalued")</f>
        <v>Undervalued</v>
      </c>
      <c r="P39" t="str">
        <f>IF(P37="N/A","N/A",IF(P37&gt;'Raw FS'!M56,"Undervalued","Overvalued"))</f>
        <v>Undervalued</v>
      </c>
      <c r="Q39" t="str">
        <f>IF(Q37&gt;'Raw FS'!M56,"Undervalued","Overvalued")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MAHINDRA &amp; MAHINDRA LTD</v>
      </c>
      <c r="C2" s="93"/>
      <c r="D2" s="93"/>
      <c r="E2" s="93"/>
      <c r="F2" s="93"/>
      <c r="G2" s="93"/>
      <c r="H2" s="93"/>
      <c r="I2" s="93"/>
    </row>
    <row r="3" spans="1:9" x14ac:dyDescent="0.3">
      <c r="A3" s="93"/>
      <c r="B3" s="93" t="str">
        <f>CONCATENATE("(",VLOOKUP(B2,'List of Stocks'!B2:E5442,3,FALSE)," | ","BSE Code: ",VLOOKUP('Dupont Analysis'!B2,'List of Stocks'!B2:E5442,2,FALSE))</f>
        <v>(M&amp;M | BSE Code: 500520</v>
      </c>
      <c r="C3" s="93"/>
      <c r="D3" s="93"/>
      <c r="E3" s="93"/>
      <c r="F3" s="93"/>
      <c r="H3" s="93"/>
      <c r="I3" s="93"/>
    </row>
    <row r="4" spans="1:9" ht="21" x14ac:dyDescent="0.4">
      <c r="A4" s="93"/>
      <c r="B4" s="98" t="str">
        <f>CONCATENATE(" ","INR "&amp;'Data Sheet'!B8)</f>
        <v xml:space="preserve"> INR 3055</v>
      </c>
      <c r="C4" s="93"/>
      <c r="D4" s="93"/>
      <c r="E4" s="93"/>
      <c r="F4" s="93"/>
      <c r="H4" s="93"/>
      <c r="I4" s="93"/>
    </row>
    <row r="5" spans="1:9" x14ac:dyDescent="0.3">
      <c r="B5" s="58" t="s">
        <v>8624</v>
      </c>
      <c r="C5" s="58"/>
      <c r="D5" s="58"/>
      <c r="E5" s="58"/>
      <c r="F5" s="58"/>
      <c r="G5" s="58"/>
      <c r="H5" s="58"/>
      <c r="I5" s="58"/>
    </row>
    <row r="6" spans="1:9" x14ac:dyDescent="0.3">
      <c r="B6" s="37" t="s">
        <v>8582</v>
      </c>
    </row>
    <row r="7" spans="1:9" ht="4.2" customHeight="1" x14ac:dyDescent="0.3">
      <c r="B7" s="37"/>
    </row>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8626</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8627</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8628</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8629</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8630</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8631</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7253</v>
      </c>
      <c r="F60" s="106">
        <f t="shared" ref="F60:I60" si="0">F66</f>
        <v>11374</v>
      </c>
      <c r="G60" s="106">
        <f t="shared" si="0"/>
        <v>12270</v>
      </c>
      <c r="H60" s="106">
        <f t="shared" si="0"/>
        <v>14073</v>
      </c>
      <c r="I60" s="106">
        <f t="shared" si="0"/>
        <v>18622</v>
      </c>
    </row>
    <row r="61" spans="2:9" x14ac:dyDescent="0.3">
      <c r="B61" t="s">
        <v>346</v>
      </c>
      <c r="E61" s="106">
        <f>E75</f>
        <v>44352.5</v>
      </c>
      <c r="F61" s="106">
        <f t="shared" ref="F61:I61" si="1">F75</f>
        <v>51744.5</v>
      </c>
      <c r="G61" s="106">
        <f t="shared" si="1"/>
        <v>61278</v>
      </c>
      <c r="H61" s="106">
        <f t="shared" si="1"/>
        <v>71614.5</v>
      </c>
      <c r="I61" s="106">
        <f t="shared" si="1"/>
        <v>85068</v>
      </c>
    </row>
    <row r="62" spans="2:9" x14ac:dyDescent="0.3">
      <c r="B62" s="89" t="s">
        <v>59</v>
      </c>
      <c r="C62" s="89"/>
      <c r="D62" s="89"/>
      <c r="E62" s="90">
        <f>E60/E61</f>
        <v>0.16353080435150216</v>
      </c>
      <c r="F62" s="90">
        <f t="shared" ref="F62:I62" si="2">F60/F61</f>
        <v>0.2198108011479481</v>
      </c>
      <c r="G62" s="90">
        <f t="shared" si="2"/>
        <v>0.20023499461470676</v>
      </c>
      <c r="H62" s="90">
        <f t="shared" si="2"/>
        <v>0.19651048321219863</v>
      </c>
      <c r="I62" s="90">
        <f t="shared" si="2"/>
        <v>0.21890722715944891</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7253</v>
      </c>
      <c r="F66" s="106">
        <f>'Data Sheet'!H30</f>
        <v>11374</v>
      </c>
      <c r="G66" s="106">
        <f>'Data Sheet'!I30</f>
        <v>12270</v>
      </c>
      <c r="H66" s="106">
        <f>'Data Sheet'!J30</f>
        <v>14073</v>
      </c>
      <c r="I66" s="106">
        <f>'Data Sheet'!K30</f>
        <v>18622</v>
      </c>
    </row>
    <row r="67" spans="2:9" x14ac:dyDescent="0.3">
      <c r="B67" t="s">
        <v>330</v>
      </c>
      <c r="E67" s="106">
        <f>'Data Sheet'!G17</f>
        <v>90171</v>
      </c>
      <c r="F67" s="106">
        <f>'Data Sheet'!H17</f>
        <v>121362</v>
      </c>
      <c r="G67" s="106">
        <f>'Data Sheet'!I17</f>
        <v>139078</v>
      </c>
      <c r="H67" s="106">
        <f>'Data Sheet'!J17</f>
        <v>159211</v>
      </c>
      <c r="I67" s="106">
        <f>'Data Sheet'!K17</f>
        <v>198639</v>
      </c>
    </row>
    <row r="68" spans="2:9" x14ac:dyDescent="0.3">
      <c r="B68" s="89" t="s">
        <v>348</v>
      </c>
      <c r="C68" s="89"/>
      <c r="D68" s="89"/>
      <c r="E68" s="90">
        <f>E66/E67</f>
        <v>8.0436060374177956E-2</v>
      </c>
      <c r="F68" s="90">
        <f t="shared" ref="F68:I68" si="3">F66/F67</f>
        <v>9.3719615695192895E-2</v>
      </c>
      <c r="G68" s="90">
        <f t="shared" si="3"/>
        <v>8.8223874372654193E-2</v>
      </c>
      <c r="H68" s="90">
        <f t="shared" si="3"/>
        <v>8.8392133709354254E-2</v>
      </c>
      <c r="I68" s="90">
        <f t="shared" si="3"/>
        <v>9.3747954832636093E-2</v>
      </c>
    </row>
    <row r="70" spans="2:9" x14ac:dyDescent="0.3">
      <c r="B70" t="s">
        <v>330</v>
      </c>
      <c r="E70" s="106">
        <f>E67</f>
        <v>90171</v>
      </c>
      <c r="F70" s="106">
        <f t="shared" ref="F70:I70" si="4">F67</f>
        <v>121362</v>
      </c>
      <c r="G70" s="106">
        <f t="shared" si="4"/>
        <v>139078</v>
      </c>
      <c r="H70" s="106">
        <f t="shared" si="4"/>
        <v>159211</v>
      </c>
      <c r="I70" s="106">
        <f t="shared" si="4"/>
        <v>198639</v>
      </c>
    </row>
    <row r="71" spans="2:9" x14ac:dyDescent="0.3">
      <c r="B71" t="s">
        <v>349</v>
      </c>
      <c r="E71" s="106">
        <f>SUM('Data Sheet'!F66:G66)/2</f>
        <v>168678</v>
      </c>
      <c r="F71" s="106">
        <f>SUM('Data Sheet'!G66:H66)/2</f>
        <v>188335.5</v>
      </c>
      <c r="G71" s="106">
        <f>SUM('Data Sheet'!H66:I66)/2</f>
        <v>219502.5</v>
      </c>
      <c r="H71" s="106">
        <f>SUM('Data Sheet'!I66:J66)/2</f>
        <v>255367.5</v>
      </c>
      <c r="I71" s="106">
        <f>SUM('Data Sheet'!J66:K66)/2</f>
        <v>296033.5</v>
      </c>
    </row>
    <row r="72" spans="2:9" x14ac:dyDescent="0.3">
      <c r="B72" s="89" t="s">
        <v>350</v>
      </c>
      <c r="C72" s="89"/>
      <c r="D72" s="89"/>
      <c r="E72" s="154">
        <f>E70/E71</f>
        <v>0.5345747518941415</v>
      </c>
      <c r="F72" s="154">
        <f t="shared" ref="F72:I72" si="5">F70/F71</f>
        <v>0.64439258663395904</v>
      </c>
      <c r="G72" s="154">
        <f t="shared" si="5"/>
        <v>0.63360553980023004</v>
      </c>
      <c r="H72" s="154">
        <f t="shared" si="5"/>
        <v>0.62345834924177901</v>
      </c>
      <c r="I72" s="154">
        <f t="shared" si="5"/>
        <v>0.67100176162495118</v>
      </c>
    </row>
    <row r="74" spans="2:9" x14ac:dyDescent="0.3">
      <c r="B74" t="s">
        <v>349</v>
      </c>
      <c r="E74" s="106">
        <f>E71</f>
        <v>168678</v>
      </c>
      <c r="F74" s="106">
        <f t="shared" ref="F74:I74" si="6">F71</f>
        <v>188335.5</v>
      </c>
      <c r="G74" s="106">
        <f t="shared" si="6"/>
        <v>219502.5</v>
      </c>
      <c r="H74" s="106">
        <f t="shared" si="6"/>
        <v>255367.5</v>
      </c>
      <c r="I74" s="106">
        <f t="shared" si="6"/>
        <v>296033.5</v>
      </c>
    </row>
    <row r="75" spans="2:9" x14ac:dyDescent="0.3">
      <c r="B75" t="s">
        <v>346</v>
      </c>
      <c r="E75" s="106">
        <f>(SUM('Data Sheet'!F57:F58)+SUM('Data Sheet'!G57:G58))/2</f>
        <v>44352.5</v>
      </c>
      <c r="F75" s="106">
        <f>(SUM('Data Sheet'!G57:G58)+SUM('Data Sheet'!H57:H58))/2</f>
        <v>51744.5</v>
      </c>
      <c r="G75" s="106">
        <f>(SUM('Data Sheet'!H57:H58)+SUM('Data Sheet'!I57:I58))/2</f>
        <v>61278</v>
      </c>
      <c r="H75" s="106">
        <f>(SUM('Data Sheet'!I57:I58)+SUM('Data Sheet'!J57:J58))/2</f>
        <v>71614.5</v>
      </c>
      <c r="I75" s="106">
        <f>(SUM('Data Sheet'!J57:J58)+SUM('Data Sheet'!K57:K58))/2</f>
        <v>85068</v>
      </c>
    </row>
    <row r="76" spans="2:9" x14ac:dyDescent="0.3">
      <c r="B76" s="89" t="s">
        <v>351</v>
      </c>
      <c r="C76" s="89"/>
      <c r="D76" s="89"/>
      <c r="E76" s="100">
        <f>E74/E75</f>
        <v>3.8031227101065328</v>
      </c>
      <c r="F76" s="100">
        <f t="shared" ref="F76:I76" si="7">F74/F75</f>
        <v>3.6397201634956371</v>
      </c>
      <c r="G76" s="100">
        <f t="shared" si="7"/>
        <v>3.582076764907471</v>
      </c>
      <c r="H76" s="100">
        <f t="shared" si="7"/>
        <v>3.5658630584588318</v>
      </c>
      <c r="I76" s="100">
        <f t="shared" si="7"/>
        <v>3.479963088352847</v>
      </c>
    </row>
    <row r="78" spans="2:9" x14ac:dyDescent="0.3">
      <c r="B78" s="89" t="s">
        <v>352</v>
      </c>
      <c r="C78" s="89"/>
      <c r="D78" s="89"/>
      <c r="E78" s="90">
        <f>E68*E72*E76</f>
        <v>0.16353080435150216</v>
      </c>
      <c r="F78" s="90">
        <f t="shared" ref="F78:I78" si="8">F68*F72*F76</f>
        <v>0.21981080114794807</v>
      </c>
      <c r="G78" s="90">
        <f t="shared" si="8"/>
        <v>0.20023499461470676</v>
      </c>
      <c r="H78" s="90">
        <f t="shared" si="8"/>
        <v>0.19651048321219866</v>
      </c>
      <c r="I78" s="90">
        <f t="shared" si="8"/>
        <v>0.21890722715944891</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7253</v>
      </c>
      <c r="F82" s="106">
        <f t="shared" ref="F82:I82" si="9">F66</f>
        <v>11374</v>
      </c>
      <c r="G82" s="106">
        <f t="shared" si="9"/>
        <v>12270</v>
      </c>
      <c r="H82" s="106">
        <f t="shared" si="9"/>
        <v>14073</v>
      </c>
      <c r="I82" s="106">
        <f t="shared" si="9"/>
        <v>18622</v>
      </c>
    </row>
    <row r="83" spans="2:9" x14ac:dyDescent="0.3">
      <c r="B83" t="s">
        <v>349</v>
      </c>
      <c r="E83" s="106">
        <f>E74</f>
        <v>168678</v>
      </c>
      <c r="F83" s="106">
        <f t="shared" ref="F83:I83" si="10">F74</f>
        <v>188335.5</v>
      </c>
      <c r="G83" s="106">
        <f t="shared" si="10"/>
        <v>219502.5</v>
      </c>
      <c r="H83" s="106">
        <f t="shared" si="10"/>
        <v>255367.5</v>
      </c>
      <c r="I83" s="106">
        <f t="shared" si="10"/>
        <v>296033.5</v>
      </c>
    </row>
    <row r="84" spans="2:9" x14ac:dyDescent="0.3">
      <c r="B84" s="89" t="s">
        <v>353</v>
      </c>
      <c r="C84" s="89"/>
      <c r="D84" s="89"/>
      <c r="E84" s="90">
        <f>E82/E83</f>
        <v>4.2999087017868365E-2</v>
      </c>
      <c r="F84" s="90">
        <f t="shared" ref="F84:I84" si="11">F82/F83</f>
        <v>6.0392225576165935E-2</v>
      </c>
      <c r="G84" s="90">
        <f t="shared" si="11"/>
        <v>5.5899135545153245E-2</v>
      </c>
      <c r="H84" s="90">
        <f t="shared" si="11"/>
        <v>5.5108813768392613E-2</v>
      </c>
      <c r="I84" s="90">
        <f t="shared" si="11"/>
        <v>6.290504284143518E-2</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7253</v>
      </c>
      <c r="F88" s="106">
        <f t="shared" ref="F88:I88" si="12">F66</f>
        <v>11374</v>
      </c>
      <c r="G88" s="106">
        <f t="shared" si="12"/>
        <v>12270</v>
      </c>
      <c r="H88" s="106">
        <f t="shared" si="12"/>
        <v>14073</v>
      </c>
      <c r="I88" s="106">
        <f t="shared" si="12"/>
        <v>18622</v>
      </c>
    </row>
    <row r="89" spans="2:9" x14ac:dyDescent="0.3">
      <c r="B89" t="s">
        <v>330</v>
      </c>
      <c r="E89" s="106">
        <f>E67</f>
        <v>90171</v>
      </c>
      <c r="F89" s="106">
        <f t="shared" ref="F89:I89" si="13">F67</f>
        <v>121362</v>
      </c>
      <c r="G89" s="106">
        <f t="shared" si="13"/>
        <v>139078</v>
      </c>
      <c r="H89" s="106">
        <f t="shared" si="13"/>
        <v>159211</v>
      </c>
      <c r="I89" s="106">
        <f t="shared" si="13"/>
        <v>198639</v>
      </c>
    </row>
    <row r="90" spans="2:9" x14ac:dyDescent="0.3">
      <c r="B90" s="89" t="s">
        <v>348</v>
      </c>
      <c r="C90" s="89"/>
      <c r="D90" s="89"/>
      <c r="E90" s="91">
        <f>E68</f>
        <v>8.0436060374177956E-2</v>
      </c>
      <c r="F90" s="91">
        <f t="shared" ref="F90:I90" si="14">F68</f>
        <v>9.3719615695192895E-2</v>
      </c>
      <c r="G90" s="91">
        <f t="shared" si="14"/>
        <v>8.8223874372654193E-2</v>
      </c>
      <c r="H90" s="91">
        <f t="shared" si="14"/>
        <v>8.8392133709354254E-2</v>
      </c>
      <c r="I90" s="91">
        <f t="shared" si="14"/>
        <v>9.3747954832636093E-2</v>
      </c>
    </row>
    <row r="92" spans="2:9" x14ac:dyDescent="0.3">
      <c r="B92" t="s">
        <v>330</v>
      </c>
      <c r="E92" s="106">
        <f>E67</f>
        <v>90171</v>
      </c>
      <c r="F92" s="106">
        <f t="shared" ref="F92:I92" si="15">F67</f>
        <v>121362</v>
      </c>
      <c r="G92" s="106">
        <f t="shared" si="15"/>
        <v>139078</v>
      </c>
      <c r="H92" s="106">
        <f t="shared" si="15"/>
        <v>159211</v>
      </c>
      <c r="I92" s="106">
        <f t="shared" si="15"/>
        <v>198639</v>
      </c>
    </row>
    <row r="93" spans="2:9" x14ac:dyDescent="0.3">
      <c r="B93" t="s">
        <v>349</v>
      </c>
      <c r="E93" s="106">
        <f>E71</f>
        <v>168678</v>
      </c>
      <c r="F93" s="106">
        <f t="shared" ref="F93:I93" si="16">F71</f>
        <v>188335.5</v>
      </c>
      <c r="G93" s="106">
        <f t="shared" si="16"/>
        <v>219502.5</v>
      </c>
      <c r="H93" s="106">
        <f t="shared" si="16"/>
        <v>255367.5</v>
      </c>
      <c r="I93" s="106">
        <f t="shared" si="16"/>
        <v>296033.5</v>
      </c>
    </row>
    <row r="94" spans="2:9" x14ac:dyDescent="0.3">
      <c r="B94" s="89" t="s">
        <v>350</v>
      </c>
      <c r="C94" s="89"/>
      <c r="D94" s="89"/>
      <c r="E94" s="90">
        <f>E72</f>
        <v>0.5345747518941415</v>
      </c>
      <c r="F94" s="90">
        <f t="shared" ref="F94:I94" si="17">F72</f>
        <v>0.64439258663395904</v>
      </c>
      <c r="G94" s="90">
        <f t="shared" si="17"/>
        <v>0.63360553980023004</v>
      </c>
      <c r="H94" s="90">
        <f t="shared" si="17"/>
        <v>0.62345834924177901</v>
      </c>
      <c r="I94" s="90">
        <f t="shared" si="17"/>
        <v>0.67100176162495118</v>
      </c>
    </row>
    <row r="96" spans="2:9" x14ac:dyDescent="0.3">
      <c r="B96" s="89" t="s">
        <v>355</v>
      </c>
      <c r="C96" s="89"/>
      <c r="D96" s="89"/>
      <c r="E96" s="90">
        <f>E90*E94</f>
        <v>4.2999087017868365E-2</v>
      </c>
      <c r="F96" s="90">
        <f t="shared" ref="F96:I96" si="18">F90*F94</f>
        <v>6.0392225576165935E-2</v>
      </c>
      <c r="G96" s="90">
        <f t="shared" si="18"/>
        <v>5.5899135545153245E-2</v>
      </c>
      <c r="H96" s="90">
        <f t="shared" si="18"/>
        <v>5.5108813768392613E-2</v>
      </c>
      <c r="I96" s="90">
        <f t="shared" si="18"/>
        <v>6.290504284143518E-2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MAHINDRA &amp; MAHINDRA LTD</v>
      </c>
      <c r="C2" s="93"/>
      <c r="D2" s="93"/>
      <c r="E2" s="93"/>
      <c r="F2" s="93"/>
      <c r="G2" s="93"/>
      <c r="H2" s="93"/>
      <c r="I2" s="93"/>
    </row>
    <row r="3" spans="1:9" x14ac:dyDescent="0.3">
      <c r="A3" s="93"/>
      <c r="B3" s="93" t="str">
        <f>CONCATENATE("(",VLOOKUP(B2,'List of Stocks'!B2:E5442,3,FALSE)," | ","BSE Code: ",VLOOKUP('Altman''s Z Score'!B2,'List of Stocks'!B2:E5442,2,FALSE))</f>
        <v>(M&amp;M | BSE Code: 500520</v>
      </c>
      <c r="C3" s="93"/>
      <c r="D3" s="93"/>
      <c r="E3" s="93"/>
      <c r="F3" s="93"/>
      <c r="G3" s="93"/>
      <c r="H3" s="93"/>
      <c r="I3" s="93"/>
    </row>
    <row r="4" spans="1:9" ht="21" x14ac:dyDescent="0.4">
      <c r="A4" s="93"/>
      <c r="B4" s="98" t="str">
        <f>CONCATENATE(" ","INR "&amp;'Data Sheet'!B8)</f>
        <v xml:space="preserve"> INR 3055</v>
      </c>
      <c r="C4" s="93"/>
      <c r="D4" s="93"/>
      <c r="E4" s="93"/>
      <c r="F4" s="93"/>
      <c r="H4" s="93"/>
      <c r="I4" s="93"/>
    </row>
    <row r="5" spans="1:9" x14ac:dyDescent="0.3">
      <c r="B5" s="58" t="s">
        <v>8624</v>
      </c>
      <c r="C5" s="58"/>
      <c r="D5" s="58"/>
      <c r="E5" s="58"/>
      <c r="F5" s="58"/>
      <c r="G5" s="58"/>
      <c r="H5" s="58"/>
      <c r="I5" s="58"/>
    </row>
    <row r="6" spans="1:9" x14ac:dyDescent="0.3">
      <c r="B6" s="37" t="s">
        <v>8582</v>
      </c>
    </row>
    <row r="7" spans="1:9" ht="6.6" customHeight="1" x14ac:dyDescent="0.3"/>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8626</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8627</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8628</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8629</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8630</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8631</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61946</v>
      </c>
      <c r="F59" s="106">
        <f>'Data Sheet'!H65-'Data Sheet'!H60</f>
        <v>82632</v>
      </c>
      <c r="G59" s="106">
        <f>'Data Sheet'!I65-'Data Sheet'!I60</f>
        <v>103461</v>
      </c>
      <c r="H59" s="106">
        <f>'Data Sheet'!J65-'Data Sheet'!J60</f>
        <v>121821</v>
      </c>
      <c r="I59" s="106">
        <f>'Data Sheet'!K65-'Data Sheet'!K60</f>
        <v>143510</v>
      </c>
    </row>
    <row r="60" spans="2:9" x14ac:dyDescent="0.3">
      <c r="B60" t="s">
        <v>96</v>
      </c>
      <c r="E60" s="106">
        <f>'Data Sheet'!G66</f>
        <v>172388</v>
      </c>
      <c r="F60" s="106">
        <f>'Data Sheet'!H66</f>
        <v>204283</v>
      </c>
      <c r="G60" s="106">
        <f>'Data Sheet'!I66</f>
        <v>234722</v>
      </c>
      <c r="H60" s="106">
        <f>'Data Sheet'!J66</f>
        <v>276013</v>
      </c>
      <c r="I60" s="106">
        <f>'Data Sheet'!K66</f>
        <v>316054</v>
      </c>
    </row>
    <row r="61" spans="2:9" x14ac:dyDescent="0.3">
      <c r="B61" s="89" t="s">
        <v>8588</v>
      </c>
      <c r="C61" s="89"/>
      <c r="D61" s="89"/>
      <c r="E61" s="90">
        <f>E59/E60</f>
        <v>0.35934055734737919</v>
      </c>
      <c r="F61" s="90">
        <f t="shared" ref="F61:I61" si="0">F59/F60</f>
        <v>0.40449768213703541</v>
      </c>
      <c r="G61" s="90">
        <f t="shared" si="0"/>
        <v>0.44078100902344047</v>
      </c>
      <c r="H61" s="90">
        <f t="shared" si="0"/>
        <v>0.44135964610362555</v>
      </c>
      <c r="I61" s="90">
        <f t="shared" si="0"/>
        <v>0.45406797572566715</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46567</v>
      </c>
      <c r="F65" s="106">
        <f>'Data Sheet'!H58</f>
        <v>55809</v>
      </c>
      <c r="G65" s="106">
        <f>'Data Sheet'!I58</f>
        <v>65633</v>
      </c>
      <c r="H65" s="106">
        <f>'Data Sheet'!J58</f>
        <v>76481</v>
      </c>
      <c r="I65" s="106">
        <f>'Data Sheet'!K58</f>
        <v>92538</v>
      </c>
    </row>
    <row r="66" spans="2:9" x14ac:dyDescent="0.3">
      <c r="B66" t="s">
        <v>96</v>
      </c>
      <c r="E66" s="106">
        <f>E60</f>
        <v>172388</v>
      </c>
      <c r="F66" s="106">
        <f t="shared" ref="F66:I66" si="1">F60</f>
        <v>204283</v>
      </c>
      <c r="G66" s="106">
        <f t="shared" si="1"/>
        <v>234722</v>
      </c>
      <c r="H66" s="106">
        <f t="shared" si="1"/>
        <v>276013</v>
      </c>
      <c r="I66" s="106">
        <f t="shared" si="1"/>
        <v>316054</v>
      </c>
    </row>
    <row r="67" spans="2:9" x14ac:dyDescent="0.3">
      <c r="B67" s="89" t="s">
        <v>8589</v>
      </c>
      <c r="C67" s="89"/>
      <c r="D67" s="89"/>
      <c r="E67" s="90">
        <f>E65/E66</f>
        <v>0.27012901130009048</v>
      </c>
      <c r="F67" s="90">
        <f t="shared" ref="F67:I67" si="2">F65/F66</f>
        <v>0.27319453894841961</v>
      </c>
      <c r="G67" s="90">
        <f t="shared" si="2"/>
        <v>0.27962014638593741</v>
      </c>
      <c r="H67" s="90">
        <f t="shared" si="2"/>
        <v>0.27709202102799507</v>
      </c>
      <c r="I67" s="90">
        <f t="shared" si="2"/>
        <v>0.29279173812070092</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14380</v>
      </c>
      <c r="F71" s="106">
        <f>'Intrinsic Valuation'!I47</f>
        <v>19890</v>
      </c>
      <c r="G71" s="106">
        <f>'Intrinsic Valuation'!J47</f>
        <v>23466</v>
      </c>
      <c r="H71" s="106">
        <f>'Intrinsic Valuation'!K47</f>
        <v>28163</v>
      </c>
      <c r="I71" s="106">
        <f>'Intrinsic Valuation'!L47</f>
        <v>34776</v>
      </c>
    </row>
    <row r="72" spans="2:9" x14ac:dyDescent="0.3">
      <c r="B72" t="s">
        <v>96</v>
      </c>
      <c r="E72" s="106">
        <f>E66</f>
        <v>172388</v>
      </c>
      <c r="F72" s="106">
        <f t="shared" ref="F72:I72" si="3">F66</f>
        <v>204283</v>
      </c>
      <c r="G72" s="106">
        <f t="shared" si="3"/>
        <v>234722</v>
      </c>
      <c r="H72" s="106">
        <f t="shared" si="3"/>
        <v>276013</v>
      </c>
      <c r="I72" s="106">
        <f t="shared" si="3"/>
        <v>316054</v>
      </c>
    </row>
    <row r="73" spans="2:9" x14ac:dyDescent="0.3">
      <c r="B73" s="89" t="s">
        <v>8590</v>
      </c>
      <c r="C73" s="89"/>
      <c r="D73" s="89"/>
      <c r="E73" s="90">
        <f>E71/E72</f>
        <v>8.3416479105274152E-2</v>
      </c>
      <c r="F73" s="90">
        <f t="shared" ref="F73:I73" si="4">F71/F72</f>
        <v>9.7364930023545765E-2</v>
      </c>
      <c r="G73" s="90">
        <f t="shared" si="4"/>
        <v>9.9973585773809021E-2</v>
      </c>
      <c r="H73" s="90">
        <f t="shared" si="4"/>
        <v>0.10203504907377552</v>
      </c>
      <c r="I73" s="90">
        <f t="shared" si="4"/>
        <v>0.11003183000373354</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98018.354999999996</v>
      </c>
      <c r="F77" s="106">
        <f>'Data Sheet'!H90*'Data Sheet'!H93</f>
        <v>169802.11</v>
      </c>
      <c r="G77" s="106">
        <f>'Data Sheet'!I90*'Data Sheet'!I93</f>
        <v>262359.38499999995</v>
      </c>
      <c r="H77" s="106">
        <f>'Data Sheet'!J90*'Data Sheet'!J93</f>
        <v>346015.63499999995</v>
      </c>
      <c r="I77" s="106">
        <f>'Data Sheet'!K90*'Data Sheet'!K93</f>
        <v>454741.99</v>
      </c>
    </row>
    <row r="78" spans="2:9" x14ac:dyDescent="0.3">
      <c r="B78" t="s">
        <v>8593</v>
      </c>
      <c r="E78" s="106">
        <f>SUM('Data Sheet'!G59:G60)</f>
        <v>125266</v>
      </c>
      <c r="F78" s="106">
        <f>SUM('Data Sheet'!H59:H60)</f>
        <v>147917</v>
      </c>
      <c r="G78" s="106">
        <f>SUM('Data Sheet'!I59:I60)</f>
        <v>168531</v>
      </c>
      <c r="H78" s="106">
        <f>SUM('Data Sheet'!J59:J60)</f>
        <v>198975</v>
      </c>
      <c r="I78" s="106">
        <f>SUM('Data Sheet'!K59:K60)</f>
        <v>222957</v>
      </c>
    </row>
    <row r="79" spans="2:9" x14ac:dyDescent="0.3">
      <c r="B79" s="89" t="s">
        <v>8591</v>
      </c>
      <c r="C79" s="89"/>
      <c r="D79" s="89"/>
      <c r="E79" s="90">
        <f>E77/E78</f>
        <v>0.7824817189021761</v>
      </c>
      <c r="F79" s="90">
        <f t="shared" ref="F79:I79" si="5">F77/F78</f>
        <v>1.1479553398189524</v>
      </c>
      <c r="G79" s="90">
        <f t="shared" si="5"/>
        <v>1.5567425874171514</v>
      </c>
      <c r="H79" s="90">
        <f t="shared" si="5"/>
        <v>1.738990501319261</v>
      </c>
      <c r="I79" s="90">
        <f t="shared" si="5"/>
        <v>2.0395950340200129</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90171</v>
      </c>
      <c r="F83" s="106">
        <f>'Data Sheet'!H17</f>
        <v>121362</v>
      </c>
      <c r="G83" s="106">
        <f>'Data Sheet'!I17</f>
        <v>139078</v>
      </c>
      <c r="H83" s="106">
        <f>'Data Sheet'!J17</f>
        <v>159211</v>
      </c>
      <c r="I83" s="106">
        <f>'Data Sheet'!K17</f>
        <v>198639</v>
      </c>
    </row>
    <row r="84" spans="2:9" x14ac:dyDescent="0.3">
      <c r="B84" t="s">
        <v>96</v>
      </c>
      <c r="E84" s="106">
        <f>E72</f>
        <v>172388</v>
      </c>
      <c r="F84" s="106">
        <f t="shared" ref="F84:I84" si="6">F72</f>
        <v>204283</v>
      </c>
      <c r="G84" s="106">
        <f t="shared" si="6"/>
        <v>234722</v>
      </c>
      <c r="H84" s="106">
        <f t="shared" si="6"/>
        <v>276013</v>
      </c>
      <c r="I84" s="106">
        <f t="shared" si="6"/>
        <v>316054</v>
      </c>
    </row>
    <row r="85" spans="2:9" x14ac:dyDescent="0.3">
      <c r="B85" s="89" t="s">
        <v>8595</v>
      </c>
      <c r="C85" s="89"/>
      <c r="D85" s="89"/>
      <c r="E85" s="91">
        <f>E83/E84</f>
        <v>0.52307005127967143</v>
      </c>
      <c r="F85" s="91">
        <f t="shared" ref="F85:I85" si="7">F83/F84</f>
        <v>0.59408761375151142</v>
      </c>
      <c r="G85" s="91">
        <f t="shared" si="7"/>
        <v>0.5925222177725139</v>
      </c>
      <c r="H85" s="91">
        <f t="shared" si="7"/>
        <v>0.57682428001579633</v>
      </c>
      <c r="I85" s="91">
        <f t="shared" si="7"/>
        <v>0.62849702898871707</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2.0772227483053634</v>
      </c>
      <c r="F89" s="76">
        <f t="shared" ref="F89:I89" si="8">(1.2*F61)+(1.4*F67)+(3.3*F73)+(0.6*F79)+(F85*1)</f>
        <v>2.472034659812814</v>
      </c>
      <c r="G89" s="76">
        <f t="shared" si="8"/>
        <v>2.7768860190448152</v>
      </c>
      <c r="H89" s="76">
        <f t="shared" si="8"/>
        <v>2.8744946475143562</v>
      </c>
      <c r="I89" s="76">
        <f t="shared" si="8"/>
        <v>3.1701490926528275</v>
      </c>
    </row>
    <row r="90" spans="2:9" x14ac:dyDescent="0.3">
      <c r="B90" t="s">
        <v>8598</v>
      </c>
      <c r="E90" s="93" t="str">
        <f>IF(E89&lt;1.81,"Distressed",IF(E89&gt;3,"Strong","Grey Zone"))</f>
        <v>Grey Zone</v>
      </c>
      <c r="F90" s="93" t="str">
        <f t="shared" ref="F90:I90" si="9">IF(F89&lt;1.81,"Distressed",IF(F89&gt;3,"Strong","Grey Zone"))</f>
        <v>Grey Zone</v>
      </c>
      <c r="G90" s="93" t="str">
        <f t="shared" si="9"/>
        <v>Grey Zone</v>
      </c>
      <c r="H90" s="93" t="str">
        <f t="shared" si="9"/>
        <v>Grey Zone</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2"/>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71448</v>
      </c>
      <c r="T4" s="48">
        <v>75841</v>
      </c>
      <c r="U4" s="48">
        <v>83773</v>
      </c>
      <c r="V4" s="48">
        <v>92094</v>
      </c>
      <c r="W4" s="48">
        <v>104721</v>
      </c>
      <c r="X4" s="48">
        <v>75382</v>
      </c>
      <c r="Y4" s="48">
        <v>74278</v>
      </c>
      <c r="Z4" s="48">
        <v>90171</v>
      </c>
      <c r="AA4" s="48">
        <v>121362</v>
      </c>
      <c r="AB4" s="48">
        <v>139078</v>
      </c>
      <c r="AC4" s="48">
        <v>159211</v>
      </c>
      <c r="AD4" s="48">
        <v>198639</v>
      </c>
      <c r="AE4" s="48">
        <v>211375</v>
      </c>
    </row>
    <row r="5" spans="2:31" x14ac:dyDescent="0.3">
      <c r="B5" s="35" t="s">
        <v>242</v>
      </c>
      <c r="C5" s="108">
        <v>296</v>
      </c>
      <c r="D5" s="47">
        <v>270</v>
      </c>
      <c r="E5" s="47">
        <v>311</v>
      </c>
      <c r="F5" s="47">
        <v>543</v>
      </c>
      <c r="G5" s="47">
        <v>544</v>
      </c>
      <c r="H5" s="47">
        <v>554</v>
      </c>
      <c r="I5" s="47">
        <v>555</v>
      </c>
      <c r="J5" s="47">
        <v>556</v>
      </c>
      <c r="K5" s="47">
        <v>557</v>
      </c>
      <c r="L5" s="47">
        <v>557</v>
      </c>
      <c r="M5" s="47">
        <v>558</v>
      </c>
      <c r="N5" s="47">
        <v>559</v>
      </c>
      <c r="R5" t="s">
        <v>282</v>
      </c>
      <c r="S5" s="48">
        <v>62655</v>
      </c>
      <c r="T5" s="48">
        <v>65759</v>
      </c>
      <c r="U5" s="48">
        <v>73038</v>
      </c>
      <c r="V5" s="48">
        <v>78868</v>
      </c>
      <c r="W5" s="48">
        <v>89514</v>
      </c>
      <c r="X5" s="48">
        <v>65224</v>
      </c>
      <c r="Y5" s="48">
        <v>62791</v>
      </c>
      <c r="Z5" s="48">
        <v>75488</v>
      </c>
      <c r="AA5" s="48">
        <v>101037</v>
      </c>
      <c r="AB5" s="48">
        <v>114186</v>
      </c>
      <c r="AC5" s="48">
        <v>128693</v>
      </c>
      <c r="AD5" s="48">
        <v>161659</v>
      </c>
      <c r="AE5" s="48">
        <v>171321</v>
      </c>
    </row>
    <row r="6" spans="2:31" x14ac:dyDescent="0.3">
      <c r="B6" t="s">
        <v>25</v>
      </c>
      <c r="C6" s="48">
        <v>25561</v>
      </c>
      <c r="D6" s="48">
        <v>26222</v>
      </c>
      <c r="E6" s="48">
        <v>29467</v>
      </c>
      <c r="F6" s="48">
        <v>36232</v>
      </c>
      <c r="G6" s="48">
        <v>39439</v>
      </c>
      <c r="H6" s="48">
        <v>39415</v>
      </c>
      <c r="I6" s="48">
        <v>41027</v>
      </c>
      <c r="J6" s="48">
        <v>46567</v>
      </c>
      <c r="K6" s="48">
        <v>55809</v>
      </c>
      <c r="L6" s="48">
        <v>65633</v>
      </c>
      <c r="M6" s="48">
        <v>76481</v>
      </c>
      <c r="N6" s="48">
        <v>92538</v>
      </c>
      <c r="O6" s="48"/>
      <c r="R6" t="s">
        <v>8</v>
      </c>
      <c r="S6" s="48">
        <v>8793</v>
      </c>
      <c r="T6" s="48">
        <v>10082</v>
      </c>
      <c r="U6" s="48">
        <v>10735</v>
      </c>
      <c r="V6" s="48">
        <v>13226</v>
      </c>
      <c r="W6" s="48">
        <v>15207</v>
      </c>
      <c r="X6" s="48">
        <v>10158</v>
      </c>
      <c r="Y6" s="48">
        <v>11487</v>
      </c>
      <c r="Z6" s="48">
        <v>14683</v>
      </c>
      <c r="AA6" s="48">
        <v>20325</v>
      </c>
      <c r="AB6" s="48">
        <v>24892</v>
      </c>
      <c r="AC6" s="48">
        <v>30518</v>
      </c>
      <c r="AD6" s="48">
        <v>36980</v>
      </c>
      <c r="AE6" s="48">
        <v>40054</v>
      </c>
    </row>
    <row r="7" spans="2:31" x14ac:dyDescent="0.3">
      <c r="B7" s="48" t="s">
        <v>243</v>
      </c>
      <c r="C7" s="48">
        <v>37911</v>
      </c>
      <c r="D7" s="48">
        <v>41553</v>
      </c>
      <c r="E7" s="48">
        <v>48762</v>
      </c>
      <c r="F7" s="48">
        <v>55898</v>
      </c>
      <c r="G7" s="48">
        <v>70848</v>
      </c>
      <c r="H7" s="48">
        <v>82092</v>
      </c>
      <c r="I7" s="48">
        <v>80625</v>
      </c>
      <c r="J7" s="48">
        <v>77605</v>
      </c>
      <c r="K7" s="48">
        <v>92647</v>
      </c>
      <c r="L7" s="48">
        <v>108647</v>
      </c>
      <c r="M7" s="48">
        <v>129025</v>
      </c>
      <c r="N7" s="48">
        <v>136936</v>
      </c>
      <c r="O7" s="48"/>
      <c r="R7" t="s">
        <v>283</v>
      </c>
      <c r="S7" s="75">
        <v>12</v>
      </c>
      <c r="T7" s="75">
        <v>13</v>
      </c>
      <c r="U7" s="75">
        <v>13</v>
      </c>
      <c r="V7" s="75">
        <v>14</v>
      </c>
      <c r="W7" s="75">
        <v>15</v>
      </c>
      <c r="X7" s="75">
        <v>13</v>
      </c>
      <c r="Y7" s="75">
        <v>15</v>
      </c>
      <c r="Z7" s="75">
        <v>16</v>
      </c>
      <c r="AA7" s="75">
        <v>17</v>
      </c>
      <c r="AB7" s="75">
        <v>18</v>
      </c>
      <c r="AC7" s="75">
        <v>19</v>
      </c>
      <c r="AD7" s="75">
        <v>19</v>
      </c>
      <c r="AE7" s="75">
        <v>19</v>
      </c>
    </row>
    <row r="8" spans="2:31" x14ac:dyDescent="0.3">
      <c r="B8" s="48" t="s">
        <v>244</v>
      </c>
      <c r="C8" s="48">
        <v>22327</v>
      </c>
      <c r="D8" s="48">
        <v>23599</v>
      </c>
      <c r="E8" s="48">
        <v>30125</v>
      </c>
      <c r="F8" s="48">
        <v>33809</v>
      </c>
      <c r="G8" s="48">
        <v>43526</v>
      </c>
      <c r="H8" s="48">
        <v>52298</v>
      </c>
      <c r="I8" s="48">
        <v>52778</v>
      </c>
      <c r="J8" s="48">
        <v>48625</v>
      </c>
      <c r="K8" s="48">
        <v>55427</v>
      </c>
      <c r="L8" s="48">
        <v>69741</v>
      </c>
      <c r="M8" s="48">
        <v>83782</v>
      </c>
      <c r="N8" s="48">
        <v>76443</v>
      </c>
      <c r="R8" t="s">
        <v>284</v>
      </c>
      <c r="S8" s="48">
        <v>800</v>
      </c>
      <c r="T8" s="48">
        <v>1399</v>
      </c>
      <c r="U8" s="48">
        <v>2077</v>
      </c>
      <c r="V8" s="48">
        <v>4366</v>
      </c>
      <c r="W8" s="48">
        <v>2676</v>
      </c>
      <c r="X8" s="48">
        <v>885</v>
      </c>
      <c r="Y8" s="48">
        <v>1152</v>
      </c>
      <c r="Z8" s="48">
        <v>3204</v>
      </c>
      <c r="AA8" s="48">
        <v>3922</v>
      </c>
      <c r="AB8" s="48">
        <v>3298</v>
      </c>
      <c r="AC8" s="48">
        <v>3718</v>
      </c>
      <c r="AD8" s="48">
        <v>5118</v>
      </c>
      <c r="AE8" s="48">
        <v>4369</v>
      </c>
    </row>
    <row r="9" spans="2:31" x14ac:dyDescent="0.3">
      <c r="B9" t="s">
        <v>245</v>
      </c>
      <c r="C9">
        <v>7177</v>
      </c>
      <c r="D9">
        <v>7077</v>
      </c>
      <c r="E9">
        <v>10122</v>
      </c>
      <c r="F9">
        <v>11326</v>
      </c>
      <c r="G9">
        <v>10541</v>
      </c>
      <c r="H9">
        <v>10218</v>
      </c>
      <c r="I9">
        <v>4647</v>
      </c>
      <c r="J9">
        <v>26042</v>
      </c>
      <c r="K9">
        <v>33740</v>
      </c>
      <c r="L9">
        <v>35484</v>
      </c>
      <c r="M9">
        <v>41466</v>
      </c>
      <c r="N9" s="48">
        <v>56145</v>
      </c>
      <c r="R9" t="s">
        <v>11</v>
      </c>
      <c r="S9">
        <v>3157</v>
      </c>
      <c r="T9">
        <v>3368</v>
      </c>
      <c r="U9">
        <v>3648</v>
      </c>
      <c r="V9">
        <v>3987</v>
      </c>
      <c r="W9">
        <v>5021</v>
      </c>
      <c r="X9">
        <v>6021</v>
      </c>
      <c r="Y9">
        <v>6102</v>
      </c>
      <c r="Z9">
        <v>5018</v>
      </c>
      <c r="AA9">
        <v>5830</v>
      </c>
      <c r="AB9">
        <v>7488</v>
      </c>
      <c r="AC9">
        <v>9083</v>
      </c>
      <c r="AD9">
        <v>9591</v>
      </c>
      <c r="AE9">
        <v>9720</v>
      </c>
    </row>
    <row r="10" spans="2:31" x14ac:dyDescent="0.3">
      <c r="B10" t="s">
        <v>246</v>
      </c>
      <c r="C10">
        <v>0</v>
      </c>
      <c r="D10">
        <v>0</v>
      </c>
      <c r="E10">
        <v>0</v>
      </c>
      <c r="F10">
        <v>0</v>
      </c>
      <c r="G10">
        <v>0</v>
      </c>
      <c r="H10">
        <v>0</v>
      </c>
      <c r="I10">
        <v>2666</v>
      </c>
      <c r="J10">
        <v>2938</v>
      </c>
      <c r="K10">
        <v>3480</v>
      </c>
      <c r="L10">
        <v>3422</v>
      </c>
      <c r="M10">
        <v>3776</v>
      </c>
      <c r="N10">
        <v>4349</v>
      </c>
      <c r="O10" s="48"/>
      <c r="R10" t="s">
        <v>10</v>
      </c>
      <c r="S10" s="48">
        <v>2124</v>
      </c>
      <c r="T10" s="48">
        <v>2442</v>
      </c>
      <c r="U10" s="48">
        <v>2813</v>
      </c>
      <c r="V10" s="48">
        <v>3280</v>
      </c>
      <c r="W10" s="48">
        <v>3991</v>
      </c>
      <c r="X10" s="48">
        <v>3367</v>
      </c>
      <c r="Y10" s="48">
        <v>3378</v>
      </c>
      <c r="Z10" s="48">
        <v>3508</v>
      </c>
      <c r="AA10" s="48">
        <v>4357</v>
      </c>
      <c r="AB10" s="48">
        <v>4724</v>
      </c>
      <c r="AC10" s="48">
        <v>6074</v>
      </c>
      <c r="AD10" s="48">
        <v>7322</v>
      </c>
      <c r="AE10" s="48">
        <v>7535</v>
      </c>
    </row>
    <row r="11" spans="2:31" x14ac:dyDescent="0.3">
      <c r="B11" s="48" t="s">
        <v>8601</v>
      </c>
      <c r="C11" s="48">
        <v>8407</v>
      </c>
      <c r="D11" s="48">
        <v>10877</v>
      </c>
      <c r="E11" s="48">
        <v>8516</v>
      </c>
      <c r="F11" s="48">
        <v>10763</v>
      </c>
      <c r="G11" s="48">
        <v>16781</v>
      </c>
      <c r="H11" s="48">
        <v>19577</v>
      </c>
      <c r="I11" s="48">
        <v>20533</v>
      </c>
      <c r="J11" s="48">
        <v>0</v>
      </c>
      <c r="K11" s="48">
        <v>-400</v>
      </c>
      <c r="L11" s="48">
        <v>-2022</v>
      </c>
      <c r="M11" s="48">
        <v>-4075</v>
      </c>
      <c r="N11" s="48">
        <v>-2973</v>
      </c>
      <c r="O11" s="48"/>
      <c r="R11" t="s">
        <v>12</v>
      </c>
      <c r="S11" s="48">
        <v>4313</v>
      </c>
      <c r="T11" s="48">
        <v>5672</v>
      </c>
      <c r="U11" s="48">
        <v>6350</v>
      </c>
      <c r="V11" s="48">
        <v>10326</v>
      </c>
      <c r="W11" s="48">
        <v>8871</v>
      </c>
      <c r="X11" s="48">
        <v>1655</v>
      </c>
      <c r="Y11" s="48">
        <v>3158</v>
      </c>
      <c r="Z11" s="48">
        <v>9362</v>
      </c>
      <c r="AA11" s="48">
        <v>14060</v>
      </c>
      <c r="AB11" s="48">
        <v>15978</v>
      </c>
      <c r="AC11" s="48">
        <v>19080</v>
      </c>
      <c r="AD11" s="48">
        <v>25185</v>
      </c>
      <c r="AE11" s="48">
        <v>27169</v>
      </c>
    </row>
    <row r="12" spans="2:31" x14ac:dyDescent="0.3">
      <c r="B12" s="48" t="s">
        <v>247</v>
      </c>
      <c r="C12" s="48">
        <v>30608</v>
      </c>
      <c r="D12" s="48">
        <v>31806</v>
      </c>
      <c r="E12" s="48">
        <v>35296</v>
      </c>
      <c r="F12" s="48">
        <v>43696</v>
      </c>
      <c r="G12" s="48">
        <v>51057</v>
      </c>
      <c r="H12" s="48">
        <v>43655</v>
      </c>
      <c r="I12" s="48">
        <v>42762</v>
      </c>
      <c r="J12" s="48">
        <v>47661</v>
      </c>
      <c r="K12" s="48">
        <v>55270</v>
      </c>
      <c r="L12" s="48">
        <v>59884</v>
      </c>
      <c r="M12" s="48">
        <v>69950</v>
      </c>
      <c r="N12" s="48">
        <v>86021</v>
      </c>
      <c r="R12" t="s">
        <v>285</v>
      </c>
      <c r="S12" s="75">
        <v>40</v>
      </c>
      <c r="T12" s="75">
        <v>37</v>
      </c>
      <c r="U12" s="75">
        <v>36</v>
      </c>
      <c r="V12" s="75">
        <v>23</v>
      </c>
      <c r="W12" s="75">
        <v>32</v>
      </c>
      <c r="X12" s="75">
        <v>119</v>
      </c>
      <c r="Y12" s="75">
        <v>52</v>
      </c>
      <c r="Z12" s="75">
        <v>23</v>
      </c>
      <c r="AA12" s="75">
        <v>19</v>
      </c>
      <c r="AB12" s="75">
        <v>23</v>
      </c>
      <c r="AC12" s="75">
        <v>26</v>
      </c>
      <c r="AD12" s="75">
        <v>26</v>
      </c>
      <c r="AE12">
        <v>0</v>
      </c>
    </row>
    <row r="13" spans="2:31" x14ac:dyDescent="0.3">
      <c r="B13" t="s">
        <v>248</v>
      </c>
      <c r="C13">
        <v>5892</v>
      </c>
      <c r="D13">
        <v>5920</v>
      </c>
      <c r="E13">
        <v>6357</v>
      </c>
      <c r="F13">
        <v>8250</v>
      </c>
      <c r="G13">
        <v>8361</v>
      </c>
      <c r="H13">
        <v>7692</v>
      </c>
      <c r="I13">
        <v>9070</v>
      </c>
      <c r="J13">
        <v>9703</v>
      </c>
      <c r="K13">
        <v>10716</v>
      </c>
      <c r="L13">
        <v>11319</v>
      </c>
      <c r="M13">
        <v>12059</v>
      </c>
      <c r="N13">
        <v>16395</v>
      </c>
      <c r="O13" s="48"/>
      <c r="R13" t="s">
        <v>286</v>
      </c>
      <c r="S13" s="48">
        <v>3381</v>
      </c>
      <c r="T13" s="48">
        <v>3554</v>
      </c>
      <c r="U13" s="48">
        <v>4051</v>
      </c>
      <c r="V13" s="48">
        <v>7958</v>
      </c>
      <c r="W13" s="48">
        <v>6017</v>
      </c>
      <c r="X13" s="48">
        <v>-321</v>
      </c>
      <c r="Y13" s="48">
        <v>1512</v>
      </c>
      <c r="Z13" s="48">
        <v>7253</v>
      </c>
      <c r="AA13" s="48">
        <v>11374</v>
      </c>
      <c r="AB13" s="48">
        <v>12270</v>
      </c>
      <c r="AC13" s="48">
        <v>14073</v>
      </c>
      <c r="AD13" s="48">
        <v>18622</v>
      </c>
      <c r="AE13" s="48">
        <v>20243</v>
      </c>
    </row>
    <row r="14" spans="2:31" x14ac:dyDescent="0.3">
      <c r="B14" s="48" t="s">
        <v>249</v>
      </c>
      <c r="C14" s="48">
        <v>11421</v>
      </c>
      <c r="D14" s="48">
        <v>13376</v>
      </c>
      <c r="E14" s="48">
        <v>14797</v>
      </c>
      <c r="F14" s="48">
        <v>18287</v>
      </c>
      <c r="G14" s="48">
        <v>20992</v>
      </c>
      <c r="H14" s="48">
        <v>14985</v>
      </c>
      <c r="I14" s="48">
        <v>15506</v>
      </c>
      <c r="J14" s="48">
        <v>19037</v>
      </c>
      <c r="K14" s="48">
        <v>23836</v>
      </c>
      <c r="L14" s="48">
        <v>25666</v>
      </c>
      <c r="M14" s="48">
        <v>30855</v>
      </c>
      <c r="N14" s="48">
        <v>37889</v>
      </c>
      <c r="S14">
        <v>25.26</v>
      </c>
      <c r="T14">
        <v>25.35</v>
      </c>
      <c r="U14">
        <v>29.77</v>
      </c>
      <c r="V14">
        <v>60.41</v>
      </c>
      <c r="W14">
        <v>42.76</v>
      </c>
      <c r="X14">
        <v>1.02</v>
      </c>
      <c r="Y14">
        <v>14.58</v>
      </c>
      <c r="Z14">
        <v>52.91</v>
      </c>
      <c r="AA14">
        <v>82.68</v>
      </c>
      <c r="AB14">
        <v>90.62</v>
      </c>
      <c r="AC14">
        <v>103.97</v>
      </c>
      <c r="AD14">
        <v>137.5</v>
      </c>
      <c r="AE14">
        <v>148.52000000000001</v>
      </c>
    </row>
    <row r="15" spans="2:31" x14ac:dyDescent="0.3">
      <c r="B15" t="s">
        <v>250</v>
      </c>
      <c r="C15">
        <v>0</v>
      </c>
      <c r="D15">
        <v>801</v>
      </c>
      <c r="E15">
        <v>515</v>
      </c>
      <c r="F15">
        <v>844</v>
      </c>
      <c r="G15">
        <v>0</v>
      </c>
      <c r="H15">
        <v>0</v>
      </c>
      <c r="I15">
        <v>0</v>
      </c>
      <c r="J15" s="48">
        <v>0</v>
      </c>
      <c r="K15" s="48">
        <v>0</v>
      </c>
      <c r="L15">
        <v>0</v>
      </c>
      <c r="M15" s="48">
        <v>0</v>
      </c>
      <c r="N15" s="48">
        <v>0</v>
      </c>
      <c r="O15" s="48"/>
      <c r="S15">
        <v>23</v>
      </c>
      <c r="T15">
        <v>21</v>
      </c>
      <c r="U15">
        <v>22</v>
      </c>
      <c r="V15">
        <v>11</v>
      </c>
      <c r="W15">
        <v>17</v>
      </c>
      <c r="X15">
        <v>205</v>
      </c>
      <c r="Y15">
        <v>54</v>
      </c>
      <c r="Z15">
        <v>20</v>
      </c>
      <c r="AA15">
        <v>18</v>
      </c>
      <c r="AB15">
        <v>21</v>
      </c>
      <c r="AC15">
        <v>22</v>
      </c>
      <c r="AD15">
        <v>22</v>
      </c>
      <c r="AE15">
        <v>0</v>
      </c>
    </row>
    <row r="16" spans="2:31" x14ac:dyDescent="0.3">
      <c r="B16" s="48" t="s">
        <v>251</v>
      </c>
      <c r="C16" s="48">
        <v>13295</v>
      </c>
      <c r="D16" s="48">
        <v>11709</v>
      </c>
      <c r="E16" s="48">
        <v>13627</v>
      </c>
      <c r="F16" s="48">
        <v>16314</v>
      </c>
      <c r="G16" s="48">
        <v>21704</v>
      </c>
      <c r="H16" s="48">
        <v>20977</v>
      </c>
      <c r="I16" s="48">
        <v>18185</v>
      </c>
      <c r="J16" s="48">
        <v>18921</v>
      </c>
      <c r="K16" s="48">
        <v>20719</v>
      </c>
      <c r="L16" s="48">
        <v>22900</v>
      </c>
      <c r="M16" s="48">
        <v>27035</v>
      </c>
      <c r="N16" s="48">
        <v>31738</v>
      </c>
      <c r="O16" s="48"/>
    </row>
    <row r="17" spans="2:30" x14ac:dyDescent="0.3">
      <c r="C17" s="48"/>
      <c r="D17" s="48"/>
      <c r="E17" s="48"/>
      <c r="F17" s="48"/>
      <c r="G17" s="48"/>
      <c r="H17" s="48"/>
      <c r="I17" s="48"/>
      <c r="J17" s="48"/>
      <c r="K17" s="48"/>
      <c r="L17" s="48"/>
      <c r="M17" s="48"/>
      <c r="N17" s="48"/>
      <c r="O17" s="73"/>
    </row>
    <row r="18" spans="2:30" x14ac:dyDescent="0.3">
      <c r="B18" s="57" t="s">
        <v>95</v>
      </c>
      <c r="C18" s="71">
        <v>94376</v>
      </c>
      <c r="D18" s="71">
        <v>99852</v>
      </c>
      <c r="E18" s="71">
        <v>113835</v>
      </c>
      <c r="F18" s="71">
        <v>136369</v>
      </c>
      <c r="G18" s="71">
        <v>161889</v>
      </c>
      <c r="H18" s="71">
        <v>165716</v>
      </c>
      <c r="I18" s="71">
        <v>164968</v>
      </c>
      <c r="J18" s="71">
        <v>172388</v>
      </c>
      <c r="K18" s="71">
        <v>204283</v>
      </c>
      <c r="L18" s="71">
        <v>234722</v>
      </c>
      <c r="M18" s="71">
        <v>276013</v>
      </c>
      <c r="N18" s="71">
        <v>316054</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1055</v>
      </c>
      <c r="T19" s="48">
        <v>2385</v>
      </c>
      <c r="U19" s="48">
        <v>183</v>
      </c>
      <c r="V19" s="48">
        <v>682</v>
      </c>
      <c r="W19" s="48">
        <v>-4347</v>
      </c>
      <c r="X19" s="48">
        <v>-1457</v>
      </c>
      <c r="Y19" s="48">
        <v>17909</v>
      </c>
      <c r="Z19" s="48">
        <v>9248</v>
      </c>
      <c r="AA19" s="48">
        <v>-7074</v>
      </c>
      <c r="AB19" s="48">
        <v>-5630</v>
      </c>
      <c r="AC19" s="48">
        <v>3176</v>
      </c>
      <c r="AD19" s="48">
        <v>11657</v>
      </c>
    </row>
    <row r="20" spans="2:30" x14ac:dyDescent="0.3">
      <c r="C20" s="48"/>
      <c r="D20" s="48"/>
      <c r="E20" s="48"/>
      <c r="F20" s="48"/>
      <c r="G20" s="48"/>
      <c r="H20" s="48"/>
      <c r="I20" s="48"/>
      <c r="J20" s="48"/>
      <c r="K20" s="48"/>
      <c r="L20" s="48"/>
      <c r="M20" s="48"/>
      <c r="N20" s="48"/>
      <c r="O20" s="48"/>
      <c r="R20" t="s">
        <v>130</v>
      </c>
      <c r="S20" s="48">
        <v>6454</v>
      </c>
      <c r="T20" s="48">
        <v>7595</v>
      </c>
      <c r="U20" s="48">
        <v>7911</v>
      </c>
      <c r="V20" s="48">
        <v>10159</v>
      </c>
      <c r="W20" s="48">
        <v>11112</v>
      </c>
      <c r="X20" s="48">
        <v>7774</v>
      </c>
      <c r="Y20" s="48">
        <v>7588</v>
      </c>
      <c r="Z20" s="48">
        <v>10515</v>
      </c>
      <c r="AA20" s="48">
        <v>15642</v>
      </c>
      <c r="AB20" s="48">
        <v>17541</v>
      </c>
      <c r="AC20" s="48">
        <v>22050</v>
      </c>
      <c r="AD20" s="48">
        <v>28938</v>
      </c>
    </row>
    <row r="21" spans="2:30" x14ac:dyDescent="0.3">
      <c r="B21" s="73" t="s">
        <v>252</v>
      </c>
      <c r="C21" s="73">
        <v>19047</v>
      </c>
      <c r="D21" s="73">
        <v>20585</v>
      </c>
      <c r="E21" s="73">
        <v>20989</v>
      </c>
      <c r="F21" s="73">
        <v>26182</v>
      </c>
      <c r="G21" s="73">
        <v>28983</v>
      </c>
      <c r="H21" s="73">
        <v>29689</v>
      </c>
      <c r="I21" s="73">
        <v>21380</v>
      </c>
      <c r="J21" s="73">
        <v>26018</v>
      </c>
      <c r="K21" s="73">
        <v>27140</v>
      </c>
      <c r="L21" s="73">
        <v>28129</v>
      </c>
      <c r="M21" s="73">
        <v>34636</v>
      </c>
      <c r="N21" s="73">
        <v>38459</v>
      </c>
      <c r="R21" t="s">
        <v>78</v>
      </c>
      <c r="S21">
        <v>-575</v>
      </c>
      <c r="T21">
        <v>177</v>
      </c>
      <c r="U21">
        <v>-8609</v>
      </c>
      <c r="V21">
        <v>-11918</v>
      </c>
      <c r="W21">
        <v>-13712</v>
      </c>
      <c r="X21" s="48">
        <v>-1516</v>
      </c>
      <c r="Y21">
        <v>4896</v>
      </c>
      <c r="Z21">
        <v>-2506</v>
      </c>
      <c r="AA21">
        <v>-21702</v>
      </c>
      <c r="AB21">
        <v>-21777</v>
      </c>
      <c r="AC21" s="48">
        <v>-20952</v>
      </c>
      <c r="AD21">
        <v>-19186</v>
      </c>
    </row>
    <row r="22" spans="2:30" x14ac:dyDescent="0.3">
      <c r="B22" s="48" t="s">
        <v>253</v>
      </c>
      <c r="C22" s="48">
        <v>3693</v>
      </c>
      <c r="D22" s="48">
        <v>3575</v>
      </c>
      <c r="E22" s="48">
        <v>4027</v>
      </c>
      <c r="F22" s="48">
        <v>4285</v>
      </c>
      <c r="G22" s="48">
        <v>4295</v>
      </c>
      <c r="H22" s="48">
        <v>4511</v>
      </c>
      <c r="I22" s="48">
        <v>1712</v>
      </c>
      <c r="J22" s="48">
        <v>1931</v>
      </c>
      <c r="K22" s="48">
        <v>1977</v>
      </c>
      <c r="L22" s="48">
        <v>2098</v>
      </c>
      <c r="M22" s="48">
        <v>2115</v>
      </c>
      <c r="N22" s="48">
        <v>2166</v>
      </c>
      <c r="O22" s="48"/>
      <c r="R22" t="s">
        <v>45</v>
      </c>
      <c r="S22">
        <v>-62</v>
      </c>
      <c r="T22">
        <v>-1113</v>
      </c>
      <c r="U22">
        <v>241</v>
      </c>
      <c r="V22">
        <v>-256</v>
      </c>
      <c r="W22">
        <v>-2276</v>
      </c>
      <c r="X22">
        <v>1316</v>
      </c>
      <c r="Y22" s="48">
        <v>226</v>
      </c>
      <c r="Z22">
        <v>-2173</v>
      </c>
      <c r="AA22" s="48">
        <v>-5252</v>
      </c>
      <c r="AB22" s="48">
        <v>-1753</v>
      </c>
      <c r="AC22" s="48">
        <v>-1646</v>
      </c>
      <c r="AD22" s="48">
        <v>-593</v>
      </c>
    </row>
    <row r="23" spans="2:30" x14ac:dyDescent="0.3">
      <c r="B23" s="48" t="s">
        <v>254</v>
      </c>
      <c r="C23" s="48">
        <v>7666</v>
      </c>
      <c r="D23" s="48">
        <v>7958</v>
      </c>
      <c r="E23" s="48">
        <v>8084</v>
      </c>
      <c r="F23" s="48">
        <v>8842</v>
      </c>
      <c r="G23" s="48">
        <v>9037</v>
      </c>
      <c r="H23" s="48">
        <v>11956</v>
      </c>
      <c r="I23" s="48">
        <v>8482</v>
      </c>
      <c r="J23" s="48">
        <v>9728</v>
      </c>
      <c r="K23" s="48">
        <v>10862</v>
      </c>
      <c r="L23" s="48">
        <v>11496</v>
      </c>
      <c r="M23" s="48">
        <v>13100</v>
      </c>
      <c r="N23" s="48">
        <v>14886</v>
      </c>
      <c r="O23" s="48"/>
      <c r="R23" t="s">
        <v>131</v>
      </c>
      <c r="S23">
        <v>1169</v>
      </c>
      <c r="T23">
        <v>1939</v>
      </c>
      <c r="U23">
        <v>2645</v>
      </c>
      <c r="V23" s="48">
        <v>5361</v>
      </c>
      <c r="W23">
        <v>3466</v>
      </c>
      <c r="X23">
        <v>-6775</v>
      </c>
      <c r="Y23" s="48">
        <v>7049</v>
      </c>
      <c r="Z23" s="48">
        <v>4972</v>
      </c>
      <c r="AA23" s="48">
        <v>7013</v>
      </c>
      <c r="AB23">
        <v>4354</v>
      </c>
      <c r="AC23" s="48">
        <v>8485</v>
      </c>
      <c r="AD23">
        <v>8763</v>
      </c>
    </row>
    <row r="24" spans="2:30" x14ac:dyDescent="0.3">
      <c r="B24" s="48" t="s">
        <v>255</v>
      </c>
      <c r="C24" s="48">
        <v>25285</v>
      </c>
      <c r="D24" s="48">
        <v>27333</v>
      </c>
      <c r="E24" s="48">
        <v>28316</v>
      </c>
      <c r="F24" s="48">
        <v>32713</v>
      </c>
      <c r="G24" s="48">
        <v>35762</v>
      </c>
      <c r="H24" s="48">
        <v>38492</v>
      </c>
      <c r="I24" s="48">
        <v>22386</v>
      </c>
      <c r="J24" s="48">
        <v>26484</v>
      </c>
      <c r="K24" s="48">
        <v>24928</v>
      </c>
      <c r="L24" s="48">
        <v>27230</v>
      </c>
      <c r="M24" s="48">
        <v>32547</v>
      </c>
      <c r="N24" s="48">
        <v>37437</v>
      </c>
      <c r="R24" t="s">
        <v>132</v>
      </c>
      <c r="S24">
        <v>-3698</v>
      </c>
      <c r="T24">
        <v>-3238</v>
      </c>
      <c r="U24">
        <v>-5724</v>
      </c>
      <c r="V24" s="48">
        <v>-6813</v>
      </c>
      <c r="W24">
        <v>-12522</v>
      </c>
      <c r="X24">
        <v>-6974</v>
      </c>
      <c r="Y24">
        <v>12171</v>
      </c>
      <c r="Z24">
        <v>293</v>
      </c>
      <c r="AA24">
        <v>-19941</v>
      </c>
      <c r="AB24" s="48">
        <v>-19175</v>
      </c>
      <c r="AC24" s="48">
        <v>-14113</v>
      </c>
      <c r="AD24" s="48">
        <v>-11016</v>
      </c>
    </row>
    <row r="25" spans="2:30" x14ac:dyDescent="0.3">
      <c r="B25" t="s">
        <v>256</v>
      </c>
      <c r="C25">
        <v>268</v>
      </c>
      <c r="D25">
        <v>317</v>
      </c>
      <c r="E25">
        <v>351</v>
      </c>
      <c r="F25">
        <v>372</v>
      </c>
      <c r="G25">
        <v>384</v>
      </c>
      <c r="H25">
        <v>417</v>
      </c>
      <c r="I25">
        <v>418</v>
      </c>
      <c r="J25">
        <v>445</v>
      </c>
      <c r="K25">
        <v>452</v>
      </c>
      <c r="L25">
        <v>481</v>
      </c>
      <c r="M25">
        <v>493</v>
      </c>
      <c r="N25">
        <v>542</v>
      </c>
      <c r="R25" t="s">
        <v>133</v>
      </c>
      <c r="S25" s="48">
        <v>-1701</v>
      </c>
      <c r="T25" s="48">
        <v>-1973</v>
      </c>
      <c r="U25" s="48">
        <v>-2005</v>
      </c>
      <c r="V25" s="48">
        <v>-2664</v>
      </c>
      <c r="W25" s="48">
        <v>-2937</v>
      </c>
      <c r="X25" s="48">
        <v>-2257</v>
      </c>
      <c r="Y25" s="48">
        <v>-1850</v>
      </c>
      <c r="Z25" s="48">
        <v>-1560</v>
      </c>
      <c r="AA25" s="48">
        <v>-2775</v>
      </c>
      <c r="AB25" s="48">
        <v>-3996</v>
      </c>
      <c r="AC25" s="48">
        <v>-4761</v>
      </c>
      <c r="AD25" s="48">
        <v>-6265</v>
      </c>
    </row>
    <row r="26" spans="2:30" x14ac:dyDescent="0.3">
      <c r="B26" s="48" t="s">
        <v>257</v>
      </c>
      <c r="C26" s="48">
        <v>909</v>
      </c>
      <c r="D26" s="48">
        <v>944</v>
      </c>
      <c r="E26" s="48">
        <v>974</v>
      </c>
      <c r="F26" s="48">
        <v>1059</v>
      </c>
      <c r="G26" s="48">
        <v>1079</v>
      </c>
      <c r="H26" s="48">
        <v>1160</v>
      </c>
      <c r="I26" s="48">
        <v>805</v>
      </c>
      <c r="J26" s="48">
        <v>844</v>
      </c>
      <c r="K26" s="48">
        <v>925</v>
      </c>
      <c r="L26" s="48">
        <v>1011</v>
      </c>
      <c r="M26" s="48">
        <v>1118</v>
      </c>
      <c r="N26" s="48">
        <v>1245</v>
      </c>
      <c r="R26" t="s">
        <v>134</v>
      </c>
      <c r="S26" s="48">
        <v>-4357</v>
      </c>
      <c r="T26" s="48">
        <v>-5506</v>
      </c>
      <c r="U26" s="48">
        <v>-5875</v>
      </c>
      <c r="V26" s="48">
        <v>-5467</v>
      </c>
      <c r="W26" s="48">
        <v>-7174</v>
      </c>
      <c r="X26" s="48">
        <v>-6870</v>
      </c>
      <c r="Y26" s="48">
        <v>-19686</v>
      </c>
      <c r="Z26" s="48">
        <v>-3252</v>
      </c>
      <c r="AA26" s="48">
        <v>-8866</v>
      </c>
      <c r="AB26" s="48">
        <v>-5615</v>
      </c>
      <c r="AC26">
        <v>-18616</v>
      </c>
      <c r="AD26" s="48">
        <v>-17680</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-4759</v>
      </c>
      <c r="T27" s="48">
        <v>-4172</v>
      </c>
      <c r="U27" s="48">
        <v>-5026</v>
      </c>
      <c r="V27" s="48">
        <v>-5906</v>
      </c>
      <c r="W27" s="48">
        <v>-7340</v>
      </c>
      <c r="X27" s="48">
        <v>-6896</v>
      </c>
      <c r="Y27" s="48">
        <v>-5989</v>
      </c>
      <c r="Z27" s="48">
        <v>-6040</v>
      </c>
      <c r="AA27" s="48">
        <v>-6305</v>
      </c>
      <c r="AB27" s="48">
        <v>-9946</v>
      </c>
      <c r="AC27" s="48">
        <v>-10392</v>
      </c>
      <c r="AD27" s="48">
        <v>-9605</v>
      </c>
    </row>
    <row r="28" spans="2:30" x14ac:dyDescent="0.3">
      <c r="B28" t="s">
        <v>259</v>
      </c>
      <c r="C28">
        <v>615</v>
      </c>
      <c r="D28">
        <v>652</v>
      </c>
      <c r="E28">
        <v>703</v>
      </c>
      <c r="F28">
        <v>788</v>
      </c>
      <c r="G28">
        <v>847</v>
      </c>
      <c r="H28">
        <v>1068</v>
      </c>
      <c r="I28">
        <v>986</v>
      </c>
      <c r="J28">
        <v>1080</v>
      </c>
      <c r="K28">
        <v>1238</v>
      </c>
      <c r="L28">
        <v>1356</v>
      </c>
      <c r="M28">
        <v>1593</v>
      </c>
      <c r="N28">
        <v>1686</v>
      </c>
      <c r="O28" s="48"/>
      <c r="R28" t="s">
        <v>136</v>
      </c>
      <c r="S28" s="48">
        <v>43</v>
      </c>
      <c r="T28" s="48">
        <v>59</v>
      </c>
      <c r="U28" s="48">
        <v>63</v>
      </c>
      <c r="V28" s="48">
        <v>115</v>
      </c>
      <c r="W28" s="48">
        <v>142</v>
      </c>
      <c r="X28" s="48">
        <v>102</v>
      </c>
      <c r="Y28" s="48">
        <v>1364</v>
      </c>
      <c r="Z28" s="48">
        <v>120</v>
      </c>
      <c r="AA28" s="48">
        <v>138</v>
      </c>
      <c r="AB28">
        <v>273</v>
      </c>
      <c r="AC28" s="48">
        <v>583</v>
      </c>
      <c r="AD28" s="48">
        <v>493</v>
      </c>
    </row>
    <row r="29" spans="2:30" x14ac:dyDescent="0.3">
      <c r="B29" t="s">
        <v>260</v>
      </c>
      <c r="C29">
        <v>890</v>
      </c>
      <c r="D29">
        <v>3298</v>
      </c>
      <c r="E29">
        <v>3915</v>
      </c>
      <c r="F29">
        <v>7216</v>
      </c>
      <c r="G29">
        <v>9696</v>
      </c>
      <c r="H29">
        <v>9733</v>
      </c>
      <c r="I29" s="48">
        <v>6932</v>
      </c>
      <c r="J29" s="48">
        <v>7015</v>
      </c>
      <c r="K29" s="48">
        <v>10625</v>
      </c>
      <c r="L29" s="48">
        <v>11589</v>
      </c>
      <c r="M29" s="48">
        <v>13723</v>
      </c>
      <c r="N29" s="48">
        <v>16243</v>
      </c>
      <c r="R29" t="s">
        <v>137</v>
      </c>
      <c r="S29" s="48">
        <v>-80047</v>
      </c>
      <c r="T29" s="48">
        <v>-87898</v>
      </c>
      <c r="U29" s="48">
        <v>-132173</v>
      </c>
      <c r="V29" s="48">
        <v>-155159</v>
      </c>
      <c r="W29" s="48">
        <v>-196474</v>
      </c>
      <c r="X29" s="48">
        <v>-198568</v>
      </c>
      <c r="Y29" s="48">
        <v>-120055</v>
      </c>
      <c r="Z29" s="48">
        <v>-87740</v>
      </c>
      <c r="AA29" s="48">
        <v>-50165</v>
      </c>
      <c r="AB29" s="48">
        <v>-49927</v>
      </c>
      <c r="AC29" s="48">
        <v>-90595</v>
      </c>
      <c r="AD29" s="48">
        <v>-141518</v>
      </c>
    </row>
    <row r="30" spans="2:30" x14ac:dyDescent="0.3">
      <c r="B30" t="s">
        <v>261</v>
      </c>
      <c r="C30">
        <v>2236</v>
      </c>
      <c r="D30">
        <v>646</v>
      </c>
      <c r="E30">
        <v>758</v>
      </c>
      <c r="F30">
        <v>1064</v>
      </c>
      <c r="G30">
        <v>1113</v>
      </c>
      <c r="H30">
        <v>1265</v>
      </c>
      <c r="I30">
        <v>937</v>
      </c>
      <c r="J30">
        <v>999</v>
      </c>
      <c r="K30">
        <v>1084</v>
      </c>
      <c r="L30">
        <v>1202</v>
      </c>
      <c r="M30">
        <v>1454</v>
      </c>
      <c r="N30" s="48">
        <v>1750</v>
      </c>
      <c r="O30" s="48"/>
      <c r="R30" t="s">
        <v>138</v>
      </c>
      <c r="S30" s="48">
        <v>79778</v>
      </c>
      <c r="T30" s="48">
        <v>86436</v>
      </c>
      <c r="U30" s="48">
        <v>130940</v>
      </c>
      <c r="V30" s="48">
        <v>154631</v>
      </c>
      <c r="W30" s="48">
        <v>195898</v>
      </c>
      <c r="X30" s="48">
        <v>198132</v>
      </c>
      <c r="Y30" s="48">
        <v>111749</v>
      </c>
      <c r="Z30" s="48">
        <v>87446</v>
      </c>
      <c r="AA30" s="48">
        <v>46269</v>
      </c>
      <c r="AB30" s="48">
        <v>50919</v>
      </c>
      <c r="AC30" s="48">
        <v>85257</v>
      </c>
      <c r="AD30" s="48">
        <v>144887</v>
      </c>
    </row>
    <row r="31" spans="2:30" x14ac:dyDescent="0.3">
      <c r="B31" t="s">
        <v>262</v>
      </c>
      <c r="C31" s="48">
        <v>41563</v>
      </c>
      <c r="D31" s="48">
        <v>44723</v>
      </c>
      <c r="E31" s="48">
        <v>47128</v>
      </c>
      <c r="F31" s="48">
        <v>56339</v>
      </c>
      <c r="G31" s="48">
        <v>62211</v>
      </c>
      <c r="H31" s="48">
        <v>68602</v>
      </c>
      <c r="I31" s="48">
        <v>42658</v>
      </c>
      <c r="J31" s="48">
        <v>48526</v>
      </c>
      <c r="K31" s="48">
        <v>52090</v>
      </c>
      <c r="L31" s="48">
        <v>56462</v>
      </c>
      <c r="M31" s="48">
        <v>66143</v>
      </c>
      <c r="N31" s="48">
        <v>75955</v>
      </c>
      <c r="O31" s="73"/>
      <c r="R31" t="s">
        <v>139</v>
      </c>
      <c r="S31">
        <v>356</v>
      </c>
      <c r="T31">
        <v>311</v>
      </c>
      <c r="U31" s="48">
        <v>346</v>
      </c>
      <c r="V31" s="48">
        <v>254</v>
      </c>
      <c r="W31" s="48">
        <v>314</v>
      </c>
      <c r="X31" s="48">
        <v>372</v>
      </c>
      <c r="Y31" s="48">
        <v>431</v>
      </c>
      <c r="Z31" s="48">
        <v>420</v>
      </c>
      <c r="AA31" s="48">
        <v>464</v>
      </c>
      <c r="AB31" s="48">
        <v>703</v>
      </c>
      <c r="AC31" s="48">
        <v>884</v>
      </c>
      <c r="AD31" s="48">
        <v>1559</v>
      </c>
    </row>
    <row r="32" spans="2:30" x14ac:dyDescent="0.3">
      <c r="B32" s="48" t="s">
        <v>263</v>
      </c>
      <c r="C32" s="48">
        <v>22516</v>
      </c>
      <c r="D32" s="48">
        <v>24138</v>
      </c>
      <c r="E32" s="48">
        <v>26139</v>
      </c>
      <c r="F32" s="48">
        <v>30157</v>
      </c>
      <c r="G32" s="48">
        <v>33229</v>
      </c>
      <c r="H32" s="48">
        <v>38913</v>
      </c>
      <c r="I32" s="48">
        <v>21278</v>
      </c>
      <c r="J32" s="48">
        <v>22508</v>
      </c>
      <c r="K32" s="48">
        <v>24950</v>
      </c>
      <c r="L32" s="48">
        <v>28333</v>
      </c>
      <c r="M32" s="48">
        <v>31506</v>
      </c>
      <c r="N32" s="48">
        <v>37496</v>
      </c>
      <c r="O32" s="48"/>
      <c r="R32" t="s">
        <v>140</v>
      </c>
      <c r="S32">
        <v>169</v>
      </c>
      <c r="T32">
        <v>208</v>
      </c>
      <c r="U32" s="48">
        <v>409</v>
      </c>
      <c r="V32">
        <v>316</v>
      </c>
      <c r="W32">
        <v>466</v>
      </c>
      <c r="X32">
        <v>722</v>
      </c>
      <c r="Y32" s="48">
        <v>577</v>
      </c>
      <c r="Z32" s="48">
        <v>1247</v>
      </c>
      <c r="AA32" s="48">
        <v>1397</v>
      </c>
      <c r="AB32" s="48">
        <v>1213</v>
      </c>
      <c r="AC32" s="48">
        <v>1374</v>
      </c>
      <c r="AD32" s="48">
        <v>1287</v>
      </c>
    </row>
    <row r="33" spans="2:58" x14ac:dyDescent="0.3">
      <c r="B33" t="s">
        <v>27</v>
      </c>
      <c r="C33" s="48">
        <v>19047</v>
      </c>
      <c r="D33" s="48">
        <v>20585</v>
      </c>
      <c r="E33" s="48">
        <v>20989</v>
      </c>
      <c r="F33" s="48">
        <v>26182</v>
      </c>
      <c r="G33" s="48">
        <v>28983</v>
      </c>
      <c r="H33" s="48">
        <v>29689</v>
      </c>
      <c r="I33" s="48">
        <v>21380</v>
      </c>
      <c r="J33" s="48">
        <v>26018</v>
      </c>
      <c r="K33" s="48">
        <v>27140</v>
      </c>
      <c r="L33" s="48">
        <v>28129</v>
      </c>
      <c r="M33" s="48">
        <v>34636</v>
      </c>
      <c r="N33" s="48">
        <v>38459</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-275</v>
      </c>
      <c r="T34" s="48">
        <v>-94</v>
      </c>
      <c r="U34" s="48">
        <v>209</v>
      </c>
      <c r="V34" s="48">
        <v>-290</v>
      </c>
      <c r="W34" s="48">
        <v>-577</v>
      </c>
      <c r="X34" s="48">
        <v>-437</v>
      </c>
      <c r="Y34" s="48">
        <v>-7457</v>
      </c>
      <c r="Z34" s="48">
        <v>1494</v>
      </c>
      <c r="AA34" s="48">
        <v>-1786</v>
      </c>
      <c r="AB34" s="48">
        <v>-78</v>
      </c>
      <c r="AC34" s="48">
        <v>-6075</v>
      </c>
      <c r="AD34" s="48">
        <v>-15084</v>
      </c>
    </row>
    <row r="35" spans="2:58" x14ac:dyDescent="0.3">
      <c r="B35" t="s">
        <v>264</v>
      </c>
      <c r="C35" s="48">
        <v>3032</v>
      </c>
      <c r="D35" s="48">
        <v>2371</v>
      </c>
      <c r="E35" s="48">
        <v>4279</v>
      </c>
      <c r="F35" s="48">
        <v>4269</v>
      </c>
      <c r="G35" s="48">
        <v>4760</v>
      </c>
      <c r="H35" s="48">
        <v>6856</v>
      </c>
      <c r="I35" s="48">
        <v>7873</v>
      </c>
      <c r="J35" s="48">
        <v>6703</v>
      </c>
      <c r="K35" s="48">
        <v>3969</v>
      </c>
      <c r="L35" s="48">
        <v>8039</v>
      </c>
      <c r="M35" s="48">
        <v>8298</v>
      </c>
      <c r="N35" s="48">
        <v>7740</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10027</v>
      </c>
      <c r="D36" s="48">
        <v>11603</v>
      </c>
      <c r="E36" s="48">
        <v>14662</v>
      </c>
      <c r="F36" s="48">
        <v>16018</v>
      </c>
      <c r="G36" s="48">
        <v>18268</v>
      </c>
      <c r="H36" s="48">
        <v>19210</v>
      </c>
      <c r="I36" s="48">
        <v>28778</v>
      </c>
      <c r="J36" s="48">
        <v>30060</v>
      </c>
      <c r="K36" s="48">
        <v>35272</v>
      </c>
      <c r="L36" s="48">
        <v>35208</v>
      </c>
      <c r="M36" s="48">
        <v>41309</v>
      </c>
      <c r="N36" s="48">
        <v>40324</v>
      </c>
      <c r="O36" s="48"/>
      <c r="R36" t="s">
        <v>142</v>
      </c>
      <c r="S36" s="48">
        <v>1669</v>
      </c>
      <c r="T36" s="48">
        <v>2967</v>
      </c>
      <c r="U36" s="48">
        <v>6108</v>
      </c>
      <c r="V36" s="48">
        <v>6314</v>
      </c>
      <c r="W36" s="48">
        <v>13194</v>
      </c>
      <c r="X36" s="48">
        <v>6933</v>
      </c>
      <c r="Y36" s="48">
        <v>406</v>
      </c>
      <c r="Z36" s="48">
        <v>-5883</v>
      </c>
      <c r="AA36">
        <v>15946</v>
      </c>
      <c r="AB36" s="48">
        <v>12281</v>
      </c>
      <c r="AC36">
        <v>15834</v>
      </c>
      <c r="AD36" s="48">
        <v>5391</v>
      </c>
    </row>
    <row r="37" spans="2:58" x14ac:dyDescent="0.3">
      <c r="C37" s="48"/>
      <c r="D37" s="48"/>
      <c r="E37" s="48"/>
      <c r="F37" s="48"/>
      <c r="G37" s="48"/>
      <c r="H37" s="48"/>
      <c r="I37" s="48"/>
      <c r="J37" s="48"/>
      <c r="K37" s="48"/>
      <c r="L37" s="48"/>
      <c r="M37" s="48"/>
      <c r="N37" s="48"/>
      <c r="O37" s="48"/>
      <c r="R37" t="s">
        <v>143</v>
      </c>
      <c r="S37" s="48">
        <v>3</v>
      </c>
      <c r="T37" s="48">
        <v>18</v>
      </c>
      <c r="U37" s="48">
        <v>12</v>
      </c>
      <c r="V37" s="48">
        <v>4</v>
      </c>
      <c r="W37" s="48">
        <v>1</v>
      </c>
      <c r="X37" s="48">
        <v>1243</v>
      </c>
      <c r="Y37" s="48">
        <v>1</v>
      </c>
      <c r="Z37" s="48">
        <v>1</v>
      </c>
      <c r="AA37" s="48">
        <v>1</v>
      </c>
      <c r="AB37" s="48">
        <v>1</v>
      </c>
      <c r="AC37" s="48">
        <v>1</v>
      </c>
      <c r="AD37" s="48">
        <v>1</v>
      </c>
    </row>
    <row r="38" spans="2:58" x14ac:dyDescent="0.3">
      <c r="B38" t="s">
        <v>265</v>
      </c>
      <c r="C38" s="73">
        <v>62270</v>
      </c>
      <c r="D38" s="73">
        <v>65293</v>
      </c>
      <c r="E38" s="73">
        <v>73905</v>
      </c>
      <c r="F38" s="73">
        <v>89900</v>
      </c>
      <c r="G38" s="73">
        <v>109878</v>
      </c>
      <c r="H38" s="73">
        <v>109960</v>
      </c>
      <c r="I38" s="73">
        <v>106938</v>
      </c>
      <c r="J38" s="73">
        <v>109607</v>
      </c>
      <c r="K38" s="73">
        <v>137902</v>
      </c>
      <c r="L38" s="73">
        <v>163345</v>
      </c>
      <c r="M38" s="73">
        <v>191771</v>
      </c>
      <c r="N38" s="73">
        <v>229531</v>
      </c>
      <c r="O38" s="48"/>
      <c r="R38" t="s">
        <v>144</v>
      </c>
      <c r="S38">
        <v>0</v>
      </c>
      <c r="T38">
        <v>0</v>
      </c>
      <c r="U38" s="48">
        <v>0</v>
      </c>
      <c r="V38">
        <v>0</v>
      </c>
      <c r="W38">
        <v>71389</v>
      </c>
      <c r="X38">
        <v>52618</v>
      </c>
      <c r="Y38">
        <v>38100</v>
      </c>
      <c r="Z38">
        <v>53880</v>
      </c>
      <c r="AA38" s="48">
        <v>55622</v>
      </c>
      <c r="AB38" s="48">
        <v>61308</v>
      </c>
      <c r="AC38">
        <v>82590</v>
      </c>
      <c r="AD38">
        <v>79722</v>
      </c>
    </row>
    <row r="39" spans="2:58" x14ac:dyDescent="0.3">
      <c r="B39" t="s">
        <v>266</v>
      </c>
      <c r="C39" s="48">
        <v>8453</v>
      </c>
      <c r="D39" s="48">
        <v>9116</v>
      </c>
      <c r="E39" s="48">
        <v>8886</v>
      </c>
      <c r="F39" s="48">
        <v>9336</v>
      </c>
      <c r="G39" s="48">
        <v>12200</v>
      </c>
      <c r="H39" s="48">
        <v>11112</v>
      </c>
      <c r="I39" s="48">
        <v>9615</v>
      </c>
      <c r="J39" s="48">
        <v>11596</v>
      </c>
      <c r="K39" s="48">
        <v>16855</v>
      </c>
      <c r="L39" s="48">
        <v>18590</v>
      </c>
      <c r="M39" s="48">
        <v>20331</v>
      </c>
      <c r="N39" s="48">
        <v>22044</v>
      </c>
      <c r="O39" s="48"/>
      <c r="R39" t="s">
        <v>145</v>
      </c>
      <c r="S39">
        <v>0</v>
      </c>
      <c r="T39">
        <v>0</v>
      </c>
      <c r="U39">
        <v>0</v>
      </c>
      <c r="V39">
        <v>0</v>
      </c>
      <c r="W39">
        <v>-56352</v>
      </c>
      <c r="X39">
        <v>-44044</v>
      </c>
      <c r="Y39">
        <v>-37505</v>
      </c>
      <c r="Z39">
        <v>-57223</v>
      </c>
      <c r="AA39">
        <v>-37056</v>
      </c>
      <c r="AB39">
        <v>-46805</v>
      </c>
      <c r="AC39">
        <v>-64689</v>
      </c>
      <c r="AD39" s="48">
        <v>-72089</v>
      </c>
    </row>
    <row r="40" spans="2:58" x14ac:dyDescent="0.3">
      <c r="B40" t="s">
        <v>267</v>
      </c>
      <c r="C40" s="48">
        <v>5476</v>
      </c>
      <c r="D40" s="48">
        <v>5818</v>
      </c>
      <c r="E40" s="48">
        <v>7199</v>
      </c>
      <c r="F40" s="48">
        <v>8490</v>
      </c>
      <c r="G40" s="48">
        <v>8678</v>
      </c>
      <c r="H40" s="48">
        <v>6928</v>
      </c>
      <c r="I40" s="48">
        <v>6008</v>
      </c>
      <c r="J40" s="48">
        <v>6374</v>
      </c>
      <c r="K40" s="48">
        <v>7028</v>
      </c>
      <c r="L40" s="48">
        <v>7459</v>
      </c>
      <c r="M40" s="48">
        <v>8280</v>
      </c>
      <c r="N40" s="48">
        <v>9064</v>
      </c>
      <c r="O40" s="48"/>
      <c r="R40" t="s">
        <v>146</v>
      </c>
      <c r="S40">
        <v>-489</v>
      </c>
      <c r="T40">
        <v>-443</v>
      </c>
      <c r="U40">
        <v>-471</v>
      </c>
      <c r="V40" s="48">
        <v>-521</v>
      </c>
      <c r="W40">
        <v>-723</v>
      </c>
      <c r="X40">
        <v>-624</v>
      </c>
      <c r="Y40" s="48">
        <v>-809</v>
      </c>
      <c r="Z40">
        <v>-680</v>
      </c>
      <c r="AA40" s="48">
        <v>-734</v>
      </c>
      <c r="AB40" s="48">
        <v>-597</v>
      </c>
      <c r="AC40" s="48">
        <v>-436</v>
      </c>
      <c r="AD40" s="48">
        <v>-344</v>
      </c>
    </row>
    <row r="41" spans="2:58" x14ac:dyDescent="0.3">
      <c r="B41" t="s">
        <v>268</v>
      </c>
      <c r="C41" s="48">
        <v>4912</v>
      </c>
      <c r="D41" s="48">
        <v>4528</v>
      </c>
      <c r="E41" s="48">
        <v>4654</v>
      </c>
      <c r="F41" s="48">
        <v>6548</v>
      </c>
      <c r="G41" s="48">
        <v>8735</v>
      </c>
      <c r="H41" s="48">
        <v>7911</v>
      </c>
      <c r="I41" s="48">
        <v>12852</v>
      </c>
      <c r="J41" s="48">
        <v>11118</v>
      </c>
      <c r="K41" s="48">
        <v>11273</v>
      </c>
      <c r="L41" s="48">
        <v>12013</v>
      </c>
      <c r="M41" s="48">
        <v>20615</v>
      </c>
      <c r="N41" s="48">
        <v>31979</v>
      </c>
      <c r="O41" s="48"/>
      <c r="R41" t="s">
        <v>147</v>
      </c>
      <c r="S41" s="48">
        <v>-1200</v>
      </c>
      <c r="T41" s="48">
        <v>-932</v>
      </c>
      <c r="U41" s="48">
        <v>-936</v>
      </c>
      <c r="V41" s="48">
        <v>-963</v>
      </c>
      <c r="W41" s="48">
        <v>-1134</v>
      </c>
      <c r="X41" s="48">
        <v>-1398</v>
      </c>
      <c r="Y41" s="48">
        <v>-271</v>
      </c>
      <c r="Z41" s="48">
        <v>-1037</v>
      </c>
      <c r="AA41" s="48">
        <v>-1522</v>
      </c>
      <c r="AB41" s="48">
        <v>-2247</v>
      </c>
      <c r="AC41" s="48">
        <v>-2806</v>
      </c>
      <c r="AD41" s="48">
        <v>-3376</v>
      </c>
    </row>
    <row r="42" spans="2:58" x14ac:dyDescent="0.3">
      <c r="B42" t="s">
        <v>269</v>
      </c>
      <c r="C42" s="48">
        <v>-772</v>
      </c>
      <c r="D42" s="48">
        <v>-1096</v>
      </c>
      <c r="E42" s="48">
        <v>20566</v>
      </c>
      <c r="F42" s="48">
        <v>24614</v>
      </c>
      <c r="G42" s="48">
        <v>29130</v>
      </c>
      <c r="H42" s="48">
        <v>27859</v>
      </c>
      <c r="I42" s="48">
        <v>29080</v>
      </c>
      <c r="J42" s="48">
        <v>29242</v>
      </c>
      <c r="K42" s="48">
        <v>34685</v>
      </c>
      <c r="L42" s="48">
        <v>39060</v>
      </c>
      <c r="M42" s="48">
        <v>44645</v>
      </c>
      <c r="N42" s="48">
        <v>51137</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44201</v>
      </c>
      <c r="D43" s="48">
        <v>46928</v>
      </c>
      <c r="E43" s="48">
        <v>32599</v>
      </c>
      <c r="F43" s="48">
        <v>40913</v>
      </c>
      <c r="G43" s="48">
        <v>51135</v>
      </c>
      <c r="H43" s="48">
        <v>56150</v>
      </c>
      <c r="I43" s="48">
        <v>49383</v>
      </c>
      <c r="J43" s="48">
        <v>51277</v>
      </c>
      <c r="K43" s="48">
        <v>68061</v>
      </c>
      <c r="L43" s="48">
        <v>86222</v>
      </c>
      <c r="M43" s="48">
        <v>97900</v>
      </c>
      <c r="N43" s="48">
        <v>115307</v>
      </c>
      <c r="O43" s="73"/>
      <c r="R43" t="s">
        <v>149</v>
      </c>
      <c r="S43">
        <v>0</v>
      </c>
      <c r="T43">
        <v>0</v>
      </c>
      <c r="U43">
        <v>0</v>
      </c>
      <c r="V43">
        <v>0</v>
      </c>
      <c r="W43">
        <v>0</v>
      </c>
      <c r="X43">
        <v>-49</v>
      </c>
      <c r="Y43">
        <v>-55</v>
      </c>
      <c r="Z43">
        <v>-59</v>
      </c>
      <c r="AA43">
        <v>-59</v>
      </c>
      <c r="AB43">
        <v>-67</v>
      </c>
      <c r="AC43">
        <v>-66</v>
      </c>
      <c r="AD43">
        <v>-68</v>
      </c>
    </row>
    <row r="44" spans="2:58" x14ac:dyDescent="0.3">
      <c r="B44" s="57" t="s">
        <v>96</v>
      </c>
      <c r="C44" s="48">
        <v>94376</v>
      </c>
      <c r="D44" s="48">
        <v>99852</v>
      </c>
      <c r="E44" s="48">
        <v>113835</v>
      </c>
      <c r="F44" s="48">
        <v>136369</v>
      </c>
      <c r="G44" s="48">
        <v>161889</v>
      </c>
      <c r="H44" s="48">
        <v>165716</v>
      </c>
      <c r="I44" s="48">
        <v>164968</v>
      </c>
      <c r="J44" s="48">
        <v>172388</v>
      </c>
      <c r="K44" s="48">
        <v>204283</v>
      </c>
      <c r="L44" s="48">
        <v>234722</v>
      </c>
      <c r="M44" s="48">
        <v>276013</v>
      </c>
      <c r="N44" s="48">
        <v>316054</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-1633</v>
      </c>
      <c r="T45">
        <v>-154</v>
      </c>
      <c r="U45">
        <v>416</v>
      </c>
      <c r="V45">
        <v>1529</v>
      </c>
      <c r="W45">
        <v>1672</v>
      </c>
      <c r="X45">
        <v>-1394</v>
      </c>
      <c r="Y45">
        <v>-1370</v>
      </c>
      <c r="Z45">
        <v>113</v>
      </c>
      <c r="AA45">
        <v>6</v>
      </c>
      <c r="AB45">
        <v>1037</v>
      </c>
      <c r="AC45">
        <v>394</v>
      </c>
      <c r="AD45">
        <v>-632</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MAHINDRA &amp; MAHINDRA LTD</v>
      </c>
      <c r="M56">
        <f>'Data Sheet'!B8</f>
        <v>3055</v>
      </c>
      <c r="N56" s="33">
        <f>'Data Sheet'!B6</f>
        <v>124.32242225859247</v>
      </c>
      <c r="AR56">
        <f>'Data Sheet'!B9</f>
        <v>379805</v>
      </c>
      <c r="AS56">
        <f>AZ56-BA56</f>
        <v>104957</v>
      </c>
      <c r="AT56">
        <f>AR56+AS56</f>
        <v>484762</v>
      </c>
      <c r="AU56">
        <f>'Data Sheet'!K17</f>
        <v>198639</v>
      </c>
      <c r="AV56" s="33">
        <f>'Data Sheet'!K33</f>
        <v>60720</v>
      </c>
      <c r="AW56">
        <f>'Data Sheet'!K30</f>
        <v>18622</v>
      </c>
      <c r="AX56">
        <v>30.12</v>
      </c>
      <c r="AZ56">
        <f>'Data Sheet'!K59</f>
        <v>136936</v>
      </c>
      <c r="BA56">
        <f>'Data Sheet'!K69</f>
        <v>31979</v>
      </c>
    </row>
    <row r="57" spans="11:58" x14ac:dyDescent="0.3">
      <c r="K57">
        <v>1</v>
      </c>
      <c r="L57" t="s">
        <v>8611</v>
      </c>
      <c r="M57">
        <v>12153</v>
      </c>
      <c r="N57">
        <v>31.33</v>
      </c>
      <c r="AR57">
        <v>380772.09</v>
      </c>
      <c r="AS57">
        <f>AZ57-BA57</f>
        <v>76154.420000000013</v>
      </c>
      <c r="AT57">
        <f>AR57+AS57</f>
        <v>456926.51</v>
      </c>
      <c r="AU57">
        <v>209879.2</v>
      </c>
      <c r="AV57">
        <v>31481.88</v>
      </c>
      <c r="AW57">
        <v>13787.6</v>
      </c>
      <c r="AX57">
        <v>18.87</v>
      </c>
      <c r="AZ57">
        <v>95193.02</v>
      </c>
      <c r="BA57">
        <v>19038.599999999999</v>
      </c>
    </row>
    <row r="58" spans="11:58" x14ac:dyDescent="0.3">
      <c r="K58">
        <v>2</v>
      </c>
      <c r="L58" t="s">
        <v>8612</v>
      </c>
      <c r="M58">
        <v>2144</v>
      </c>
      <c r="N58">
        <v>82.75</v>
      </c>
      <c r="AR58">
        <v>177405.45</v>
      </c>
      <c r="AS58">
        <f>AZ58-BA58</f>
        <v>35481.089999999997</v>
      </c>
      <c r="AT58">
        <f>AR58+AS58</f>
        <v>212886.54</v>
      </c>
      <c r="AU58">
        <v>65338.52</v>
      </c>
      <c r="AV58">
        <v>9800.7800000000007</v>
      </c>
      <c r="AW58">
        <v>3554.48</v>
      </c>
      <c r="AX58">
        <v>38.4</v>
      </c>
      <c r="AZ58">
        <v>44351.360000000001</v>
      </c>
      <c r="BA58">
        <v>8870.27</v>
      </c>
    </row>
    <row r="59" spans="11:58" x14ac:dyDescent="0.3">
      <c r="K59">
        <v>3</v>
      </c>
      <c r="L59" t="s">
        <v>8613</v>
      </c>
      <c r="M59">
        <v>301.64999999999998</v>
      </c>
      <c r="N59">
        <v>368.29</v>
      </c>
      <c r="AR59">
        <v>111094.43</v>
      </c>
      <c r="AS59">
        <f>AZ59-BA59</f>
        <v>22218.89</v>
      </c>
      <c r="AT59">
        <f>AR59+AS59</f>
        <v>133313.32</v>
      </c>
      <c r="AU59">
        <v>383196</v>
      </c>
      <c r="AV59">
        <v>57479.4</v>
      </c>
      <c r="AW59">
        <v>3436</v>
      </c>
      <c r="AX59">
        <v>2.73</v>
      </c>
      <c r="AZ59">
        <v>27773.61</v>
      </c>
      <c r="BA59">
        <v>5554.72</v>
      </c>
    </row>
    <row r="60" spans="11:58" x14ac:dyDescent="0.3">
      <c r="K60">
        <v>4</v>
      </c>
      <c r="L60" t="s">
        <v>8614</v>
      </c>
      <c r="M60">
        <v>17485</v>
      </c>
      <c r="N60">
        <v>1.3</v>
      </c>
      <c r="AR60">
        <v>22802.17</v>
      </c>
      <c r="AS60">
        <f>AZ60-BA60</f>
        <v>4560.43</v>
      </c>
      <c r="AT60">
        <f>AR60+AS60</f>
        <v>27362.6</v>
      </c>
      <c r="AU60">
        <v>9760.0400000000009</v>
      </c>
      <c r="AV60">
        <v>1464.01</v>
      </c>
      <c r="AW60">
        <v>866.36</v>
      </c>
      <c r="AX60">
        <v>36.049999999999997</v>
      </c>
      <c r="AZ60">
        <v>5700.54</v>
      </c>
      <c r="BA60">
        <v>1140.1099999999999</v>
      </c>
    </row>
    <row r="61" spans="11:58" x14ac:dyDescent="0.3">
      <c r="K61">
        <v>5</v>
      </c>
      <c r="L61" t="s">
        <v>8615</v>
      </c>
      <c r="M61">
        <v>1205.8</v>
      </c>
      <c r="N61">
        <v>8.1999999999999993</v>
      </c>
      <c r="AR61">
        <v>9893.58</v>
      </c>
      <c r="AS61">
        <f>AZ61-BA61</f>
        <v>1978.7099999999998</v>
      </c>
      <c r="AT61">
        <f>AR61+AS61</f>
        <v>11872.289999999999</v>
      </c>
      <c r="AU61">
        <v>2302.04</v>
      </c>
      <c r="AV61">
        <v>345.31</v>
      </c>
      <c r="AW61">
        <v>106.64</v>
      </c>
      <c r="AX61">
        <v>21.05</v>
      </c>
      <c r="AZ61">
        <v>2473.39</v>
      </c>
      <c r="BA61">
        <v>494.68</v>
      </c>
    </row>
    <row r="62" spans="11:58" x14ac:dyDescent="0.3">
      <c r="K62">
        <v>6</v>
      </c>
      <c r="L62" t="s">
        <v>8616</v>
      </c>
      <c r="M62">
        <v>39.81</v>
      </c>
      <c r="N62">
        <v>19.02</v>
      </c>
      <c r="AR62">
        <v>757.23</v>
      </c>
      <c r="AS62">
        <f>AZ62-BA62</f>
        <v>151.44999999999999</v>
      </c>
      <c r="AT62">
        <f>AR62+AS62</f>
        <v>908.68000000000006</v>
      </c>
      <c r="AU62">
        <v>133.52000000000001</v>
      </c>
      <c r="AV62">
        <v>20.03</v>
      </c>
      <c r="AW62">
        <v>6.6</v>
      </c>
      <c r="AX62">
        <v>2.64</v>
      </c>
      <c r="AZ62">
        <v>189.31</v>
      </c>
      <c r="BA62">
        <v>37.86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2026-09-21T18:39:48Z</dcterms:modified>
</cp:coreProperties>
</file>