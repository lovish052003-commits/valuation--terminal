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definedNames>
    <definedName name="UPDATE">'Data Sheet'!$E$1</definedName>
    <definedName name="UPDATE" localSheetId="22">#REF!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+0.0%;-0.0%;0.0%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0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177" fontId="0" fillId="0" borderId="0" pivotButton="0" quotePrefix="0" xfId="0"/>
    <xf numFmtId="10" fontId="23" fillId="14" borderId="0" applyAlignment="1" pivotButton="0" quotePrefix="0" xfId="0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174" t="inlineStr">
        <is>
          <t>Kalyan Jewellers India Ltd (KALYANKJIL) - Institutional Valuation</t>
        </is>
      </c>
    </row>
    <row r="4">
      <c r="A4" s="162" t="inlineStr">
        <is>
          <t>Current Price</t>
        </is>
      </c>
      <c r="B4" s="162" t="inlineStr">
        <is>
          <t>Intrinsic Value</t>
        </is>
      </c>
      <c r="C4" s="162" t="inlineStr">
        <is>
          <t>Margin of Safety</t>
        </is>
      </c>
      <c r="D4" s="162" t="inlineStr">
        <is>
          <t>Verdict</t>
        </is>
      </c>
      <c r="E4" s="162" t="inlineStr">
        <is>
          <t>WACC</t>
        </is>
      </c>
      <c r="F4" s="162" t="inlineStr">
        <is>
          <t>Altman Z-Score</t>
        </is>
      </c>
      <c r="G4" s="162" t="inlineStr">
        <is>
          <t>DuPont ROE</t>
        </is>
      </c>
    </row>
    <row r="5" ht="15.6" customHeight="1" s="176">
      <c r="A5" s="164">
        <f>DCF!D44</f>
        <v/>
      </c>
      <c r="B5" s="164">
        <f>DCF!D42</f>
        <v/>
      </c>
      <c r="C5" s="166">
        <f>(B5-A5)/A5</f>
        <v/>
      </c>
      <c r="D5" s="168">
        <f>IF(C5&gt;=0, TEXT(C5,"0.0%") &amp; " Discount", TEXT(ABS(C5),"0.0%") &amp; " Premium")</f>
        <v/>
      </c>
      <c r="E5" s="169">
        <f>DCF!D20</f>
        <v/>
      </c>
      <c r="F5" s="170">
        <f>'Altman''s Z Score'!I89</f>
        <v/>
      </c>
      <c r="G5" s="169">
        <f>'Dupont Analysis'!I78</f>
        <v/>
      </c>
    </row>
    <row r="7" ht="15.6" customHeight="1" s="176">
      <c r="A7" s="167" t="inlineStr">
        <is>
          <t>THE 4 CORE VALUATION PILLARS</t>
        </is>
      </c>
      <c r="B7" t="inlineStr">
        <is>
          <t>KEY VALUATION PARAMETERS &amp; LIVE MODEL INPUTS</t>
        </is>
      </c>
    </row>
    <row r="8">
      <c r="A8" s="37" t="inlineStr">
        <is>
          <t>Pillar 1: FCF Engine</t>
        </is>
      </c>
      <c r="B8" t="inlineStr">
        <is>
          <t>Discount Rate (WACC)</t>
        </is>
      </c>
      <c r="C8" s="46">
        <f>WACC!K46</f>
        <v/>
      </c>
      <c r="D8" t="inlineStr">
        <is>
          <t>0.00%</t>
        </is>
      </c>
    </row>
    <row r="9">
      <c r="A9" s="37" t="inlineStr">
        <is>
          <t>Pillar 2: Growth Trajectory</t>
        </is>
      </c>
      <c r="B9" t="inlineStr">
        <is>
          <t>Cost of Equity (Ke)</t>
        </is>
      </c>
      <c r="C9" s="46">
        <f>WACC!K29</f>
        <v/>
      </c>
      <c r="D9" t="inlineStr">
        <is>
          <t>0.00%</t>
        </is>
      </c>
    </row>
    <row r="10">
      <c r="A10" s="37" t="inlineStr">
        <is>
          <t>Pillar 3: Cost of Capital (WACC)</t>
        </is>
      </c>
      <c r="B10" t="inlineStr">
        <is>
          <t>Risk-Free Rate (Rf)</t>
        </is>
      </c>
      <c r="C10" s="46">
        <f>WACC!K26</f>
        <v/>
      </c>
      <c r="D10" t="inlineStr">
        <is>
          <t>0.00%</t>
        </is>
      </c>
    </row>
    <row r="11">
      <c r="A11" s="37" t="inlineStr">
        <is>
          <t>Pillar 4: Relative Multiples</t>
        </is>
      </c>
      <c r="B11" t="inlineStr">
        <is>
          <t>Equity Risk Premium (ERP)</t>
        </is>
      </c>
      <c r="C11" s="46">
        <f>WACC!K27</f>
        <v/>
      </c>
      <c r="D11" t="inlineStr">
        <is>
          <t>0.00%</t>
        </is>
      </c>
    </row>
    <row r="12">
      <c r="B12" t="inlineStr">
        <is>
          <t>Levered Beta</t>
        </is>
      </c>
      <c r="C12">
        <f>WACC!K28</f>
        <v/>
      </c>
      <c r="D12" t="inlineStr">
        <is>
          <t>0.00</t>
        </is>
      </c>
    </row>
    <row r="13">
      <c r="A13" s="37" t="inlineStr">
        <is>
          <t>5-Year Discounted Cash Flow (DCF) Schedule (Amounts in ₹ Cr)</t>
        </is>
      </c>
      <c r="B13" t="inlineStr">
        <is>
          <t>Terminal Growth Rate</t>
        </is>
      </c>
      <c r="C13" s="46">
        <f>DCF!D19</f>
        <v/>
      </c>
      <c r="D13" t="inlineStr">
        <is>
          <t>0.00%</t>
        </is>
      </c>
    </row>
    <row r="14">
      <c r="A14" s="171" t="inlineStr">
        <is>
          <t>Year</t>
        </is>
      </c>
      <c r="B14" s="171" t="inlineStr">
        <is>
          <t>Post-Tax Cost of Debt (Kd)</t>
        </is>
      </c>
      <c r="C14" s="203">
        <f>WACC!K43</f>
        <v/>
      </c>
      <c r="D14" s="171" t="inlineStr">
        <is>
          <t>0.00%</t>
        </is>
      </c>
      <c r="E14" s="171" t="inlineStr">
        <is>
          <t>FCFF</t>
        </is>
      </c>
      <c r="F14" s="171" t="inlineStr">
        <is>
          <t>Discount Factor</t>
        </is>
      </c>
      <c r="G14" s="171" t="inlineStr">
        <is>
          <t>PV of FCFF</t>
        </is>
      </c>
    </row>
    <row r="15">
      <c r="A15" s="180" t="inlineStr">
        <is>
          <t>Year 1</t>
        </is>
      </c>
      <c r="B15" s="172" t="inlineStr">
        <is>
          <t>Cash &amp; Liquid Investments</t>
        </is>
      </c>
      <c r="C15" s="172">
        <f>'Data Sheet'!K69</f>
        <v/>
      </c>
      <c r="D15" s="46" t="inlineStr">
        <is>
          <t>#,##0.00</t>
        </is>
      </c>
      <c r="E15" s="172">
        <f>DCF!I12</f>
        <v/>
      </c>
      <c r="F15" s="173">
        <f>DCF!I14</f>
        <v/>
      </c>
      <c r="G15" s="172">
        <f>DCF!I16</f>
        <v/>
      </c>
    </row>
    <row r="16">
      <c r="A16" s="180" t="inlineStr">
        <is>
          <t>Year 2</t>
        </is>
      </c>
      <c r="B16" s="172" t="inlineStr">
        <is>
          <t>Total Debt &amp; Borrowings</t>
        </is>
      </c>
      <c r="C16" s="172">
        <f>'Data Sheet'!K59</f>
        <v/>
      </c>
      <c r="D16" s="46" t="inlineStr">
        <is>
          <t>#,##0.00</t>
        </is>
      </c>
      <c r="E16" s="172">
        <f>DCF!J12</f>
        <v/>
      </c>
      <c r="F16" s="173">
        <f>DCF!J14</f>
        <v/>
      </c>
      <c r="G16" s="172">
        <f>DCF!J16</f>
        <v/>
      </c>
    </row>
    <row r="17">
      <c r="A17" s="180" t="inlineStr">
        <is>
          <t>Year 3</t>
        </is>
      </c>
      <c r="B17" s="172" t="inlineStr">
        <is>
          <t>Shares Outstanding</t>
        </is>
      </c>
      <c r="C17" s="172">
        <f>'Data Sheet'!K70/10000000</f>
        <v/>
      </c>
      <c r="D17" s="46" t="inlineStr">
        <is>
          <t>#,##0.00</t>
        </is>
      </c>
      <c r="E17" s="172">
        <f>DCF!K12</f>
        <v/>
      </c>
      <c r="F17" s="173">
        <f>DCF!K14</f>
        <v/>
      </c>
      <c r="G17" s="172">
        <f>DCF!K16</f>
        <v/>
      </c>
    </row>
    <row r="18">
      <c r="A18" s="180" t="inlineStr">
        <is>
          <t>Year 4</t>
        </is>
      </c>
      <c r="B18" s="172" t="inlineStr">
        <is>
          <t>Sector Median EV/Revenue</t>
        </is>
      </c>
      <c r="C18" s="172">
        <f>Comp_Valuation!O25</f>
        <v/>
      </c>
      <c r="D18" s="46" t="inlineStr">
        <is>
          <t>0.00"x"</t>
        </is>
      </c>
      <c r="E18" s="172">
        <f>DCF!L12</f>
        <v/>
      </c>
      <c r="F18" s="173">
        <f>DCF!L14</f>
        <v/>
      </c>
      <c r="G18" s="172">
        <f>DCF!L16</f>
        <v/>
      </c>
    </row>
    <row r="19">
      <c r="A19" s="180" t="inlineStr">
        <is>
          <t>Year 5</t>
        </is>
      </c>
      <c r="B19" s="172" t="inlineStr">
        <is>
          <t>Sector Median EV/EBITDA</t>
        </is>
      </c>
      <c r="C19" s="172">
        <f>Comp_Valuation!P25</f>
        <v/>
      </c>
      <c r="D19" s="46" t="inlineStr">
        <is>
          <t>0.00"x"</t>
        </is>
      </c>
      <c r="E19" s="172">
        <f>DCF!M12</f>
        <v/>
      </c>
      <c r="F19" s="173">
        <f>DCF!M14</f>
        <v/>
      </c>
      <c r="G19" s="172">
        <f>DCF!M16</f>
        <v/>
      </c>
    </row>
    <row r="20">
      <c r="A20" t="inlineStr">
        <is>
          <t>5-Year Discounted Cash Flow (DCF) Schedule (Amounts in ₹ Cr)</t>
        </is>
      </c>
      <c r="B20" t="inlineStr">
        <is>
          <t>Sector Median P/E</t>
        </is>
      </c>
      <c r="C20">
        <f>Comp_Valuation!Q25</f>
        <v/>
      </c>
      <c r="D20" t="inlineStr">
        <is>
          <t>0.00"x"</t>
        </is>
      </c>
    </row>
    <row r="21">
      <c r="A21" s="37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s="37" t="inlineStr">
        <is>
          <t>Year 1</t>
        </is>
      </c>
      <c r="B22" s="17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s="37" t="inlineStr">
        <is>
          <t>Year 2</t>
        </is>
      </c>
      <c r="B23" s="172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s="37" t="inlineStr">
        <is>
          <t>Year 3</t>
        </is>
      </c>
      <c r="B24" s="172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s="37" t="inlineStr">
        <is>
          <t>Year 4</t>
        </is>
      </c>
      <c r="B25" s="172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s="37" t="inlineStr">
        <is>
          <t>Year 5</t>
        </is>
      </c>
      <c r="B26" s="172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7">
      <c r="A27" s="37" t="inlineStr">
        <is>
          <t>Less: Total Debt &amp; Borrowings</t>
        </is>
      </c>
      <c r="B27" s="172">
        <f>DCF!D38</f>
        <v/>
      </c>
    </row>
    <row r="28">
      <c r="A28" s="37" t="inlineStr">
        <is>
          <t>Net Equity Value</t>
        </is>
      </c>
      <c r="B28" s="172" t="inlineStr">
        <is>
          <t>Enterprise to Equity Value Bridge</t>
        </is>
      </c>
    </row>
    <row r="29">
      <c r="A29" s="37" t="inlineStr">
        <is>
          <t>Shares Outstanding</t>
        </is>
      </c>
      <c r="B29" s="172" t="inlineStr">
        <is>
          <t>PV of 5-Year FCFFs</t>
        </is>
      </c>
      <c r="C29" s="163">
        <f>DCF!D33</f>
        <v/>
      </c>
      <c r="D29" t="inlineStr">
        <is>
          <t>₹ Cr</t>
        </is>
      </c>
    </row>
    <row r="30">
      <c r="A30" s="37" t="inlineStr">
        <is>
          <t>Intrinsic Value per Share</t>
        </is>
      </c>
      <c r="B30" s="163" t="inlineStr">
        <is>
          <t>Terminal Value</t>
        </is>
      </c>
      <c r="C30" s="163">
        <f>DCF!D29</f>
        <v/>
      </c>
      <c r="D30" t="inlineStr">
        <is>
          <t>₹ Cr</t>
        </is>
      </c>
    </row>
    <row r="31">
      <c r="A31" s="37" t="inlineStr">
        <is>
          <t>Current Market Price</t>
        </is>
      </c>
      <c r="B31" s="163" t="inlineStr">
        <is>
          <t>PV of Terminal Value</t>
        </is>
      </c>
      <c r="C31" s="163">
        <f>DCF!D34</f>
        <v/>
      </c>
      <c r="D31" t="inlineStr">
        <is>
          <t>₹ Cr</t>
        </is>
      </c>
    </row>
    <row r="32">
      <c r="A32" s="37" t="inlineStr">
        <is>
          <t>Margin of Safety / Discount</t>
        </is>
      </c>
      <c r="B32" s="165" t="inlineStr">
        <is>
          <t>Enterprise Value (Operating Assets)</t>
        </is>
      </c>
      <c r="C32" s="163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63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63">
        <f>DCF!D38</f>
        <v/>
      </c>
      <c r="D34" t="inlineStr">
        <is>
          <t>₹ Cr</t>
        </is>
      </c>
    </row>
    <row r="35">
      <c r="B35" t="inlineStr">
        <is>
          <t>Net Equity Value</t>
        </is>
      </c>
      <c r="C35" s="163">
        <f>DCF!D39</f>
        <v/>
      </c>
      <c r="D35" t="inlineStr">
        <is>
          <t>₹ Cr</t>
        </is>
      </c>
    </row>
    <row r="36">
      <c r="B36" t="inlineStr">
        <is>
          <t>Shares Outstanding</t>
        </is>
      </c>
      <c r="C36" s="172">
        <f>DCF!D40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63">
        <f>DCF!D42</f>
        <v/>
      </c>
      <c r="D37" t="inlineStr">
        <is>
          <t>₹</t>
        </is>
      </c>
    </row>
    <row r="38">
      <c r="B38" t="inlineStr">
        <is>
          <t>Current Market Price</t>
        </is>
      </c>
      <c r="C38" s="163">
        <f>DCF!D44</f>
        <v/>
      </c>
      <c r="D38" t="inlineStr">
        <is>
          <t>₹</t>
        </is>
      </c>
    </row>
    <row r="39">
      <c r="B39" t="inlineStr">
        <is>
          <t>Margin of Safety / Discount</t>
        </is>
      </c>
      <c r="C39" s="165">
        <f>(C37-C38)/C38</f>
        <v/>
      </c>
      <c r="D39" t="inlineStr">
        <is>
          <t>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Kalyan Jewellers India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10</v>
      </c>
    </row>
    <row r="8">
      <c r="A8" s="193" t="inlineStr">
        <is>
          <t>Current Price</t>
        </is>
      </c>
      <c r="B8" t="n">
        <v>584</v>
      </c>
    </row>
    <row r="9">
      <c r="A9" s="193" t="inlineStr">
        <is>
          <t>Market Capitalization</t>
        </is>
      </c>
      <c r="B9" t="n">
        <v>60447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43921</v>
      </c>
      <c r="C16" s="16" t="n">
        <v>44286</v>
      </c>
      <c r="D16" s="16" t="n">
        <v>44651</v>
      </c>
      <c r="E16" s="16" t="n">
        <v>45016</v>
      </c>
      <c r="F16" s="16" t="n">
        <v>45382</v>
      </c>
      <c r="G16" s="16" t="n">
        <v>45747</v>
      </c>
      <c r="H16" s="16" t="n">
        <v>46112</v>
      </c>
      <c r="I16" s="16" t="inlineStr">
        <is>
          <t>Trailing</t>
        </is>
      </c>
      <c r="J16" s="16" t="inlineStr">
        <is>
          <t>Best Case</t>
        </is>
      </c>
      <c r="K16" s="16" t="inlineStr">
        <is>
          <t>Worst Case</t>
        </is>
      </c>
    </row>
    <row r="17" customFormat="1" s="188">
      <c r="A17" s="188" t="inlineStr">
        <is>
          <t>Sales</t>
        </is>
      </c>
      <c r="B17" t="n">
        <v>10101</v>
      </c>
      <c r="C17" t="n">
        <v>8573</v>
      </c>
      <c r="D17" t="n">
        <v>10818</v>
      </c>
      <c r="E17" t="n">
        <v>14071</v>
      </c>
      <c r="F17" t="n">
        <v>18516</v>
      </c>
      <c r="G17" t="n">
        <v>25045</v>
      </c>
      <c r="H17" t="n">
        <v>35743</v>
      </c>
      <c r="I17" t="n">
        <v>39063</v>
      </c>
      <c r="J17" t="n">
        <v>51010.66276701936</v>
      </c>
      <c r="K17" t="n">
        <v>43694.3204676273</v>
      </c>
    </row>
    <row r="18" customFormat="1" s="188">
      <c r="A18" s="193" t="inlineStr">
        <is>
          <t>Raw Material Cost</t>
        </is>
      </c>
      <c r="B18" t="n">
        <v>4969.69</v>
      </c>
      <c r="C18" t="n">
        <v>4527.8</v>
      </c>
      <c r="D18" t="n">
        <v>5801.87</v>
      </c>
      <c r="E18" t="n">
        <v>7966.9</v>
      </c>
      <c r="F18" t="n">
        <v>10193.1</v>
      </c>
      <c r="G18" t="n">
        <v>13008.4</v>
      </c>
      <c r="H18" t="n">
        <v>22014.5</v>
      </c>
      <c r="I18" t="n">
        <v>18952.44</v>
      </c>
      <c r="J18" t="n">
        <v>24749.16</v>
      </c>
      <c r="K18" t="n">
        <v>22714.76</v>
      </c>
    </row>
    <row r="19" customFormat="1" s="188">
      <c r="A19" s="193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8">
      <c r="A20" s="193" t="inlineStr">
        <is>
          <t>Power and Fuel</t>
        </is>
      </c>
      <c r="B20" t="n">
        <v>573.4299999999999</v>
      </c>
      <c r="C20" t="n">
        <v>522.4400000000001</v>
      </c>
      <c r="D20" t="n">
        <v>669.45</v>
      </c>
      <c r="E20" t="n">
        <v>919.26</v>
      </c>
      <c r="F20" t="n">
        <v>1176.13</v>
      </c>
      <c r="G20" t="n">
        <v>1500.97</v>
      </c>
      <c r="H20" t="n">
        <v>2540.13</v>
      </c>
      <c r="I20" t="n">
        <v>2186.82</v>
      </c>
      <c r="J20" t="n">
        <v>2855.67</v>
      </c>
      <c r="K20" t="n">
        <v>2620.93</v>
      </c>
    </row>
    <row r="21" customFormat="1" s="188">
      <c r="A21" s="193" t="inlineStr">
        <is>
          <t>Other Mfr. Exp</t>
        </is>
      </c>
      <c r="B21" t="n">
        <v>1146.85</v>
      </c>
      <c r="C21" t="n">
        <v>1044.88</v>
      </c>
      <c r="D21" t="n">
        <v>1338.89</v>
      </c>
      <c r="E21" t="n">
        <v>1838.52</v>
      </c>
      <c r="F21" t="n">
        <v>2352.25</v>
      </c>
      <c r="G21" t="n">
        <v>3001.94</v>
      </c>
      <c r="H21" t="n">
        <v>5080.27</v>
      </c>
      <c r="I21" t="n">
        <v>4373.64</v>
      </c>
      <c r="J21" t="n">
        <v>5711.35</v>
      </c>
      <c r="K21" t="n">
        <v>5241.87</v>
      </c>
    </row>
    <row r="22" customFormat="1" s="188">
      <c r="A22" s="193" t="inlineStr">
        <is>
          <t>Employee Cost</t>
        </is>
      </c>
      <c r="B22" t="n">
        <v>1146.85</v>
      </c>
      <c r="C22" t="n">
        <v>1044.88</v>
      </c>
      <c r="D22" t="n">
        <v>1338.89</v>
      </c>
      <c r="E22" t="n">
        <v>1838.52</v>
      </c>
      <c r="F22" t="n">
        <v>2352.25</v>
      </c>
      <c r="G22" t="n">
        <v>3001.94</v>
      </c>
      <c r="H22" t="n">
        <v>5080.27</v>
      </c>
      <c r="I22" t="n">
        <v>4373.64</v>
      </c>
      <c r="J22" t="n">
        <v>5711.35</v>
      </c>
      <c r="K22" t="n">
        <v>5241.87</v>
      </c>
    </row>
    <row r="23" customFormat="1" s="188">
      <c r="A23" s="193" t="inlineStr">
        <is>
          <t>Selling and admin</t>
        </is>
      </c>
      <c r="B23" t="n">
        <v>573.4299999999999</v>
      </c>
      <c r="C23" t="n">
        <v>522.4400000000001</v>
      </c>
      <c r="D23" t="n">
        <v>669.45</v>
      </c>
      <c r="E23" t="n">
        <v>919.26</v>
      </c>
      <c r="F23" t="n">
        <v>1176.13</v>
      </c>
      <c r="G23" t="n">
        <v>1500.97</v>
      </c>
      <c r="H23" t="n">
        <v>2540.13</v>
      </c>
      <c r="I23" t="n">
        <v>2186.82</v>
      </c>
      <c r="J23" t="n">
        <v>2855.67</v>
      </c>
      <c r="K23" t="n">
        <v>2620.93</v>
      </c>
    </row>
    <row r="24" customFormat="1" s="188">
      <c r="A24" s="193" t="inlineStr">
        <is>
          <t>Other Expenses</t>
        </is>
      </c>
      <c r="B24" t="n">
        <v>1146.85</v>
      </c>
      <c r="C24" t="n">
        <v>1044.86</v>
      </c>
      <c r="D24" t="n">
        <v>1338.89</v>
      </c>
      <c r="E24" t="n">
        <v>1838.51</v>
      </c>
      <c r="F24" t="n">
        <v>2352.26</v>
      </c>
      <c r="G24" t="n">
        <v>3001.93</v>
      </c>
      <c r="H24" t="n">
        <v>5080.28</v>
      </c>
      <c r="I24" t="n">
        <v>4373.64</v>
      </c>
      <c r="J24" t="n">
        <v>5711.34</v>
      </c>
      <c r="K24" t="n">
        <v>5241.86</v>
      </c>
    </row>
    <row r="25" customFormat="1" s="188">
      <c r="A25" s="188" t="inlineStr">
        <is>
          <t>Other Income</t>
        </is>
      </c>
      <c r="B25" t="n">
        <v>80</v>
      </c>
      <c r="C25" t="n">
        <v>45</v>
      </c>
      <c r="D25" t="n">
        <v>38</v>
      </c>
      <c r="E25" t="n">
        <v>5</v>
      </c>
      <c r="F25" t="n">
        <v>106</v>
      </c>
      <c r="G25" t="n">
        <v>140</v>
      </c>
      <c r="H25" t="n">
        <v>162</v>
      </c>
      <c r="I25" t="n">
        <v>176</v>
      </c>
      <c r="J25" t="n">
        <v>0</v>
      </c>
      <c r="K25" t="n">
        <v>0</v>
      </c>
    </row>
    <row r="26" customFormat="1" s="188">
      <c r="A26" s="188" t="inlineStr">
        <is>
          <t>Depreciation</t>
        </is>
      </c>
      <c r="B26" t="n">
        <v>239</v>
      </c>
      <c r="C26" t="n">
        <v>225</v>
      </c>
      <c r="D26" t="n">
        <v>232</v>
      </c>
      <c r="E26" t="n">
        <v>245</v>
      </c>
      <c r="F26" t="n">
        <v>274</v>
      </c>
      <c r="G26" t="n">
        <v>343</v>
      </c>
      <c r="H26" t="n">
        <v>423</v>
      </c>
      <c r="I26" t="n">
        <v>440</v>
      </c>
      <c r="J26" t="n">
        <v>440</v>
      </c>
      <c r="K26" t="n">
        <v>440</v>
      </c>
    </row>
    <row r="27" customFormat="1" s="188">
      <c r="A27" s="188" t="inlineStr">
        <is>
          <t>Interest</t>
        </is>
      </c>
      <c r="B27" t="n">
        <v>419</v>
      </c>
      <c r="C27" t="n">
        <v>405</v>
      </c>
      <c r="D27" t="n">
        <v>360</v>
      </c>
      <c r="E27" t="n">
        <v>353</v>
      </c>
      <c r="F27" t="n">
        <v>379</v>
      </c>
      <c r="G27" t="n">
        <v>422</v>
      </c>
      <c r="H27" t="n">
        <v>499</v>
      </c>
      <c r="I27" t="n">
        <v>437</v>
      </c>
      <c r="J27" t="n">
        <v>437</v>
      </c>
      <c r="K27" t="n">
        <v>437</v>
      </c>
    </row>
    <row r="28" customFormat="1" s="188">
      <c r="A28" s="188" t="inlineStr">
        <is>
          <t>Profit before tax</t>
        </is>
      </c>
      <c r="B28" t="n">
        <v>221</v>
      </c>
      <c r="C28" t="n">
        <v>39</v>
      </c>
      <c r="D28" t="n">
        <v>299</v>
      </c>
      <c r="E28" t="n">
        <v>572</v>
      </c>
      <c r="F28" t="n">
        <v>789</v>
      </c>
      <c r="G28" t="n">
        <v>960</v>
      </c>
      <c r="H28" t="n">
        <v>1802</v>
      </c>
      <c r="I28" t="n">
        <v>1914</v>
      </c>
      <c r="J28" t="n">
        <v>2539.119954906757</v>
      </c>
      <c r="K28" t="n">
        <v>-864.9014795092651</v>
      </c>
    </row>
    <row r="29" customFormat="1" s="188">
      <c r="A29" s="188" t="inlineStr">
        <is>
          <t>Tax</t>
        </is>
      </c>
      <c r="B29" t="n">
        <v>79</v>
      </c>
      <c r="C29" t="n">
        <v>9.75</v>
      </c>
      <c r="D29" t="n">
        <v>75</v>
      </c>
      <c r="E29" t="n">
        <v>140</v>
      </c>
      <c r="F29" t="n">
        <v>193</v>
      </c>
      <c r="G29" t="n">
        <v>246</v>
      </c>
      <c r="H29" t="n">
        <v>452</v>
      </c>
      <c r="I29" t="n">
        <v>478</v>
      </c>
      <c r="J29" t="n">
        <v>634.12</v>
      </c>
      <c r="K29" t="n">
        <v>0</v>
      </c>
    </row>
    <row r="30" customFormat="1" s="188">
      <c r="A30" s="188" t="inlineStr">
        <is>
          <t>Net profit</t>
        </is>
      </c>
      <c r="B30" t="n">
        <v>142</v>
      </c>
      <c r="C30" t="n">
        <v>29.25</v>
      </c>
      <c r="D30" t="n">
        <v>224</v>
      </c>
      <c r="E30" t="n">
        <v>432</v>
      </c>
      <c r="F30" t="n">
        <v>596</v>
      </c>
      <c r="G30" t="n">
        <v>714</v>
      </c>
      <c r="H30" t="n">
        <v>1350</v>
      </c>
      <c r="I30" t="n">
        <v>1436</v>
      </c>
      <c r="J30" t="n">
        <v>1905</v>
      </c>
      <c r="K30" t="n">
        <v>-864.9</v>
      </c>
    </row>
    <row r="31" customFormat="1" s="188">
      <c r="A31" s="188" t="inlineStr">
        <is>
          <t>Dividend Amount</t>
        </is>
      </c>
      <c r="B31" t="n">
        <v>0</v>
      </c>
      <c r="C31" t="n">
        <v>0</v>
      </c>
      <c r="D31" t="n">
        <v>0</v>
      </c>
      <c r="E31" t="n">
        <v>0.52</v>
      </c>
      <c r="F31" t="n">
        <v>1.25</v>
      </c>
      <c r="G31" t="n">
        <v>1.57</v>
      </c>
      <c r="H31" t="n">
        <v>2.56</v>
      </c>
      <c r="I31" t="n">
        <v>0</v>
      </c>
      <c r="J31" t="n">
        <v>0</v>
      </c>
      <c r="K31" t="n">
        <v>-0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45352</v>
      </c>
      <c r="C41" s="16" t="n">
        <v>45444</v>
      </c>
      <c r="D41" s="16" t="n">
        <v>45536</v>
      </c>
      <c r="E41" s="16" t="n">
        <v>45627</v>
      </c>
      <c r="F41" s="16" t="n">
        <v>45717</v>
      </c>
      <c r="G41" s="16" t="n">
        <v>45809</v>
      </c>
      <c r="H41" s="16" t="n">
        <v>45901</v>
      </c>
      <c r="I41" s="16" t="n">
        <v>45992</v>
      </c>
      <c r="J41" s="16" t="n">
        <v>46082</v>
      </c>
      <c r="K41" s="16" t="n">
        <v>46174</v>
      </c>
    </row>
    <row r="42" customFormat="1" s="188">
      <c r="A42" s="188" t="inlineStr">
        <is>
          <t>Sales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 customFormat="1" s="188">
      <c r="A43" s="188" t="inlineStr">
        <is>
          <t>Expenses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 customFormat="1" s="188">
      <c r="A44" s="188" t="inlineStr">
        <is>
          <t>Other Income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 customFormat="1" s="188">
      <c r="A45" s="188" t="inlineStr">
        <is>
          <t>Depreciation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 customFormat="1" s="188">
      <c r="A46" s="188" t="inlineStr">
        <is>
          <t>Interest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 customFormat="1" s="188">
      <c r="A47" s="188" t="inlineStr">
        <is>
          <t>Profit before tax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 customFormat="1" s="188">
      <c r="A48" s="188" t="inlineStr">
        <is>
          <t>Tax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 customFormat="1" s="188">
      <c r="A49" s="188" t="inlineStr">
        <is>
          <t>Net profit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88" t="inlineStr">
        <is>
          <t>Operating Profit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inlineStr">
        <is>
          <t>00:00:00</t>
        </is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0</v>
      </c>
      <c r="C57" t="n">
        <v>839</v>
      </c>
      <c r="D57" t="n">
        <v>839</v>
      </c>
      <c r="E57" t="n">
        <v>839</v>
      </c>
      <c r="F57" t="n">
        <v>1030</v>
      </c>
      <c r="G57" t="n">
        <v>1030</v>
      </c>
      <c r="H57" t="n">
        <v>1030</v>
      </c>
      <c r="I57" t="n">
        <v>1030</v>
      </c>
      <c r="J57" t="n">
        <v>1031</v>
      </c>
      <c r="K57" t="n">
        <v>1035.05</v>
      </c>
    </row>
    <row r="58">
      <c r="A58" s="188" t="inlineStr">
        <is>
          <t>Reserves</t>
        </is>
      </c>
      <c r="B58" t="n">
        <v>0</v>
      </c>
      <c r="C58" t="n">
        <v>1012</v>
      </c>
      <c r="D58" t="n">
        <v>1046</v>
      </c>
      <c r="E58" t="n">
        <v>1203</v>
      </c>
      <c r="F58" t="n">
        <v>1796</v>
      </c>
      <c r="G58" t="n">
        <v>2107</v>
      </c>
      <c r="H58" t="n">
        <v>2605</v>
      </c>
      <c r="I58" t="n">
        <v>3159</v>
      </c>
      <c r="J58" t="n">
        <v>3772</v>
      </c>
      <c r="K58" t="n">
        <v>5276</v>
      </c>
    </row>
    <row r="59">
      <c r="A59" s="188" t="inlineStr">
        <is>
          <t>Borrowings</t>
        </is>
      </c>
      <c r="B59" t="n">
        <v>0</v>
      </c>
      <c r="C59" t="n">
        <v>4196</v>
      </c>
      <c r="D59" t="n">
        <v>3907</v>
      </c>
      <c r="E59" t="n">
        <v>3759</v>
      </c>
      <c r="F59" t="n">
        <v>3378</v>
      </c>
      <c r="G59" t="n">
        <v>4029</v>
      </c>
      <c r="H59" t="n">
        <v>4295</v>
      </c>
      <c r="I59" t="n">
        <v>4495</v>
      </c>
      <c r="J59" t="n">
        <v>4959</v>
      </c>
      <c r="K59" t="n">
        <v>6117</v>
      </c>
    </row>
    <row r="60">
      <c r="A60" s="188" t="inlineStr">
        <is>
          <t>Other Liabilities</t>
        </is>
      </c>
      <c r="B60" t="n">
        <v>0</v>
      </c>
      <c r="C60" t="n">
        <v>2503</v>
      </c>
      <c r="D60" t="n">
        <v>2268</v>
      </c>
      <c r="E60" t="n">
        <v>2417</v>
      </c>
      <c r="F60" t="n">
        <v>2661</v>
      </c>
      <c r="G60" t="n">
        <v>1779</v>
      </c>
      <c r="H60" t="n">
        <v>2783</v>
      </c>
      <c r="I60" t="n">
        <v>4134</v>
      </c>
      <c r="J60" t="n">
        <v>5363</v>
      </c>
      <c r="K60" t="n">
        <v>8291</v>
      </c>
    </row>
    <row r="61" customFormat="1" s="187">
      <c r="A61" s="187" t="inlineStr">
        <is>
          <t>Total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88" t="inlineStr">
        <is>
          <t>Net Block</t>
        </is>
      </c>
      <c r="B62" t="n">
        <v>0</v>
      </c>
      <c r="C62" t="n">
        <v>1879</v>
      </c>
      <c r="D62" t="n">
        <v>2152</v>
      </c>
      <c r="E62" t="n">
        <v>2167</v>
      </c>
      <c r="F62" t="n">
        <v>1899</v>
      </c>
      <c r="G62" t="n">
        <v>1921</v>
      </c>
      <c r="H62" t="n">
        <v>1903</v>
      </c>
      <c r="I62" t="n">
        <v>2299</v>
      </c>
      <c r="J62" t="n">
        <v>2846</v>
      </c>
      <c r="K62" t="n">
        <v>3312</v>
      </c>
    </row>
    <row r="63">
      <c r="A63" s="188" t="inlineStr">
        <is>
          <t>Capital Work in Progress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88" t="inlineStr">
        <is>
          <t>Investments</t>
        </is>
      </c>
      <c r="B64" t="n">
        <v>0</v>
      </c>
      <c r="C64" t="n">
        <v>1</v>
      </c>
      <c r="D64" t="n">
        <v>3</v>
      </c>
      <c r="E64" t="n">
        <v>0</v>
      </c>
      <c r="F64" t="n">
        <v>0</v>
      </c>
      <c r="G64" t="n">
        <v>1</v>
      </c>
      <c r="H64" t="n">
        <v>4</v>
      </c>
      <c r="I64" t="n">
        <v>4</v>
      </c>
      <c r="J64" t="n">
        <v>5</v>
      </c>
      <c r="K64" t="n">
        <v>6</v>
      </c>
    </row>
    <row r="65">
      <c r="A65" s="188" t="inlineStr">
        <is>
          <t>Other Assets</t>
        </is>
      </c>
      <c r="B65" t="n">
        <v>0</v>
      </c>
      <c r="C65" t="n">
        <v>6654</v>
      </c>
      <c r="D65" t="n">
        <v>5884</v>
      </c>
      <c r="E65" t="n">
        <v>6027</v>
      </c>
      <c r="F65" t="n">
        <v>6913</v>
      </c>
      <c r="G65" t="n">
        <v>7021</v>
      </c>
      <c r="H65" t="n">
        <v>8785</v>
      </c>
      <c r="I65" t="n">
        <v>10465</v>
      </c>
      <c r="J65" t="n">
        <v>12267</v>
      </c>
      <c r="K65" t="n">
        <v>17382</v>
      </c>
    </row>
    <row r="66" customFormat="1" s="187">
      <c r="A66" s="187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 customFormat="1" s="188">
      <c r="A67" s="188" t="inlineStr">
        <is>
          <t>Receivables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88" t="inlineStr">
        <is>
          <t>Inventory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93" t="inlineStr">
        <is>
          <t>Cash &amp; Bank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4345.5</v>
      </c>
    </row>
    <row r="70">
      <c r="A70" s="193" t="inlineStr">
        <is>
          <t>No. of Equity Shares</t>
        </is>
      </c>
      <c r="B70" t="n">
        <v>0</v>
      </c>
      <c r="C70" t="n">
        <v>839000000</v>
      </c>
      <c r="D70" t="n">
        <v>839000000</v>
      </c>
      <c r="E70" t="n">
        <v>839000000</v>
      </c>
      <c r="F70" t="n">
        <v>1030000000</v>
      </c>
      <c r="G70" t="n">
        <v>1030000000</v>
      </c>
      <c r="H70" t="n">
        <v>1030000000</v>
      </c>
      <c r="I70" t="n">
        <v>1030000000</v>
      </c>
      <c r="J70" t="n">
        <v>1031000000</v>
      </c>
      <c r="K70" t="n">
        <v>1035051369.863014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inlineStr">
        <is>
          <t>00:00:00</t>
        </is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0</v>
      </c>
      <c r="C82" t="n">
        <v>0</v>
      </c>
      <c r="D82" t="n">
        <v>0</v>
      </c>
      <c r="E82" t="n">
        <v>320</v>
      </c>
      <c r="F82" t="n">
        <v>629</v>
      </c>
      <c r="G82" t="n">
        <v>245</v>
      </c>
      <c r="H82" t="n">
        <v>1013</v>
      </c>
      <c r="I82" t="n">
        <v>1322</v>
      </c>
      <c r="J82" t="n">
        <v>1209</v>
      </c>
      <c r="K82" t="n">
        <v>1318</v>
      </c>
    </row>
    <row r="83" customFormat="1" s="188">
      <c r="A83" s="188" t="inlineStr">
        <is>
          <t>Cash from Investing Activity</t>
        </is>
      </c>
      <c r="B83" t="n">
        <v>0</v>
      </c>
      <c r="C83" t="n">
        <v>0</v>
      </c>
      <c r="D83" t="n">
        <v>0</v>
      </c>
      <c r="E83" t="n">
        <v>34</v>
      </c>
      <c r="F83" t="n">
        <v>-217</v>
      </c>
      <c r="G83" t="n">
        <v>64</v>
      </c>
      <c r="H83" t="n">
        <v>-384</v>
      </c>
      <c r="I83" t="n">
        <v>-137</v>
      </c>
      <c r="J83" t="n">
        <v>-177</v>
      </c>
      <c r="K83" t="n">
        <v>-118</v>
      </c>
    </row>
    <row r="84" customFormat="1" s="188">
      <c r="A84" s="188" t="inlineStr">
        <is>
          <t>Cash from Financing Activity</t>
        </is>
      </c>
      <c r="B84" t="n">
        <v>0</v>
      </c>
      <c r="C84" t="n">
        <v>0</v>
      </c>
      <c r="D84" t="n">
        <v>0</v>
      </c>
      <c r="E84" t="n">
        <v>-343</v>
      </c>
      <c r="F84" t="n">
        <v>-208</v>
      </c>
      <c r="G84" t="n">
        <v>-524</v>
      </c>
      <c r="H84" t="n">
        <v>-638</v>
      </c>
      <c r="I84" t="n">
        <v>-1148</v>
      </c>
      <c r="J84" t="n">
        <v>-840</v>
      </c>
      <c r="K84" t="n">
        <v>-1264</v>
      </c>
    </row>
    <row r="85" customFormat="1" s="187">
      <c r="A85" s="188" t="inlineStr">
        <is>
          <t>Net Cash Flow</t>
        </is>
      </c>
      <c r="B85" t="n">
        <v>0</v>
      </c>
      <c r="C85" t="n">
        <v>0</v>
      </c>
      <c r="D85" t="n">
        <v>0</v>
      </c>
      <c r="E85" t="n">
        <v>11</v>
      </c>
      <c r="F85" t="n">
        <v>204</v>
      </c>
      <c r="G85" t="n">
        <v>-216</v>
      </c>
      <c r="H85" t="n">
        <v>-8</v>
      </c>
      <c r="I85" t="n">
        <v>37</v>
      </c>
      <c r="J85" t="n">
        <v>193</v>
      </c>
      <c r="K85" t="n">
        <v>-64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584</v>
      </c>
      <c r="C90" t="n">
        <v>584</v>
      </c>
      <c r="D90" t="n">
        <v>584</v>
      </c>
      <c r="E90" t="n">
        <v>584</v>
      </c>
      <c r="F90" t="n">
        <v>584</v>
      </c>
      <c r="G90" t="n">
        <v>584</v>
      </c>
      <c r="H90" t="n">
        <v>584</v>
      </c>
      <c r="I90" t="n">
        <v>584</v>
      </c>
      <c r="J90" t="n">
        <v>584</v>
      </c>
      <c r="K90" t="n">
        <v>584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103.5051369863014</v>
      </c>
      <c r="C93" s="198" t="n">
        <v>82.94</v>
      </c>
      <c r="D93" s="198" t="n">
        <v>82.94</v>
      </c>
      <c r="E93" s="198" t="n">
        <v>82.94</v>
      </c>
      <c r="F93" s="198" t="n">
        <v>82.94</v>
      </c>
      <c r="G93" s="198" t="n">
        <v>82.94</v>
      </c>
      <c r="H93" s="198" t="n">
        <v>82.94</v>
      </c>
      <c r="I93" s="198" t="n">
        <v>82.94</v>
      </c>
      <c r="J93" s="198" t="n">
        <v>82.94</v>
      </c>
      <c r="K93" s="198" t="n">
        <v>82.94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Kalyan Jewellers India Ltd</t>
        </is>
      </c>
    </row>
    <row r="4">
      <c r="B4" s="49" t="inlineStr">
        <is>
          <t>Particulars</t>
        </is>
      </c>
      <c r="C4" s="50" t="inlineStr">
        <is>
          <t>00:00:00</t>
        </is>
      </c>
      <c r="D4" s="50" t="inlineStr">
        <is>
          <t>Mar 2018</t>
        </is>
      </c>
      <c r="E4" s="50" t="inlineStr">
        <is>
          <t>Mar 2019</t>
        </is>
      </c>
      <c r="F4" s="50" t="inlineStr">
        <is>
          <t>Mar 2020</t>
        </is>
      </c>
      <c r="G4" s="50" t="inlineStr">
        <is>
          <t>Mar 2021</t>
        </is>
      </c>
      <c r="H4" s="50" t="inlineStr">
        <is>
          <t>Mar 2022</t>
        </is>
      </c>
      <c r="I4" s="50" t="inlineStr">
        <is>
          <t>Mar 2023</t>
        </is>
      </c>
      <c r="J4" s="50" t="inlineStr">
        <is>
          <t>Mar 2024</t>
        </is>
      </c>
      <c r="K4" s="50" t="inlineStr">
        <is>
          <t>Mar 2025</t>
        </is>
      </c>
      <c r="L4" s="50" t="inlineStr">
        <is>
          <t>Mar 2026</t>
        </is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0</v>
      </c>
      <c r="D6" s="73" t="n">
        <v>0</v>
      </c>
      <c r="E6" s="73" t="n">
        <v>0</v>
      </c>
      <c r="F6" s="73" t="n">
        <v>320</v>
      </c>
      <c r="G6" s="73" t="n">
        <v>629</v>
      </c>
      <c r="H6" s="73" t="n">
        <v>245</v>
      </c>
      <c r="I6" s="73" t="n">
        <v>1013</v>
      </c>
      <c r="J6" s="73" t="n">
        <v>1322</v>
      </c>
      <c r="K6" s="73" t="n">
        <v>1209</v>
      </c>
      <c r="L6" s="73" t="n">
        <v>1318</v>
      </c>
      <c r="M6" s="73" t="n">
        <v>16180</v>
      </c>
      <c r="N6" s="73" t="n">
        <v>19100</v>
      </c>
    </row>
    <row r="7">
      <c r="B7" t="inlineStr">
        <is>
          <t>Profit from operations</t>
        </is>
      </c>
      <c r="C7" s="73" t="n">
        <v>0</v>
      </c>
      <c r="D7" s="73" t="n">
        <v>-833.5</v>
      </c>
      <c r="E7" s="73" t="n">
        <v>1955.9</v>
      </c>
      <c r="F7" s="73" t="n">
        <v>543.8999999999996</v>
      </c>
      <c r="G7" s="73" t="n">
        <v>-134.2999999999993</v>
      </c>
      <c r="H7" s="73" t="n">
        <v>-339.4400000000005</v>
      </c>
      <c r="I7" s="73" t="n">
        <v>-1249.969999999998</v>
      </c>
      <c r="J7" s="73" t="n">
        <v>-1086.119999999999</v>
      </c>
      <c r="K7" s="73" t="n">
        <v>28.85000000000218</v>
      </c>
      <c r="L7" s="73" t="n">
        <v>-6592.580000000002</v>
      </c>
      <c r="M7" s="73" t="n">
        <v>20322</v>
      </c>
      <c r="N7" s="73" t="n">
        <v>21802</v>
      </c>
    </row>
    <row r="8">
      <c r="B8" t="inlineStr">
        <is>
          <t>Receivables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73" t="n">
        <v>0</v>
      </c>
      <c r="I8" t="n">
        <v>0</v>
      </c>
      <c r="J8" t="n">
        <v>0</v>
      </c>
      <c r="K8" t="n">
        <v>0</v>
      </c>
      <c r="L8" t="n">
        <v>0</v>
      </c>
      <c r="M8" s="73" t="n">
        <v>-1969</v>
      </c>
      <c r="N8" t="n">
        <v>1236</v>
      </c>
    </row>
    <row r="9">
      <c r="B9" t="inlineStr">
        <is>
          <t>Inventory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73" t="n">
        <v>0</v>
      </c>
      <c r="J9" t="n">
        <v>0</v>
      </c>
      <c r="K9" s="73" t="n">
        <v>0</v>
      </c>
      <c r="L9" s="73" t="n">
        <v>0</v>
      </c>
      <c r="M9" s="73" t="n">
        <v>-1595</v>
      </c>
      <c r="N9" s="73" t="n">
        <v>-4407</v>
      </c>
    </row>
    <row r="10">
      <c r="B10" t="inlineStr">
        <is>
          <t>Payables</t>
        </is>
      </c>
      <c r="C10" t="n">
        <v>0</v>
      </c>
      <c r="D10" t="n">
        <v>0</v>
      </c>
      <c r="E10" t="n">
        <v>0</v>
      </c>
      <c r="F10" s="73" t="n">
        <v>0</v>
      </c>
      <c r="G10" t="n">
        <v>0</v>
      </c>
      <c r="H10" t="n">
        <v>0</v>
      </c>
      <c r="I10" s="73" t="n">
        <v>0</v>
      </c>
      <c r="J10" s="73" t="n">
        <v>0</v>
      </c>
      <c r="K10" s="73" t="n">
        <v>0</v>
      </c>
      <c r="L10" t="n">
        <v>0</v>
      </c>
      <c r="M10" s="73" t="n">
        <v>2606</v>
      </c>
      <c r="N10" t="n">
        <v>5194</v>
      </c>
    </row>
    <row r="11">
      <c r="B11" t="inlineStr">
        <is>
          <t>Working capital changes</t>
        </is>
      </c>
      <c r="C11" t="n">
        <v>0</v>
      </c>
      <c r="D11" t="n">
        <v>906.5</v>
      </c>
      <c r="E11" t="n">
        <v>-1950.65</v>
      </c>
      <c r="F11" s="73" t="n">
        <v>-144.9</v>
      </c>
      <c r="G11" t="n">
        <v>773.05</v>
      </c>
      <c r="H11" t="n">
        <v>659.4400000000001</v>
      </c>
      <c r="I11" t="n">
        <v>2402.97</v>
      </c>
      <c r="J11" t="n">
        <v>2601.12</v>
      </c>
      <c r="K11" t="n">
        <v>1426.15</v>
      </c>
      <c r="L11" s="73" t="n">
        <v>8362.58</v>
      </c>
      <c r="M11" s="73" t="n">
        <v>-335</v>
      </c>
      <c r="N11" s="73" t="n">
        <v>1635</v>
      </c>
    </row>
    <row r="12">
      <c r="B12" t="inlineStr">
        <is>
          <t>Direct taxes</t>
        </is>
      </c>
      <c r="C12" s="73" t="n">
        <v>0</v>
      </c>
      <c r="D12" s="73" t="n">
        <v>-73</v>
      </c>
      <c r="E12" s="73" t="n">
        <v>-5.25</v>
      </c>
      <c r="F12" s="73" t="n">
        <v>-79</v>
      </c>
      <c r="G12" s="73" t="n">
        <v>-9.75</v>
      </c>
      <c r="H12" s="73" t="n">
        <v>-75</v>
      </c>
      <c r="I12" s="73" t="n">
        <v>-140</v>
      </c>
      <c r="J12" s="73" t="n">
        <v>-193</v>
      </c>
      <c r="K12" s="73" t="n">
        <v>-246</v>
      </c>
      <c r="L12" s="73" t="n">
        <v>-452</v>
      </c>
      <c r="M12" s="73" t="n">
        <v>-3807</v>
      </c>
      <c r="N12" s="73" t="n">
        <v>-4337</v>
      </c>
    </row>
    <row r="13">
      <c r="B13" t="inlineStr">
        <is>
          <t>Cash from Investing Activity -</t>
        </is>
      </c>
      <c r="C13" s="73" t="n">
        <v>0</v>
      </c>
      <c r="D13" s="73" t="n">
        <v>0</v>
      </c>
      <c r="E13" s="73" t="n">
        <v>0</v>
      </c>
      <c r="F13" s="73" t="n">
        <v>34</v>
      </c>
      <c r="G13" s="73" t="n">
        <v>-217</v>
      </c>
      <c r="H13" s="73" t="n">
        <v>64</v>
      </c>
      <c r="I13" s="73" t="n">
        <v>-384</v>
      </c>
      <c r="J13" s="73" t="n">
        <v>-137</v>
      </c>
      <c r="K13" s="73" t="n">
        <v>-177</v>
      </c>
      <c r="L13" s="73" t="n">
        <v>-118</v>
      </c>
      <c r="M13" t="n">
        <v>-14500</v>
      </c>
      <c r="N13" s="73" t="n">
        <v>-14734</v>
      </c>
    </row>
    <row r="14">
      <c r="B14" t="inlineStr">
        <is>
          <t>Fixed assets purchased</t>
        </is>
      </c>
      <c r="C14" s="73" t="n">
        <v>0</v>
      </c>
      <c r="D14" s="73" t="n">
        <v>0</v>
      </c>
      <c r="E14" s="73" t="n">
        <v>0</v>
      </c>
      <c r="F14" s="73" t="n">
        <v>28.9</v>
      </c>
      <c r="G14" s="73" t="n">
        <v>-184.45</v>
      </c>
      <c r="H14" s="73" t="n">
        <v>54.4</v>
      </c>
      <c r="I14" s="73" t="n">
        <v>-326.4</v>
      </c>
      <c r="J14" s="73" t="n">
        <v>-116.45</v>
      </c>
      <c r="K14" s="73" t="n">
        <v>-150.45</v>
      </c>
      <c r="L14" s="73" t="n">
        <v>-100.3</v>
      </c>
      <c r="M14" s="73" t="n">
        <v>-10621</v>
      </c>
      <c r="N14" s="73" t="n">
        <v>-10398</v>
      </c>
    </row>
    <row r="15">
      <c r="B15" t="inlineStr">
        <is>
          <t>Fixed assets sold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42</v>
      </c>
      <c r="N15" t="n">
        <v>52</v>
      </c>
    </row>
    <row r="16">
      <c r="B16" t="inlineStr">
        <is>
          <t>Investments purchased</t>
        </is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-73882</v>
      </c>
      <c r="N16" s="73" t="n">
        <v>-108034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69795</v>
      </c>
      <c r="N17" s="73" t="n">
        <v>101969</v>
      </c>
    </row>
    <row r="18">
      <c r="B18" t="inlineStr">
        <is>
          <t>Interest received</t>
        </is>
      </c>
      <c r="C18" t="n">
        <v>0</v>
      </c>
      <c r="D18" t="n">
        <v>0</v>
      </c>
      <c r="E18" t="n">
        <v>0</v>
      </c>
      <c r="F18" t="n">
        <v>0</v>
      </c>
      <c r="G18" s="73" t="n">
        <v>0</v>
      </c>
      <c r="H18" s="73" t="n">
        <v>0</v>
      </c>
      <c r="I18" s="73" t="n">
        <v>0</v>
      </c>
      <c r="J18" s="73" t="n">
        <v>0</v>
      </c>
      <c r="K18" s="73" t="n">
        <v>0</v>
      </c>
      <c r="L18" s="73" t="n">
        <v>0</v>
      </c>
      <c r="M18" s="73" t="n">
        <v>444</v>
      </c>
      <c r="N18" t="n">
        <v>354</v>
      </c>
    </row>
    <row r="19">
      <c r="B19" t="inlineStr">
        <is>
          <t>Dividends received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n">
        <v>11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0</v>
      </c>
      <c r="D23" s="73" t="n">
        <v>0</v>
      </c>
      <c r="E23" s="73" t="n">
        <v>0</v>
      </c>
      <c r="F23" s="73" t="n">
        <v>5.1</v>
      </c>
      <c r="G23" s="73" t="n">
        <v>-32.55</v>
      </c>
      <c r="H23" s="73" t="n">
        <v>9.6</v>
      </c>
      <c r="I23" s="73" t="n">
        <v>-57.6</v>
      </c>
      <c r="J23" s="73" t="n">
        <v>-20.55</v>
      </c>
      <c r="K23" t="n">
        <v>-26.55</v>
      </c>
      <c r="L23" s="73" t="n">
        <v>-17.7</v>
      </c>
      <c r="M23" t="n">
        <v>-269</v>
      </c>
      <c r="N23" s="73" t="n">
        <v>1311</v>
      </c>
    </row>
    <row r="24">
      <c r="B24" t="inlineStr">
        <is>
          <t>Cash from Financing Activity -</t>
        </is>
      </c>
      <c r="C24" s="73" t="n">
        <v>0</v>
      </c>
      <c r="D24" s="73" t="n">
        <v>0</v>
      </c>
      <c r="E24" s="73" t="n">
        <v>0</v>
      </c>
      <c r="F24" s="73" t="n">
        <v>-343</v>
      </c>
      <c r="G24" s="73" t="n">
        <v>-208</v>
      </c>
      <c r="H24" s="73" t="n">
        <v>-524</v>
      </c>
      <c r="I24" s="73" t="n">
        <v>-638</v>
      </c>
      <c r="J24" s="73" t="n">
        <v>-1148</v>
      </c>
      <c r="K24" s="73" t="n">
        <v>-840</v>
      </c>
      <c r="L24" s="73" t="n">
        <v>-1264</v>
      </c>
      <c r="M24" s="73" t="n">
        <v>-4155</v>
      </c>
      <c r="N24" s="73" t="n">
        <v>-4484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390</v>
      </c>
      <c r="E26" t="n">
        <v>418</v>
      </c>
      <c r="F26" t="n">
        <v>76</v>
      </c>
      <c r="G26" t="n">
        <v>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-164</v>
      </c>
      <c r="I27" t="n">
        <v>-285</v>
      </c>
      <c r="J27" t="n">
        <v>-769</v>
      </c>
      <c r="K27" t="n">
        <v>-418</v>
      </c>
      <c r="L27" t="n">
        <v>-765</v>
      </c>
      <c r="M27" t="n">
        <v>-33</v>
      </c>
      <c r="N27" t="n">
        <v>0</v>
      </c>
    </row>
    <row r="28">
      <c r="B28" t="inlineStr">
        <is>
          <t>Interest paid fin</t>
        </is>
      </c>
      <c r="C28" t="n">
        <v>0</v>
      </c>
      <c r="D28" t="n">
        <v>-390</v>
      </c>
      <c r="E28" t="n">
        <v>-418</v>
      </c>
      <c r="F28" t="n">
        <v>-419</v>
      </c>
      <c r="G28" t="n">
        <v>-405</v>
      </c>
      <c r="H28" t="n">
        <v>-360</v>
      </c>
      <c r="I28" t="n">
        <v>-353</v>
      </c>
      <c r="J28" t="n">
        <v>-379</v>
      </c>
      <c r="K28" t="n">
        <v>-422</v>
      </c>
      <c r="L28" t="n">
        <v>-499</v>
      </c>
      <c r="M28" t="n">
        <v>-167</v>
      </c>
      <c r="N28" t="n">
        <v>-204</v>
      </c>
    </row>
    <row r="29">
      <c r="B29" t="inlineStr">
        <is>
          <t>Dividends paid</t>
        </is>
      </c>
      <c r="C29" s="73" t="n">
        <v>0</v>
      </c>
      <c r="D29" s="73" t="n">
        <v>0</v>
      </c>
      <c r="E29" s="73" t="n">
        <v>0</v>
      </c>
      <c r="F29" s="73" t="n">
        <v>0</v>
      </c>
      <c r="G29" s="73" t="n">
        <v>0</v>
      </c>
      <c r="H29" s="73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-3930</v>
      </c>
      <c r="N29" s="73" t="n">
        <v>-4244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-25</v>
      </c>
      <c r="N30" t="n">
        <v>-36</v>
      </c>
    </row>
    <row r="31">
      <c r="B31" t="inlineStr">
        <is>
          <t>Other financing items</t>
        </is>
      </c>
      <c r="C31" t="n">
        <v>0</v>
      </c>
      <c r="D31" t="n">
        <v>0</v>
      </c>
      <c r="E31" s="73" t="n">
        <v>0</v>
      </c>
      <c r="F31" s="73" t="n">
        <v>0</v>
      </c>
      <c r="G31" s="73" t="n">
        <v>0</v>
      </c>
      <c r="H31" s="73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0</v>
      </c>
      <c r="D32" t="n">
        <v>0</v>
      </c>
      <c r="E32" t="n">
        <v>0</v>
      </c>
      <c r="F32" t="n">
        <v>11</v>
      </c>
      <c r="G32" t="n">
        <v>204</v>
      </c>
      <c r="H32" t="n">
        <v>-216</v>
      </c>
      <c r="I32" t="n">
        <v>-8</v>
      </c>
      <c r="J32" t="n">
        <v>37</v>
      </c>
      <c r="K32" t="n">
        <v>193</v>
      </c>
      <c r="L32" t="n">
        <v>-64</v>
      </c>
      <c r="M32" t="n">
        <v>-2475</v>
      </c>
      <c r="N32" t="n">
        <v>-118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 t="inlineStr">
        <is>
          <t>Nifty 50 Daily Returns</t>
        </is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0.86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0.86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0.86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0.86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0.86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0.07139999999999999</v>
      </c>
      <c r="G26" t="inlineStr">
        <is>
          <t>Risk Free Rate</t>
        </is>
      </c>
      <c r="K26" s="121" t="n">
        <v>0.068</v>
      </c>
    </row>
    <row r="27">
      <c r="B27" t="inlineStr">
        <is>
          <t>Tax Rate</t>
        </is>
      </c>
      <c r="E27" s="46" t="n">
        <v>0.3</v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'Data Sheet'!K59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'Data Sheet'!K61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76" thickBot="1"/>
    <row r="40" ht="15" customHeight="1" s="176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80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  <row r="67">
      <c r="B67" t="inlineStr">
        <is>
          <t>Normalized ROIC (Sustainable)</t>
        </is>
      </c>
      <c r="L67" s="46">
        <f>IFERROR(MEDIAN(I40:L40), 0.12)</f>
        <v/>
      </c>
    </row>
    <row r="68">
      <c r="B68" t="inlineStr">
        <is>
          <t>Expected Growth Rate</t>
        </is>
      </c>
      <c r="L68" s="46" t="n">
        <v>0.0692</v>
      </c>
    </row>
    <row r="69">
      <c r="B69" t="inlineStr">
        <is>
          <t>Fundamental Reinvestment Rate</t>
        </is>
      </c>
      <c r="L69" s="46">
        <f>IF(L67&lt;=0, L55, L68/L67)</f>
        <v/>
      </c>
    </row>
    <row r="70">
      <c r="B70" t="inlineStr">
        <is>
          <t>Sustainable Terminal ROIC</t>
        </is>
      </c>
      <c r="L70" s="46">
        <f>MIN(0.18, MAX(0.06, 0.5*L67 + 0.5*DCF!D20))</f>
        <v/>
      </c>
    </row>
    <row r="71">
      <c r="B71" t="inlineStr">
        <is>
          <t>Terminal Reinvestment Rate</t>
        </is>
      </c>
      <c r="L71" s="46">
        <f>DCF!D19/L70</f>
        <v/>
      </c>
    </row>
    <row r="72">
      <c r="B72" t="inlineStr">
        <is>
          <t>Growth-ROIC Consistency Check</t>
        </is>
      </c>
      <c r="L72">
        <f>IF(ABS(L69*L67 - L68) &lt;= 0.005, "PASS", "WARNING")</f>
        <v/>
      </c>
    </row>
    <row r="73">
      <c r="B73" t="inlineStr">
        <is>
          <t>Growth Source</t>
        </is>
      </c>
      <c r="L73" t="inlineStr">
        <is>
          <t>Historical Normalized</t>
        </is>
      </c>
    </row>
    <row r="74">
      <c r="B74" t="inlineStr">
        <is>
          <t>Reinvestment Confidence</t>
        </is>
      </c>
      <c r="L74" t="inlineStr">
        <is>
          <t>HIGH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Valuation'!$L$69</f>
        <v/>
      </c>
      <c r="I11" s="81">
        <f>'Intrinsic Valuation'!$L$69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Valuation'!$L$68</f>
        <v/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'Intrinsic Valuation'!$L$71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1"/>
    <row r="42" ht="15" customHeight="1" s="176" thickBot="1">
      <c r="B42" s="127" t="inlineStr">
        <is>
          <t>Equity Value per Share</t>
        </is>
      </c>
      <c r="C42" s="127" t="n"/>
      <c r="D42" s="128">
        <f>D39/D40</f>
        <v/>
      </c>
    </row>
    <row r="43"/>
    <row r="44">
      <c r="B44" t="inlineStr">
        <is>
          <t>Share Price</t>
        </is>
      </c>
      <c r="D44" s="107">
        <f>'Data Sheet'!B8</f>
        <v/>
      </c>
    </row>
    <row r="45">
      <c r="B45" t="inlineStr">
        <is>
          <t>Margin of Safety / (Discount)</t>
        </is>
      </c>
      <c r="D45" s="202">
        <f>(D42-D44)/D44</f>
        <v/>
      </c>
    </row>
    <row r="46"/>
    <row r="47"/>
    <row r="48"/>
    <row r="49"/>
    <row r="50"/>
    <row r="51"/>
    <row r="52"/>
    <row r="53"/>
    <row r="54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2026-09-25</t>
        </is>
      </c>
      <c r="H6" t="n">
        <v>573</v>
      </c>
      <c r="J6" t="n">
        <v>23140.5</v>
      </c>
    </row>
    <row r="7">
      <c r="B7" t="n">
        <v>2024</v>
      </c>
      <c r="C7" s="46" t="n">
        <v>0.08749999999999999</v>
      </c>
      <c r="G7" s="34" t="inlineStr">
        <is>
          <t>2026-09-24</t>
        </is>
      </c>
      <c r="H7" t="n">
        <v>573.6</v>
      </c>
      <c r="J7" t="n">
        <v>23063.1</v>
      </c>
    </row>
    <row r="8">
      <c r="B8" t="n">
        <v>2023</v>
      </c>
      <c r="C8" s="46" t="n">
        <v>0.1942</v>
      </c>
      <c r="G8" s="34" t="inlineStr">
        <is>
          <t>2026-09-23</t>
        </is>
      </c>
      <c r="H8" t="n">
        <v>584.25</v>
      </c>
      <c r="J8" t="n">
        <v>23446.8</v>
      </c>
    </row>
    <row r="9">
      <c r="B9" t="n">
        <v>2022</v>
      </c>
      <c r="C9" s="46" t="n">
        <v>0.0432</v>
      </c>
      <c r="G9" s="34" t="inlineStr">
        <is>
          <t>2026-09-22</t>
        </is>
      </c>
      <c r="H9" t="n">
        <v>583.1</v>
      </c>
      <c r="J9" t="n">
        <v>23329</v>
      </c>
    </row>
    <row r="10">
      <c r="B10" t="n">
        <v>2021</v>
      </c>
      <c r="C10" s="46" t="n">
        <v>0.2412</v>
      </c>
      <c r="G10" s="34" t="inlineStr">
        <is>
          <t>2026-09-21</t>
        </is>
      </c>
      <c r="H10" t="n">
        <v>581.5</v>
      </c>
      <c r="J10" t="n">
        <v>23414.3</v>
      </c>
    </row>
    <row r="11">
      <c r="B11" t="n">
        <v>2020</v>
      </c>
      <c r="C11" s="46" t="n">
        <v>0.149</v>
      </c>
      <c r="G11" s="34" t="inlineStr">
        <is>
          <t>2026-09-18</t>
        </is>
      </c>
      <c r="H11" t="n">
        <v>581.85</v>
      </c>
      <c r="J11" t="n">
        <v>23346.4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2026-09-17</t>
        </is>
      </c>
      <c r="H12" t="n">
        <v>581.45</v>
      </c>
      <c r="J12" t="n">
        <v>23270.6</v>
      </c>
      <c r="N12" t="n">
        <v>1</v>
      </c>
      <c r="O12" t="inlineStr">
        <is>
          <t>Sector Peer 1</t>
        </is>
      </c>
      <c r="P12" t="n">
        <v>100</v>
      </c>
      <c r="Q12" t="n">
        <v>31.44</v>
      </c>
      <c r="R12" t="n">
        <v>10000</v>
      </c>
      <c r="S12" t="n">
        <v>1000</v>
      </c>
      <c r="T12" t="n">
        <v>19026.07</v>
      </c>
      <c r="U12" t="n">
        <v>456625.73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2026-09-16</t>
        </is>
      </c>
      <c r="H13" t="n">
        <v>580.9</v>
      </c>
      <c r="J13" t="n">
        <v>23217.6</v>
      </c>
      <c r="N13" t="n">
        <v>2</v>
      </c>
      <c r="O13" t="inlineStr">
        <is>
          <t>Sector Peer 2</t>
        </is>
      </c>
      <c r="P13" t="n">
        <v>100</v>
      </c>
      <c r="Q13" t="n">
        <v>124.35</v>
      </c>
      <c r="R13" t="n">
        <v>10000</v>
      </c>
      <c r="S13" t="n">
        <v>1000</v>
      </c>
      <c r="T13" t="n">
        <v>18976.25</v>
      </c>
      <c r="U13" t="n">
        <v>455430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2026-09-15</t>
        </is>
      </c>
      <c r="H14" t="n">
        <v>604.2</v>
      </c>
      <c r="J14" t="n">
        <v>23118.6</v>
      </c>
      <c r="N14" t="n">
        <v>3</v>
      </c>
      <c r="O14" t="inlineStr">
        <is>
          <t>Sector Peer 3</t>
        </is>
      </c>
      <c r="P14" t="n">
        <v>100</v>
      </c>
      <c r="Q14" t="n">
        <v>27.48</v>
      </c>
      <c r="R14" t="n">
        <v>10000</v>
      </c>
      <c r="S14" t="n">
        <v>1000</v>
      </c>
      <c r="T14" t="n">
        <v>15683.06</v>
      </c>
      <c r="U14" t="n">
        <v>376393.31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2026-09-14</t>
        </is>
      </c>
      <c r="H15" t="n">
        <v>601.15</v>
      </c>
      <c r="J15" t="n">
        <v>23398.1</v>
      </c>
      <c r="N15" t="n">
        <v>4</v>
      </c>
      <c r="O15" t="inlineStr">
        <is>
          <t>Sector Peer 4</t>
        </is>
      </c>
      <c r="P15" t="n">
        <v>100</v>
      </c>
      <c r="Q15" t="n">
        <v>27.45</v>
      </c>
      <c r="R15" t="n">
        <v>10000</v>
      </c>
      <c r="S15" t="n">
        <v>1000</v>
      </c>
      <c r="T15" t="n">
        <v>10316.53</v>
      </c>
      <c r="U15" t="n">
        <v>247596.62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2026-09-11</t>
        </is>
      </c>
      <c r="H16" t="n">
        <v>601.15</v>
      </c>
      <c r="J16" t="n">
        <v>23398.1</v>
      </c>
      <c r="N16" t="n">
        <v>5</v>
      </c>
      <c r="O16" t="inlineStr">
        <is>
          <t>Sector Peer 5</t>
        </is>
      </c>
      <c r="P16" t="n">
        <v>100</v>
      </c>
      <c r="Q16" t="n">
        <v>47.51</v>
      </c>
      <c r="R16" t="n">
        <v>10000</v>
      </c>
      <c r="S16" t="n">
        <v>1000</v>
      </c>
      <c r="T16" t="n">
        <v>9908.65</v>
      </c>
      <c r="U16" t="n">
        <v>237807.71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2026-09-10</t>
        </is>
      </c>
      <c r="H17" t="n">
        <v>615.2</v>
      </c>
      <c r="J17" t="n">
        <v>23477.8</v>
      </c>
      <c r="N17" t="n">
        <v>6</v>
      </c>
      <c r="O17" t="inlineStr">
        <is>
          <t>Hyundai Motor I</t>
        </is>
      </c>
      <c r="P17" t="n">
        <v>2208.8</v>
      </c>
      <c r="Q17" t="n">
        <v>81.25</v>
      </c>
      <c r="R17" t="n">
        <v>179474.08</v>
      </c>
      <c r="S17" t="n">
        <v>44868.52</v>
      </c>
      <c r="T17" t="n">
        <v>8973.700000000001</v>
      </c>
      <c r="U17" t="n">
        <v>215368.9</v>
      </c>
    </row>
    <row r="18">
      <c r="B18" t="n">
        <v>2013</v>
      </c>
      <c r="C18" s="46" t="n">
        <v>0.06759999999999999</v>
      </c>
      <c r="G18" s="34" t="inlineStr">
        <is>
          <t>2026-09-09</t>
        </is>
      </c>
      <c r="H18" t="n">
        <v>607.6</v>
      </c>
      <c r="J18" t="n">
        <v>23431.5</v>
      </c>
      <c r="N18" t="n">
        <v>7</v>
      </c>
      <c r="O18" t="inlineStr">
        <is>
          <t>Samvardh. Mothe.</t>
        </is>
      </c>
      <c r="P18" t="n">
        <v>162.57</v>
      </c>
      <c r="Q18" t="n">
        <v>1055.44</v>
      </c>
      <c r="R18" t="n">
        <v>171583.57</v>
      </c>
      <c r="S18" t="n">
        <v>42895.89</v>
      </c>
      <c r="T18" t="n">
        <v>8579.18</v>
      </c>
      <c r="U18" t="n">
        <v>205900.28</v>
      </c>
    </row>
    <row r="19">
      <c r="B19" t="n">
        <v>2012</v>
      </c>
      <c r="C19" s="46" t="n">
        <v>0.277</v>
      </c>
      <c r="G19" s="34" t="inlineStr">
        <is>
          <t>2026-09-08</t>
        </is>
      </c>
      <c r="H19" t="n">
        <v>612.6</v>
      </c>
      <c r="J19" t="n">
        <v>23635.1</v>
      </c>
      <c r="N19" t="n">
        <v>8</v>
      </c>
      <c r="O19" t="inlineStr">
        <is>
          <t>Bosch</t>
        </is>
      </c>
      <c r="P19" t="n">
        <v>47000</v>
      </c>
      <c r="Q19" t="n">
        <v>2.95</v>
      </c>
      <c r="R19" t="n">
        <v>138631.67</v>
      </c>
      <c r="S19" t="n">
        <v>34657.92</v>
      </c>
      <c r="T19" t="n">
        <v>6931.58</v>
      </c>
      <c r="U19" t="n">
        <v>166358.01</v>
      </c>
    </row>
    <row r="20">
      <c r="B20" t="n">
        <v>2011</v>
      </c>
      <c r="C20" s="46" t="n">
        <v>-0.2462</v>
      </c>
      <c r="G20" s="34" t="inlineStr">
        <is>
          <t>2026-09-07</t>
        </is>
      </c>
      <c r="H20" t="n">
        <v>591</v>
      </c>
      <c r="J20" t="n">
        <v>23779.15</v>
      </c>
      <c r="N20" t="n">
        <v>9</v>
      </c>
      <c r="O20" t="inlineStr">
        <is>
          <t>Tata Motors PVeh</t>
        </is>
      </c>
      <c r="P20" t="n">
        <v>303.8</v>
      </c>
      <c r="Q20" t="n">
        <v>368.29</v>
      </c>
      <c r="R20" t="n">
        <v>111886.25</v>
      </c>
      <c r="S20" t="n">
        <v>27971.56</v>
      </c>
      <c r="T20" t="n">
        <v>5594.31</v>
      </c>
      <c r="U20" t="n">
        <v>134263.5</v>
      </c>
    </row>
    <row r="21">
      <c r="B21" t="n">
        <v>2010</v>
      </c>
      <c r="C21" s="46" t="n">
        <v>0.1795</v>
      </c>
      <c r="G21" s="34" t="inlineStr">
        <is>
          <t>2026-09-04</t>
        </is>
      </c>
      <c r="H21" t="n">
        <v>598.8</v>
      </c>
      <c r="J21" t="n">
        <v>23897.7</v>
      </c>
      <c r="N21" t="n">
        <v>10</v>
      </c>
      <c r="O21" t="inlineStr">
        <is>
          <t>Hero Motocorp</t>
        </is>
      </c>
      <c r="P21" t="n">
        <v>5285.5</v>
      </c>
      <c r="Q21" t="n">
        <v>20.01</v>
      </c>
      <c r="R21" t="n">
        <v>105784.63</v>
      </c>
      <c r="S21" t="n">
        <v>26446.16</v>
      </c>
      <c r="T21" t="n">
        <v>5289.23</v>
      </c>
      <c r="U21" t="n">
        <v>126941.56</v>
      </c>
    </row>
    <row r="22">
      <c r="B22" t="n">
        <v>2009</v>
      </c>
      <c r="C22" s="46" t="n">
        <v>0.7576000000000001</v>
      </c>
      <c r="G22" s="34" t="inlineStr">
        <is>
          <t>2026-09-03</t>
        </is>
      </c>
      <c r="H22" t="n">
        <v>585.3</v>
      </c>
      <c r="J22" t="n">
        <v>23873.45</v>
      </c>
    </row>
    <row r="23">
      <c r="B23" t="n">
        <v>2008</v>
      </c>
      <c r="C23" s="46" t="n">
        <v>-0.5179</v>
      </c>
      <c r="G23" s="34" t="inlineStr">
        <is>
          <t>2026-09-02</t>
        </is>
      </c>
      <c r="H23" t="n">
        <v>590</v>
      </c>
      <c r="J23" t="n">
        <v>23914.45</v>
      </c>
    </row>
    <row r="24">
      <c r="B24" t="n">
        <v>2007</v>
      </c>
      <c r="C24" s="46" t="n">
        <v>0.5477</v>
      </c>
      <c r="G24" s="34" t="inlineStr">
        <is>
          <t>2026-09-01</t>
        </is>
      </c>
      <c r="H24" t="n">
        <v>573</v>
      </c>
      <c r="J24" t="n">
        <v>24055.8</v>
      </c>
      <c r="O24" t="inlineStr">
        <is>
          <t>Sector Peer 1</t>
        </is>
      </c>
      <c r="Q24" t="inlineStr">
        <is>
          <t>India</t>
        </is>
      </c>
      <c r="R24" t="n">
        <v>1000</v>
      </c>
      <c r="S24" t="n">
        <v>10000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2026-08-31</t>
        </is>
      </c>
      <c r="H25" t="n">
        <v>601</v>
      </c>
      <c r="J25" t="n">
        <v>24080.4</v>
      </c>
      <c r="O25" t="inlineStr">
        <is>
          <t>Sector Peer 2</t>
        </is>
      </c>
      <c r="Q25">
        <f>Q24</f>
        <v/>
      </c>
      <c r="R25" t="n">
        <v>1000</v>
      </c>
      <c r="S25" t="n">
        <v>10000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2026-08-28</t>
        </is>
      </c>
      <c r="H26" t="n">
        <v>615.8</v>
      </c>
      <c r="J26" t="n">
        <v>24175.65</v>
      </c>
      <c r="O26" t="inlineStr">
        <is>
          <t>Sector Peer 3</t>
        </is>
      </c>
      <c r="Q26">
        <f>Q25</f>
        <v/>
      </c>
      <c r="R26" t="n">
        <v>1000</v>
      </c>
      <c r="S26" t="n">
        <v>10000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2026-08-27</t>
        </is>
      </c>
      <c r="H27" t="n">
        <v>629.3</v>
      </c>
      <c r="J27" t="n">
        <v>24090.85</v>
      </c>
      <c r="O27" t="inlineStr">
        <is>
          <t>Sector Peer 4</t>
        </is>
      </c>
      <c r="Q27">
        <f>Q26</f>
        <v/>
      </c>
      <c r="R27" t="n">
        <v>1000</v>
      </c>
      <c r="S27" t="n">
        <v>10000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2026-08-26</t>
        </is>
      </c>
      <c r="H28" t="n">
        <v>610.6</v>
      </c>
      <c r="J28" t="n">
        <v>24207.75</v>
      </c>
      <c r="O28" t="inlineStr">
        <is>
          <t>Sector Peer 5</t>
        </is>
      </c>
      <c r="Q28">
        <f>Q27</f>
        <v/>
      </c>
      <c r="R28" t="n">
        <v>1000</v>
      </c>
      <c r="S28" t="n">
        <v>10000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2026-08-25</t>
        </is>
      </c>
      <c r="H29" t="n">
        <v>612.6</v>
      </c>
      <c r="J29" t="n">
        <v>24334.55</v>
      </c>
    </row>
    <row r="30">
      <c r="G30" s="34" t="inlineStr">
        <is>
          <t>2026-08-24</t>
        </is>
      </c>
      <c r="H30" t="n">
        <v>607.95</v>
      </c>
      <c r="J30" t="n">
        <v>24219.05</v>
      </c>
    </row>
    <row r="31">
      <c r="G31" s="34" t="inlineStr">
        <is>
          <t>2026-08-21</t>
        </is>
      </c>
      <c r="H31" t="n">
        <v>603.55</v>
      </c>
      <c r="J31" t="n">
        <v>24252</v>
      </c>
    </row>
    <row r="32">
      <c r="G32" s="34" t="inlineStr">
        <is>
          <t>2026-08-20</t>
        </is>
      </c>
      <c r="H32" t="n">
        <v>596</v>
      </c>
      <c r="J32" t="n">
        <v>24231.85</v>
      </c>
    </row>
    <row r="33">
      <c r="G33" s="34" t="inlineStr">
        <is>
          <t>2026-08-19</t>
        </is>
      </c>
      <c r="H33" t="n">
        <v>595.2</v>
      </c>
      <c r="J33" t="n">
        <v>24078.3</v>
      </c>
    </row>
    <row r="34">
      <c r="G34" s="34" t="inlineStr">
        <is>
          <t>2026-08-18</t>
        </is>
      </c>
      <c r="H34" t="n">
        <v>601.6</v>
      </c>
      <c r="J34" t="n">
        <v>24154.9</v>
      </c>
    </row>
    <row r="35">
      <c r="G35" s="34" t="inlineStr">
        <is>
          <t>2026-08-17</t>
        </is>
      </c>
      <c r="H35" t="n">
        <v>610</v>
      </c>
      <c r="J35" t="n">
        <v>24287.65</v>
      </c>
    </row>
    <row r="36">
      <c r="G36" s="34" t="inlineStr">
        <is>
          <t>2026-08-14</t>
        </is>
      </c>
      <c r="H36" t="n">
        <v>608.25</v>
      </c>
      <c r="J36" t="n">
        <v>24366</v>
      </c>
    </row>
    <row r="37">
      <c r="G37" s="34" t="inlineStr">
        <is>
          <t>2026-08-13</t>
        </is>
      </c>
      <c r="H37" t="n">
        <v>613.4</v>
      </c>
      <c r="J37" t="n">
        <v>24395.85</v>
      </c>
    </row>
    <row r="38">
      <c r="G38" s="34" t="inlineStr">
        <is>
          <t>2026-08-12</t>
        </is>
      </c>
      <c r="H38" t="n">
        <v>596.7</v>
      </c>
      <c r="J38" t="n">
        <v>24435.95</v>
      </c>
    </row>
    <row r="39">
      <c r="G39" s="34" t="inlineStr">
        <is>
          <t>2026-08-11</t>
        </is>
      </c>
      <c r="H39" t="n">
        <v>602.2</v>
      </c>
      <c r="J39" t="n">
        <v>24471.7</v>
      </c>
    </row>
    <row r="40">
      <c r="G40" s="34" t="inlineStr">
        <is>
          <t>2026-08-10</t>
        </is>
      </c>
      <c r="H40" t="n">
        <v>600.25</v>
      </c>
      <c r="J40" t="n">
        <v>24583.8</v>
      </c>
    </row>
    <row r="41">
      <c r="G41" s="34" t="inlineStr">
        <is>
          <t>2026-08-07</t>
        </is>
      </c>
      <c r="H41" t="n">
        <v>606.3</v>
      </c>
      <c r="J41" t="n">
        <v>24570.65</v>
      </c>
    </row>
    <row r="42">
      <c r="G42" s="34" t="inlineStr">
        <is>
          <t>2026-08-06</t>
        </is>
      </c>
      <c r="H42" t="n">
        <v>598</v>
      </c>
      <c r="J42" t="n">
        <v>24636</v>
      </c>
    </row>
    <row r="43">
      <c r="G43" s="34" t="inlineStr">
        <is>
          <t>2026-08-05</t>
        </is>
      </c>
      <c r="H43" t="n">
        <v>569.5</v>
      </c>
      <c r="J43" t="n">
        <v>24624.65</v>
      </c>
    </row>
    <row r="44">
      <c r="G44" s="34" t="inlineStr">
        <is>
          <t>2026-08-04</t>
        </is>
      </c>
      <c r="H44" t="n">
        <v>591.4</v>
      </c>
      <c r="J44" t="n">
        <v>24614.9</v>
      </c>
    </row>
    <row r="45">
      <c r="G45" s="34" t="inlineStr">
        <is>
          <t>2026-08-03</t>
        </is>
      </c>
      <c r="H45" t="n">
        <v>608</v>
      </c>
      <c r="J45" t="n">
        <v>24774.3</v>
      </c>
    </row>
    <row r="46">
      <c r="G46" s="34" t="inlineStr">
        <is>
          <t>2026-07-31</t>
        </is>
      </c>
      <c r="H46" t="n">
        <v>612.6</v>
      </c>
      <c r="J46" t="n">
        <v>24383.6</v>
      </c>
    </row>
    <row r="47">
      <c r="G47" s="34" t="inlineStr">
        <is>
          <t>2026-07-30</t>
        </is>
      </c>
      <c r="H47" t="n">
        <v>634.6</v>
      </c>
      <c r="J47" t="n">
        <v>24317.15</v>
      </c>
    </row>
    <row r="48">
      <c r="G48" s="34" t="inlineStr">
        <is>
          <t>2026-07-29</t>
        </is>
      </c>
      <c r="H48" t="n">
        <v>628.6</v>
      </c>
      <c r="J48" t="n">
        <v>24250.2</v>
      </c>
    </row>
    <row r="49">
      <c r="G49" s="34" t="inlineStr">
        <is>
          <t>2026-07-28</t>
        </is>
      </c>
      <c r="H49" t="n">
        <v>608.35</v>
      </c>
      <c r="J49" t="n">
        <v>23985.35</v>
      </c>
    </row>
    <row r="50">
      <c r="G50" s="34" t="inlineStr">
        <is>
          <t>2026-07-27</t>
        </is>
      </c>
      <c r="H50" t="n">
        <v>564.6</v>
      </c>
      <c r="J50" t="n">
        <v>23995.95</v>
      </c>
    </row>
    <row r="51">
      <c r="G51" s="34" t="inlineStr">
        <is>
          <t>2026-07-24</t>
        </is>
      </c>
      <c r="H51" t="n">
        <v>573.55</v>
      </c>
      <c r="J51" t="n">
        <v>23767.45</v>
      </c>
    </row>
    <row r="52">
      <c r="G52" s="34" t="inlineStr">
        <is>
          <t>2026-07-23</t>
        </is>
      </c>
      <c r="H52" t="n">
        <v>585.6</v>
      </c>
      <c r="J52" t="n">
        <v>23869.6</v>
      </c>
    </row>
    <row r="53">
      <c r="G53" s="34" t="inlineStr">
        <is>
          <t>2026-07-22</t>
        </is>
      </c>
      <c r="H53" t="n">
        <v>596.1</v>
      </c>
      <c r="J53" t="n">
        <v>23996.25</v>
      </c>
    </row>
    <row r="54">
      <c r="G54" s="34" t="inlineStr">
        <is>
          <t>2026-07-21</t>
        </is>
      </c>
      <c r="H54" t="n">
        <v>577</v>
      </c>
      <c r="J54" t="n">
        <v>24187.7</v>
      </c>
    </row>
    <row r="55">
      <c r="G55" s="34" t="inlineStr">
        <is>
          <t>2026-07-20</t>
        </is>
      </c>
      <c r="H55" t="n">
        <v>570</v>
      </c>
      <c r="J55" t="n">
        <v>24238.5</v>
      </c>
    </row>
    <row r="56">
      <c r="G56" s="34" t="inlineStr">
        <is>
          <t>2026-07-17</t>
        </is>
      </c>
      <c r="H56" t="n">
        <v>574.4</v>
      </c>
      <c r="J56" t="n">
        <v>24334.3</v>
      </c>
    </row>
    <row r="57">
      <c r="G57" s="34" t="inlineStr">
        <is>
          <t>2026-07-16</t>
        </is>
      </c>
      <c r="H57" t="n">
        <v>546.6</v>
      </c>
      <c r="J57" t="n">
        <v>24072.75</v>
      </c>
    </row>
    <row r="58">
      <c r="G58" s="34" t="inlineStr">
        <is>
          <t>2026-07-15</t>
        </is>
      </c>
      <c r="H58" t="n">
        <v>548.1</v>
      </c>
      <c r="J58" t="n">
        <v>24078.5</v>
      </c>
    </row>
    <row r="59">
      <c r="G59" s="34" t="inlineStr">
        <is>
          <t>2026-07-14</t>
        </is>
      </c>
      <c r="H59" t="n">
        <v>529.75</v>
      </c>
      <c r="J59" t="n">
        <v>24052.05</v>
      </c>
    </row>
    <row r="60">
      <c r="G60" s="34" t="inlineStr">
        <is>
          <t>2026-07-13</t>
        </is>
      </c>
      <c r="H60" t="n">
        <v>510.65</v>
      </c>
      <c r="J60" t="n">
        <v>24211</v>
      </c>
    </row>
    <row r="61">
      <c r="G61" s="34" t="inlineStr">
        <is>
          <t>2026-07-10</t>
        </is>
      </c>
      <c r="H61" t="n">
        <v>476.15</v>
      </c>
      <c r="J61" t="n">
        <v>24206.9</v>
      </c>
    </row>
    <row r="62">
      <c r="G62" s="34" t="inlineStr">
        <is>
          <t>2026-07-09</t>
        </is>
      </c>
      <c r="H62" t="n">
        <v>443</v>
      </c>
      <c r="J62" t="n">
        <v>23962.8</v>
      </c>
    </row>
    <row r="63">
      <c r="G63" s="34" t="inlineStr">
        <is>
          <t>2026-07-08</t>
        </is>
      </c>
      <c r="H63" t="n">
        <v>374.15</v>
      </c>
      <c r="J63" t="n">
        <v>23882.05</v>
      </c>
    </row>
    <row r="64">
      <c r="G64" s="34" t="inlineStr">
        <is>
          <t>2026-07-07</t>
        </is>
      </c>
      <c r="H64" t="n">
        <v>354.75</v>
      </c>
      <c r="J64" t="n">
        <v>24398.7</v>
      </c>
    </row>
    <row r="65">
      <c r="G65" s="34" t="inlineStr">
        <is>
          <t>2026-07-06</t>
        </is>
      </c>
      <c r="H65" t="n">
        <v>381.25</v>
      </c>
      <c r="J65" t="n">
        <v>24430.35</v>
      </c>
    </row>
    <row r="66">
      <c r="G66" s="34" t="inlineStr">
        <is>
          <t>2026-07-03</t>
        </is>
      </c>
      <c r="H66" t="n">
        <v>382.05</v>
      </c>
      <c r="J66" t="n">
        <v>24270.85</v>
      </c>
    </row>
    <row r="67">
      <c r="G67" s="34" t="inlineStr">
        <is>
          <t>2026-07-02</t>
        </is>
      </c>
      <c r="H67" t="n">
        <v>388.1</v>
      </c>
      <c r="J67" t="n">
        <v>24175.7</v>
      </c>
    </row>
    <row r="68">
      <c r="G68" s="34" t="inlineStr">
        <is>
          <t>2026-07-01</t>
        </is>
      </c>
      <c r="H68" t="n">
        <v>381.05</v>
      </c>
      <c r="J68" t="n">
        <v>24005.85</v>
      </c>
    </row>
    <row r="69">
      <c r="G69" s="34" t="inlineStr">
        <is>
          <t>2026-06-30</t>
        </is>
      </c>
      <c r="H69" t="n">
        <v>386.7</v>
      </c>
      <c r="J69" t="n">
        <v>23865.75</v>
      </c>
    </row>
    <row r="70">
      <c r="G70" s="34" t="inlineStr">
        <is>
          <t>2026-06-29</t>
        </is>
      </c>
      <c r="H70" t="n">
        <v>377.85</v>
      </c>
      <c r="J70" t="n">
        <v>23946.25</v>
      </c>
    </row>
    <row r="71">
      <c r="G71" s="34" t="inlineStr">
        <is>
          <t>2026-06-26</t>
        </is>
      </c>
      <c r="H71" t="n">
        <v>377.8</v>
      </c>
      <c r="J71" t="n">
        <v>24056</v>
      </c>
    </row>
    <row r="72">
      <c r="G72" s="34" t="inlineStr">
        <is>
          <t>2026-06-25</t>
        </is>
      </c>
      <c r="H72" t="n">
        <v>377.8</v>
      </c>
      <c r="J72" t="n">
        <v>24056</v>
      </c>
    </row>
    <row r="73">
      <c r="G73" s="34" t="inlineStr">
        <is>
          <t>2026-06-24</t>
        </is>
      </c>
      <c r="H73" t="n">
        <v>376.2</v>
      </c>
      <c r="J73" t="n">
        <v>24021.65</v>
      </c>
    </row>
    <row r="74">
      <c r="G74" s="34" t="inlineStr">
        <is>
          <t>2026-06-23</t>
        </is>
      </c>
      <c r="H74" t="n">
        <v>373.1</v>
      </c>
      <c r="J74" t="n">
        <v>23824.1</v>
      </c>
    </row>
    <row r="75">
      <c r="G75" s="34" t="inlineStr">
        <is>
          <t>2026-06-22</t>
        </is>
      </c>
      <c r="H75" t="n">
        <v>381.1</v>
      </c>
      <c r="J75" t="n">
        <v>24102.9</v>
      </c>
    </row>
    <row r="76">
      <c r="G76" s="34" t="inlineStr">
        <is>
          <t>2026-06-19</t>
        </is>
      </c>
      <c r="H76" t="n">
        <v>383.5</v>
      </c>
      <c r="J76" t="n">
        <v>24013.1</v>
      </c>
    </row>
    <row r="77">
      <c r="G77" s="34" t="inlineStr">
        <is>
          <t>2026-06-18</t>
        </is>
      </c>
      <c r="H77" t="n">
        <v>382.95</v>
      </c>
      <c r="J77" t="n">
        <v>24168</v>
      </c>
    </row>
    <row r="78">
      <c r="G78" s="34" t="inlineStr">
        <is>
          <t>2026-06-17</t>
        </is>
      </c>
      <c r="H78" t="n">
        <v>383.05</v>
      </c>
      <c r="J78" t="n">
        <v>24085.7</v>
      </c>
    </row>
    <row r="79">
      <c r="G79" s="34" t="inlineStr">
        <is>
          <t>2026-06-16</t>
        </is>
      </c>
      <c r="H79" t="n">
        <v>378.55</v>
      </c>
      <c r="J79" t="n">
        <v>23989.15</v>
      </c>
    </row>
    <row r="80">
      <c r="G80" s="34" t="inlineStr">
        <is>
          <t>2026-06-15</t>
        </is>
      </c>
      <c r="H80" t="n">
        <v>383</v>
      </c>
      <c r="J80" t="n">
        <v>23853.9</v>
      </c>
    </row>
    <row r="81">
      <c r="G81" s="34" t="inlineStr">
        <is>
          <t>2026-06-12</t>
        </is>
      </c>
      <c r="H81" t="n">
        <v>344.75</v>
      </c>
      <c r="J81" t="n">
        <v>23622.9</v>
      </c>
    </row>
    <row r="82">
      <c r="G82" s="34" t="inlineStr">
        <is>
          <t>2026-06-11</t>
        </is>
      </c>
      <c r="H82" t="n">
        <v>330.8</v>
      </c>
      <c r="J82" t="n">
        <v>23161.6</v>
      </c>
    </row>
    <row r="83">
      <c r="G83" s="34" t="inlineStr">
        <is>
          <t>2026-06-10</t>
        </is>
      </c>
      <c r="H83" t="n">
        <v>338.7</v>
      </c>
      <c r="J83" t="n">
        <v>23214.95</v>
      </c>
    </row>
    <row r="84">
      <c r="G84" s="34" t="inlineStr">
        <is>
          <t>2026-06-09</t>
        </is>
      </c>
      <c r="H84" t="n">
        <v>355.05</v>
      </c>
      <c r="J84" t="n">
        <v>23242.1</v>
      </c>
    </row>
    <row r="85">
      <c r="G85" s="34" t="inlineStr">
        <is>
          <t>2026-06-08</t>
        </is>
      </c>
      <c r="H85" t="n">
        <v>354.2</v>
      </c>
      <c r="J85" t="n">
        <v>23123</v>
      </c>
    </row>
    <row r="86">
      <c r="G86" s="34" t="inlineStr">
        <is>
          <t>2026-06-05</t>
        </is>
      </c>
      <c r="H86" t="n">
        <v>371.85</v>
      </c>
      <c r="J86" t="n">
        <v>23366.7</v>
      </c>
    </row>
    <row r="87">
      <c r="G87" s="34" t="inlineStr">
        <is>
          <t>2026-06-04</t>
        </is>
      </c>
      <c r="H87" t="n">
        <v>362.1</v>
      </c>
      <c r="J87" t="n">
        <v>23416.55</v>
      </c>
    </row>
    <row r="88">
      <c r="G88" s="34" t="inlineStr">
        <is>
          <t>2026-06-03</t>
        </is>
      </c>
      <c r="H88" t="n">
        <v>353</v>
      </c>
      <c r="J88" t="n">
        <v>23405.6</v>
      </c>
    </row>
    <row r="89">
      <c r="G89" s="34" t="inlineStr">
        <is>
          <t>2026-06-02</t>
        </is>
      </c>
      <c r="H89" t="n">
        <v>353.1</v>
      </c>
      <c r="J89" t="n">
        <v>23483.55</v>
      </c>
    </row>
    <row r="90">
      <c r="G90" s="34" t="inlineStr">
        <is>
          <t>2026-06-01</t>
        </is>
      </c>
      <c r="H90" t="n">
        <v>343.95</v>
      </c>
      <c r="J90" t="n">
        <v>23382.6</v>
      </c>
    </row>
    <row r="91">
      <c r="G91" s="34" t="inlineStr">
        <is>
          <t>2026-05-29</t>
        </is>
      </c>
      <c r="H91" t="n">
        <v>355.05</v>
      </c>
      <c r="J91" t="n">
        <v>23547.75</v>
      </c>
    </row>
    <row r="92">
      <c r="G92" s="34" t="inlineStr">
        <is>
          <t>2026-05-28</t>
        </is>
      </c>
      <c r="H92" t="n">
        <v>354.75</v>
      </c>
      <c r="J92" t="n">
        <v>23907.15</v>
      </c>
    </row>
    <row r="93">
      <c r="G93" s="34" t="inlineStr">
        <is>
          <t>2026-05-27</t>
        </is>
      </c>
      <c r="H93" t="n">
        <v>354.75</v>
      </c>
      <c r="J93" t="n">
        <v>23907.15</v>
      </c>
    </row>
    <row r="94">
      <c r="G94" s="34" t="inlineStr">
        <is>
          <t>2026-05-26</t>
        </is>
      </c>
      <c r="H94" t="n">
        <v>355.45</v>
      </c>
      <c r="J94" t="n">
        <v>23913.7</v>
      </c>
    </row>
    <row r="95">
      <c r="G95" s="34" t="inlineStr">
        <is>
          <t>2026-05-25</t>
        </is>
      </c>
      <c r="H95" t="n">
        <v>357.85</v>
      </c>
      <c r="J95" t="n">
        <v>24031.7</v>
      </c>
    </row>
    <row r="96">
      <c r="G96" s="34" t="inlineStr">
        <is>
          <t>2026-05-22</t>
        </is>
      </c>
      <c r="H96" t="n">
        <v>352.4</v>
      </c>
      <c r="J96" t="n">
        <v>23719.3</v>
      </c>
    </row>
    <row r="97">
      <c r="G97" s="34" t="inlineStr">
        <is>
          <t>2026-05-21</t>
        </is>
      </c>
      <c r="H97" t="n">
        <v>353</v>
      </c>
      <c r="J97" t="n">
        <v>23654.7</v>
      </c>
    </row>
    <row r="98">
      <c r="G98" s="34" t="inlineStr">
        <is>
          <t>2026-05-20</t>
        </is>
      </c>
      <c r="H98" t="n">
        <v>343.55</v>
      </c>
      <c r="J98" t="n">
        <v>23659</v>
      </c>
    </row>
    <row r="99">
      <c r="G99" s="34" t="inlineStr">
        <is>
          <t>2026-05-19</t>
        </is>
      </c>
      <c r="H99" t="n">
        <v>344.15</v>
      </c>
      <c r="J99" t="n">
        <v>23618</v>
      </c>
    </row>
    <row r="100">
      <c r="G100" s="34" t="inlineStr">
        <is>
          <t>2026-05-18</t>
        </is>
      </c>
      <c r="H100" t="n">
        <v>346.1</v>
      </c>
      <c r="J100" t="n">
        <v>23649.95</v>
      </c>
    </row>
    <row r="101">
      <c r="G101" s="34" t="inlineStr">
        <is>
          <t>2026-05-15</t>
        </is>
      </c>
      <c r="H101" t="n">
        <v>353.05</v>
      </c>
      <c r="J101" t="n">
        <v>23643.5</v>
      </c>
    </row>
    <row r="102">
      <c r="G102" s="34" t="inlineStr">
        <is>
          <t>2026-05-14</t>
        </is>
      </c>
      <c r="H102" t="n">
        <v>361</v>
      </c>
      <c r="J102" t="n">
        <v>23689.6</v>
      </c>
    </row>
    <row r="103">
      <c r="G103" s="34" t="inlineStr">
        <is>
          <t>2026-05-13</t>
        </is>
      </c>
      <c r="H103" t="n">
        <v>355.4</v>
      </c>
      <c r="J103" t="n">
        <v>23412.6</v>
      </c>
    </row>
    <row r="104">
      <c r="G104" s="34" t="inlineStr">
        <is>
          <t>2026-05-12</t>
        </is>
      </c>
      <c r="H104" t="n">
        <v>361.8</v>
      </c>
      <c r="J104" t="n">
        <v>23379.55</v>
      </c>
    </row>
    <row r="105">
      <c r="G105" s="34" t="inlineStr">
        <is>
          <t>2026-05-11</t>
        </is>
      </c>
      <c r="H105" t="n">
        <v>385.2</v>
      </c>
      <c r="J105" t="n">
        <v>23815.85</v>
      </c>
    </row>
    <row r="106">
      <c r="G106" s="34" t="inlineStr">
        <is>
          <t>2026-05-08</t>
        </is>
      </c>
      <c r="H106" t="n">
        <v>424.55</v>
      </c>
      <c r="J106" t="n">
        <v>24176.15</v>
      </c>
    </row>
    <row r="107">
      <c r="G107" s="34" t="inlineStr">
        <is>
          <t>2026-05-07</t>
        </is>
      </c>
      <c r="H107" t="n">
        <v>411.15</v>
      </c>
      <c r="J107" t="n">
        <v>24326.65</v>
      </c>
    </row>
    <row r="108">
      <c r="G108" s="34" t="inlineStr">
        <is>
          <t>2026-05-06</t>
        </is>
      </c>
      <c r="H108" t="n">
        <v>415.65</v>
      </c>
      <c r="J108" t="n">
        <v>24330.95</v>
      </c>
    </row>
    <row r="109">
      <c r="G109" s="34" t="inlineStr">
        <is>
          <t>2026-05-05</t>
        </is>
      </c>
      <c r="H109" t="n">
        <v>406.6</v>
      </c>
      <c r="J109" t="n">
        <v>24032.8</v>
      </c>
    </row>
    <row r="110">
      <c r="G110" s="34" t="inlineStr">
        <is>
          <t>2026-05-04</t>
        </is>
      </c>
      <c r="H110" t="n">
        <v>413.3</v>
      </c>
      <c r="J110" t="n">
        <v>24119.3</v>
      </c>
    </row>
    <row r="111">
      <c r="G111" s="34" t="inlineStr">
        <is>
          <t>2026-05-01</t>
        </is>
      </c>
      <c r="H111" t="n">
        <v>412.75</v>
      </c>
      <c r="J111" t="n">
        <v>23997.55</v>
      </c>
    </row>
    <row r="112">
      <c r="G112" s="34" t="inlineStr">
        <is>
          <t>2026-04-30</t>
        </is>
      </c>
      <c r="H112" t="n">
        <v>412.75</v>
      </c>
      <c r="J112" t="n">
        <v>23997.55</v>
      </c>
    </row>
    <row r="113">
      <c r="G113" s="34" t="inlineStr">
        <is>
          <t>2026-04-29</t>
        </is>
      </c>
      <c r="H113" t="n">
        <v>412.4</v>
      </c>
      <c r="J113" t="n">
        <v>24177.65</v>
      </c>
    </row>
    <row r="114">
      <c r="G114" s="34" t="inlineStr">
        <is>
          <t>2026-04-28</t>
        </is>
      </c>
      <c r="H114" t="n">
        <v>412.65</v>
      </c>
      <c r="J114" t="n">
        <v>23995.7</v>
      </c>
    </row>
    <row r="115">
      <c r="G115" s="34" t="inlineStr">
        <is>
          <t>2026-04-27</t>
        </is>
      </c>
      <c r="H115" t="n">
        <v>413.65</v>
      </c>
      <c r="J115" t="n">
        <v>24092.7</v>
      </c>
    </row>
    <row r="116">
      <c r="G116" s="34" t="inlineStr">
        <is>
          <t>2026-04-24</t>
        </is>
      </c>
      <c r="H116" t="n">
        <v>405.3</v>
      </c>
      <c r="J116" t="n">
        <v>23897.95</v>
      </c>
    </row>
    <row r="117">
      <c r="G117" s="34" t="inlineStr">
        <is>
          <t>2026-04-23</t>
        </is>
      </c>
      <c r="H117" t="n">
        <v>412.85</v>
      </c>
      <c r="J117" t="n">
        <v>24173.05</v>
      </c>
    </row>
    <row r="118">
      <c r="G118" s="34" t="inlineStr">
        <is>
          <t>2026-04-22</t>
        </is>
      </c>
      <c r="H118" t="n">
        <v>414.25</v>
      </c>
      <c r="J118" t="n">
        <v>24378.1</v>
      </c>
    </row>
    <row r="119">
      <c r="G119" s="34" t="inlineStr">
        <is>
          <t>2026-04-21</t>
        </is>
      </c>
      <c r="H119" t="n">
        <v>415.1</v>
      </c>
      <c r="J119" t="n">
        <v>24576.6</v>
      </c>
    </row>
    <row r="120">
      <c r="G120" s="34" t="inlineStr">
        <is>
          <t>2026-04-20</t>
        </is>
      </c>
      <c r="H120" t="n">
        <v>417.5</v>
      </c>
      <c r="J120" t="n">
        <v>24364.85</v>
      </c>
    </row>
    <row r="121">
      <c r="G121" s="34" t="inlineStr">
        <is>
          <t>2026-04-17</t>
        </is>
      </c>
      <c r="H121" t="n">
        <v>426.85</v>
      </c>
      <c r="J121" t="n">
        <v>24353.55</v>
      </c>
    </row>
    <row r="122">
      <c r="G122" s="34" t="inlineStr">
        <is>
          <t>2026-04-16</t>
        </is>
      </c>
      <c r="H122" t="n">
        <v>440.3</v>
      </c>
      <c r="J122" t="n">
        <v>24196.75</v>
      </c>
    </row>
    <row r="123">
      <c r="G123" s="34" t="inlineStr">
        <is>
          <t>2026-04-15</t>
        </is>
      </c>
      <c r="H123" t="n">
        <v>442.5</v>
      </c>
      <c r="J123" t="n">
        <v>24231.3</v>
      </c>
    </row>
    <row r="124">
      <c r="G124" s="34" t="inlineStr">
        <is>
          <t>2026-04-13</t>
        </is>
      </c>
      <c r="H124" t="n">
        <v>441.65</v>
      </c>
      <c r="J124" t="n">
        <v>23842.65</v>
      </c>
    </row>
    <row r="125">
      <c r="G125" s="34" t="inlineStr">
        <is>
          <t>2026-04-10</t>
        </is>
      </c>
      <c r="H125" t="n">
        <v>449.15</v>
      </c>
      <c r="J125" t="n">
        <v>24050.6</v>
      </c>
    </row>
    <row r="126">
      <c r="G126" s="34" t="inlineStr">
        <is>
          <t>2026-04-09</t>
        </is>
      </c>
      <c r="H126" t="n">
        <v>446.1</v>
      </c>
      <c r="J126" t="n">
        <v>23775.1</v>
      </c>
    </row>
    <row r="127">
      <c r="G127" s="34" t="inlineStr">
        <is>
          <t>2026-04-08</t>
        </is>
      </c>
      <c r="H127" t="n">
        <v>445.55</v>
      </c>
      <c r="J127" t="n">
        <v>23997.35</v>
      </c>
    </row>
    <row r="128">
      <c r="G128" s="34" t="inlineStr">
        <is>
          <t>2026-04-07</t>
        </is>
      </c>
      <c r="H128" t="n">
        <v>414.35</v>
      </c>
      <c r="J128" t="n">
        <v>23123.65</v>
      </c>
    </row>
    <row r="129">
      <c r="G129" s="34" t="inlineStr">
        <is>
          <t>2026-04-06</t>
        </is>
      </c>
      <c r="H129" t="n">
        <v>420.35</v>
      </c>
      <c r="J129" t="n">
        <v>22968.25</v>
      </c>
    </row>
    <row r="130">
      <c r="G130" s="34" t="inlineStr">
        <is>
          <t>2026-04-02</t>
        </is>
      </c>
      <c r="H130" t="n">
        <v>394.35</v>
      </c>
      <c r="J130" t="n">
        <v>22713.1</v>
      </c>
    </row>
    <row r="131">
      <c r="G131" s="34" t="inlineStr">
        <is>
          <t>2026-04-01</t>
        </is>
      </c>
      <c r="H131" t="n">
        <v>387.1</v>
      </c>
      <c r="J131" t="n">
        <v>22679.4</v>
      </c>
    </row>
    <row r="132">
      <c r="G132" s="34" t="inlineStr">
        <is>
          <t>2026-03-30</t>
        </is>
      </c>
      <c r="H132" t="n">
        <v>375.9</v>
      </c>
      <c r="J132" t="n">
        <v>22331.4</v>
      </c>
    </row>
    <row r="133">
      <c r="G133" s="34" t="inlineStr">
        <is>
          <t>2026-03-27</t>
        </is>
      </c>
      <c r="H133" t="n">
        <v>388.35</v>
      </c>
      <c r="J133" t="n">
        <v>22819.6</v>
      </c>
    </row>
    <row r="134">
      <c r="G134" s="34" t="inlineStr">
        <is>
          <t>2026-03-25</t>
        </is>
      </c>
      <c r="H134" t="n">
        <v>391.85</v>
      </c>
      <c r="J134" t="n">
        <v>23306.45</v>
      </c>
    </row>
    <row r="135">
      <c r="G135" s="34" t="inlineStr">
        <is>
          <t>2026-03-24</t>
        </is>
      </c>
      <c r="H135" t="n">
        <v>371.7</v>
      </c>
      <c r="J135" t="n">
        <v>22912.4</v>
      </c>
    </row>
    <row r="136">
      <c r="G136" s="34" t="inlineStr">
        <is>
          <t>2026-03-23</t>
        </is>
      </c>
      <c r="H136" t="n">
        <v>362.7</v>
      </c>
      <c r="J136" t="n">
        <v>22512.65</v>
      </c>
    </row>
    <row r="137">
      <c r="G137" s="34" t="inlineStr">
        <is>
          <t>2026-03-20</t>
        </is>
      </c>
      <c r="H137" t="n">
        <v>382.7</v>
      </c>
      <c r="J137" t="n">
        <v>23114.5</v>
      </c>
    </row>
    <row r="138">
      <c r="G138" s="34" t="inlineStr">
        <is>
          <t>2026-03-19</t>
        </is>
      </c>
      <c r="H138" t="n">
        <v>373.6</v>
      </c>
      <c r="J138" t="n">
        <v>23002.15</v>
      </c>
    </row>
    <row r="139">
      <c r="G139" s="34" t="inlineStr">
        <is>
          <t>2026-03-18</t>
        </is>
      </c>
      <c r="H139" t="n">
        <v>389.6</v>
      </c>
      <c r="J139" t="n">
        <v>23777.8</v>
      </c>
    </row>
    <row r="140">
      <c r="G140" s="34" t="inlineStr">
        <is>
          <t>2026-03-17</t>
        </is>
      </c>
      <c r="H140" t="n">
        <v>383.7</v>
      </c>
      <c r="J140" t="n">
        <v>23581.15</v>
      </c>
    </row>
    <row r="141">
      <c r="G141" s="34" t="inlineStr">
        <is>
          <t>2026-03-16</t>
        </is>
      </c>
      <c r="H141" t="n">
        <v>381.6</v>
      </c>
      <c r="J141" t="n">
        <v>23408.8</v>
      </c>
    </row>
    <row r="142">
      <c r="G142" s="34" t="inlineStr">
        <is>
          <t>2026-03-13</t>
        </is>
      </c>
      <c r="H142" t="n">
        <v>379</v>
      </c>
      <c r="J142" t="n">
        <v>23151.1</v>
      </c>
    </row>
    <row r="143">
      <c r="G143" s="34" t="inlineStr">
        <is>
          <t>2026-03-12</t>
        </is>
      </c>
      <c r="H143" t="n">
        <v>389.95</v>
      </c>
      <c r="J143" t="n">
        <v>23639.15</v>
      </c>
    </row>
    <row r="144">
      <c r="G144" s="34" t="inlineStr">
        <is>
          <t>2026-03-11</t>
        </is>
      </c>
      <c r="H144" t="n">
        <v>390.5</v>
      </c>
      <c r="J144" t="n">
        <v>23866.85</v>
      </c>
    </row>
    <row r="145">
      <c r="G145" s="34" t="inlineStr">
        <is>
          <t>2026-03-10</t>
        </is>
      </c>
      <c r="H145" t="n">
        <v>392.85</v>
      </c>
      <c r="J145" t="n">
        <v>24261.6</v>
      </c>
    </row>
    <row r="146">
      <c r="G146" s="34" t="inlineStr">
        <is>
          <t>2026-03-09</t>
        </is>
      </c>
      <c r="H146" t="n">
        <v>389</v>
      </c>
      <c r="J146" t="n">
        <v>24028.05</v>
      </c>
    </row>
    <row r="147">
      <c r="G147" s="34" t="inlineStr">
        <is>
          <t>2026-03-06</t>
        </is>
      </c>
      <c r="H147" t="n">
        <v>395.55</v>
      </c>
      <c r="J147" t="n">
        <v>24450.45</v>
      </c>
    </row>
    <row r="148">
      <c r="G148" s="34" t="inlineStr">
        <is>
          <t>2026-03-05</t>
        </is>
      </c>
      <c r="H148" t="n">
        <v>399.8</v>
      </c>
      <c r="J148" t="n">
        <v>24765.9</v>
      </c>
    </row>
    <row r="149">
      <c r="G149" s="34" t="inlineStr">
        <is>
          <t>2026-03-04</t>
        </is>
      </c>
      <c r="H149" t="n">
        <v>393.8</v>
      </c>
      <c r="J149" t="n">
        <v>24480.5</v>
      </c>
    </row>
    <row r="150">
      <c r="G150" s="34" t="inlineStr">
        <is>
          <t>2026-03-02</t>
        </is>
      </c>
      <c r="H150" t="n">
        <v>401.75</v>
      </c>
      <c r="J150" t="n">
        <v>24865.7</v>
      </c>
    </row>
    <row r="151">
      <c r="G151" s="34" t="inlineStr">
        <is>
          <t>2026-02-27</t>
        </is>
      </c>
      <c r="H151" t="n">
        <v>410.1</v>
      </c>
      <c r="J151" t="n">
        <v>25178.65</v>
      </c>
    </row>
    <row r="152">
      <c r="G152" s="34" t="inlineStr">
        <is>
          <t>2026-02-26</t>
        </is>
      </c>
      <c r="H152" t="n">
        <v>407.1</v>
      </c>
      <c r="J152" t="n">
        <v>25496.55</v>
      </c>
    </row>
    <row r="153">
      <c r="G153" s="34" t="inlineStr">
        <is>
          <t>2026-02-25</t>
        </is>
      </c>
      <c r="H153" t="n">
        <v>405.7</v>
      </c>
      <c r="J153" t="n">
        <v>25482.5</v>
      </c>
    </row>
    <row r="154">
      <c r="G154" s="34" t="inlineStr">
        <is>
          <t>2026-02-24</t>
        </is>
      </c>
      <c r="H154" t="n">
        <v>406.9</v>
      </c>
      <c r="J154" t="n">
        <v>25424.65</v>
      </c>
    </row>
    <row r="155">
      <c r="G155" s="34" t="inlineStr">
        <is>
          <t>2026-02-23</t>
        </is>
      </c>
      <c r="H155" t="n">
        <v>402.15</v>
      </c>
      <c r="J155" t="n">
        <v>25713</v>
      </c>
    </row>
    <row r="156">
      <c r="G156" s="34" t="inlineStr">
        <is>
          <t>2026-02-20</t>
        </is>
      </c>
      <c r="H156" t="n">
        <v>401.2</v>
      </c>
      <c r="J156" t="n">
        <v>25571.25</v>
      </c>
    </row>
    <row r="157">
      <c r="G157" s="34" t="inlineStr">
        <is>
          <t>2026-02-19</t>
        </is>
      </c>
      <c r="H157" t="n">
        <v>404.75</v>
      </c>
      <c r="J157" t="n">
        <v>25454.35</v>
      </c>
    </row>
    <row r="158">
      <c r="G158" s="34" t="inlineStr">
        <is>
          <t>2026-02-18</t>
        </is>
      </c>
      <c r="H158" t="n">
        <v>418.4</v>
      </c>
      <c r="J158" t="n">
        <v>25819.35</v>
      </c>
    </row>
    <row r="159">
      <c r="G159" s="34" t="inlineStr">
        <is>
          <t>2026-02-17</t>
        </is>
      </c>
      <c r="H159" t="n">
        <v>420.85</v>
      </c>
      <c r="J159" t="n">
        <v>25725.4</v>
      </c>
    </row>
    <row r="160">
      <c r="G160" s="34" t="inlineStr">
        <is>
          <t>2026-02-16</t>
        </is>
      </c>
      <c r="H160" t="n">
        <v>427.05</v>
      </c>
      <c r="J160" t="n">
        <v>25682.75</v>
      </c>
    </row>
    <row r="161">
      <c r="G161" s="34" t="inlineStr">
        <is>
          <t>2026-02-13</t>
        </is>
      </c>
      <c r="H161" t="n">
        <v>418.05</v>
      </c>
      <c r="J161" t="n">
        <v>25471.1</v>
      </c>
    </row>
    <row r="162">
      <c r="G162" s="34" t="inlineStr">
        <is>
          <t>2026-02-12</t>
        </is>
      </c>
      <c r="H162" t="n">
        <v>432.5</v>
      </c>
      <c r="J162" t="n">
        <v>25807.2</v>
      </c>
    </row>
    <row r="163">
      <c r="G163" s="34" t="inlineStr">
        <is>
          <t>2026-02-11</t>
        </is>
      </c>
      <c r="H163" t="n">
        <v>426.95</v>
      </c>
      <c r="J163" t="n">
        <v>25953.85</v>
      </c>
    </row>
    <row r="164">
      <c r="G164" s="34" t="inlineStr">
        <is>
          <t>2026-02-10</t>
        </is>
      </c>
      <c r="H164" t="n">
        <v>433.9</v>
      </c>
      <c r="J164" t="n">
        <v>25935.15</v>
      </c>
    </row>
    <row r="165">
      <c r="G165" s="34" t="inlineStr">
        <is>
          <t>2026-02-09</t>
        </is>
      </c>
      <c r="H165" t="n">
        <v>437.35</v>
      </c>
      <c r="J165" t="n">
        <v>25867.3</v>
      </c>
    </row>
    <row r="166">
      <c r="G166" s="34" t="inlineStr">
        <is>
          <t>2026-02-06</t>
        </is>
      </c>
      <c r="H166" t="n">
        <v>380.25</v>
      </c>
      <c r="J166" t="n">
        <v>25693.7</v>
      </c>
    </row>
    <row r="167">
      <c r="G167" s="34" t="inlineStr">
        <is>
          <t>2026-02-05</t>
        </is>
      </c>
      <c r="H167" t="n">
        <v>376.15</v>
      </c>
      <c r="J167" t="n">
        <v>25642.8</v>
      </c>
    </row>
    <row r="168">
      <c r="G168" s="34" t="inlineStr">
        <is>
          <t>2026-02-04</t>
        </is>
      </c>
      <c r="H168" t="n">
        <v>387.2</v>
      </c>
      <c r="J168" t="n">
        <v>25776</v>
      </c>
    </row>
    <row r="169">
      <c r="G169" s="34" t="inlineStr">
        <is>
          <t>2026-02-03</t>
        </is>
      </c>
      <c r="H169" t="n">
        <v>383.95</v>
      </c>
      <c r="J169" t="n">
        <v>25727.55</v>
      </c>
    </row>
    <row r="170">
      <c r="G170" s="34" t="inlineStr">
        <is>
          <t>2026-02-02</t>
        </is>
      </c>
      <c r="H170" t="n">
        <v>365.5</v>
      </c>
      <c r="J170" t="n">
        <v>25088.4</v>
      </c>
    </row>
    <row r="171">
      <c r="G171" s="34" t="inlineStr">
        <is>
          <t>2026-01-30</t>
        </is>
      </c>
      <c r="H171" t="n">
        <v>361.65</v>
      </c>
      <c r="J171" t="n">
        <v>25320.65</v>
      </c>
    </row>
    <row r="172">
      <c r="G172" s="34" t="inlineStr">
        <is>
          <t>2026-01-29</t>
        </is>
      </c>
      <c r="H172" t="n">
        <v>368.4</v>
      </c>
      <c r="J172" t="n">
        <v>25418.9</v>
      </c>
    </row>
    <row r="173">
      <c r="G173" s="34" t="inlineStr">
        <is>
          <t>2026-01-28</t>
        </is>
      </c>
      <c r="H173" t="n">
        <v>367.95</v>
      </c>
      <c r="J173" t="n">
        <v>25342.75</v>
      </c>
    </row>
    <row r="174">
      <c r="G174" s="34" t="inlineStr">
        <is>
          <t>2026-01-27</t>
        </is>
      </c>
      <c r="H174" t="n">
        <v>368.9</v>
      </c>
      <c r="J174" t="n">
        <v>25175.4</v>
      </c>
    </row>
    <row r="175">
      <c r="G175" s="34" t="inlineStr">
        <is>
          <t>2026-01-23</t>
        </is>
      </c>
      <c r="H175" t="n">
        <v>367.2</v>
      </c>
      <c r="J175" t="n">
        <v>25048.65</v>
      </c>
    </row>
    <row r="176">
      <c r="G176" s="34" t="inlineStr">
        <is>
          <t>2026-01-22</t>
        </is>
      </c>
      <c r="H176" t="n">
        <v>373.55</v>
      </c>
      <c r="J176" t="n">
        <v>25289.9</v>
      </c>
    </row>
    <row r="177">
      <c r="G177" s="34" t="inlineStr">
        <is>
          <t>2026-01-21</t>
        </is>
      </c>
      <c r="H177" t="n">
        <v>396.55</v>
      </c>
      <c r="J177" t="n">
        <v>25157.5</v>
      </c>
    </row>
    <row r="178">
      <c r="G178" s="34" t="inlineStr">
        <is>
          <t>2026-01-20</t>
        </is>
      </c>
      <c r="H178" t="n">
        <v>451.45</v>
      </c>
      <c r="J178" t="n">
        <v>25232.5</v>
      </c>
    </row>
    <row r="179">
      <c r="G179" s="34" t="inlineStr">
        <is>
          <t>2026-01-19</t>
        </is>
      </c>
      <c r="H179" t="n">
        <v>458.85</v>
      </c>
      <c r="J179" t="n">
        <v>25585.5</v>
      </c>
    </row>
    <row r="180">
      <c r="G180" s="34" t="inlineStr">
        <is>
          <t>2026-01-16</t>
        </is>
      </c>
      <c r="H180" t="n">
        <v>467.5</v>
      </c>
      <c r="J180" t="n">
        <v>25694.35</v>
      </c>
    </row>
    <row r="181">
      <c r="G181" s="34" t="inlineStr">
        <is>
          <t>2026-01-15</t>
        </is>
      </c>
      <c r="H181" t="n">
        <v>480.4</v>
      </c>
      <c r="J181" t="n">
        <v>25665.6</v>
      </c>
    </row>
    <row r="182">
      <c r="G182" s="34" t="inlineStr">
        <is>
          <t>2026-01-14</t>
        </is>
      </c>
      <c r="H182" t="n">
        <v>480.4</v>
      </c>
      <c r="J182" t="n">
        <v>25665.6</v>
      </c>
    </row>
    <row r="183">
      <c r="G183" s="34" t="inlineStr">
        <is>
          <t>2026-01-13</t>
        </is>
      </c>
      <c r="H183" t="n">
        <v>495.45</v>
      </c>
      <c r="J183" t="n">
        <v>25732.3</v>
      </c>
    </row>
    <row r="184">
      <c r="G184" s="34" t="inlineStr">
        <is>
          <t>2026-01-12</t>
        </is>
      </c>
      <c r="H184" t="n">
        <v>501.4</v>
      </c>
      <c r="J184" t="n">
        <v>25790.25</v>
      </c>
    </row>
    <row r="185">
      <c r="G185" s="34" t="inlineStr">
        <is>
          <t>2026-01-09</t>
        </is>
      </c>
      <c r="H185" t="n">
        <v>506.9</v>
      </c>
      <c r="J185" t="n">
        <v>25683.3</v>
      </c>
    </row>
    <row r="186">
      <c r="G186" s="34" t="inlineStr">
        <is>
          <t>2026-01-08</t>
        </is>
      </c>
      <c r="H186" t="n">
        <v>511.8</v>
      </c>
      <c r="J186" t="n">
        <v>25876.85</v>
      </c>
    </row>
    <row r="187">
      <c r="G187" s="34" t="inlineStr">
        <is>
          <t>2026-01-07</t>
        </is>
      </c>
      <c r="H187" t="n">
        <v>520.75</v>
      </c>
      <c r="J187" t="n">
        <v>26140.75</v>
      </c>
    </row>
    <row r="188">
      <c r="G188" s="34" t="inlineStr">
        <is>
          <t>2026-01-06</t>
        </is>
      </c>
      <c r="H188" t="n">
        <v>500.15</v>
      </c>
      <c r="J188" t="n">
        <v>26178.7</v>
      </c>
    </row>
    <row r="189">
      <c r="G189" s="34" t="inlineStr">
        <is>
          <t>2026-01-05</t>
        </is>
      </c>
      <c r="H189" t="n">
        <v>504.2</v>
      </c>
      <c r="J189" t="n">
        <v>26250.3</v>
      </c>
    </row>
    <row r="190">
      <c r="G190" s="34" t="inlineStr">
        <is>
          <t>2026-01-02</t>
        </is>
      </c>
      <c r="H190" t="n">
        <v>495.7</v>
      </c>
      <c r="J190" t="n">
        <v>26328.55</v>
      </c>
    </row>
    <row r="191">
      <c r="G191" s="34" t="inlineStr">
        <is>
          <t>2026-01-01</t>
        </is>
      </c>
      <c r="H191" t="n">
        <v>484.2</v>
      </c>
      <c r="J191" t="n">
        <v>26146.55</v>
      </c>
    </row>
    <row r="192">
      <c r="G192" s="34" t="inlineStr">
        <is>
          <t>2025-12-31</t>
        </is>
      </c>
      <c r="H192" t="n">
        <v>485.35</v>
      </c>
      <c r="J192" t="n">
        <v>26129.6</v>
      </c>
    </row>
    <row r="193">
      <c r="G193" s="34" t="inlineStr">
        <is>
          <t>2025-12-30</t>
        </is>
      </c>
      <c r="H193" t="n">
        <v>481.85</v>
      </c>
      <c r="J193" t="n">
        <v>25938.85</v>
      </c>
    </row>
    <row r="194">
      <c r="G194" s="34" t="inlineStr">
        <is>
          <t>2025-12-29</t>
        </is>
      </c>
      <c r="H194" t="n">
        <v>486.3</v>
      </c>
      <c r="J194" t="n">
        <v>25942.1</v>
      </c>
    </row>
    <row r="195">
      <c r="G195" s="34" t="inlineStr">
        <is>
          <t>2025-12-26</t>
        </is>
      </c>
      <c r="H195" t="n">
        <v>491.15</v>
      </c>
      <c r="J195" t="n">
        <v>26042.3</v>
      </c>
    </row>
    <row r="196">
      <c r="G196" s="34" t="inlineStr">
        <is>
          <t>2025-12-24</t>
        </is>
      </c>
      <c r="H196" t="n">
        <v>487.2</v>
      </c>
      <c r="J196" t="n">
        <v>26142.1</v>
      </c>
    </row>
    <row r="197">
      <c r="G197" s="34" t="inlineStr">
        <is>
          <t>2025-12-23</t>
        </is>
      </c>
      <c r="H197" t="n">
        <v>488.35</v>
      </c>
      <c r="J197" t="n">
        <v>26177.15</v>
      </c>
    </row>
    <row r="198">
      <c r="G198" s="34" t="inlineStr">
        <is>
          <t>2025-12-22</t>
        </is>
      </c>
      <c r="H198" t="n">
        <v>485.3</v>
      </c>
      <c r="J198" t="n">
        <v>26172.4</v>
      </c>
    </row>
    <row r="199">
      <c r="G199" s="34" t="inlineStr">
        <is>
          <t>2025-12-19</t>
        </is>
      </c>
      <c r="H199" t="n">
        <v>484.85</v>
      </c>
      <c r="J199" t="n">
        <v>25966.4</v>
      </c>
    </row>
    <row r="200">
      <c r="G200" s="34" t="inlineStr">
        <is>
          <t>2025-12-18</t>
        </is>
      </c>
      <c r="H200" t="n">
        <v>470.85</v>
      </c>
      <c r="J200" t="n">
        <v>25815.55</v>
      </c>
    </row>
    <row r="201">
      <c r="G201" s="34" t="inlineStr">
        <is>
          <t>2025-12-17</t>
        </is>
      </c>
      <c r="H201" t="n">
        <v>474.85</v>
      </c>
      <c r="J201" t="n">
        <v>25818.55</v>
      </c>
    </row>
    <row r="202">
      <c r="G202" s="34" t="inlineStr">
        <is>
          <t>2025-12-16</t>
        </is>
      </c>
      <c r="H202" t="n">
        <v>479.1</v>
      </c>
      <c r="J202" t="n">
        <v>25860.1</v>
      </c>
    </row>
    <row r="203">
      <c r="G203" s="34" t="inlineStr">
        <is>
          <t>2025-12-15</t>
        </is>
      </c>
      <c r="H203" t="n">
        <v>480.1</v>
      </c>
      <c r="J203" t="n">
        <v>26027.3</v>
      </c>
    </row>
    <row r="204">
      <c r="G204" s="34" t="inlineStr">
        <is>
          <t>2025-12-12</t>
        </is>
      </c>
      <c r="H204" t="n">
        <v>479.3</v>
      </c>
      <c r="J204" t="n">
        <v>26046.95</v>
      </c>
    </row>
    <row r="205">
      <c r="G205" s="34" t="inlineStr">
        <is>
          <t>2025-12-11</t>
        </is>
      </c>
      <c r="H205" t="n">
        <v>470.05</v>
      </c>
      <c r="J205" t="n">
        <v>25898.55</v>
      </c>
    </row>
    <row r="206">
      <c r="G206" s="34" t="inlineStr">
        <is>
          <t>2025-12-10</t>
        </is>
      </c>
      <c r="H206" t="n">
        <v>460.7</v>
      </c>
      <c r="J206" t="n">
        <v>25758</v>
      </c>
    </row>
    <row r="207">
      <c r="G207" s="34" t="inlineStr">
        <is>
          <t>2025-12-09</t>
        </is>
      </c>
      <c r="H207" t="n">
        <v>473.35</v>
      </c>
      <c r="J207" t="n">
        <v>25839.65</v>
      </c>
    </row>
    <row r="208">
      <c r="G208" s="34" t="inlineStr">
        <is>
          <t>2025-12-08</t>
        </is>
      </c>
      <c r="H208" t="n">
        <v>475.05</v>
      </c>
      <c r="J208" t="n">
        <v>25960.55</v>
      </c>
    </row>
    <row r="209">
      <c r="G209" s="34" t="inlineStr">
        <is>
          <t>2025-12-05</t>
        </is>
      </c>
      <c r="H209" t="n">
        <v>492.5</v>
      </c>
      <c r="J209" t="n">
        <v>26186.45</v>
      </c>
    </row>
    <row r="210">
      <c r="G210" s="34" t="inlineStr">
        <is>
          <t>2025-12-04</t>
        </is>
      </c>
      <c r="H210" t="n">
        <v>490.1</v>
      </c>
      <c r="J210" t="n">
        <v>26033.75</v>
      </c>
    </row>
    <row r="211">
      <c r="G211" s="34" t="inlineStr">
        <is>
          <t>2025-12-03</t>
        </is>
      </c>
      <c r="H211" t="n">
        <v>490</v>
      </c>
      <c r="J211" t="n">
        <v>25986</v>
      </c>
    </row>
    <row r="212">
      <c r="G212" s="34" t="inlineStr">
        <is>
          <t>2025-12-02</t>
        </is>
      </c>
      <c r="H212" t="n">
        <v>501.3</v>
      </c>
      <c r="J212" t="n">
        <v>26032.2</v>
      </c>
    </row>
    <row r="213">
      <c r="G213" s="34" t="inlineStr">
        <is>
          <t>2025-12-01</t>
        </is>
      </c>
      <c r="H213" t="n">
        <v>506.95</v>
      </c>
      <c r="J213" t="n">
        <v>26175.75</v>
      </c>
    </row>
    <row r="214">
      <c r="G214" s="34" t="inlineStr">
        <is>
          <t>2025-11-28</t>
        </is>
      </c>
      <c r="H214" t="n">
        <v>505.35</v>
      </c>
      <c r="J214" t="n">
        <v>26202.95</v>
      </c>
    </row>
    <row r="215">
      <c r="G215" s="34" t="inlineStr">
        <is>
          <t>2025-11-27</t>
        </is>
      </c>
      <c r="H215" t="n">
        <v>493.9</v>
      </c>
      <c r="J215" t="n">
        <v>26215.55</v>
      </c>
    </row>
    <row r="216">
      <c r="G216" s="34" t="inlineStr">
        <is>
          <t>2025-11-26</t>
        </is>
      </c>
      <c r="H216" t="n">
        <v>497.55</v>
      </c>
      <c r="J216" t="n">
        <v>26205.3</v>
      </c>
    </row>
    <row r="217">
      <c r="G217" s="34" t="inlineStr">
        <is>
          <t>2025-11-25</t>
        </is>
      </c>
      <c r="H217" t="n">
        <v>482.8</v>
      </c>
      <c r="J217" t="n">
        <v>25884.8</v>
      </c>
    </row>
    <row r="218">
      <c r="G218" s="34" t="inlineStr">
        <is>
          <t>2025-11-24</t>
        </is>
      </c>
      <c r="H218" t="n">
        <v>484.4</v>
      </c>
      <c r="J218" t="n">
        <v>25959.5</v>
      </c>
    </row>
    <row r="219">
      <c r="G219" s="34" t="inlineStr">
        <is>
          <t>2025-11-21</t>
        </is>
      </c>
      <c r="H219" t="n">
        <v>496.45</v>
      </c>
      <c r="J219" t="n">
        <v>26068.15</v>
      </c>
    </row>
    <row r="220">
      <c r="G220" s="34" t="inlineStr">
        <is>
          <t>2025-11-20</t>
        </is>
      </c>
      <c r="H220" t="n">
        <v>504.1</v>
      </c>
      <c r="J220" t="n">
        <v>26192.15</v>
      </c>
    </row>
    <row r="221">
      <c r="G221" s="34" t="inlineStr">
        <is>
          <t>2025-11-19</t>
        </is>
      </c>
      <c r="H221" t="n">
        <v>499.6</v>
      </c>
      <c r="J221" t="n">
        <v>26052.65</v>
      </c>
    </row>
    <row r="222">
      <c r="G222" s="34" t="inlineStr">
        <is>
          <t>2025-11-18</t>
        </is>
      </c>
      <c r="H222" t="n">
        <v>490.65</v>
      </c>
      <c r="J222" t="n">
        <v>25910.05</v>
      </c>
    </row>
    <row r="223">
      <c r="G223" s="34" t="inlineStr">
        <is>
          <t>2025-11-17</t>
        </is>
      </c>
      <c r="H223" t="n">
        <v>495.45</v>
      </c>
      <c r="J223" t="n">
        <v>26013.45</v>
      </c>
    </row>
    <row r="224">
      <c r="G224" s="34" t="inlineStr">
        <is>
          <t>2025-11-14</t>
        </is>
      </c>
      <c r="H224" t="n">
        <v>495.5</v>
      </c>
      <c r="J224" t="n">
        <v>25910.05</v>
      </c>
    </row>
    <row r="225">
      <c r="G225" s="34" t="inlineStr">
        <is>
          <t>2025-11-13</t>
        </is>
      </c>
      <c r="H225" t="n">
        <v>498.75</v>
      </c>
      <c r="J225" t="n">
        <v>25879.15</v>
      </c>
    </row>
    <row r="226">
      <c r="G226" s="34" t="inlineStr">
        <is>
          <t>2025-11-12</t>
        </is>
      </c>
      <c r="H226" t="n">
        <v>508.75</v>
      </c>
      <c r="J226" t="n">
        <v>25875.8</v>
      </c>
    </row>
    <row r="227">
      <c r="G227" s="34" t="inlineStr">
        <is>
          <t>2025-11-11</t>
        </is>
      </c>
      <c r="H227" t="n">
        <v>509.4</v>
      </c>
      <c r="J227" t="n">
        <v>25694.95</v>
      </c>
    </row>
    <row r="228">
      <c r="G228" s="34" t="inlineStr">
        <is>
          <t>2025-11-10</t>
        </is>
      </c>
      <c r="H228" t="n">
        <v>510.4</v>
      </c>
      <c r="J228" t="n">
        <v>25574.35</v>
      </c>
    </row>
    <row r="229">
      <c r="G229" s="34" t="inlineStr">
        <is>
          <t>2025-11-07</t>
        </is>
      </c>
      <c r="H229" t="n">
        <v>512.8</v>
      </c>
      <c r="J229" t="n">
        <v>25492.3</v>
      </c>
    </row>
    <row r="230">
      <c r="G230" s="34" t="inlineStr">
        <is>
          <t>2025-11-06</t>
        </is>
      </c>
      <c r="H230" t="n">
        <v>512.85</v>
      </c>
      <c r="J230" t="n">
        <v>25509.7</v>
      </c>
    </row>
    <row r="231">
      <c r="G231" s="34" t="inlineStr">
        <is>
          <t>2025-11-04</t>
        </is>
      </c>
      <c r="H231" t="n">
        <v>522.6</v>
      </c>
      <c r="J231" t="n">
        <v>25597.65</v>
      </c>
    </row>
    <row r="232">
      <c r="G232" s="34" t="inlineStr">
        <is>
          <t>2025-11-03</t>
        </is>
      </c>
      <c r="H232" t="n">
        <v>515.85</v>
      </c>
      <c r="J232" t="n">
        <v>25763.35</v>
      </c>
    </row>
    <row r="233">
      <c r="G233" s="34" t="inlineStr">
        <is>
          <t>2025-10-31</t>
        </is>
      </c>
      <c r="H233" t="n">
        <v>509.7</v>
      </c>
      <c r="J233" t="n">
        <v>25722.1</v>
      </c>
    </row>
    <row r="234">
      <c r="G234" s="34" t="inlineStr">
        <is>
          <t>2025-10-30</t>
        </is>
      </c>
      <c r="H234" t="n">
        <v>512.9</v>
      </c>
      <c r="J234" t="n">
        <v>25877.85</v>
      </c>
    </row>
    <row r="235">
      <c r="G235" s="34" t="inlineStr">
        <is>
          <t>2025-10-29</t>
        </is>
      </c>
      <c r="H235" t="n">
        <v>513.2</v>
      </c>
      <c r="J235" t="n">
        <v>26053.9</v>
      </c>
    </row>
    <row r="236">
      <c r="G236" s="34" t="inlineStr">
        <is>
          <t>2025-10-28</t>
        </is>
      </c>
      <c r="H236" t="n">
        <v>504.9</v>
      </c>
      <c r="J236" t="n">
        <v>25936.2</v>
      </c>
    </row>
    <row r="237">
      <c r="G237" s="34" t="inlineStr">
        <is>
          <t>2025-10-27</t>
        </is>
      </c>
      <c r="H237" t="n">
        <v>505.85</v>
      </c>
      <c r="J237" t="n">
        <v>25966.05</v>
      </c>
    </row>
    <row r="238">
      <c r="G238" s="34" t="inlineStr">
        <is>
          <t>2025-10-24</t>
        </is>
      </c>
      <c r="H238" t="n">
        <v>495.3</v>
      </c>
      <c r="J238" t="n">
        <v>25795.15</v>
      </c>
    </row>
    <row r="239">
      <c r="G239" s="34" t="inlineStr">
        <is>
          <t>2025-10-23</t>
        </is>
      </c>
      <c r="H239" t="n">
        <v>494.15</v>
      </c>
      <c r="J239" t="n">
        <v>25891.4</v>
      </c>
    </row>
    <row r="240">
      <c r="G240" s="34" t="inlineStr">
        <is>
          <t>2025-10-21</t>
        </is>
      </c>
      <c r="H240" t="n">
        <v>492.1</v>
      </c>
      <c r="J240" t="n">
        <v>25868.6</v>
      </c>
    </row>
    <row r="241">
      <c r="G241" s="34" t="inlineStr">
        <is>
          <t>2025-10-20</t>
        </is>
      </c>
      <c r="H241" t="n">
        <v>494.9</v>
      </c>
      <c r="J241" t="n">
        <v>25843.15</v>
      </c>
    </row>
    <row r="242">
      <c r="G242" s="34" t="inlineStr">
        <is>
          <t>2025-10-17</t>
        </is>
      </c>
      <c r="H242" t="n">
        <v>489.85</v>
      </c>
      <c r="J242" t="n">
        <v>25709.85</v>
      </c>
    </row>
    <row r="243">
      <c r="G243" s="34" t="inlineStr">
        <is>
          <t>2025-10-16</t>
        </is>
      </c>
      <c r="H243" t="n">
        <v>487.15</v>
      </c>
      <c r="J243" t="n">
        <v>25585.3</v>
      </c>
    </row>
    <row r="244">
      <c r="G244" s="34" t="inlineStr">
        <is>
          <t>2025-10-15</t>
        </is>
      </c>
      <c r="H244" t="n">
        <v>477</v>
      </c>
      <c r="J244" t="n">
        <v>25323.55</v>
      </c>
    </row>
    <row r="245">
      <c r="G245" s="34" t="inlineStr">
        <is>
          <t>2025-10-14</t>
        </is>
      </c>
      <c r="H245" t="n">
        <v>469.45</v>
      </c>
      <c r="J245" t="n">
        <v>25145.5</v>
      </c>
    </row>
    <row r="246">
      <c r="G246" s="34" t="inlineStr">
        <is>
          <t>2025-10-13</t>
        </is>
      </c>
      <c r="H246" t="n">
        <v>474.8</v>
      </c>
      <c r="J246" t="n">
        <v>25227.35</v>
      </c>
    </row>
    <row r="247">
      <c r="G247" s="34" t="inlineStr">
        <is>
          <t>2025-10-10</t>
        </is>
      </c>
      <c r="H247" t="n">
        <v>484.85</v>
      </c>
      <c r="J247" t="n">
        <v>25285.35</v>
      </c>
    </row>
    <row r="248">
      <c r="G248" s="34" t="inlineStr">
        <is>
          <t>2025-10-09</t>
        </is>
      </c>
      <c r="H248" t="n">
        <v>482.95</v>
      </c>
      <c r="J248" t="n">
        <v>25181.8</v>
      </c>
    </row>
    <row r="249">
      <c r="G249" s="161" t="inlineStr">
        <is>
          <t>2025-10-08</t>
        </is>
      </c>
      <c r="H249" t="n">
        <v>481.95</v>
      </c>
      <c r="J249" t="n">
        <v>25046.15</v>
      </c>
    </row>
    <row r="250">
      <c r="G250" s="161" t="inlineStr">
        <is>
          <t>2025-10-07</t>
        </is>
      </c>
      <c r="H250" t="n">
        <v>487.7</v>
      </c>
      <c r="J250" t="n">
        <v>25108.3</v>
      </c>
    </row>
    <row r="251">
      <c r="G251" s="161" t="inlineStr">
        <is>
          <t>2025-10-06</t>
        </is>
      </c>
      <c r="H251" t="n">
        <v>485.35</v>
      </c>
      <c r="J251" t="n">
        <v>25077.65</v>
      </c>
    </row>
    <row r="252">
      <c r="G252" s="161" t="inlineStr">
        <is>
          <t>2025-10-03</t>
        </is>
      </c>
      <c r="H252" t="n">
        <v>492.15</v>
      </c>
      <c r="J252" t="n">
        <v>24894.25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7.109375" customWidth="1" style="176" min="2" max="2"/>
    <col width="10.6640625" customWidth="1" style="176" min="3" max="3"/>
    <col width="9.44140625" bestFit="1" customWidth="1" style="176" min="4" max="4"/>
    <col width="11.21875" customWidth="1" style="176" min="5" max="5"/>
    <col width="11.88671875" bestFit="1" customWidth="1" style="176" min="6" max="6"/>
    <col width="9.5546875" bestFit="1" customWidth="1" style="176" min="7" max="7"/>
    <col width="12.109375" customWidth="1" style="176" min="8" max="8"/>
    <col width="10.44140625" bestFit="1" customWidth="1" style="176" min="11" max="13"/>
    <col width="12.109375" customWidth="1" style="176" min="15" max="16"/>
    <col width="12.88671875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76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76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>
        <f>MAX(I12:I21)</f>
        <v/>
      </c>
      <c r="J23" s="79">
        <f>MAX(J12:J21)</f>
        <v/>
      </c>
      <c r="K23" s="79" t="n"/>
      <c r="L23" s="79" t="n"/>
      <c r="M23" s="79" t="n"/>
      <c r="N23" s="79" t="n"/>
      <c r="O23" s="86">
        <f>MAX(O12:O21)</f>
        <v/>
      </c>
      <c r="P23" s="86">
        <f>MAX(P12:P21)</f>
        <v/>
      </c>
      <c r="Q23" s="86">
        <f>MAX(Q12:Q21)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>
        <f>_xlfn.QUARTILE.INC(I12:I21,1)</f>
        <v/>
      </c>
      <c r="J24" s="79">
        <f>_xlfn.QUARTILE.INC(J12:J21,1)</f>
        <v/>
      </c>
      <c r="K24" s="79" t="n"/>
      <c r="L24" s="79" t="n"/>
      <c r="M24" s="79" t="n"/>
      <c r="N24" s="79" t="n"/>
      <c r="O24" s="87">
        <f>_xlfn.QUARTILE.INC(O12:O21,1)</f>
        <v/>
      </c>
      <c r="P24" s="87">
        <f>_xlfn.QUARTILE.INC(P12:P21,1)</f>
        <v/>
      </c>
      <c r="Q24" s="87">
        <f>_xlfn.QUARTILE.INC(Q12:Q21,1)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MEDIAN(I12:I21)</f>
        <v/>
      </c>
      <c r="J25" s="152">
        <f>MEDIAN(J12:J21)</f>
        <v/>
      </c>
      <c r="K25" s="152" t="n"/>
      <c r="L25" s="152" t="n"/>
      <c r="M25" s="152" t="n"/>
      <c r="N25" s="152" t="n"/>
      <c r="O25" s="153">
        <f>MEDIAN(O12:O21)</f>
        <v/>
      </c>
      <c r="P25" s="153">
        <f>MEDIAN(P12:P21)</f>
        <v/>
      </c>
      <c r="Q25" s="153">
        <f>MEDIAN(Q12:Q21)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AVERAGE(I12:I21)</f>
        <v/>
      </c>
      <c r="J26" s="152">
        <f>AVERAGE(J12:J21)</f>
        <v/>
      </c>
      <c r="K26" s="152" t="n"/>
      <c r="L26" s="152" t="n"/>
      <c r="M26" s="152" t="n"/>
      <c r="N26" s="152" t="n"/>
      <c r="O26" s="153">
        <f>AVERAGE(O12:O21)</f>
        <v/>
      </c>
      <c r="P26" s="153">
        <f>AVERAGE(P12:P21)</f>
        <v/>
      </c>
      <c r="Q26" s="153">
        <f>AVERAGE(Q12:Q21)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>
        <f>_xlfn.QUARTILE.INC(I12:I21,3)</f>
        <v/>
      </c>
      <c r="J27" s="79">
        <f>_xlfn.QUARTILE.INC(J12:J21,3)</f>
        <v/>
      </c>
      <c r="K27" s="79" t="n"/>
      <c r="L27" s="79" t="n"/>
      <c r="M27" s="79" t="n"/>
      <c r="N27" s="79" t="n"/>
      <c r="O27" s="87">
        <f>_xlfn.QUARTILE.INC(O12:O21,3)</f>
        <v/>
      </c>
      <c r="P27" s="87">
        <f>_xlfn.QUARTILE.INC(P12:P21,3)</f>
        <v/>
      </c>
      <c r="Q27" s="87">
        <f>_xlfn.QUARTILE.INC(Q12:Q21,3)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>
        <f>MIN(I12:I21)</f>
        <v/>
      </c>
      <c r="J28" s="79">
        <f>MIN(J12:J21)</f>
        <v/>
      </c>
      <c r="K28" s="79" t="n"/>
      <c r="L28" s="79" t="n"/>
      <c r="M28" s="79" t="n"/>
      <c r="N28" s="79" t="n"/>
      <c r="O28" s="86">
        <f>MIN(O12:O21)</f>
        <v/>
      </c>
      <c r="P28" s="86">
        <f>MIN(P12:P21)</f>
        <v/>
      </c>
      <c r="Q28" s="86">
        <f>MIN(Q12:Q21)</f>
        <v/>
      </c>
    </row>
    <row r="30">
      <c r="B30" s="84" t="inlineStr">
        <is>
          <t>Kalyan Jewellers India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>
        <f>IF(OR('Raw FS'!AU56&lt;=0, I25="N/A", ISBLANK(I25)), "N/A", 'Raw FS'!AU56*I25)</f>
        <v/>
      </c>
      <c r="J32" s="150">
        <f>IF(OR('Raw FS'!AV56&lt;=0, J25="N/A", ISBLANK(J25)), "N/A", 'Raw FS'!AV56*J25)</f>
        <v/>
      </c>
      <c r="K32" s="150" t="n"/>
      <c r="L32" s="150" t="n"/>
      <c r="M32" s="150" t="n"/>
      <c r="N32" s="150" t="n"/>
      <c r="O32" s="155">
        <f>IF(OR('Raw FS'!AU56&lt;=0, O25="N/A", ISBLANK(O25)), "N/A", 'Raw FS'!AU56*O25)</f>
        <v/>
      </c>
      <c r="P32" s="155">
        <f>IF(OR('Raw FS'!AV56&lt;=0, P25="N/A", ISBLANK(P25)), "N/A", 'Raw FS'!AV56*P25)</f>
        <v/>
      </c>
      <c r="Q32" s="155">
        <f>IF(OR('Raw FS'!AW56&lt;=0, Q25="N/A", ISBLANK(Q25)), "N/A", 'Raw FS'!AW56*Q25)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>
        <f>'Raw FS'!AS56</f>
        <v/>
      </c>
      <c r="J33" s="150">
        <f>'Raw FS'!AS56</f>
        <v/>
      </c>
      <c r="K33" s="150" t="n"/>
      <c r="L33" s="150" t="n"/>
      <c r="M33" s="150" t="n"/>
      <c r="N33" s="150" t="n"/>
      <c r="O33" s="155">
        <f>'Raw FS'!AS56</f>
        <v/>
      </c>
      <c r="P33" s="155">
        <f>'Raw FS'!AS56</f>
        <v/>
      </c>
      <c r="Q33" s="155" t="n">
        <v>0</v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>
        <f>IF(OR(I32="N/A", I33="N/A"), "N/A", I32-I33)</f>
        <v/>
      </c>
      <c r="J34" s="150">
        <f>IF(OR(J32="N/A", J33="N/A"), "N/A", J32-J33)</f>
        <v/>
      </c>
      <c r="K34" s="150" t="n"/>
      <c r="L34" s="150" t="n"/>
      <c r="M34" s="150" t="n"/>
      <c r="N34" s="150" t="n"/>
      <c r="O34" s="155">
        <f>IF(OR(O32="N/A", O33="N/A"), "N/A", O32-O33)</f>
        <v/>
      </c>
      <c r="P34" s="155">
        <f>IF(OR(P32="N/A", P33="N/A"), "N/A", P32-P33)</f>
        <v/>
      </c>
      <c r="Q34" s="155">
        <f>IF(Q32="N/A", "N/A", Q32)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>
        <f>'Raw FS'!N56</f>
        <v/>
      </c>
      <c r="J35" s="150">
        <f>'Raw FS'!N56</f>
        <v/>
      </c>
      <c r="K35" s="150" t="n"/>
      <c r="L35" s="150" t="n"/>
      <c r="M35" s="150" t="n"/>
      <c r="N35" s="150" t="n"/>
      <c r="O35" s="155">
        <f>'Raw FS'!N56</f>
        <v/>
      </c>
      <c r="P35" s="155">
        <f>'Raw FS'!N56</f>
        <v/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IF(OR(I34="N/A", I35="N/A", ISBLANK(I35), I35&lt;=0), "N/A", I34/I35)</f>
        <v/>
      </c>
      <c r="J37" s="152">
        <f>IF(OR(J34="N/A", J35="N/A", ISBLANK(J35), J35&lt;=0), "N/A", J34/J35)</f>
        <v/>
      </c>
      <c r="K37" s="152" t="n"/>
      <c r="L37" s="152" t="n"/>
      <c r="M37" s="152" t="n"/>
      <c r="N37" s="152" t="n"/>
      <c r="O37" s="157">
        <f>IF(OR(O34="N/A", O35="N/A", ISBLANK(O35), O35&lt;=0), "N/A", O34/O35)</f>
        <v/>
      </c>
      <c r="P37" s="157">
        <f>IF(OR(P34="N/A", P35="N/A", ISBLANK(P35), P35&lt;=0), "N/A", P34/P35)</f>
        <v/>
      </c>
      <c r="Q37" s="157">
        <f>IF(OR(Q34="N/A", Q35="N/A", ISBLANK(Q35), Q35&lt;=0), "N/A", Q34/Q35)</f>
        <v/>
      </c>
    </row>
    <row r="38">
      <c r="B38" s="52" t="inlineStr">
        <is>
          <t>Source : Screener.in</t>
        </is>
      </c>
    </row>
    <row r="39">
      <c r="B39" t="inlineStr">
        <is>
          <t>Valuation Gap</t>
        </is>
      </c>
      <c r="I39">
        <f>IF(I37="N/A","N/A",IF(I37&gt;'Raw FS'!M56,"Trading at Discount","Trading at Premium"))</f>
        <v/>
      </c>
      <c r="J39">
        <f>IF(J37="N/A","N/A",IF(J37&gt;'Raw FS'!M56,"Trading at Discount","Trading at Premium"))</f>
        <v/>
      </c>
      <c r="O39">
        <f>IF(O37="N/A","N/A",IF(O37&gt;'Raw FS'!M56,"Trading at Discount","Trading at Premium"))</f>
        <v/>
      </c>
      <c r="P39">
        <f>IF(P37="N/A","N/A",IF(P37&gt;'Raw FS'!M56,"Trading at Discount","Trading at Premium"))</f>
        <v/>
      </c>
      <c r="Q39">
        <f>IF(Q37="N/A","N/A",IF(Q37&gt;'Raw FS'!M56,"Trading at Discount","Trading at Premium"))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- 17,372.00 &amp; low INR - 12,103.00)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6">
      <c r="B7" s="37" t="n"/>
    </row>
    <row r="8">
      <c r="B8" s="185" t="inlineStr">
        <is>
          <t>Kalyan Jewellers India Ltd is a leading company operating in the Diversified sector in India.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/>
    </row>
    <row r="38"/>
    <row r="39">
      <c r="A39" t="inlineStr">
        <is>
          <t>•</t>
        </is>
      </c>
      <c r="B39" s="184" t="inlineStr"/>
    </row>
    <row r="40"/>
    <row r="41">
      <c r="A41" t="inlineStr">
        <is>
          <t>•</t>
        </is>
      </c>
      <c r="B41" s="184" t="inlineStr"/>
    </row>
    <row r="42"/>
    <row r="43">
      <c r="A43" t="inlineStr">
        <is>
          <t>•</t>
        </is>
      </c>
      <c r="B43" s="184" t="inlineStr"/>
    </row>
    <row r="44"/>
    <row r="45">
      <c r="A45" t="inlineStr">
        <is>
          <t>•</t>
        </is>
      </c>
      <c r="B45" s="184" t="inlineStr"/>
    </row>
    <row r="46"/>
    <row r="47">
      <c r="A47" t="inlineStr">
        <is>
          <t>•</t>
        </is>
      </c>
      <c r="B47" s="184" t="inlineStr"/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- 17,372.00 &amp; low INR - 12,103.00)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6"/>
    <row r="8">
      <c r="B8" s="185" t="inlineStr">
        <is>
          <t>Kalyan Jewellers India Ltd is a leading company operating in the Diversified sector in India.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/>
    </row>
    <row r="37"/>
    <row r="38" ht="14.4" customHeight="1" s="176">
      <c r="A38" t="inlineStr">
        <is>
          <t>•</t>
        </is>
      </c>
      <c r="B38" s="184" t="inlineStr"/>
    </row>
    <row r="39"/>
    <row r="40" ht="20.4" customHeight="1" s="176">
      <c r="A40" t="inlineStr">
        <is>
          <t>•</t>
        </is>
      </c>
      <c r="B40" s="184" t="inlineStr"/>
    </row>
    <row r="41"/>
    <row r="42">
      <c r="A42" t="inlineStr">
        <is>
          <t>•</t>
        </is>
      </c>
      <c r="B42" s="184" t="inlineStr"/>
    </row>
    <row r="43"/>
    <row r="44">
      <c r="A44" t="inlineStr">
        <is>
          <t>•</t>
        </is>
      </c>
      <c r="B44" s="184" t="inlineStr"/>
    </row>
    <row r="45"/>
    <row r="46">
      <c r="A46" t="inlineStr">
        <is>
          <t>•</t>
        </is>
      </c>
      <c r="B46" s="184" t="inlineStr"/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inlineStr">
        <is>
          <t>00:00:00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2018</t>
        </is>
      </c>
      <c r="T3" s="35" t="inlineStr">
        <is>
          <t>Mar 2019</t>
        </is>
      </c>
      <c r="U3" s="35" t="inlineStr">
        <is>
          <t>Mar 2020</t>
        </is>
      </c>
      <c r="V3" s="35" t="inlineStr">
        <is>
          <t>Mar 2021</t>
        </is>
      </c>
      <c r="W3" s="35" t="inlineStr">
        <is>
          <t>Mar 2022</t>
        </is>
      </c>
      <c r="X3" s="35" t="inlineStr">
        <is>
          <t>Mar 2023</t>
        </is>
      </c>
      <c r="Y3" s="35" t="inlineStr">
        <is>
          <t>Mar 2024</t>
        </is>
      </c>
      <c r="Z3" s="35" t="inlineStr">
        <is>
          <t>Mar 2025</t>
        </is>
      </c>
      <c r="AA3" s="35" t="inlineStr">
        <is>
          <t>Mar 2026</t>
        </is>
      </c>
      <c r="AB3" s="35" t="inlineStr">
        <is>
          <t>Trailing</t>
        </is>
      </c>
      <c r="AC3" s="35" t="inlineStr">
        <is>
          <t>Best Case</t>
        </is>
      </c>
      <c r="AD3" s="35" t="inlineStr">
        <is>
          <t>Worst Case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10505</v>
      </c>
      <c r="T4" s="73" t="n">
        <v>9771</v>
      </c>
      <c r="U4" s="73" t="n">
        <v>10101</v>
      </c>
      <c r="V4" s="73" t="n">
        <v>8573</v>
      </c>
      <c r="W4" s="73" t="n">
        <v>10818</v>
      </c>
      <c r="X4" s="73" t="n">
        <v>14071</v>
      </c>
      <c r="Y4" s="73" t="n">
        <v>18516</v>
      </c>
      <c r="Z4" s="73" t="n">
        <v>25045</v>
      </c>
      <c r="AA4" s="73" t="n">
        <v>35743</v>
      </c>
      <c r="AB4" s="73" t="n">
        <v>39063</v>
      </c>
      <c r="AC4" s="73" t="n">
        <v>51010.66276701936</v>
      </c>
      <c r="AD4" s="73" t="n">
        <v>43694.3204676273</v>
      </c>
      <c r="AE4" s="73" t="n">
        <v>0</v>
      </c>
    </row>
    <row r="5">
      <c r="B5" s="35" t="inlineStr">
        <is>
          <t>Equity Capital</t>
        </is>
      </c>
      <c r="C5" t="n">
        <v>0</v>
      </c>
      <c r="D5" s="47" t="n">
        <v>0</v>
      </c>
      <c r="E5" s="47" t="n">
        <v>0</v>
      </c>
      <c r="F5" s="47" t="n">
        <v>839</v>
      </c>
      <c r="G5" s="47" t="n">
        <v>839</v>
      </c>
      <c r="H5" s="47" t="n">
        <v>839</v>
      </c>
      <c r="I5" s="47" t="n">
        <v>1030</v>
      </c>
      <c r="J5" s="47" t="n">
        <v>1030</v>
      </c>
      <c r="K5" s="47" t="n">
        <v>1030</v>
      </c>
      <c r="L5" s="47" t="n">
        <v>1030</v>
      </c>
      <c r="M5" s="47" t="n">
        <v>1031</v>
      </c>
      <c r="N5" s="47" t="n">
        <v>1033</v>
      </c>
      <c r="R5" t="inlineStr">
        <is>
          <t>Expenses +</t>
        </is>
      </c>
      <c r="S5" s="73" t="n">
        <v>11338.5</v>
      </c>
      <c r="T5" s="73" t="n">
        <v>7815.1</v>
      </c>
      <c r="U5" s="73" t="n">
        <v>9557.1</v>
      </c>
      <c r="V5" s="73" t="n">
        <v>8707.299999999999</v>
      </c>
      <c r="W5" s="73" t="n">
        <v>11157.44</v>
      </c>
      <c r="X5" s="73" t="n">
        <v>15320.97</v>
      </c>
      <c r="Y5" s="73" t="n">
        <v>19602.12</v>
      </c>
      <c r="Z5" s="73" t="n">
        <v>25016.15</v>
      </c>
      <c r="AA5" s="73" t="n">
        <v>42335.58</v>
      </c>
      <c r="AB5" s="73" t="n">
        <v>36447</v>
      </c>
      <c r="AC5" s="73" t="n">
        <v>47594.5428121126</v>
      </c>
      <c r="AD5" s="73" t="n">
        <v>43682.22194713657</v>
      </c>
      <c r="AE5" s="73" t="n">
        <v>0</v>
      </c>
    </row>
    <row r="6">
      <c r="B6" t="inlineStr">
        <is>
          <t>Reserves</t>
        </is>
      </c>
      <c r="C6" s="73" t="n">
        <v>0</v>
      </c>
      <c r="D6" s="73" t="n">
        <v>0</v>
      </c>
      <c r="E6" s="73" t="n">
        <v>0</v>
      </c>
      <c r="F6" s="73" t="n">
        <v>1012</v>
      </c>
      <c r="G6" s="73" t="n">
        <v>1046</v>
      </c>
      <c r="H6" s="73" t="n">
        <v>1203</v>
      </c>
      <c r="I6" s="73" t="n">
        <v>1796</v>
      </c>
      <c r="J6" s="73" t="n">
        <v>2107</v>
      </c>
      <c r="K6" s="73" t="n">
        <v>2605</v>
      </c>
      <c r="L6" s="73" t="n">
        <v>3159</v>
      </c>
      <c r="M6" s="73" t="n">
        <v>3772</v>
      </c>
      <c r="N6" s="73" t="n">
        <v>5276</v>
      </c>
      <c r="O6" s="73" t="n"/>
      <c r="R6" t="inlineStr">
        <is>
          <t>Operating Profit</t>
        </is>
      </c>
      <c r="S6" s="73" t="n">
        <v>-833.5</v>
      </c>
      <c r="T6" s="73" t="n">
        <v>1955.9</v>
      </c>
      <c r="U6" s="73" t="n">
        <v>543.8999999999996</v>
      </c>
      <c r="V6" s="73" t="n">
        <v>-134.2999999999993</v>
      </c>
      <c r="W6" s="73" t="n">
        <v>-339.4400000000005</v>
      </c>
      <c r="X6" s="73" t="n">
        <v>-1249.969999999998</v>
      </c>
      <c r="Y6" s="73" t="n">
        <v>-1086.119999999999</v>
      </c>
      <c r="Z6" s="73" t="n">
        <v>28.85000000000218</v>
      </c>
      <c r="AA6" s="73" t="n">
        <v>-6592.580000000002</v>
      </c>
      <c r="AB6" s="73" t="n">
        <v>2616</v>
      </c>
      <c r="AC6" s="73" t="n">
        <v>3416.119954906757</v>
      </c>
      <c r="AD6" s="73" t="n">
        <v>12.09852049073491</v>
      </c>
      <c r="AE6" s="73" t="n">
        <v>0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0</v>
      </c>
      <c r="F7" s="73" t="n">
        <v>4196</v>
      </c>
      <c r="G7" s="73" t="n">
        <v>3907</v>
      </c>
      <c r="H7" s="73" t="n">
        <v>3759</v>
      </c>
      <c r="I7" s="73" t="n">
        <v>3378</v>
      </c>
      <c r="J7" s="73" t="n">
        <v>4029</v>
      </c>
      <c r="K7" s="73" t="n">
        <v>4295</v>
      </c>
      <c r="L7" s="73" t="n">
        <v>4495</v>
      </c>
      <c r="M7" s="73" t="n">
        <v>4959</v>
      </c>
      <c r="N7" s="73" t="n">
        <v>6117</v>
      </c>
      <c r="O7" s="73" t="n"/>
      <c r="R7" t="inlineStr">
        <is>
          <t>OPM %</t>
        </is>
      </c>
      <c r="S7" s="75" t="n">
        <v>0</v>
      </c>
      <c r="T7" s="75" t="n">
        <v>0.2001739842390748</v>
      </c>
      <c r="U7" s="75" t="n">
        <v>0.05384615384615381</v>
      </c>
      <c r="V7" s="75" t="n">
        <v>0</v>
      </c>
      <c r="W7" s="75" t="n">
        <v>0</v>
      </c>
      <c r="X7" s="75" t="n">
        <v>0</v>
      </c>
      <c r="Y7" s="75" t="n">
        <v>0</v>
      </c>
      <c r="Z7" s="75" t="n">
        <v>0.001151926532242052</v>
      </c>
      <c r="AA7" s="75" t="n">
        <v>0</v>
      </c>
      <c r="AB7" s="75" t="n">
        <v>0.06696874280009216</v>
      </c>
      <c r="AC7" s="75" t="n">
        <v>0</v>
      </c>
      <c r="AD7" s="75" t="n">
        <v>0</v>
      </c>
      <c r="AE7" s="75" t="n">
        <v>0</v>
      </c>
    </row>
    <row r="8">
      <c r="B8" s="73" t="inlineStr">
        <is>
          <t>Long term Borrowings</t>
        </is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32</v>
      </c>
      <c r="T8" s="73" t="n">
        <v>42</v>
      </c>
      <c r="U8" s="73" t="n">
        <v>80</v>
      </c>
      <c r="V8" s="73" t="n">
        <v>45</v>
      </c>
      <c r="W8" s="73" t="n">
        <v>38</v>
      </c>
      <c r="X8" s="73" t="n">
        <v>5</v>
      </c>
      <c r="Y8" s="73" t="n">
        <v>106</v>
      </c>
      <c r="Z8" s="73" t="n">
        <v>140</v>
      </c>
      <c r="AA8" s="73" t="n">
        <v>162</v>
      </c>
      <c r="AB8" s="73" t="n">
        <v>176</v>
      </c>
      <c r="AC8" s="73" t="n">
        <v>0</v>
      </c>
      <c r="AD8" s="73" t="n">
        <v>0</v>
      </c>
      <c r="AE8" s="73" t="n">
        <v>0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390</v>
      </c>
      <c r="T9" t="n">
        <v>418</v>
      </c>
      <c r="U9" t="n">
        <v>419</v>
      </c>
      <c r="V9" t="n">
        <v>405</v>
      </c>
      <c r="W9" t="n">
        <v>360</v>
      </c>
      <c r="X9" t="n">
        <v>353</v>
      </c>
      <c r="Y9" t="n">
        <v>379</v>
      </c>
      <c r="Z9" t="n">
        <v>422</v>
      </c>
      <c r="AA9" t="n">
        <v>499</v>
      </c>
      <c r="AB9" t="n">
        <v>437</v>
      </c>
      <c r="AC9" t="n">
        <v>437</v>
      </c>
      <c r="AD9" t="n">
        <v>437</v>
      </c>
      <c r="AE9" t="n">
        <v>0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73" t="n"/>
      <c r="R10" t="inlineStr">
        <is>
          <t>Depreciation</t>
        </is>
      </c>
      <c r="S10" s="73" t="n">
        <v>202</v>
      </c>
      <c r="T10" s="73" t="n">
        <v>224</v>
      </c>
      <c r="U10" s="73" t="n">
        <v>239</v>
      </c>
      <c r="V10" s="73" t="n">
        <v>225</v>
      </c>
      <c r="W10" s="73" t="n">
        <v>232</v>
      </c>
      <c r="X10" s="73" t="n">
        <v>245</v>
      </c>
      <c r="Y10" s="73" t="n">
        <v>274</v>
      </c>
      <c r="Z10" s="73" t="n">
        <v>343</v>
      </c>
      <c r="AA10" s="73" t="n">
        <v>423</v>
      </c>
      <c r="AB10" s="73" t="n">
        <v>440</v>
      </c>
      <c r="AC10" s="73" t="n">
        <v>440</v>
      </c>
      <c r="AD10" s="73" t="n">
        <v>440</v>
      </c>
      <c r="AE10" s="73" t="n">
        <v>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214</v>
      </c>
      <c r="T11" s="73" t="n">
        <v>21</v>
      </c>
      <c r="U11" s="73" t="n">
        <v>221</v>
      </c>
      <c r="V11" s="73" t="n">
        <v>39</v>
      </c>
      <c r="W11" s="73" t="n">
        <v>299</v>
      </c>
      <c r="X11" s="73" t="n">
        <v>572</v>
      </c>
      <c r="Y11" s="73" t="n">
        <v>789</v>
      </c>
      <c r="Z11" s="73" t="n">
        <v>960</v>
      </c>
      <c r="AA11" s="73" t="n">
        <v>1802</v>
      </c>
      <c r="AB11" s="73" t="n">
        <v>1914</v>
      </c>
      <c r="AC11" s="73" t="n">
        <v>2539.119954906757</v>
      </c>
      <c r="AD11" s="73" t="n">
        <v>-864.9014795092651</v>
      </c>
      <c r="AE11" s="73" t="n">
        <v>0</v>
      </c>
    </row>
    <row r="12">
      <c r="B12" s="73" t="inlineStr">
        <is>
          <t>Other Liabilities -</t>
        </is>
      </c>
      <c r="C12" s="73" t="n">
        <v>0</v>
      </c>
      <c r="D12" s="73" t="n">
        <v>0</v>
      </c>
      <c r="E12" s="73" t="n">
        <v>0</v>
      </c>
      <c r="F12" s="73" t="n">
        <v>2503</v>
      </c>
      <c r="G12" s="73" t="n">
        <v>2268</v>
      </c>
      <c r="H12" s="73" t="n">
        <v>2417</v>
      </c>
      <c r="I12" s="73" t="n">
        <v>2661</v>
      </c>
      <c r="J12" s="73" t="n">
        <v>1779</v>
      </c>
      <c r="K12" s="73" t="n">
        <v>2783</v>
      </c>
      <c r="L12" s="73" t="n">
        <v>4134</v>
      </c>
      <c r="M12" s="73" t="n">
        <v>5363</v>
      </c>
      <c r="N12" s="73" t="n">
        <v>8291</v>
      </c>
      <c r="R12" t="inlineStr">
        <is>
          <t>Tax %</t>
        </is>
      </c>
      <c r="S12" s="75" t="n">
        <v>214</v>
      </c>
      <c r="T12" s="75" t="n">
        <v>21</v>
      </c>
      <c r="U12" s="75" t="n">
        <v>221</v>
      </c>
      <c r="V12" s="75" t="n">
        <v>39</v>
      </c>
      <c r="W12" s="75" t="n">
        <v>299</v>
      </c>
      <c r="X12" s="75" t="n">
        <v>572</v>
      </c>
      <c r="Y12" s="75" t="n">
        <v>789</v>
      </c>
      <c r="Z12" s="75" t="n">
        <v>960</v>
      </c>
      <c r="AA12" s="75" t="n">
        <v>1802</v>
      </c>
      <c r="AB12" s="75" t="n">
        <v>1914</v>
      </c>
      <c r="AC12" s="75" t="n">
        <v>2539.119954906757</v>
      </c>
      <c r="AD12" s="75" t="n">
        <v>-864.9014795092651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73" t="n"/>
      <c r="R13" t="inlineStr">
        <is>
          <t>Net Profit +</t>
        </is>
      </c>
      <c r="S13" s="73" t="n">
        <v>141</v>
      </c>
      <c r="T13" s="73" t="n">
        <v>15.75</v>
      </c>
      <c r="U13" s="73" t="n">
        <v>142</v>
      </c>
      <c r="V13" s="73" t="n">
        <v>29.25</v>
      </c>
      <c r="W13" s="73" t="n">
        <v>224</v>
      </c>
      <c r="X13" s="73" t="n">
        <v>432</v>
      </c>
      <c r="Y13" s="73" t="n">
        <v>596</v>
      </c>
      <c r="Z13" s="73" t="n">
        <v>714</v>
      </c>
      <c r="AA13" s="73" t="n">
        <v>1350</v>
      </c>
      <c r="AB13" s="73" t="n">
        <v>1436</v>
      </c>
      <c r="AC13" s="73" t="n">
        <v>1905.003268153659</v>
      </c>
      <c r="AD13" s="73" t="n">
        <v>-648.9020504573169</v>
      </c>
      <c r="AE13" s="73" t="n">
        <v>0</v>
      </c>
    </row>
    <row r="14">
      <c r="B14" s="73" t="inlineStr">
        <is>
          <t>Trade Payables</t>
        </is>
      </c>
      <c r="C14" s="73" t="n">
        <v>0</v>
      </c>
      <c r="D14" s="73" t="n">
        <v>0</v>
      </c>
      <c r="E14" s="73" t="n">
        <v>0</v>
      </c>
      <c r="F14" s="73" t="n">
        <v>0</v>
      </c>
      <c r="G14" s="73" t="n">
        <v>0</v>
      </c>
      <c r="H14" s="73" t="n">
        <v>0</v>
      </c>
      <c r="I14" s="73" t="n">
        <v>0</v>
      </c>
      <c r="J14" s="73" t="n">
        <v>0</v>
      </c>
      <c r="K14" s="73" t="n">
        <v>0</v>
      </c>
      <c r="L14" s="73" t="n">
        <v>0</v>
      </c>
      <c r="M14" s="73" t="n">
        <v>0</v>
      </c>
      <c r="N14" s="73" t="n">
        <v>0</v>
      </c>
      <c r="S14" t="n">
        <v>1.700024113817217</v>
      </c>
      <c r="T14" t="n">
        <v>0.1898963105859658</v>
      </c>
      <c r="U14" t="n">
        <v>1.71208102242585</v>
      </c>
      <c r="V14" t="n">
        <v>0.3526645768025078</v>
      </c>
      <c r="W14" t="n">
        <v>2.700747528333735</v>
      </c>
      <c r="X14" t="n">
        <v>5.208584518929347</v>
      </c>
      <c r="Y14" t="n">
        <v>7.185917530745117</v>
      </c>
      <c r="Z14" t="n">
        <v>8.608632746563782</v>
      </c>
      <c r="AA14" t="n">
        <v>16.27682662165421</v>
      </c>
      <c r="AB14" t="n">
        <v>13.87370754545304</v>
      </c>
      <c r="AC14" t="n">
        <v>18.40491519184966</v>
      </c>
      <c r="AD14" t="n">
        <v>-6.269273867471886</v>
      </c>
      <c r="AE14" t="n">
        <v>0</v>
      </c>
    </row>
    <row r="15">
      <c r="B15" t="inlineStr">
        <is>
          <t>Advance from Customers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s="73" t="n">
        <v>0</v>
      </c>
      <c r="K15" s="73" t="n">
        <v>0</v>
      </c>
      <c r="L15" t="n">
        <v>0</v>
      </c>
      <c r="M15" s="73" t="n">
        <v>0</v>
      </c>
      <c r="N15" s="73" t="n">
        <v>0</v>
      </c>
      <c r="O15" s="73" t="n"/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0.12</v>
      </c>
      <c r="Y15" t="n">
        <v>0.21</v>
      </c>
      <c r="Z15" t="n">
        <v>0.22</v>
      </c>
      <c r="AA15" t="n">
        <v>0.19</v>
      </c>
      <c r="AB15" t="n">
        <v>0</v>
      </c>
      <c r="AC15" t="n">
        <v>0</v>
      </c>
      <c r="AD15" t="n">
        <v>0</v>
      </c>
      <c r="AE15" t="n">
        <v>0</v>
      </c>
    </row>
    <row r="16">
      <c r="B16" s="73" t="inlineStr">
        <is>
          <t>Other liability items</t>
        </is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0</v>
      </c>
      <c r="N16" s="73" t="n">
        <v>0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0</v>
      </c>
      <c r="D18" s="71" t="n">
        <v>0</v>
      </c>
      <c r="E18" s="71" t="n">
        <v>0</v>
      </c>
      <c r="F18" s="71" t="n">
        <v>0</v>
      </c>
      <c r="G18" s="71" t="n">
        <v>0</v>
      </c>
      <c r="H18" s="71" t="n">
        <v>0</v>
      </c>
      <c r="I18" s="71" t="n">
        <v>0</v>
      </c>
      <c r="J18" s="71" t="n">
        <v>0</v>
      </c>
      <c r="K18" s="71" t="n">
        <v>0</v>
      </c>
      <c r="L18" s="71" t="n">
        <v>0</v>
      </c>
      <c r="M18" s="71" t="n">
        <v>0</v>
      </c>
      <c r="N18" s="71" t="n">
        <v>0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0</v>
      </c>
      <c r="T19" s="73" t="n">
        <v>0</v>
      </c>
      <c r="U19" s="73" t="n">
        <v>0</v>
      </c>
      <c r="V19" s="73" t="n">
        <v>0</v>
      </c>
      <c r="W19" s="73" t="n">
        <v>0</v>
      </c>
      <c r="X19" s="73" t="n">
        <v>320</v>
      </c>
      <c r="Y19" s="73" t="n">
        <v>629</v>
      </c>
      <c r="Z19" s="73" t="n">
        <v>245</v>
      </c>
      <c r="AA19" s="73" t="n">
        <v>1013</v>
      </c>
      <c r="AB19" s="73" t="n">
        <v>1322</v>
      </c>
      <c r="AC19" s="73" t="n">
        <v>1209</v>
      </c>
      <c r="AD19" s="73" t="n">
        <v>1318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0</v>
      </c>
      <c r="T20" s="73" t="n">
        <v>0</v>
      </c>
      <c r="U20" s="73" t="n">
        <v>0</v>
      </c>
      <c r="V20" s="73" t="n">
        <v>0</v>
      </c>
      <c r="W20" s="73" t="n">
        <v>0</v>
      </c>
      <c r="X20" s="73" t="n">
        <v>0</v>
      </c>
      <c r="Y20" s="73" t="n">
        <v>0</v>
      </c>
      <c r="Z20" s="73" t="n">
        <v>0</v>
      </c>
      <c r="AA20" s="73" t="n">
        <v>0</v>
      </c>
      <c r="AB20" s="73" t="n">
        <v>0</v>
      </c>
      <c r="AC20" s="73" t="n">
        <v>0</v>
      </c>
      <c r="AD20" s="73" t="n">
        <v>0</v>
      </c>
      <c r="AE20" t="n">
        <v>0</v>
      </c>
    </row>
    <row r="21">
      <c r="B21" s="73" t="inlineStr">
        <is>
          <t>Fixed Assets -</t>
        </is>
      </c>
      <c r="C21" s="73" t="n">
        <v>0</v>
      </c>
      <c r="D21" s="73" t="n">
        <v>0</v>
      </c>
      <c r="E21" s="73" t="n">
        <v>0</v>
      </c>
      <c r="F21" s="73" t="n">
        <v>0</v>
      </c>
      <c r="G21" s="73" t="n">
        <v>0</v>
      </c>
      <c r="H21" s="73" t="n">
        <v>0</v>
      </c>
      <c r="I21" s="73" t="n">
        <v>0</v>
      </c>
      <c r="J21" s="73" t="n">
        <v>0</v>
      </c>
      <c r="K21" s="73" t="n">
        <v>0</v>
      </c>
      <c r="L21" s="73" t="n">
        <v>0</v>
      </c>
      <c r="M21" s="73" t="n">
        <v>0</v>
      </c>
      <c r="N21" s="73" t="n">
        <v>0</v>
      </c>
      <c r="R21" t="inlineStr">
        <is>
          <t>Receivables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s="73" t="n">
        <v>0</v>
      </c>
      <c r="Y21" t="n">
        <v>0</v>
      </c>
      <c r="Z21" t="n">
        <v>0</v>
      </c>
      <c r="AA21" t="n">
        <v>0</v>
      </c>
      <c r="AB21" t="n">
        <v>0</v>
      </c>
      <c r="AC21" s="73" t="n">
        <v>0</v>
      </c>
      <c r="AD21" t="n">
        <v>0</v>
      </c>
      <c r="AE21" t="n">
        <v>0</v>
      </c>
    </row>
    <row r="22">
      <c r="B22" s="73" t="inlineStr">
        <is>
          <t>Land</t>
        </is>
      </c>
      <c r="C22" s="73" t="n">
        <v>0</v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0</v>
      </c>
      <c r="M22" s="73" t="n">
        <v>0</v>
      </c>
      <c r="N22" s="73" t="n">
        <v>0</v>
      </c>
      <c r="O22" s="73" t="n"/>
      <c r="R22" t="inlineStr">
        <is>
          <t>Inventory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73" t="n">
        <v>0</v>
      </c>
      <c r="Z22" t="n">
        <v>0</v>
      </c>
      <c r="AA22" s="73" t="n">
        <v>0</v>
      </c>
      <c r="AB22" s="73" t="n">
        <v>0</v>
      </c>
      <c r="AC22" s="73" t="n">
        <v>0</v>
      </c>
      <c r="AD22" s="73" t="n">
        <v>0</v>
      </c>
      <c r="AE22" t="n">
        <v>0</v>
      </c>
    </row>
    <row r="23">
      <c r="B23" s="73" t="inlineStr">
        <is>
          <t>Building</t>
        </is>
      </c>
      <c r="C23" s="73" t="n">
        <v>0</v>
      </c>
      <c r="D23" s="73" t="n">
        <v>0</v>
      </c>
      <c r="E23" s="73" t="n">
        <v>0</v>
      </c>
      <c r="F23" s="73" t="n">
        <v>0</v>
      </c>
      <c r="G23" s="73" t="n">
        <v>0</v>
      </c>
      <c r="H23" s="73" t="n">
        <v>0</v>
      </c>
      <c r="I23" s="73" t="n">
        <v>0</v>
      </c>
      <c r="J23" s="73" t="n">
        <v>0</v>
      </c>
      <c r="K23" s="73" t="n">
        <v>0</v>
      </c>
      <c r="L23" s="73" t="n">
        <v>0</v>
      </c>
      <c r="M23" s="73" t="n">
        <v>0</v>
      </c>
      <c r="N23" s="73" t="n">
        <v>0</v>
      </c>
      <c r="O23" s="73" t="n"/>
      <c r="R23" t="inlineStr">
        <is>
          <t>Payables</t>
        </is>
      </c>
      <c r="S23" t="n">
        <v>0</v>
      </c>
      <c r="T23" t="n">
        <v>0</v>
      </c>
      <c r="U23" t="n">
        <v>0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0</v>
      </c>
      <c r="AA23" s="73" t="n">
        <v>0</v>
      </c>
      <c r="AB23" t="n">
        <v>0</v>
      </c>
      <c r="AC23" s="73" t="n">
        <v>0</v>
      </c>
      <c r="AD23" t="n">
        <v>0</v>
      </c>
      <c r="AE23" t="n">
        <v>0</v>
      </c>
    </row>
    <row r="24">
      <c r="B24" s="73" t="inlineStr">
        <is>
          <t>Plant Machinery</t>
        </is>
      </c>
      <c r="C24" s="73" t="n">
        <v>0</v>
      </c>
      <c r="D24" s="73" t="n">
        <v>0</v>
      </c>
      <c r="E24" s="73" t="n">
        <v>0</v>
      </c>
      <c r="F24" s="73" t="n">
        <v>0</v>
      </c>
      <c r="G24" s="73" t="n">
        <v>0</v>
      </c>
      <c r="H24" s="73" t="n">
        <v>0</v>
      </c>
      <c r="I24" s="73" t="n">
        <v>0</v>
      </c>
      <c r="J24" s="73" t="n">
        <v>0</v>
      </c>
      <c r="K24" s="73" t="n">
        <v>0</v>
      </c>
      <c r="L24" s="73" t="n">
        <v>0</v>
      </c>
      <c r="M24" s="73" t="n">
        <v>0</v>
      </c>
      <c r="N24" s="73" t="n">
        <v>0</v>
      </c>
      <c r="R24" t="inlineStr">
        <is>
          <t>Working capital changes</t>
        </is>
      </c>
      <c r="S24" t="n">
        <v>0</v>
      </c>
      <c r="T24" t="n">
        <v>0</v>
      </c>
      <c r="U24" t="n">
        <v>0</v>
      </c>
      <c r="V24" s="73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s="73" t="n">
        <v>0</v>
      </c>
      <c r="AC24" s="73" t="n">
        <v>0</v>
      </c>
      <c r="AD24" s="73" t="n">
        <v>0</v>
      </c>
      <c r="AE24" t="n">
        <v>0</v>
      </c>
    </row>
    <row r="25">
      <c r="B25" t="inlineStr">
        <is>
          <t>Equipments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R25" t="inlineStr">
        <is>
          <t>Direct taxes</t>
        </is>
      </c>
      <c r="S25" s="73" t="n">
        <v>0</v>
      </c>
      <c r="T25" s="73" t="n">
        <v>0</v>
      </c>
      <c r="U25" s="73" t="n">
        <v>0</v>
      </c>
      <c r="V25" s="73" t="n">
        <v>0</v>
      </c>
      <c r="W25" s="73" t="n">
        <v>0</v>
      </c>
      <c r="X25" s="73" t="n">
        <v>0</v>
      </c>
      <c r="Y25" s="73" t="n">
        <v>0</v>
      </c>
      <c r="Z25" s="73" t="n">
        <v>0</v>
      </c>
      <c r="AA25" s="73" t="n">
        <v>0</v>
      </c>
      <c r="AB25" s="73" t="n">
        <v>0</v>
      </c>
      <c r="AC25" s="73" t="n">
        <v>0</v>
      </c>
      <c r="AD25" s="73" t="n">
        <v>0</v>
      </c>
      <c r="AE25" t="n">
        <v>0</v>
      </c>
    </row>
    <row r="26">
      <c r="B26" s="73" t="inlineStr">
        <is>
          <t>Furniture n fittings</t>
        </is>
      </c>
      <c r="C26" s="73" t="n">
        <v>0</v>
      </c>
      <c r="D26" s="73" t="n">
        <v>0</v>
      </c>
      <c r="E26" s="73" t="n">
        <v>0</v>
      </c>
      <c r="F26" s="73" t="n">
        <v>0</v>
      </c>
      <c r="G26" s="73" t="n">
        <v>0</v>
      </c>
      <c r="H26" s="73" t="n">
        <v>0</v>
      </c>
      <c r="I26" s="73" t="n">
        <v>0</v>
      </c>
      <c r="J26" s="73" t="n">
        <v>0</v>
      </c>
      <c r="K26" s="73" t="n">
        <v>0</v>
      </c>
      <c r="L26" s="73" t="n">
        <v>0</v>
      </c>
      <c r="M26" s="73" t="n">
        <v>0</v>
      </c>
      <c r="N26" s="73" t="n">
        <v>0</v>
      </c>
      <c r="R26" t="inlineStr">
        <is>
          <t>Cash from Investing Activity -</t>
        </is>
      </c>
      <c r="S26" s="73" t="n">
        <v>0</v>
      </c>
      <c r="T26" s="73" t="n">
        <v>0</v>
      </c>
      <c r="U26" s="73" t="n">
        <v>0</v>
      </c>
      <c r="V26" s="73" t="n">
        <v>0</v>
      </c>
      <c r="W26" s="73" t="n">
        <v>0</v>
      </c>
      <c r="X26" s="73" t="n">
        <v>34</v>
      </c>
      <c r="Y26" s="73" t="n">
        <v>-217</v>
      </c>
      <c r="Z26" s="73" t="n">
        <v>64</v>
      </c>
      <c r="AA26" s="73" t="n">
        <v>-384</v>
      </c>
      <c r="AB26" s="73" t="n">
        <v>-137</v>
      </c>
      <c r="AC26" t="n">
        <v>-177</v>
      </c>
      <c r="AD26" s="73" t="n">
        <v>-118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0</v>
      </c>
      <c r="T27" s="73" t="n">
        <v>0</v>
      </c>
      <c r="U27" s="73" t="n">
        <v>0</v>
      </c>
      <c r="V27" s="73" t="n">
        <v>0</v>
      </c>
      <c r="W27" s="73" t="n">
        <v>0</v>
      </c>
      <c r="X27" s="73" t="n">
        <v>0</v>
      </c>
      <c r="Y27" s="73" t="n">
        <v>0</v>
      </c>
      <c r="Z27" s="73" t="n">
        <v>0</v>
      </c>
      <c r="AA27" s="73" t="n">
        <v>0</v>
      </c>
      <c r="AB27" s="73" t="n">
        <v>0</v>
      </c>
      <c r="AC27" s="73" t="n">
        <v>0</v>
      </c>
      <c r="AD27" s="73" t="n">
        <v>0</v>
      </c>
      <c r="AE27" t="n">
        <v>0</v>
      </c>
    </row>
    <row r="28">
      <c r="B28" t="inlineStr">
        <is>
          <t>Vehicles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s="73" t="n"/>
      <c r="R28" t="inlineStr">
        <is>
          <t>Fixed assets sold</t>
        </is>
      </c>
      <c r="S28" s="73" t="n">
        <v>0</v>
      </c>
      <c r="T28" s="73" t="n">
        <v>0</v>
      </c>
      <c r="U28" s="73" t="n">
        <v>0</v>
      </c>
      <c r="V28" s="73" t="n">
        <v>0</v>
      </c>
      <c r="W28" s="73" t="n">
        <v>0</v>
      </c>
      <c r="X28" s="73" t="n">
        <v>0</v>
      </c>
      <c r="Y28" s="73" t="n">
        <v>0</v>
      </c>
      <c r="Z28" s="73" t="n">
        <v>0</v>
      </c>
      <c r="AA28" s="73" t="n">
        <v>0</v>
      </c>
      <c r="AB28" t="n">
        <v>0</v>
      </c>
      <c r="AC28" s="73" t="n">
        <v>0</v>
      </c>
      <c r="AD28" s="73" t="n">
        <v>0</v>
      </c>
      <c r="AE28" t="n">
        <v>0</v>
      </c>
    </row>
    <row r="29">
      <c r="B29" t="inlineStr">
        <is>
          <t>Intangible Assets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0</v>
      </c>
      <c r="T29" s="73" t="n">
        <v>0</v>
      </c>
      <c r="U29" s="73" t="n">
        <v>0</v>
      </c>
      <c r="V29" s="73" t="n">
        <v>0</v>
      </c>
      <c r="W29" s="73" t="n">
        <v>0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0</v>
      </c>
      <c r="AD29" s="73" t="n">
        <v>0</v>
      </c>
      <c r="AE29" t="n">
        <v>0</v>
      </c>
    </row>
    <row r="30">
      <c r="B30" t="inlineStr">
        <is>
          <t>Other fixed assets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73" t="n">
        <v>0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0</v>
      </c>
      <c r="AA30" s="73" t="n">
        <v>0</v>
      </c>
      <c r="AB30" s="73" t="n">
        <v>0</v>
      </c>
      <c r="AC30" s="73" t="n">
        <v>0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0</v>
      </c>
      <c r="D31" s="73" t="n">
        <v>0</v>
      </c>
      <c r="E31" s="73" t="n">
        <v>0</v>
      </c>
      <c r="F31" s="73" t="n">
        <v>0</v>
      </c>
      <c r="G31" s="73" t="n">
        <v>0</v>
      </c>
      <c r="H31" s="73" t="n">
        <v>0</v>
      </c>
      <c r="I31" s="73" t="n">
        <v>0</v>
      </c>
      <c r="J31" s="73" t="n">
        <v>0</v>
      </c>
      <c r="K31" s="73" t="n">
        <v>0</v>
      </c>
      <c r="L31" s="73" t="n">
        <v>0</v>
      </c>
      <c r="M31" s="73" t="n">
        <v>0</v>
      </c>
      <c r="N31" s="73" t="n">
        <v>0</v>
      </c>
      <c r="O31" s="73" t="n"/>
      <c r="R31" t="inlineStr">
        <is>
          <t>Interest received</t>
        </is>
      </c>
      <c r="S31" t="n">
        <v>0</v>
      </c>
      <c r="T31" t="n">
        <v>0</v>
      </c>
      <c r="U31" s="73" t="n">
        <v>0</v>
      </c>
      <c r="V31" s="73" t="n">
        <v>0</v>
      </c>
      <c r="W31" s="73" t="n">
        <v>0</v>
      </c>
      <c r="X31" s="73" t="n">
        <v>0</v>
      </c>
      <c r="Y31" s="73" t="n">
        <v>0</v>
      </c>
      <c r="Z31" s="73" t="n">
        <v>0</v>
      </c>
      <c r="AA31" s="73" t="n">
        <v>0</v>
      </c>
      <c r="AB31" s="73" t="n">
        <v>0</v>
      </c>
      <c r="AC31" s="73" t="n">
        <v>0</v>
      </c>
      <c r="AD31" s="73" t="n">
        <v>0</v>
      </c>
      <c r="AE31" t="n">
        <v>0</v>
      </c>
    </row>
    <row r="32">
      <c r="B32" s="73" t="inlineStr">
        <is>
          <t>Accumulated Depreciation</t>
        </is>
      </c>
      <c r="C32" s="73" t="n">
        <v>0</v>
      </c>
      <c r="D32" s="73" t="n">
        <v>0</v>
      </c>
      <c r="E32" s="73" t="n">
        <v>0</v>
      </c>
      <c r="F32" s="73" t="n">
        <v>0</v>
      </c>
      <c r="G32" s="73" t="n">
        <v>0</v>
      </c>
      <c r="H32" s="73" t="n">
        <v>0</v>
      </c>
      <c r="I32" s="73" t="n">
        <v>0</v>
      </c>
      <c r="J32" s="73" t="n">
        <v>0</v>
      </c>
      <c r="K32" s="73" t="n">
        <v>0</v>
      </c>
      <c r="L32" s="73" t="n">
        <v>0</v>
      </c>
      <c r="M32" s="73" t="n">
        <v>0</v>
      </c>
      <c r="N32" s="73" t="n">
        <v>0</v>
      </c>
      <c r="O32" s="73" t="n"/>
      <c r="R32" t="inlineStr">
        <is>
          <t>Dividends received</t>
        </is>
      </c>
      <c r="S32" t="n">
        <v>0</v>
      </c>
      <c r="T32" t="n">
        <v>0</v>
      </c>
      <c r="U32" s="73" t="n">
        <v>0</v>
      </c>
      <c r="V32" t="n">
        <v>0</v>
      </c>
      <c r="W32" t="n">
        <v>0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0</v>
      </c>
      <c r="D33" s="73" t="n">
        <v>0</v>
      </c>
      <c r="E33" s="73" t="n">
        <v>0</v>
      </c>
      <c r="F33" s="73" t="n">
        <v>1879</v>
      </c>
      <c r="G33" s="73" t="n">
        <v>2152</v>
      </c>
      <c r="H33" s="73" t="n">
        <v>2167</v>
      </c>
      <c r="I33" s="73" t="n">
        <v>1899</v>
      </c>
      <c r="J33" s="73" t="n">
        <v>1921</v>
      </c>
      <c r="K33" s="73" t="n">
        <v>1903</v>
      </c>
      <c r="L33" s="73" t="n">
        <v>2299</v>
      </c>
      <c r="M33" s="73" t="n">
        <v>2846</v>
      </c>
      <c r="N33" s="73" t="n">
        <v>3312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0</v>
      </c>
      <c r="D35" s="73" t="n">
        <v>0</v>
      </c>
      <c r="E35" s="73" t="n">
        <v>0</v>
      </c>
      <c r="F35" s="73" t="n">
        <v>18</v>
      </c>
      <c r="G35" s="73" t="n">
        <v>22</v>
      </c>
      <c r="H35" s="73" t="n">
        <v>24</v>
      </c>
      <c r="I35" s="73" t="n">
        <v>53</v>
      </c>
      <c r="J35" s="73" t="n">
        <v>2</v>
      </c>
      <c r="K35" s="73" t="n">
        <v>20</v>
      </c>
      <c r="L35" s="73" t="n">
        <v>49</v>
      </c>
      <c r="M35" s="73" t="n">
        <v>8</v>
      </c>
      <c r="N35" s="73" t="n">
        <v>18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0</v>
      </c>
      <c r="D36" s="73" t="n">
        <v>0</v>
      </c>
      <c r="E36" s="73" t="n">
        <v>0</v>
      </c>
      <c r="F36" s="73" t="n">
        <v>1</v>
      </c>
      <c r="G36" s="73" t="n">
        <v>3</v>
      </c>
      <c r="H36" s="73" t="n">
        <v>0</v>
      </c>
      <c r="I36" s="73" t="n">
        <v>0</v>
      </c>
      <c r="J36" s="73" t="n">
        <v>1</v>
      </c>
      <c r="K36" s="73" t="n">
        <v>4</v>
      </c>
      <c r="L36" s="73" t="n">
        <v>4</v>
      </c>
      <c r="M36" s="73" t="n">
        <v>5</v>
      </c>
      <c r="N36" s="73" t="n">
        <v>6</v>
      </c>
      <c r="O36" s="73" t="n"/>
      <c r="R36" t="inlineStr">
        <is>
          <t>Other investing items</t>
        </is>
      </c>
      <c r="S36" s="73" t="n">
        <v>0</v>
      </c>
      <c r="T36" s="73" t="n">
        <v>0</v>
      </c>
      <c r="U36" s="73" t="n">
        <v>0</v>
      </c>
      <c r="V36" s="73" t="n">
        <v>0</v>
      </c>
      <c r="W36" s="73" t="n">
        <v>0</v>
      </c>
      <c r="X36" s="73" t="n">
        <v>0</v>
      </c>
      <c r="Y36" s="73" t="n">
        <v>0</v>
      </c>
      <c r="Z36" s="73" t="n">
        <v>0</v>
      </c>
      <c r="AA36" t="n">
        <v>0</v>
      </c>
      <c r="AB36" s="73" t="n">
        <v>0</v>
      </c>
      <c r="AC36" t="n">
        <v>0</v>
      </c>
      <c r="AD36" s="73" t="n">
        <v>0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0</v>
      </c>
      <c r="T37" s="73" t="n">
        <v>0</v>
      </c>
      <c r="U37" s="73" t="n">
        <v>0</v>
      </c>
      <c r="V37" s="73" t="n">
        <v>0</v>
      </c>
      <c r="W37" s="73" t="n">
        <v>0</v>
      </c>
      <c r="X37" s="73" t="n">
        <v>-343</v>
      </c>
      <c r="Y37" s="73" t="n">
        <v>-208</v>
      </c>
      <c r="Z37" s="73" t="n">
        <v>-524</v>
      </c>
      <c r="AA37" s="73" t="n">
        <v>-638</v>
      </c>
      <c r="AB37" s="73" t="n">
        <v>-1148</v>
      </c>
      <c r="AC37" s="73" t="n">
        <v>-840</v>
      </c>
      <c r="AD37" s="73" t="n">
        <v>-1264</v>
      </c>
      <c r="AE37" t="n">
        <v>0</v>
      </c>
    </row>
    <row r="38">
      <c r="B38" t="inlineStr">
        <is>
          <t>Other Assets -</t>
        </is>
      </c>
      <c r="C38" s="73" t="n">
        <v>0</v>
      </c>
      <c r="D38" s="73" t="n">
        <v>0</v>
      </c>
      <c r="E38" s="73" t="n">
        <v>0</v>
      </c>
      <c r="F38" s="73" t="n">
        <v>6654</v>
      </c>
      <c r="G38" s="73" t="n">
        <v>5884</v>
      </c>
      <c r="H38" s="73" t="n">
        <v>6027</v>
      </c>
      <c r="I38" s="73" t="n">
        <v>6913</v>
      </c>
      <c r="J38" s="73" t="n">
        <v>7021</v>
      </c>
      <c r="K38" s="73" t="n">
        <v>8785</v>
      </c>
      <c r="L38" s="73" t="n">
        <v>10465</v>
      </c>
      <c r="M38" s="73" t="n">
        <v>12267</v>
      </c>
      <c r="N38" s="73" t="n">
        <v>17382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0</v>
      </c>
      <c r="D39" s="73" t="n">
        <v>0</v>
      </c>
      <c r="E39" s="73" t="n">
        <v>0</v>
      </c>
      <c r="F39" s="73" t="n">
        <v>0</v>
      </c>
      <c r="G39" s="73" t="n">
        <v>0</v>
      </c>
      <c r="H39" s="73" t="n">
        <v>0</v>
      </c>
      <c r="I39" s="73" t="n">
        <v>0</v>
      </c>
      <c r="J39" s="73" t="n">
        <v>0</v>
      </c>
      <c r="K39" s="73" t="n">
        <v>0</v>
      </c>
      <c r="L39" s="73" t="n">
        <v>0</v>
      </c>
      <c r="M39" s="73" t="n">
        <v>0</v>
      </c>
      <c r="N39" s="73" t="n">
        <v>0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0</v>
      </c>
      <c r="D40" s="73" t="n">
        <v>0</v>
      </c>
      <c r="E40" s="73" t="n">
        <v>0</v>
      </c>
      <c r="F40" s="73" t="n">
        <v>0</v>
      </c>
      <c r="G40" s="73" t="n">
        <v>0</v>
      </c>
      <c r="H40" s="73" t="n">
        <v>0</v>
      </c>
      <c r="I40" s="73" t="n">
        <v>0</v>
      </c>
      <c r="J40" s="73" t="n">
        <v>0</v>
      </c>
      <c r="K40" s="73" t="n">
        <v>0</v>
      </c>
      <c r="L40" s="73" t="n">
        <v>0</v>
      </c>
      <c r="M40" s="73" t="n">
        <v>0</v>
      </c>
      <c r="N40" s="73" t="n">
        <v>0</v>
      </c>
      <c r="O40" s="73" t="n"/>
      <c r="R40" t="inlineStr">
        <is>
          <t>Repayment of borrowings</t>
        </is>
      </c>
      <c r="S40" t="n">
        <v>0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0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  <c r="AE40" t="n">
        <v>0</v>
      </c>
    </row>
    <row r="41">
      <c r="B41" t="inlineStr">
        <is>
          <t>Cash Equivalents</t>
        </is>
      </c>
      <c r="C41" s="73" t="n">
        <v>0</v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  <c r="O41" s="73" t="n"/>
      <c r="R41" t="inlineStr">
        <is>
          <t>Interest paid fin</t>
        </is>
      </c>
      <c r="S41" s="73" t="n">
        <v>0</v>
      </c>
      <c r="T41" s="73" t="n">
        <v>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0</v>
      </c>
      <c r="AC41" s="73" t="n">
        <v>0</v>
      </c>
      <c r="AD41" s="73" t="n">
        <v>0</v>
      </c>
      <c r="AE41" t="n">
        <v>0</v>
      </c>
    </row>
    <row r="42">
      <c r="B42" t="inlineStr">
        <is>
          <t>Loans n Advances</t>
        </is>
      </c>
      <c r="C42" s="73" t="n">
        <v>0</v>
      </c>
      <c r="D42" s="73" t="n">
        <v>0</v>
      </c>
      <c r="E42" s="73" t="n">
        <v>0</v>
      </c>
      <c r="F42" s="73" t="n">
        <v>0</v>
      </c>
      <c r="G42" s="73" t="n">
        <v>0</v>
      </c>
      <c r="H42" s="73" t="n">
        <v>0</v>
      </c>
      <c r="I42" s="73" t="n">
        <v>0</v>
      </c>
      <c r="J42" s="73" t="n">
        <v>0</v>
      </c>
      <c r="K42" s="73" t="n">
        <v>0</v>
      </c>
      <c r="L42" s="73" t="n">
        <v>0</v>
      </c>
      <c r="M42" s="73" t="n">
        <v>0</v>
      </c>
      <c r="N42" s="73" t="n">
        <v>0</v>
      </c>
      <c r="O42" s="73" t="n"/>
      <c r="R42" t="inlineStr">
        <is>
          <t>Dividends paid</t>
        </is>
      </c>
      <c r="S42" s="73" t="n">
        <v>0</v>
      </c>
      <c r="T42" s="73" t="n">
        <v>0</v>
      </c>
      <c r="U42" s="73" t="n">
        <v>0</v>
      </c>
      <c r="V42" s="73" t="n">
        <v>0</v>
      </c>
      <c r="W42" s="73" t="n">
        <v>0</v>
      </c>
      <c r="X42" s="73" t="n">
        <v>0</v>
      </c>
      <c r="Y42" s="73" t="n">
        <v>0</v>
      </c>
      <c r="Z42" s="73" t="n">
        <v>0</v>
      </c>
      <c r="AA42" s="73" t="n">
        <v>0</v>
      </c>
      <c r="AB42" s="73" t="n">
        <v>0</v>
      </c>
      <c r="AC42" s="73" t="n">
        <v>0</v>
      </c>
      <c r="AD42" s="73" t="n">
        <v>0</v>
      </c>
      <c r="AE42" t="n">
        <v>0</v>
      </c>
    </row>
    <row r="43">
      <c r="B43" t="inlineStr">
        <is>
          <t>Other asset items</t>
        </is>
      </c>
      <c r="C43" s="73" t="n">
        <v>0</v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B44" s="57" t="inlineStr">
        <is>
          <t>Total Assets</t>
        </is>
      </c>
      <c r="C44" s="73" t="n">
        <v>0</v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  <c r="R44" t="inlineStr">
        <is>
          <t>Other financing items</t>
        </is>
      </c>
      <c r="S44" t="n">
        <v>0</v>
      </c>
      <c r="T44" t="n">
        <v>0</v>
      </c>
      <c r="U44" s="73" t="n">
        <v>0</v>
      </c>
      <c r="V44" s="73" t="n">
        <v>0</v>
      </c>
      <c r="W44" s="73" t="n">
        <v>0</v>
      </c>
      <c r="X44" s="73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R45" t="inlineStr">
        <is>
          <t>Net Cash Flow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</v>
      </c>
      <c r="Y45" t="n">
        <v>204</v>
      </c>
      <c r="Z45" t="n">
        <v>-216</v>
      </c>
      <c r="AA45" t="n">
        <v>-8</v>
      </c>
      <c r="AB45" t="n">
        <v>37</v>
      </c>
      <c r="AC45" t="n">
        <v>193</v>
      </c>
      <c r="AD45" t="n">
        <v>-64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Maruti Suzuki</t>
        </is>
      </c>
      <c r="M57" t="n">
        <v>12103</v>
      </c>
      <c r="N57" t="n">
        <v>31.44</v>
      </c>
      <c r="AR57" t="n">
        <v>379525</v>
      </c>
      <c r="AS57">
        <f>AZ57-BA57</f>
        <v/>
      </c>
      <c r="AT57">
        <f>AR57+AS57</f>
        <v/>
      </c>
      <c r="AU57" t="n">
        <v>232750.28</v>
      </c>
      <c r="AV57">
        <f>AT57/AX57</f>
        <v/>
      </c>
      <c r="AW57" t="n">
        <v>23990.24</v>
      </c>
      <c r="AX57" t="n">
        <v>15.1</v>
      </c>
      <c r="AZ57" t="n">
        <v>94881.25</v>
      </c>
      <c r="BA57" t="n">
        <v>18976.25</v>
      </c>
    </row>
    <row r="58">
      <c r="K58" t="n">
        <v>2</v>
      </c>
      <c r="L58" t="inlineStr">
        <is>
          <t>M &amp; M</t>
        </is>
      </c>
      <c r="M58" t="n">
        <v>3052</v>
      </c>
      <c r="N58" t="n">
        <v>124.35</v>
      </c>
      <c r="AR58" t="n">
        <v>313661.1</v>
      </c>
      <c r="AS58">
        <f>AZ58-BA58</f>
        <v/>
      </c>
      <c r="AT58">
        <f>AR58+AS58</f>
        <v/>
      </c>
      <c r="AU58" t="n">
        <v>86755.32000000001</v>
      </c>
      <c r="AV58">
        <f>AT58/AX58</f>
        <v/>
      </c>
      <c r="AW58" t="n">
        <v>12755</v>
      </c>
      <c r="AX58" t="n">
        <v>28.24</v>
      </c>
      <c r="AZ58" t="n">
        <v>78415.27</v>
      </c>
      <c r="BA58" t="n">
        <v>15683.06</v>
      </c>
    </row>
    <row r="59">
      <c r="K59" t="n">
        <v>3</v>
      </c>
      <c r="L59" t="inlineStr">
        <is>
          <t>Bajaj Auto</t>
        </is>
      </c>
      <c r="M59" t="n">
        <v>11414</v>
      </c>
      <c r="N59" t="n">
        <v>27.48</v>
      </c>
      <c r="AR59" t="n">
        <v>206330.52</v>
      </c>
      <c r="AS59">
        <f>AZ59-BA59</f>
        <v/>
      </c>
      <c r="AT59">
        <f>AR59+AS59</f>
        <v/>
      </c>
      <c r="AU59" t="n">
        <v>26529.68</v>
      </c>
      <c r="AV59">
        <f>AT59/AX59</f>
        <v/>
      </c>
      <c r="AW59" t="n">
        <v>5850.04</v>
      </c>
      <c r="AX59" t="n">
        <v>30.53</v>
      </c>
      <c r="AZ59" t="n">
        <v>51582.63</v>
      </c>
      <c r="BA59" t="n">
        <v>10316.53</v>
      </c>
    </row>
    <row r="60">
      <c r="K60" t="n">
        <v>4</v>
      </c>
      <c r="L60" t="inlineStr">
        <is>
          <t>Eicher Motors</t>
        </is>
      </c>
      <c r="M60" t="n">
        <v>7516</v>
      </c>
      <c r="N60" t="n">
        <v>27.45</v>
      </c>
      <c r="AR60" t="n">
        <v>198173.09</v>
      </c>
      <c r="AS60">
        <f>AZ60-BA60</f>
        <v/>
      </c>
      <c r="AT60">
        <f>AR60+AS60</f>
        <v/>
      </c>
      <c r="AU60" t="n">
        <v>65182.08</v>
      </c>
      <c r="AV60">
        <f>AT60/AX60</f>
        <v/>
      </c>
      <c r="AW60" t="n">
        <v>4230.44</v>
      </c>
      <c r="AX60" t="n">
        <v>17.37</v>
      </c>
      <c r="AZ60" t="n">
        <v>49543.27</v>
      </c>
      <c r="BA60" t="n">
        <v>9908.65</v>
      </c>
    </row>
    <row r="61">
      <c r="K61" t="n">
        <v>5</v>
      </c>
      <c r="L61" t="inlineStr">
        <is>
          <t>TVS Motor Co.</t>
        </is>
      </c>
      <c r="M61" t="n">
        <v>4171.3</v>
      </c>
      <c r="N61" t="n">
        <v>47.51</v>
      </c>
      <c r="AR61" t="n">
        <v>179474.08</v>
      </c>
      <c r="AS61">
        <f>AZ61-BA61</f>
        <v/>
      </c>
      <c r="AT61">
        <f>AR61+AS61</f>
        <v/>
      </c>
      <c r="AU61" t="n">
        <v>65338.52</v>
      </c>
      <c r="AV61">
        <f>AT61/AX61</f>
        <v/>
      </c>
      <c r="AW61" t="n">
        <v>3554.48</v>
      </c>
      <c r="AX61" t="n">
        <v>38.4</v>
      </c>
      <c r="AZ61" t="n">
        <v>44868.52</v>
      </c>
      <c r="BA61" t="n">
        <v>8973.700000000001</v>
      </c>
    </row>
    <row r="62">
      <c r="K62" t="n">
        <v>6</v>
      </c>
      <c r="L62" t="inlineStr">
        <is>
          <t>Hyundai Motor I</t>
        </is>
      </c>
      <c r="M62" t="n">
        <v>2208.8</v>
      </c>
      <c r="N62" t="n">
        <v>81.25</v>
      </c>
      <c r="AR62" t="n">
        <v>171583.57</v>
      </c>
      <c r="AS62">
        <f>AZ62-BA62</f>
        <v/>
      </c>
      <c r="AT62">
        <f>AR62+AS62</f>
        <v/>
      </c>
      <c r="AU62" t="n">
        <v>140975.08</v>
      </c>
      <c r="AV62">
        <f>AT62/AX62</f>
        <v/>
      </c>
      <c r="AW62" t="n">
        <v>4302.64</v>
      </c>
      <c r="AX62" t="n">
        <v>13.43</v>
      </c>
      <c r="AZ62" t="n">
        <v>42895.89</v>
      </c>
      <c r="BA62" t="n">
        <v>8579.18</v>
      </c>
    </row>
    <row r="63">
      <c r="K63" t="n">
        <v>7</v>
      </c>
      <c r="L63" t="inlineStr">
        <is>
          <t>Samvardh. Mothe.</t>
        </is>
      </c>
      <c r="M63" t="n">
        <v>162.57</v>
      </c>
      <c r="N63" t="n">
        <v>1055.44</v>
      </c>
      <c r="AR63" t="n">
        <v>138631.67</v>
      </c>
      <c r="AS63">
        <f>AZ63-BA63</f>
        <v/>
      </c>
      <c r="AT63">
        <f>AR63+AS63</f>
        <v/>
      </c>
      <c r="AU63" t="n">
        <v>23367.6</v>
      </c>
      <c r="AV63">
        <f>AT63/AX63</f>
        <v/>
      </c>
      <c r="AW63" t="n">
        <v>2824.4</v>
      </c>
      <c r="AX63" t="n">
        <v>21.54</v>
      </c>
      <c r="AZ63" t="n">
        <v>34657.92</v>
      </c>
      <c r="BA63" t="n">
        <v>6931.58</v>
      </c>
    </row>
    <row r="64">
      <c r="K64" t="n">
        <v>8</v>
      </c>
      <c r="L64" t="inlineStr">
        <is>
          <t>Bosch</t>
        </is>
      </c>
      <c r="M64" t="n">
        <v>47000</v>
      </c>
      <c r="N64" t="n">
        <v>2.95</v>
      </c>
      <c r="AR64" t="n">
        <v>111886.25</v>
      </c>
      <c r="AS64">
        <f>AZ64-BA64</f>
        <v/>
      </c>
      <c r="AT64">
        <f>AR64+AS64</f>
        <v/>
      </c>
      <c r="AU64" t="n">
        <v>383196</v>
      </c>
      <c r="AV64">
        <f>AT64/AX64</f>
        <v/>
      </c>
      <c r="AW64" t="n">
        <v>3436</v>
      </c>
      <c r="AX64" t="n">
        <v>2.73</v>
      </c>
      <c r="AZ64" t="n">
        <v>27971.56</v>
      </c>
      <c r="BA64" t="n">
        <v>5594.31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2026-09-26T18:02:16Z</dcterms:modified>
  <cp:lastModifiedBy>Loveish</cp:lastModifiedBy>
  <cp:lastPrinted>2012-12-06T18:14:13Z</cp:lastPrinted>
</cp:coreProperties>
</file>