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definedNames>
    <definedName name="UPDATE">'Data Sheet'!$E$1</definedName>
    <definedName name="UPDATE" localSheetId="24">#REF!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4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color rgb="00FFFFFF"/>
      <sz val="16"/>
    </font>
    <font>
      <name val="Calibri"/>
      <b val="1"/>
      <color rgb="0064748B"/>
      <sz val="9"/>
    </font>
    <font>
      <name val="Calibri"/>
      <b val="1"/>
      <color rgb="000F172A"/>
      <sz val="12"/>
    </font>
    <font>
      <name val="Calibri"/>
      <b val="1"/>
      <color rgb="001E293B"/>
      <sz val="11"/>
    </font>
    <font>
      <name val="Calibri"/>
      <b val="1"/>
      <sz val="10"/>
    </font>
    <font>
      <name val="Calibri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3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82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0" fontId="24" fillId="16" borderId="0" applyAlignment="1" pivotButton="0" quotePrefix="0" xfId="0">
      <alignment horizontal="center" vertical="center"/>
    </xf>
    <xf numFmtId="0" fontId="25" fillId="17" borderId="0" applyAlignment="1" pivotButton="0" quotePrefix="0" xfId="0">
      <alignment horizontal="center" vertical="center"/>
    </xf>
    <xf numFmtId="174" fontId="26" fillId="17" borderId="0" applyAlignment="1" pivotButton="0" quotePrefix="0" xfId="0">
      <alignment horizontal="center" vertical="center"/>
    </xf>
    <xf numFmtId="175" fontId="26" fillId="17" borderId="0" applyAlignment="1" pivotButton="0" quotePrefix="0" xfId="0">
      <alignment horizontal="center" vertical="center"/>
    </xf>
    <xf numFmtId="10" fontId="26" fillId="17" borderId="0" applyAlignment="1" pivotButton="0" quotePrefix="0" xfId="0">
      <alignment horizontal="center" vertical="center"/>
    </xf>
    <xf numFmtId="2" fontId="26" fillId="17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pivotButton="0" quotePrefix="0" xfId="0"/>
    <xf numFmtId="10" fontId="29" fillId="0" borderId="0" pivotButton="0" quotePrefix="0" xfId="0"/>
    <xf numFmtId="0" fontId="30" fillId="0" borderId="0" pivotButton="0" quotePrefix="0" xfId="0"/>
    <xf numFmtId="2" fontId="29" fillId="0" borderId="0" pivotButton="0" quotePrefix="0" xfId="0"/>
    <xf numFmtId="0" fontId="28" fillId="14" borderId="0" applyAlignment="1" pivotButton="0" quotePrefix="0" xfId="0">
      <alignment horizontal="center"/>
    </xf>
    <xf numFmtId="10" fontId="29" fillId="14" borderId="0" applyAlignment="1" pivotButton="0" quotePrefix="0" xfId="0">
      <alignment horizontal="center"/>
    </xf>
    <xf numFmtId="0" fontId="30" fillId="14" borderId="0" applyAlignment="1" pivotButton="0" quotePrefix="0" xfId="0">
      <alignment horizontal="center"/>
    </xf>
    <xf numFmtId="4" fontId="28" fillId="0" borderId="0" pivotButton="0" quotePrefix="0" xfId="0"/>
    <xf numFmtId="10" fontId="30" fillId="0" borderId="0" pivotButton="0" quotePrefix="0" xfId="0"/>
    <xf numFmtId="174" fontId="29" fillId="0" borderId="0" pivotButton="0" quotePrefix="0" xfId="0"/>
    <xf numFmtId="4" fontId="29" fillId="0" borderId="0" pivotButton="0" quotePrefix="0" xfId="0"/>
    <xf numFmtId="0" fontId="27" fillId="0" borderId="0" applyAlignment="1" pivotButton="0" quotePrefix="0" xfId="0">
      <alignment horizontal="center"/>
    </xf>
    <xf numFmtId="0" fontId="31" fillId="16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4" fontId="27" fillId="0" borderId="0" pivotButton="0" quotePrefix="0" xfId="0"/>
    <xf numFmtId="174" fontId="28" fillId="0" borderId="0" pivotButton="0" quotePrefix="0" xfId="0"/>
    <xf numFmtId="175" fontId="28" fillId="0" borderId="0" pivotButton="0" quotePrefix="0" xfId="0"/>
    <xf numFmtId="175" fontId="29" fillId="0" borderId="0" pivotButton="0" quotePrefix="0" xfId="0"/>
    <xf numFmtId="0" fontId="32" fillId="0" borderId="0" pivotButton="0" quotePrefix="0" xfId="0"/>
    <xf numFmtId="177" fontId="32" fillId="0" borderId="0" pivotButton="0" quotePrefix="0" xfId="0"/>
    <xf numFmtId="0" fontId="33" fillId="0" borderId="0" pivotButton="0" quotePrefix="0" xfId="0"/>
    <xf numFmtId="4" fontId="33" fillId="0" borderId="0" pivotButton="0" quotePrefix="0" xfId="0"/>
    <xf numFmtId="0" fontId="33" fillId="0" borderId="14" pivotButton="0" quotePrefix="0" xfId="0"/>
    <xf numFmtId="0" fontId="32" fillId="0" borderId="14" pivotButton="0" quotePrefix="0" xfId="0"/>
    <xf numFmtId="177" fontId="32" fillId="0" borderId="15" pivotButton="0" quotePrefix="0" xfId="0"/>
    <xf numFmtId="177" fontId="33" fillId="0" borderId="14" pivotButton="0" quotePrefix="0" xfId="0"/>
    <xf numFmtId="175" fontId="33" fillId="0" borderId="14" pivotButton="0" quotePrefix="0" xfId="0"/>
    <xf numFmtId="0" fontId="0" fillId="0" borderId="14" pivotButton="0" quotePrefix="0" xfId="0"/>
    <xf numFmtId="0" fontId="39" fillId="22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18" borderId="0" pivotButton="0" quotePrefix="0" xfId="0"/>
    <xf numFmtId="0" fontId="0" fillId="18" borderId="0" pivotButton="0" quotePrefix="0" xfId="0"/>
    <xf numFmtId="0" fontId="38" fillId="21" borderId="0" applyAlignment="1" pivotButton="0" quotePrefix="0" xfId="0">
      <alignment horizontal="center"/>
    </xf>
    <xf numFmtId="178" fontId="37" fillId="19" borderId="16" applyAlignment="1" pivotButton="0" quotePrefix="0" xfId="0">
      <alignment horizontal="right"/>
    </xf>
    <xf numFmtId="0" fontId="33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37" fillId="19" borderId="16" applyAlignment="1" pivotButton="0" quotePrefix="0" xfId="0">
      <alignment horizontal="right"/>
    </xf>
    <xf numFmtId="3" fontId="37" fillId="19" borderId="16" applyAlignment="1" pivotButton="0" quotePrefix="0" xfId="0">
      <alignment horizontal="right"/>
    </xf>
    <xf numFmtId="0" fontId="36" fillId="0" borderId="0" pivotButton="0" quotePrefix="0" xfId="0"/>
    <xf numFmtId="2" fontId="32" fillId="0" borderId="0" pivotButton="0" quotePrefix="0" xfId="0"/>
    <xf numFmtId="179" fontId="32" fillId="0" borderId="0" pivotButton="0" quotePrefix="0" xfId="0"/>
    <xf numFmtId="180" fontId="32" fillId="0" borderId="0" pivotButton="0" quotePrefix="0" xfId="0"/>
    <xf numFmtId="1" fontId="37" fillId="19" borderId="16" applyAlignment="1" pivotButton="0" quotePrefix="0" xfId="0">
      <alignment horizontal="right"/>
    </xf>
    <xf numFmtId="175" fontId="37" fillId="19" borderId="16" applyAlignment="1" pivotButton="0" quotePrefix="0" xfId="0">
      <alignment horizontal="right"/>
    </xf>
    <xf numFmtId="1" fontId="32" fillId="20" borderId="16" pivotButton="0" quotePrefix="0" xfId="0"/>
    <xf numFmtId="178" fontId="32" fillId="20" borderId="16" pivotButton="0" quotePrefix="0" xfId="0"/>
    <xf numFmtId="177" fontId="32" fillId="20" borderId="16" pivotButton="0" quotePrefix="0" xfId="0"/>
    <xf numFmtId="0" fontId="39" fillId="22" borderId="17" applyAlignment="1" pivotButton="0" quotePrefix="0" xfId="0">
      <alignment horizontal="center"/>
    </xf>
    <xf numFmtId="0" fontId="38" fillId="21" borderId="0" applyAlignment="1" pivotButton="0" quotePrefix="0" xfId="0">
      <alignment horizontal="left"/>
    </xf>
    <xf numFmtId="0" fontId="32" fillId="0" borderId="16" pivotButton="0" quotePrefix="0" xfId="0"/>
    <xf numFmtId="3" fontId="33" fillId="0" borderId="16" applyAlignment="1" pivotButton="0" quotePrefix="0" xfId="0">
      <alignment horizontal="right"/>
    </xf>
    <xf numFmtId="0" fontId="35" fillId="0" borderId="16" applyAlignment="1" pivotButton="0" quotePrefix="0" xfId="0">
      <alignment horizontal="center"/>
    </xf>
    <xf numFmtId="0" fontId="32" fillId="0" borderId="16" applyAlignment="1" pivotButton="0" quotePrefix="0" xfId="0">
      <alignment horizontal="center"/>
    </xf>
    <xf numFmtId="175" fontId="33" fillId="0" borderId="16" applyAlignment="1" pivotButton="0" quotePrefix="0" xfId="0">
      <alignment horizontal="right"/>
    </xf>
    <xf numFmtId="0" fontId="35" fillId="6" borderId="0" pivotButton="0" quotePrefix="0" xfId="0"/>
    <xf numFmtId="175" fontId="38" fillId="21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32" fillId="0" borderId="4" pivotButton="0" quotePrefix="0" xfId="0"/>
    <xf numFmtId="177" fontId="0" fillId="0" borderId="0" pivotButton="0" quotePrefix="0" xfId="0"/>
    <xf numFmtId="175" fontId="37" fillId="19" borderId="16" pivotButton="0" quotePrefix="0" xfId="0"/>
    <xf numFmtId="175" fontId="32" fillId="0" borderId="0" pivotButton="0" quotePrefix="0" xfId="0"/>
    <xf numFmtId="1" fontId="33" fillId="0" borderId="16" applyAlignment="1" pivotButton="0" quotePrefix="0" xfId="0">
      <alignment horizontal="right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209">
        <f>'Data Sheet'!B1&amp;" - Institutional Equity Valuation Model"</f>
        <v/>
      </c>
    </row>
    <row r="2">
      <c r="A2" s="234" t="n"/>
      <c r="B2" s="244" t="n"/>
    </row>
    <row r="3">
      <c r="A3" s="234" t="inlineStr">
        <is>
          <t>MODEL AUDIT STATUS:</t>
        </is>
      </c>
      <c r="B3" s="244">
        <f>Checks!C3</f>
        <v/>
      </c>
    </row>
    <row r="4">
      <c r="A4" s="210" t="inlineStr">
        <is>
          <t>Current Price</t>
        </is>
      </c>
      <c r="B4" s="210" t="inlineStr">
        <is>
          <t>Intrinsic Value</t>
        </is>
      </c>
      <c r="C4" s="210" t="inlineStr">
        <is>
          <t>Upside / (Downside)</t>
        </is>
      </c>
      <c r="D4" s="210" t="inlineStr">
        <is>
          <t>Margin of Safety</t>
        </is>
      </c>
      <c r="E4" s="210" t="inlineStr">
        <is>
          <t>Verdict</t>
        </is>
      </c>
      <c r="F4" s="210" t="inlineStr">
        <is>
          <t>WACC</t>
        </is>
      </c>
      <c r="G4" s="210" t="inlineStr">
        <is>
          <t>Altman Z-Score</t>
        </is>
      </c>
      <c r="H4" s="210" t="inlineStr">
        <is>
          <t>DuPont ROE</t>
        </is>
      </c>
      <c r="I4" t="inlineStr">
        <is>
          <t>Verdict Confidence</t>
        </is>
      </c>
    </row>
    <row r="5" ht="15.6" customHeight="1" s="176">
      <c r="A5" s="211">
        <f>DCF!D45</f>
        <v/>
      </c>
      <c r="B5" s="211">
        <f>DCF!D43</f>
        <v/>
      </c>
      <c r="C5" s="212">
        <f>IFERROR((B5-A5)/A5,"n/a")</f>
        <v/>
      </c>
      <c r="D5" s="212">
        <f>IFERROR((B5-A5)/B5,"n/a")</f>
        <v/>
      </c>
      <c r="E5" s="213">
        <f>IF(NOT(ISNUMBER(C5)),"n/a - check price link",IF(OR(NOT(ISNUMBER(B5)),B5&lt;=0,LEFT(DCF!B2,6)="NOTICE",LEFT(DCF!B2,9)="FINANCIAL"),"NOT APPLICABLE - FCFF DCF unsuitable (use relative valuation)",IF(C5&gt;0.15,"UNDERVALUED / BUY",IF(C5&lt;-0.15,"OVERVALUED / SELL","FAIRLY VALUED / HOLD"))))</f>
        <v/>
      </c>
      <c r="F5" s="213">
        <f>DCF!D20</f>
        <v/>
      </c>
      <c r="G5" s="214">
        <f>'Altman''s Z Score'!I89</f>
        <v/>
      </c>
      <c r="H5" s="213">
        <f>'Dupont Analysis'!I78</f>
        <v/>
      </c>
      <c r="I5">
        <f>IF(NOT(ISNUMBER(C5)),"n/a",IF(OR(NOT(ISNUMBER(B5)),B5&lt;=0,LEFT(DCF!B2,6)="NOTICE",LEFT(DCF!B2,9)="FINANCIAL"),"REVIEW: DCF not applicable to this company",IF(ABS(C5)&gt;0.5,"REVIEW: DCF &gt;50% from price","OK")))</f>
        <v/>
      </c>
    </row>
    <row r="7" ht="15.6" customHeight="1" s="176">
      <c r="A7" s="167" t="n"/>
      <c r="B7" s="215" t="inlineStr">
        <is>
          <t>KEY VALUATION PARAMETERS &amp; LIVE MODEL INPUTS</t>
        </is>
      </c>
    </row>
    <row r="8">
      <c r="A8" s="37" t="n"/>
      <c r="B8" s="216" t="inlineStr">
        <is>
          <t>Discount Rate (WACC)</t>
        </is>
      </c>
      <c r="C8" s="217">
        <f>WACC!K46</f>
        <v/>
      </c>
      <c r="D8" s="218" t="inlineStr">
        <is>
          <t>% (WACC)</t>
        </is>
      </c>
    </row>
    <row r="9">
      <c r="A9" s="37" t="n"/>
      <c r="B9" s="216" t="inlineStr">
        <is>
          <t>Cost of Equity (Ke)</t>
        </is>
      </c>
      <c r="C9" s="217">
        <f>WACC!K29</f>
        <v/>
      </c>
      <c r="D9" s="218" t="inlineStr">
        <is>
          <t>% (CAPM)</t>
        </is>
      </c>
    </row>
    <row r="10">
      <c r="A10" s="37" t="n"/>
      <c r="B10" s="216" t="inlineStr">
        <is>
          <t>Risk-Free Rate (Rf)</t>
        </is>
      </c>
      <c r="C10" s="217">
        <f>WACC!K26</f>
        <v/>
      </c>
      <c r="D10" s="218" t="inlineStr">
        <is>
          <t>% (Control input; India 10Y G-Sec proxy)</t>
        </is>
      </c>
    </row>
    <row r="11">
      <c r="A11" s="37" t="n"/>
      <c r="B11" s="216" t="inlineStr">
        <is>
          <t>Equity Risk Premium (ERP)</t>
        </is>
      </c>
      <c r="C11" s="217">
        <f>WACC!K27</f>
        <v/>
      </c>
      <c r="D11" s="218" t="inlineStr">
        <is>
          <t>% (Damodaran)</t>
        </is>
      </c>
    </row>
    <row r="12">
      <c r="B12" s="216" t="inlineStr">
        <is>
          <t>Levered Beta</t>
        </is>
      </c>
      <c r="C12" s="219">
        <f>WACC!K28</f>
        <v/>
      </c>
      <c r="D12" s="218" t="inlineStr">
        <is>
          <t>Peer-median relevered beta</t>
        </is>
      </c>
    </row>
    <row r="13">
      <c r="A13" s="37" t="n"/>
      <c r="B13" s="216" t="inlineStr">
        <is>
          <t>Terminal Growth Rate</t>
        </is>
      </c>
      <c r="C13" s="217">
        <f>DCF!D19</f>
        <v/>
      </c>
      <c r="D13" s="218" t="inlineStr">
        <is>
          <t>%</t>
        </is>
      </c>
    </row>
    <row r="14">
      <c r="A14" s="171" t="n"/>
      <c r="B14" s="220" t="inlineStr">
        <is>
          <t>Terminal ROIC (After-Tax)</t>
        </is>
      </c>
      <c r="C14" s="221">
        <f>DCF!D22</f>
        <v/>
      </c>
      <c r="D14" s="222" t="inlineStr">
        <is>
          <t>% (NOPAT/IC)</t>
        </is>
      </c>
      <c r="E14" s="171" t="n"/>
      <c r="F14" s="171" t="n"/>
      <c r="G14" s="171" t="n"/>
    </row>
    <row r="15">
      <c r="A15" s="180" t="n"/>
      <c r="B15" s="223" t="inlineStr">
        <is>
          <t>Terminal Reinvestment Rate</t>
        </is>
      </c>
      <c r="C15" s="217">
        <f>DCF!D21</f>
        <v/>
      </c>
      <c r="D15" s="224" t="inlineStr">
        <is>
          <t>% (g/ROIC)</t>
        </is>
      </c>
      <c r="E15" s="172" t="n"/>
      <c r="F15" s="173" t="n"/>
      <c r="G15" s="172" t="n"/>
    </row>
    <row r="16">
      <c r="A16" s="180" t="n"/>
      <c r="B16" s="223" t="inlineStr">
        <is>
          <t>Cash &amp; Liquid Investments</t>
        </is>
      </c>
      <c r="C16" s="226">
        <f>DCF!D37</f>
        <v/>
      </c>
      <c r="D16" s="224" t="inlineStr">
        <is>
          <t>₹ Cr</t>
        </is>
      </c>
      <c r="E16" s="172" t="n"/>
      <c r="F16" s="173" t="n"/>
      <c r="G16" s="172" t="n"/>
    </row>
    <row r="17">
      <c r="A17" s="180" t="n"/>
      <c r="B17" s="223" t="inlineStr">
        <is>
          <t>Total Debt &amp; Borrowings</t>
        </is>
      </c>
      <c r="C17" s="226">
        <f>DCF!D38</f>
        <v/>
      </c>
      <c r="D17" s="224" t="inlineStr">
        <is>
          <t>₹ Cr</t>
        </is>
      </c>
      <c r="E17" s="172" t="n"/>
      <c r="F17" s="173" t="n"/>
      <c r="G17" s="172" t="n"/>
    </row>
    <row r="18">
      <c r="A18" s="180" t="n"/>
      <c r="B18" s="223" t="inlineStr">
        <is>
          <t>Shares Outstanding</t>
        </is>
      </c>
      <c r="C18" s="226">
        <f>DCF!D41</f>
        <v/>
      </c>
      <c r="D18" s="224" t="inlineStr">
        <is>
          <t>Cr shares</t>
        </is>
      </c>
      <c r="E18" s="172" t="n"/>
      <c r="F18" s="173" t="n"/>
      <c r="G18" s="172" t="n"/>
    </row>
    <row r="19">
      <c r="A19" s="227" t="inlineStr">
        <is>
          <t>5-Year Discounted Cash Flow (DCF) Schedule (Amounts in ₹ Cr)</t>
        </is>
      </c>
      <c r="B19" s="172" t="n"/>
      <c r="C19" s="172" t="n"/>
      <c r="D19" s="46" t="n"/>
      <c r="E19" s="172" t="n"/>
      <c r="F19" s="173" t="n"/>
      <c r="G19" s="172" t="n"/>
    </row>
    <row r="20">
      <c r="A20" s="228" t="inlineStr">
        <is>
          <t>Year</t>
        </is>
      </c>
      <c r="B20" s="228" t="inlineStr">
        <is>
          <t>EBIT</t>
        </is>
      </c>
      <c r="C20" s="228" t="inlineStr">
        <is>
          <t>NOPAT</t>
        </is>
      </c>
      <c r="D20" s="228" t="inlineStr">
        <is>
          <t>Reinvest Rate</t>
        </is>
      </c>
      <c r="E20" s="228" t="inlineStr">
        <is>
          <t>FCFF</t>
        </is>
      </c>
      <c r="F20" s="228" t="inlineStr">
        <is>
          <t>Discount Factor</t>
        </is>
      </c>
      <c r="G20" s="228" t="inlineStr">
        <is>
          <t>PV of FCFF</t>
        </is>
      </c>
    </row>
    <row r="21">
      <c r="A21" s="229" t="inlineStr">
        <is>
          <t>Year 1</t>
        </is>
      </c>
      <c r="B21" s="172">
        <f>DCF!I8</f>
        <v/>
      </c>
      <c r="C21" s="172">
        <f>DCF!I10</f>
        <v/>
      </c>
      <c r="D21" s="46">
        <f>DCF!I11</f>
        <v/>
      </c>
      <c r="E21" s="172">
        <f>DCF!I12</f>
        <v/>
      </c>
      <c r="F21" s="173">
        <f>DCF!I14</f>
        <v/>
      </c>
      <c r="G21" s="172">
        <f>DCF!I16</f>
        <v/>
      </c>
    </row>
    <row r="22">
      <c r="A22" s="229" t="inlineStr">
        <is>
          <t>Year 2</t>
        </is>
      </c>
      <c r="B22" s="172">
        <f>DCF!J8</f>
        <v/>
      </c>
      <c r="C22" s="172">
        <f>DCF!J10</f>
        <v/>
      </c>
      <c r="D22" s="46">
        <f>DCF!J11</f>
        <v/>
      </c>
      <c r="E22" s="172">
        <f>DCF!J12</f>
        <v/>
      </c>
      <c r="F22" s="173">
        <f>DCF!J14</f>
        <v/>
      </c>
      <c r="G22" s="172">
        <f>DCF!J16</f>
        <v/>
      </c>
    </row>
    <row r="23">
      <c r="A23" s="229" t="inlineStr">
        <is>
          <t>Year 3</t>
        </is>
      </c>
      <c r="B23" s="172">
        <f>DCF!K8</f>
        <v/>
      </c>
      <c r="C23" s="172">
        <f>DCF!K10</f>
        <v/>
      </c>
      <c r="D23" s="46">
        <f>DCF!K11</f>
        <v/>
      </c>
      <c r="E23" s="172">
        <f>DCF!K12</f>
        <v/>
      </c>
      <c r="F23" s="173">
        <f>DCF!K14</f>
        <v/>
      </c>
      <c r="G23" s="172">
        <f>DCF!K16</f>
        <v/>
      </c>
    </row>
    <row r="24">
      <c r="A24" s="229" t="inlineStr">
        <is>
          <t>Year 4</t>
        </is>
      </c>
      <c r="B24" s="172">
        <f>DCF!L8</f>
        <v/>
      </c>
      <c r="C24" s="172">
        <f>DCF!L10</f>
        <v/>
      </c>
      <c r="D24" s="46">
        <f>DCF!L11</f>
        <v/>
      </c>
      <c r="E24" s="172">
        <f>DCF!L12</f>
        <v/>
      </c>
      <c r="F24" s="173">
        <f>DCF!L14</f>
        <v/>
      </c>
      <c r="G24" s="172">
        <f>DCF!L16</f>
        <v/>
      </c>
    </row>
    <row r="25">
      <c r="A25" s="229" t="inlineStr">
        <is>
          <t>Year 5</t>
        </is>
      </c>
      <c r="B25" s="172">
        <f>DCF!M8</f>
        <v/>
      </c>
      <c r="C25" s="172">
        <f>DCF!M10</f>
        <v/>
      </c>
      <c r="D25" s="46">
        <f>DCF!M11</f>
        <v/>
      </c>
      <c r="E25" s="172">
        <f>DCF!M12</f>
        <v/>
      </c>
      <c r="F25" s="173">
        <f>DCF!M14</f>
        <v/>
      </c>
      <c r="G25" s="172">
        <f>DCF!M16</f>
        <v/>
      </c>
    </row>
    <row r="26">
      <c r="A26" s="37" t="n"/>
      <c r="B26" s="172" t="n"/>
    </row>
    <row r="27">
      <c r="A27" s="37" t="n"/>
      <c r="B27" s="172" t="n"/>
    </row>
    <row r="28">
      <c r="A28" s="37" t="n"/>
      <c r="B28" s="230" t="inlineStr">
        <is>
          <t>Enterprise to Equity Value Bridge</t>
        </is>
      </c>
    </row>
    <row r="29">
      <c r="A29" s="37" t="n"/>
      <c r="B29" s="223" t="inlineStr">
        <is>
          <t>PV of 5-Year FCFFs</t>
        </is>
      </c>
      <c r="C29" s="225">
        <f>DCF!D33</f>
        <v/>
      </c>
      <c r="D29" s="218" t="inlineStr">
        <is>
          <t>₹ Cr</t>
        </is>
      </c>
    </row>
    <row r="30">
      <c r="A30" s="37" t="n"/>
      <c r="B30" s="231" t="inlineStr">
        <is>
          <t>Terminal Value</t>
        </is>
      </c>
      <c r="C30" s="225">
        <f>DCF!D29</f>
        <v/>
      </c>
      <c r="D30" s="218" t="inlineStr">
        <is>
          <t>₹ Cr</t>
        </is>
      </c>
    </row>
    <row r="31">
      <c r="A31" s="37" t="n"/>
      <c r="B31" s="231" t="inlineStr">
        <is>
          <t>PV of Terminal Value</t>
        </is>
      </c>
      <c r="C31" s="225">
        <f>DCF!D34</f>
        <v/>
      </c>
      <c r="D31" s="218" t="inlineStr">
        <is>
          <t>₹ Cr</t>
        </is>
      </c>
    </row>
    <row r="32">
      <c r="A32" s="37" t="n"/>
      <c r="B32" s="232" t="inlineStr">
        <is>
          <t>Enterprise Value (Operating Assets)</t>
        </is>
      </c>
      <c r="C32" s="225">
        <f>DCF!D35</f>
        <v/>
      </c>
      <c r="D32" s="218" t="inlineStr">
        <is>
          <t>₹ Cr</t>
        </is>
      </c>
    </row>
    <row r="33">
      <c r="B33" s="216" t="inlineStr">
        <is>
          <t>Add: Estimated Cash &amp; Liquid Assets</t>
        </is>
      </c>
      <c r="C33" s="225">
        <f>DCF!D37</f>
        <v/>
      </c>
      <c r="D33" s="218" t="inlineStr">
        <is>
          <t>₹ Cr</t>
        </is>
      </c>
    </row>
    <row r="34">
      <c r="B34" s="216" t="inlineStr">
        <is>
          <t>Less: Total Debt &amp; Borrowings</t>
        </is>
      </c>
      <c r="C34" s="225">
        <f>DCF!D38</f>
        <v/>
      </c>
      <c r="D34" s="218" t="inlineStr">
        <is>
          <t>₹ Cr</t>
        </is>
      </c>
    </row>
    <row r="35">
      <c r="B35" s="216" t="inlineStr">
        <is>
          <t>Equity Value (after minority interest)</t>
        </is>
      </c>
      <c r="C35" s="225">
        <f>DCF!D40</f>
        <v/>
      </c>
      <c r="D35" s="218" t="inlineStr">
        <is>
          <t>₹ Cr</t>
        </is>
      </c>
    </row>
    <row r="36">
      <c r="B36" s="216" t="inlineStr">
        <is>
          <t>Shares Outstanding</t>
        </is>
      </c>
      <c r="C36" s="226">
        <f>DCF!D41</f>
        <v/>
      </c>
      <c r="D36" s="218" t="inlineStr">
        <is>
          <t>Cr shares</t>
        </is>
      </c>
    </row>
    <row r="37">
      <c r="B37" s="216" t="inlineStr">
        <is>
          <t>Intrinsic Value per Share</t>
        </is>
      </c>
      <c r="C37" s="225">
        <f>DCF!D43</f>
        <v/>
      </c>
      <c r="D37" s="218" t="inlineStr">
        <is>
          <t>₹</t>
        </is>
      </c>
    </row>
    <row r="38">
      <c r="B38" s="216" t="inlineStr">
        <is>
          <t>Current Market Price</t>
        </is>
      </c>
      <c r="C38" s="225">
        <f>DCF!D45</f>
        <v/>
      </c>
      <c r="D38" s="218" t="inlineStr">
        <is>
          <t>₹</t>
        </is>
      </c>
    </row>
    <row r="39">
      <c r="B39" s="216" t="inlineStr">
        <is>
          <t>Upside / (Downside)</t>
        </is>
      </c>
      <c r="C39" s="233">
        <f>IFERROR((C37-C38)/C38,"n/a")</f>
        <v/>
      </c>
      <c r="D39" s="218" t="inlineStr">
        <is>
          <t>%</t>
        </is>
      </c>
    </row>
    <row r="40">
      <c r="B40" s="216" t="inlineStr">
        <is>
          <t>Margin of Safety (Standard)</t>
        </is>
      </c>
      <c r="C40" s="233">
        <f>IFERROR((C37-C38)/C37,"n/a")</f>
        <v/>
      </c>
      <c r="D40" s="218" t="inlineStr">
        <is>
          <t>%</t>
        </is>
      </c>
    </row>
    <row r="41">
      <c r="B41" t="inlineStr">
        <is>
          <t>Intrinsic Value rolled to Valuation Date (info only)</t>
        </is>
      </c>
      <c r="C41" s="278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78">
        <f>DCF!D81</f>
        <v/>
      </c>
      <c r="D42" t="inlineStr">
        <is>
          <t>₹</t>
        </is>
      </c>
    </row>
    <row r="43">
      <c r="B43" s="215" t="inlineStr">
        <is>
          <t>Pillar 4: Relative Multiples Implied Valuation &amp; Synthesis</t>
        </is>
      </c>
    </row>
    <row r="44">
      <c r="B44" s="216" t="inlineStr">
        <is>
          <t>Peer P/E Implied Price</t>
        </is>
      </c>
      <c r="C44" s="225">
        <f>IF(ISNUMBER(Comp_Valuation!Q25), Comp_Valuation!Q25*INDEX('Data Sheet'!$B30:$K30,Control!$C$26)/'Data Sheet'!B6, 'Data Sheet'!B8)</f>
        <v/>
      </c>
      <c r="D44" s="218" t="inlineStr">
        <is>
          <t>₹</t>
        </is>
      </c>
    </row>
    <row r="45">
      <c r="B45" s="216" t="inlineStr">
        <is>
          <t>Peer EV/EBITDA Implied Price</t>
        </is>
      </c>
      <c r="C45" s="225">
        <f>IF(ISNUMBER(Comp_Valuation!P25), (Comp_Valuation!P25*INDEX('Data Sheet'!$B32:$K32,Control!$C$26)+DCF!D37-DCF!D38-DCF!D39)/'Data Sheet'!B6, 'Data Sheet'!B8)</f>
        <v/>
      </c>
      <c r="D45" s="218" t="inlineStr">
        <is>
          <t>₹</t>
        </is>
      </c>
    </row>
    <row r="46">
      <c r="B46" s="216" t="inlineStr">
        <is>
          <t>DCF Model Intrinsic Price</t>
        </is>
      </c>
      <c r="C46" s="225">
        <f>DCF!D43</f>
        <v/>
      </c>
      <c r="D46" s="218" t="inlineStr">
        <is>
          <t>₹</t>
        </is>
      </c>
    </row>
    <row r="47">
      <c r="B47" s="216" t="inlineStr">
        <is>
          <t>Valuation Synthesis (Equal Weight Blended)</t>
        </is>
      </c>
      <c r="C47" s="225">
        <f>AVERAGE(C44:C46)</f>
        <v/>
      </c>
      <c r="D47" s="218" t="inlineStr">
        <is>
          <t>₹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22" customWidth="1" style="176" min="3" max="3"/>
    <col width="4" customWidth="1" style="176" min="4" max="4"/>
    <col width="20" customWidth="1" style="176" min="5" max="5"/>
    <col width="16" customWidth="1" style="176" min="6" max="6"/>
    <col width="16" customWidth="1" style="176" min="7" max="7"/>
    <col width="18" customWidth="1" style="176" min="8" max="8"/>
    <col width="4" customWidth="1" style="176" min="9" max="9"/>
    <col width="18" customWidth="1" style="176" min="10" max="10"/>
    <col width="16" customWidth="1" style="176" min="11" max="11"/>
    <col width="16" customWidth="1" style="176" min="12" max="12"/>
    <col width="16" customWidth="1" style="176" min="13" max="13"/>
  </cols>
  <sheetData>
    <row r="2">
      <c r="B2" s="245" t="inlineStr">
        <is>
          <t>INSTITUTIONAL MODEL CONTROL PANEL &amp; ASSUMPTIONS</t>
        </is>
      </c>
    </row>
    <row r="3">
      <c r="B3" s="246" t="inlineStr">
        <is>
          <t>Single Source of Truth for Global Valuation Inputs, Scenarios &amp; Route Configuration</t>
        </is>
      </c>
    </row>
    <row r="5">
      <c r="B5" s="247" t="inlineStr">
        <is>
          <t>1. MODEL METADATA &amp; REPORTING SETTINGS</t>
        </is>
      </c>
      <c r="C5" s="248" t="n"/>
      <c r="E5" s="249" t="inlineStr">
        <is>
          <t>COUNTRY</t>
        </is>
      </c>
      <c r="F5" s="249" t="inlineStr">
        <is>
          <t>RISK-FREE (Rf)</t>
        </is>
      </c>
      <c r="G5" s="249" t="inlineStr">
        <is>
          <t>ERP</t>
        </is>
      </c>
      <c r="H5" s="249" t="inlineStr">
        <is>
          <t>MARGINAL TAX</t>
        </is>
      </c>
      <c r="J5" s="249" t="inlineStr">
        <is>
          <t>SCENARIO</t>
        </is>
      </c>
      <c r="K5" s="249" t="inlineStr">
        <is>
          <t>GROWTH MULT</t>
        </is>
      </c>
      <c r="L5" s="249" t="inlineStr">
        <is>
          <t>MARGIN ADJ (NOT WIRED)</t>
        </is>
      </c>
      <c r="M5" s="249" t="inlineStr">
        <is>
          <t>WACC SPREAD</t>
        </is>
      </c>
    </row>
    <row r="6">
      <c r="B6" s="236" t="inlineStr">
        <is>
          <t>Valuation Date</t>
        </is>
      </c>
      <c r="C6" s="250">
        <f>TODAY()</f>
        <v/>
      </c>
      <c r="E6" s="251" t="inlineStr">
        <is>
          <t>India</t>
        </is>
      </c>
      <c r="F6" s="252" t="n">
        <v>0.068</v>
      </c>
      <c r="G6" s="252" t="n">
        <v>0.065</v>
      </c>
      <c r="H6" s="252" t="n">
        <v>0.2517</v>
      </c>
      <c r="J6" s="251" t="inlineStr">
        <is>
          <t>1 - Bear Case</t>
        </is>
      </c>
      <c r="K6" s="253" t="n">
        <v>0.7</v>
      </c>
      <c r="L6" s="254" t="n">
        <v>-0.02</v>
      </c>
      <c r="M6" s="255" t="n">
        <v>0.01</v>
      </c>
    </row>
    <row r="7">
      <c r="B7" s="236" t="inlineStr">
        <is>
          <t>Reporting Currency</t>
        </is>
      </c>
      <c r="C7" s="256" t="inlineStr">
        <is>
          <t>INR</t>
        </is>
      </c>
      <c r="E7" s="251" t="inlineStr">
        <is>
          <t>United States</t>
        </is>
      </c>
      <c r="F7" s="252" t="n">
        <v>0.042</v>
      </c>
      <c r="G7" s="252" t="n">
        <v>0.05</v>
      </c>
      <c r="H7" s="252" t="n">
        <v>0.21</v>
      </c>
      <c r="J7" s="251" t="inlineStr">
        <is>
          <t>2 - Base Case</t>
        </is>
      </c>
      <c r="K7" s="253" t="n">
        <v>1</v>
      </c>
      <c r="L7" s="254" t="n">
        <v>0</v>
      </c>
      <c r="M7" s="255" t="n">
        <v>0</v>
      </c>
    </row>
    <row r="8">
      <c r="B8" s="236" t="inlineStr">
        <is>
          <t>Financial Reporting Unit</t>
        </is>
      </c>
      <c r="C8" s="256" t="inlineStr">
        <is>
          <t>Crores</t>
        </is>
      </c>
      <c r="E8" s="251" t="inlineStr">
        <is>
          <t>United Kingdom</t>
        </is>
      </c>
      <c r="F8" s="252" t="n">
        <v>0.044</v>
      </c>
      <c r="G8" s="252" t="n">
        <v>0.055</v>
      </c>
      <c r="H8" s="252" t="n">
        <v>0.25</v>
      </c>
      <c r="J8" s="251" t="inlineStr">
        <is>
          <t>3 - Bull Case</t>
        </is>
      </c>
      <c r="K8" s="253" t="n">
        <v>1.3</v>
      </c>
      <c r="L8" s="254" t="n">
        <v>0.02</v>
      </c>
      <c r="M8" s="255" t="n">
        <v>-0.005</v>
      </c>
    </row>
    <row r="9">
      <c r="B9" s="236" t="inlineStr">
        <is>
          <t>Unit Scale Factor</t>
        </is>
      </c>
      <c r="C9" s="257" t="n">
        <v>10000000</v>
      </c>
      <c r="E9" s="251" t="inlineStr">
        <is>
          <t>Germany</t>
        </is>
      </c>
      <c r="F9" s="252" t="n">
        <v>0.025</v>
      </c>
      <c r="G9" s="252" t="n">
        <v>0.05</v>
      </c>
      <c r="H9" s="252" t="n">
        <v>0.3</v>
      </c>
    </row>
    <row r="10">
      <c r="B10" s="236" t="inlineStr">
        <is>
          <t>Target Country</t>
        </is>
      </c>
      <c r="C10" s="256" t="inlineStr">
        <is>
          <t>India</t>
        </is>
      </c>
      <c r="E10" s="251" t="inlineStr">
        <is>
          <t>Japan</t>
        </is>
      </c>
      <c r="F10" s="252" t="n">
        <v>0.011</v>
      </c>
      <c r="G10" s="252" t="n">
        <v>0.055</v>
      </c>
      <c r="H10" s="252" t="n">
        <v>0.3062</v>
      </c>
      <c r="J10" s="258" t="inlineStr">
        <is>
          <t>ACTIVE MULTIPLIERS:</t>
        </is>
      </c>
      <c r="K10" s="259">
        <f>CHOOSE(C14, K6, K7, K8)</f>
        <v/>
      </c>
      <c r="L10" s="260">
        <f>CHOOSE(C14, L6, L7, L8)</f>
        <v/>
      </c>
      <c r="M10" s="261">
        <f>CHOOSE(C14, M6, M7, M8)</f>
        <v/>
      </c>
    </row>
    <row r="11">
      <c r="B11" s="236" t="inlineStr">
        <is>
          <t>Target Sector / Industry</t>
        </is>
      </c>
      <c r="C11" s="256" t="inlineStr">
        <is>
          <t>Corporate / Non-Financial</t>
        </is>
      </c>
      <c r="E11" s="251" t="inlineStr">
        <is>
          <t>Singapore</t>
        </is>
      </c>
      <c r="F11" s="252" t="n">
        <v>0.03</v>
      </c>
      <c r="G11" s="252" t="n">
        <v>0.05</v>
      </c>
      <c r="H11" s="252" t="n">
        <v>0.17</v>
      </c>
    </row>
    <row r="12">
      <c r="B12" s="236" t="inlineStr">
        <is>
          <t>Valuation Framework Switch</t>
        </is>
      </c>
      <c r="C12" s="256" t="inlineStr">
        <is>
          <t>FCFF DCF</t>
        </is>
      </c>
      <c r="E12" s="251" t="inlineStr">
        <is>
          <t>UAE</t>
        </is>
      </c>
      <c r="F12" s="252" t="n">
        <v>0.045</v>
      </c>
      <c r="G12" s="252" t="n">
        <v>0.055</v>
      </c>
      <c r="H12" s="252" t="n">
        <v>0.09</v>
      </c>
    </row>
    <row r="13">
      <c r="B13" s="236" t="inlineStr">
        <is>
          <t>Benchmark Market Index</t>
        </is>
      </c>
      <c r="C13" s="256" t="inlineStr">
        <is>
          <t>NIFTY 50</t>
        </is>
      </c>
    </row>
    <row r="14">
      <c r="B14" s="236" t="inlineStr">
        <is>
          <t>Active Valuation Scenario</t>
        </is>
      </c>
      <c r="C14" s="262" t="n">
        <v>2</v>
      </c>
    </row>
    <row r="16">
      <c r="B16" s="247" t="inlineStr">
        <is>
          <t>2. COST OF CAPITAL &amp; DCF ASSUMPTIONS</t>
        </is>
      </c>
      <c r="C16" s="248" t="n"/>
    </row>
    <row r="17">
      <c r="B17" s="236" t="inlineStr">
        <is>
          <t>Risk-Free Rate (Rf)</t>
        </is>
      </c>
      <c r="C17" s="263">
        <f>VLOOKUP(C10, E6:H12, 2, FALSE())</f>
        <v/>
      </c>
    </row>
    <row r="18">
      <c r="B18" s="236" t="inlineStr">
        <is>
          <t>Equity Risk Premium (ERP)</t>
        </is>
      </c>
      <c r="C18" s="263">
        <f>VLOOKUP(C10, E6:H12, 3, FALSE())</f>
        <v/>
      </c>
    </row>
    <row r="19">
      <c r="B19" s="236" t="inlineStr">
        <is>
          <t>Marginal Corporate Tax Rate</t>
        </is>
      </c>
      <c r="C19" s="263">
        <f>VLOOKUP(C10, E6:H12, 4, FALSE())</f>
        <v/>
      </c>
    </row>
    <row r="20">
      <c r="B20" s="236" t="inlineStr">
        <is>
          <t>Effective Dynamic Tax Rate</t>
        </is>
      </c>
      <c r="C20" s="263">
        <f>MEDIAN(MAX(0.15, MIN(0.35, INDEX('Data Sheet'!$B29:$K29, C26)/MAX(1, INDEX('Data Sheet'!$B28:$K28, C26)))), C19)</f>
        <v/>
      </c>
    </row>
    <row r="21">
      <c r="B21" s="236" t="inlineStr">
        <is>
          <t>Terminal Growth Rate (g)</t>
        </is>
      </c>
      <c r="C21" s="263" t="n">
        <v>0.04</v>
      </c>
    </row>
    <row r="22">
      <c r="B22" s="236" t="inlineStr">
        <is>
          <t>Reinvestment Rate Ceiling</t>
        </is>
      </c>
      <c r="C22" s="263" t="n">
        <v>0.85</v>
      </c>
    </row>
    <row r="23">
      <c r="B23" s="236" t="inlineStr">
        <is>
          <t>Investments Fair-Value Haircut</t>
        </is>
      </c>
      <c r="C23" s="263" t="n">
        <v>0.1</v>
      </c>
    </row>
    <row r="24">
      <c r="B24" s="236" t="inlineStr">
        <is>
          <t>Minority Interest Method</t>
        </is>
      </c>
      <c r="C24" s="256" t="inlineStr">
        <is>
          <t>Book Value</t>
        </is>
      </c>
    </row>
    <row r="25">
      <c r="B25" s="247" t="inlineStr">
        <is>
          <t>3. DYNAMIC STATEMENT PERIOD SELECTOR</t>
        </is>
      </c>
      <c r="C25" s="248" t="n"/>
    </row>
    <row r="26">
      <c r="B26" s="236" t="inlineStr">
        <is>
          <t>Latest Historical Period Column Index</t>
        </is>
      </c>
      <c r="C26" s="264">
        <f>MATCH(MAX('Data Sheet'!$B56:$K56), 'Data Sheet'!$B56:$K56, 0)</f>
        <v/>
      </c>
    </row>
    <row r="27">
      <c r="B27" s="236" t="inlineStr">
        <is>
          <t>Latest Statement Header Date</t>
        </is>
      </c>
      <c r="C27" s="265">
        <f>INDEX('Data Sheet'!$B56:$K56, C26)</f>
        <v/>
      </c>
    </row>
    <row r="28">
      <c r="B28" s="236" t="inlineStr">
        <is>
          <t>Latest Stock Price (Data Sheet)</t>
        </is>
      </c>
      <c r="C28" s="266">
        <f>'Data Sheet'!B8</f>
        <v/>
      </c>
    </row>
    <row r="29">
      <c r="B29" s="236" t="inlineStr">
        <is>
          <t>Default Credit Spread over Rf (used when debt is negligible)</t>
        </is>
      </c>
      <c r="C29" s="263" t="n">
        <v>0.015</v>
      </c>
    </row>
    <row r="30">
      <c r="B30" s="236" t="inlineStr">
        <is>
          <t>Max Credit Spread Cap (calc outside Rf..Rf+cap is rejected)</t>
        </is>
      </c>
      <c r="C30" s="263" t="n">
        <v>0.05</v>
      </c>
    </row>
    <row r="32">
      <c r="B32" s="247" t="inlineStr">
        <is>
          <t>4. OPTIONAL ALTERNATE 10-YEAR DCF (parallel view - base DCF unchanged)</t>
        </is>
      </c>
      <c r="C32" s="248" t="n"/>
    </row>
    <row r="33">
      <c r="B33" s="236" t="inlineStr">
        <is>
          <t>Year-1 EBIT Growth Override (blank = use model)</t>
        </is>
      </c>
      <c r="C33" s="279" t="n"/>
    </row>
    <row r="34">
      <c r="B34" s="236" t="inlineStr">
        <is>
          <t>Exit EV/EBIT Multiple (x)</t>
        </is>
      </c>
      <c r="C34" s="262" t="n">
        <v>18</v>
      </c>
    </row>
    <row r="35">
      <c r="B35" s="236" t="inlineStr">
        <is>
          <t>Terminal Method (Gordon Growth / Exit Multiple)</t>
        </is>
      </c>
      <c r="C35" s="256" t="inlineStr">
        <is>
          <t>Gordon Growth</t>
        </is>
      </c>
    </row>
    <row r="36">
      <c r="B36" s="236" t="inlineStr">
        <is>
          <t>Incremental ROIC Override (blank = model ROIC)</t>
        </is>
      </c>
      <c r="C36" s="27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4" customWidth="1" style="176" min="1" max="1"/>
    <col width="38" customWidth="1" style="176" min="2" max="2"/>
    <col width="48" customWidth="1" style="176" min="3" max="3"/>
    <col width="22" customWidth="1" style="176" min="4" max="4"/>
    <col width="16" customWidth="1" style="176" min="5" max="5"/>
    <col width="16" customWidth="1" style="176" min="6" max="6"/>
  </cols>
  <sheetData>
    <row r="2">
      <c r="B2" s="245" t="inlineStr">
        <is>
          <t>MODEL AUDIT &amp; INTEGRITY CHECK PANEL</t>
        </is>
      </c>
    </row>
    <row r="3">
      <c r="B3" s="234" t="inlineStr">
        <is>
          <t>OVERALL MODEL STATUS:</t>
        </is>
      </c>
      <c r="C3" s="267">
        <f>IF(AND(F6="PASS", F7="PASS", F8="PASS", F9="PASS", F10="PASS", F11="PASS", F12="PASS", F13="PASS", F14="PASS", F15="PASS"), "MODEL STATUS: OK", "MODEL STATUS: CHECK REQUIRED")</f>
        <v/>
      </c>
    </row>
    <row r="5">
      <c r="B5" s="268" t="inlineStr">
        <is>
          <t>CHECK ITEM</t>
        </is>
      </c>
      <c r="C5" s="268" t="inlineStr">
        <is>
          <t>VALIDATION LOGIC &amp; FORMULA</t>
        </is>
      </c>
      <c r="D5" s="249" t="inlineStr">
        <is>
          <t>CURRENT VALUE / VARIANCE</t>
        </is>
      </c>
      <c r="E5" s="249" t="inlineStr">
        <is>
          <t>THRESHOLD</t>
        </is>
      </c>
      <c r="F5" s="249" t="inlineStr">
        <is>
          <t>STATUS</t>
        </is>
      </c>
    </row>
    <row r="6">
      <c r="B6" s="269" t="inlineStr">
        <is>
          <t>1. Balance Sheet Identity</t>
        </is>
      </c>
      <c r="C6" s="251" t="inlineStr">
        <is>
          <t>Total liabilities side ties to its components and to total assets</t>
        </is>
      </c>
      <c r="D6" s="270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71" t="inlineStr">
        <is>
          <t>&lt; ₹ 5.0 Cr</t>
        </is>
      </c>
      <c r="F6" s="272">
        <f>IF(D6&lt;5, "PASS", "CHECK")</f>
        <v/>
      </c>
    </row>
    <row r="7">
      <c r="B7" s="269" t="inlineStr">
        <is>
          <t>2. PBT Mathematical Tie</t>
        </is>
      </c>
      <c r="C7" s="251" t="inlineStr">
        <is>
          <t>Sales less all expenses plus other income less depreciation and interest ties to PBT</t>
        </is>
      </c>
      <c r="D7" s="273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71" t="inlineStr">
        <is>
          <t>&lt; 1.5%</t>
        </is>
      </c>
      <c r="F7" s="272">
        <f>IF(D7&lt;0.015, "PASS", "CHECK")</f>
        <v/>
      </c>
    </row>
    <row r="8">
      <c r="B8" s="269" t="inlineStr">
        <is>
          <t>3. Debt Schedule Concordance</t>
        </is>
      </c>
      <c r="C8" s="251" t="inlineStr">
        <is>
          <t>Data Sheet Borrowings ties to the independently pasted Raw FS borrowings (latest year)</t>
        </is>
      </c>
      <c r="D8" s="270">
        <f>ABS(INDEX('Data Sheet'!$B59:$K59,Control!$C$26)-LOOKUP(2,1/ISNUMBER('Raw FS'!$C7:$N7),'Raw FS'!$C7:$N7))</f>
        <v/>
      </c>
      <c r="E8" s="271" t="inlineStr">
        <is>
          <t>&lt; ₹ 5.0 Cr</t>
        </is>
      </c>
      <c r="F8" s="272">
        <f>IF(D8&lt;5, "PASS", "CHECK")</f>
        <v/>
      </c>
    </row>
    <row r="9">
      <c r="B9" s="269" t="inlineStr">
        <is>
          <t>4. P&amp;L Expenses Agreement</t>
        </is>
      </c>
      <c r="C9" s="251" t="inlineStr">
        <is>
          <t>Data Sheet total expenses (rows 18-24) tie to Raw FS total expenses</t>
        </is>
      </c>
      <c r="D9" s="270">
        <f>ABS(SUM(INDEX('Data Sheet'!$B$18:$K$24,0,Control!$C$26))-'Raw FS'!AD5)</f>
        <v/>
      </c>
      <c r="E9" s="271" t="inlineStr">
        <is>
          <t>&lt; ₹ 10.0 Cr</t>
        </is>
      </c>
      <c r="F9" s="272">
        <f>IF(D9&lt;10, "PASS", "CHECK")</f>
        <v/>
      </c>
    </row>
    <row r="10">
      <c r="B10" s="269" t="inlineStr">
        <is>
          <t>5. Formula Error Counter</t>
        </is>
      </c>
      <c r="C10" s="251" t="inlineStr">
        <is>
          <t>Zero formula errors on Summary, DCF, WACC, Intrinsic Valuation, Comps and Beta tabs</t>
        </is>
      </c>
      <c r="D10" s="270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71" t="inlineStr">
        <is>
          <t>0 Errors</t>
        </is>
      </c>
      <c r="F10" s="272">
        <f>IF(D10=0, "PASS", "CHECK")</f>
        <v/>
      </c>
    </row>
    <row r="11">
      <c r="B11" s="269" t="inlineStr">
        <is>
          <t>6. Terminal Value EV Share</t>
        </is>
      </c>
      <c r="C11" s="251" t="inlineStr">
        <is>
          <t>Terminal Value percentage of Enterprise Value is sustainable</t>
        </is>
      </c>
      <c r="D11" s="273">
        <f>DCF!D34 / MAX(1, DCF!D35)</f>
        <v/>
      </c>
      <c r="E11" s="271" t="inlineStr">
        <is>
          <t>&lt; 75.0%</t>
        </is>
      </c>
      <c r="F11" s="272">
        <f>IF(D11&lt;0.75, "PASS", "CHECK")</f>
        <v/>
      </c>
    </row>
    <row r="12">
      <c r="B12" s="269" t="inlineStr">
        <is>
          <t>7. Growth vs WACC Boundary</t>
        </is>
      </c>
      <c r="C12" s="251" t="inlineStr">
        <is>
          <t>Terminal growth rate is less than WACC and within Risk-Free rate</t>
        </is>
      </c>
      <c r="D12" s="273">
        <f>DCF!D20 - DCF!D19</f>
        <v/>
      </c>
      <c r="E12" s="271" t="inlineStr">
        <is>
          <t>&gt; 0.5%</t>
        </is>
      </c>
      <c r="F12" s="272">
        <f>IF(AND(D12&gt;0.005, DCF!D19&lt;=Control!$C$17), "PASS", "CHECK")</f>
        <v/>
      </c>
    </row>
    <row r="13">
      <c r="B13" s="269" t="inlineStr">
        <is>
          <t>8. Trading Price Freshness</t>
        </is>
      </c>
      <c r="C13" s="251" t="inlineStr">
        <is>
          <t>Market trading price quote is within acceptable institutional window</t>
        </is>
      </c>
      <c r="D13" s="270">
        <f>TODAY()-SUMPRODUCT(MAX(IFERROR(DATEVALUE('Raw Data'!G6:G252),IF(ISNUMBER('Raw Data'!G6:G252),'Raw Data'!G6:G252,0))))</f>
        <v/>
      </c>
      <c r="E13" s="271" t="inlineStr">
        <is>
          <t>&lt;= 45 Days</t>
        </is>
      </c>
      <c r="F13" s="272">
        <f>IF(D13&lt;=45, "PASS", "CHECK")</f>
        <v/>
      </c>
    </row>
    <row r="14">
      <c r="B14" s="269" t="inlineStr">
        <is>
          <t>9. Peer Group Sample Size</t>
        </is>
      </c>
      <c r="C14" s="251" t="inlineStr">
        <is>
          <t>Comparable peer valuation set contains minimum robust observations</t>
        </is>
      </c>
      <c r="D14" s="270">
        <f>COUNTA(Comp_Valuation!C12:C26)</f>
        <v/>
      </c>
      <c r="E14" s="271" t="inlineStr">
        <is>
          <t>&gt;= 4 Peers</t>
        </is>
      </c>
      <c r="F14" s="272">
        <f>IF(D14&gt;=4, "PASS", "CHECK")</f>
        <v/>
      </c>
    </row>
    <row r="15">
      <c r="B15" s="269" t="inlineStr">
        <is>
          <t>10. DCF Bridge Mathematical Tie</t>
        </is>
      </c>
      <c r="C15" s="251" t="inlineStr">
        <is>
          <t>Equity Value equals EV + Cash + Investments - Debt - Minority Interest</t>
        </is>
      </c>
      <c r="D15" s="270">
        <f>ABS(DCF!D40 - (DCF!D35 + DCF!D37 - DCF!D38 - DCF!D39))</f>
        <v/>
      </c>
      <c r="E15" s="271" t="inlineStr">
        <is>
          <t>&lt; ₹ 0.01</t>
        </is>
      </c>
      <c r="F15" s="272">
        <f>IF(D15&lt;0.01, "PASS", "CHECK")</f>
        <v/>
      </c>
    </row>
    <row r="17">
      <c r="B17" s="247" t="inlineStr">
        <is>
          <t>ADVISORY CHECKS (informational - NOT included in overall status)</t>
        </is>
      </c>
      <c r="C17" s="248" t="n"/>
      <c r="D17" s="248" t="n"/>
      <c r="E17" s="248" t="n"/>
      <c r="F17" s="248" t="n"/>
    </row>
    <row r="18">
      <c r="B18" s="269" t="inlineStr">
        <is>
          <t>A1. DCF vs Market Divergence</t>
        </is>
      </c>
      <c r="C18" s="251" t="inlineStr">
        <is>
          <t>Absolute gap between DCF value per share and market price</t>
        </is>
      </c>
      <c r="D18" s="273">
        <f>ABS(DCF!D46)</f>
        <v/>
      </c>
      <c r="E18" s="271" t="inlineStr">
        <is>
          <t>&lt; 50%</t>
        </is>
      </c>
      <c r="F18" s="272">
        <f>IF(D18&lt;0.5,"PASS","REVIEW")</f>
        <v/>
      </c>
    </row>
    <row r="19">
      <c r="B19" s="269" t="inlineStr">
        <is>
          <t>A2. WACC Sanity Range</t>
        </is>
      </c>
      <c r="C19" s="251" t="inlineStr">
        <is>
          <t>WACC sits inside a plausible band for the target market</t>
        </is>
      </c>
      <c r="D19" s="273">
        <f>DCF!D20</f>
        <v/>
      </c>
      <c r="E19" s="271" t="inlineStr">
        <is>
          <t>8% - 16%</t>
        </is>
      </c>
      <c r="F19" s="272">
        <f>IF(AND(D19&gt;=0.08,D19&lt;=0.16),"PASS","REVIEW")</f>
        <v/>
      </c>
    </row>
    <row r="20">
      <c r="B20" s="269" t="inlineStr">
        <is>
          <t>A3. Market Cap Tie</t>
        </is>
      </c>
      <c r="C20" s="251" t="inlineStr">
        <is>
          <t>Market cap used in WACC weights ties to Price x Shares on Data Sheet</t>
        </is>
      </c>
      <c r="D20" s="273">
        <f>ABS(WACC!C35/'Data Sheet'!B9-1)</f>
        <v/>
      </c>
      <c r="E20" s="271" t="inlineStr">
        <is>
          <t>&lt; 2%</t>
        </is>
      </c>
      <c r="F20" s="272">
        <f>IF(D20&lt;0.02,"PASS","REVIEW")</f>
        <v/>
      </c>
    </row>
    <row r="21">
      <c r="B21" s="269" t="inlineStr">
        <is>
          <t>A4. Reinvestment History Spike</t>
        </is>
      </c>
      <c r="C21" s="251" t="inlineStr">
        <is>
          <t>Largest historical reinvestment rate (blank-year / acquisition spikes distort median)</t>
        </is>
      </c>
      <c r="D21" s="273">
        <f>MAX('Intrinsic Valuation'!I52:L52)</f>
        <v/>
      </c>
      <c r="E21" s="271" t="inlineStr">
        <is>
          <t>&lt;= 100%</t>
        </is>
      </c>
      <c r="F21" s="272">
        <f>IF(D21&lt;=1,"PASS","REVIEW")</f>
        <v/>
      </c>
    </row>
    <row r="22">
      <c r="B22" s="269" t="inlineStr">
        <is>
          <t>A5. DCF Applicability</t>
        </is>
      </c>
      <c r="C22" s="251" t="inlineStr">
        <is>
          <t>DCF value is positive and the FCFF framework suits the company (not negative-EBIT / financial)</t>
        </is>
      </c>
      <c r="D22" s="281">
        <f>IF(OR(NOT(ISNUMBER(DCF!D43)),DCF!D43&lt;=0,LEFT(DCF!B2,6)="NOTICE",LEFT(DCF!B2,9)="FINANCIAL"),1,0)</f>
        <v/>
      </c>
      <c r="E22" s="271" t="inlineStr">
        <is>
          <t>0 = applicable</t>
        </is>
      </c>
      <c r="F22" s="272">
        <f>IF(D22=0,"PASS","REVIEW")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NESTLE INDIA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1319</v>
      </c>
    </row>
    <row r="9">
      <c r="A9" s="193" t="inlineStr">
        <is>
          <t>Market Capitalization</t>
        </is>
      </c>
      <c r="B9" t="n">
        <v>254567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43100</v>
      </c>
      <c r="C16" s="16" t="n">
        <v>43465</v>
      </c>
      <c r="D16" s="16" t="n">
        <v>43830</v>
      </c>
      <c r="E16" s="16" t="n">
        <v>44196</v>
      </c>
      <c r="F16" s="16" t="n">
        <v>44561</v>
      </c>
      <c r="G16" s="16" t="n">
        <v>44926</v>
      </c>
      <c r="H16" s="16" t="n">
        <v>45291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10010</v>
      </c>
      <c r="C17" t="n">
        <v>11292</v>
      </c>
      <c r="D17" t="n">
        <v>12369</v>
      </c>
      <c r="E17" t="n">
        <v>13350</v>
      </c>
      <c r="F17" t="n">
        <v>14741</v>
      </c>
      <c r="G17" t="n">
        <v>16897</v>
      </c>
      <c r="H17" t="n">
        <v>19126</v>
      </c>
      <c r="I17" t="n">
        <v>24394</v>
      </c>
      <c r="J17" t="n">
        <v>20202</v>
      </c>
      <c r="K17" t="n">
        <v>23155</v>
      </c>
    </row>
    <row r="18" customFormat="1" s="188">
      <c r="A18" s="193" t="inlineStr">
        <is>
          <t>Raw Material Cost</t>
        </is>
      </c>
      <c r="B18" t="n">
        <v>3697</v>
      </c>
      <c r="C18" t="n">
        <v>3829</v>
      </c>
      <c r="D18" t="n">
        <v>4521</v>
      </c>
      <c r="E18" t="n">
        <v>4902</v>
      </c>
      <c r="F18" t="n">
        <v>5301</v>
      </c>
      <c r="G18" t="n">
        <v>6660</v>
      </c>
      <c r="H18" t="n">
        <v>8473</v>
      </c>
      <c r="I18" t="n">
        <v>9201</v>
      </c>
      <c r="J18" t="n">
        <v>7647</v>
      </c>
      <c r="K18" t="n">
        <v>9114</v>
      </c>
    </row>
    <row r="19" customFormat="1" s="188">
      <c r="A19" s="193" t="inlineStr">
        <is>
          <t>Change in Inventory</t>
        </is>
      </c>
      <c r="B19" t="n">
        <v>80</v>
      </c>
      <c r="C19" t="n">
        <v>6</v>
      </c>
      <c r="D19" t="n">
        <v>144</v>
      </c>
      <c r="E19" t="n">
        <v>69</v>
      </c>
      <c r="F19" t="n">
        <v>68</v>
      </c>
      <c r="G19" t="n">
        <v>250</v>
      </c>
      <c r="H19" t="n">
        <v>40</v>
      </c>
      <c r="I19" t="n">
        <v>46</v>
      </c>
      <c r="J19" t="n">
        <v>140</v>
      </c>
      <c r="K19" t="n">
        <v>168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261.02</v>
      </c>
      <c r="J20" t="n">
        <v>211.72</v>
      </c>
      <c r="K20" t="n">
        <v>240.35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2349.14</v>
      </c>
      <c r="J21" t="n">
        <v>1905.45</v>
      </c>
      <c r="K21" t="n">
        <v>2163.14</v>
      </c>
    </row>
    <row r="22" customFormat="1" s="188">
      <c r="A22" s="193" t="inlineStr">
        <is>
          <t>Employee Cost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1849.48</v>
      </c>
      <c r="I22" t="n">
        <v>2336.95</v>
      </c>
      <c r="J22" t="n">
        <v>2024.24</v>
      </c>
      <c r="K22" t="n">
        <v>2197.41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3499.29</v>
      </c>
      <c r="I23" t="n">
        <v>3559.57</v>
      </c>
      <c r="J23" t="n">
        <v>3046.46</v>
      </c>
      <c r="K23" t="n">
        <v>3476.95</v>
      </c>
    </row>
    <row r="24" customFormat="1" s="188">
      <c r="A24" s="193" t="inlineStr">
        <is>
          <t>Other Expenses</t>
        </is>
      </c>
      <c r="B24" t="n">
        <v>4136</v>
      </c>
      <c r="C24" t="n">
        <v>4840</v>
      </c>
      <c r="D24" t="n">
        <v>4778</v>
      </c>
      <c r="E24" t="n">
        <v>5178</v>
      </c>
      <c r="F24" t="n">
        <v>5809</v>
      </c>
      <c r="G24" t="n">
        <v>6281</v>
      </c>
      <c r="H24" t="n">
        <v>793.23</v>
      </c>
      <c r="I24" t="n">
        <v>797.3200000000001</v>
      </c>
      <c r="J24" t="n">
        <v>479.13</v>
      </c>
      <c r="K24" t="n">
        <v>533.15</v>
      </c>
    </row>
    <row r="25" customFormat="1" s="188">
      <c r="A25" s="188" t="inlineStr">
        <is>
          <t>Other Income</t>
        </is>
      </c>
      <c r="B25" t="n">
        <v>177</v>
      </c>
      <c r="C25" t="n">
        <v>259</v>
      </c>
      <c r="D25" t="n">
        <v>247</v>
      </c>
      <c r="E25" t="n">
        <v>146</v>
      </c>
      <c r="F25" t="n">
        <v>-112</v>
      </c>
      <c r="G25" t="n">
        <v>107</v>
      </c>
      <c r="H25" t="n">
        <v>116</v>
      </c>
      <c r="I25" t="n">
        <v>159</v>
      </c>
      <c r="J25" t="n">
        <v>245</v>
      </c>
      <c r="K25" t="n">
        <v>160</v>
      </c>
    </row>
    <row r="26" customFormat="1" s="188">
      <c r="A26" s="188" t="inlineStr">
        <is>
          <t>Depreciation</t>
        </is>
      </c>
      <c r="B26" t="n">
        <v>342</v>
      </c>
      <c r="C26" t="n">
        <v>336</v>
      </c>
      <c r="D26" t="n">
        <v>370</v>
      </c>
      <c r="E26" t="n">
        <v>370</v>
      </c>
      <c r="F26" t="n">
        <v>391</v>
      </c>
      <c r="G26" t="n">
        <v>403</v>
      </c>
      <c r="H26" t="n">
        <v>429</v>
      </c>
      <c r="I26" t="n">
        <v>568</v>
      </c>
      <c r="J26" t="n">
        <v>540</v>
      </c>
      <c r="K26" t="n">
        <v>699</v>
      </c>
    </row>
    <row r="27" customFormat="1" s="188">
      <c r="A27" s="188" t="inlineStr">
        <is>
          <t>Interest</t>
        </is>
      </c>
      <c r="B27" t="n">
        <v>92</v>
      </c>
      <c r="C27" t="n">
        <v>112</v>
      </c>
      <c r="D27" t="n">
        <v>129</v>
      </c>
      <c r="E27" t="n">
        <v>164</v>
      </c>
      <c r="F27" t="n">
        <v>202</v>
      </c>
      <c r="G27" t="n">
        <v>155</v>
      </c>
      <c r="H27" t="n">
        <v>119</v>
      </c>
      <c r="I27" t="n">
        <v>145</v>
      </c>
      <c r="J27" t="n">
        <v>136</v>
      </c>
      <c r="K27" t="n">
        <v>158</v>
      </c>
    </row>
    <row r="28" customFormat="1" s="188">
      <c r="A28" s="188" t="inlineStr">
        <is>
          <t>Profit before tax</t>
        </is>
      </c>
      <c r="B28" t="n">
        <v>1839</v>
      </c>
      <c r="C28" t="n">
        <v>2429</v>
      </c>
      <c r="D28" t="n">
        <v>2673</v>
      </c>
      <c r="E28" t="n">
        <v>2813</v>
      </c>
      <c r="F28" t="n">
        <v>2857</v>
      </c>
      <c r="G28" t="n">
        <v>3256</v>
      </c>
      <c r="H28" t="n">
        <v>4038</v>
      </c>
      <c r="I28" t="n">
        <v>5289</v>
      </c>
      <c r="J28" t="n">
        <v>4316</v>
      </c>
      <c r="K28" t="n">
        <v>4564</v>
      </c>
    </row>
    <row r="29" customFormat="1" s="188">
      <c r="A29" s="188" t="inlineStr">
        <is>
          <t>Tax</t>
        </is>
      </c>
      <c r="B29" t="n">
        <v>614</v>
      </c>
      <c r="C29" t="n">
        <v>822</v>
      </c>
      <c r="D29" t="n">
        <v>705</v>
      </c>
      <c r="E29" t="n">
        <v>731</v>
      </c>
      <c r="F29" t="n">
        <v>739</v>
      </c>
      <c r="G29" t="n">
        <v>865</v>
      </c>
      <c r="H29" t="n">
        <v>1039</v>
      </c>
      <c r="I29" t="n">
        <v>1356</v>
      </c>
      <c r="J29" t="n">
        <v>1108</v>
      </c>
      <c r="K29" t="n">
        <v>1065</v>
      </c>
    </row>
    <row r="30" customFormat="1" s="188">
      <c r="A30" s="188" t="inlineStr">
        <is>
          <t>Net profit</t>
        </is>
      </c>
      <c r="B30" t="n">
        <v>1225</v>
      </c>
      <c r="C30" t="n">
        <v>1607</v>
      </c>
      <c r="D30" t="n">
        <v>1968</v>
      </c>
      <c r="E30" t="n">
        <v>2082</v>
      </c>
      <c r="F30" t="n">
        <v>2118</v>
      </c>
      <c r="G30" t="n">
        <v>2391</v>
      </c>
      <c r="H30" t="n">
        <v>2999</v>
      </c>
      <c r="I30" t="n">
        <v>3933</v>
      </c>
      <c r="J30" t="n">
        <v>3208</v>
      </c>
      <c r="K30" t="n">
        <v>3499</v>
      </c>
    </row>
    <row r="31" customFormat="1" s="188">
      <c r="A31" s="188" t="inlineStr">
        <is>
          <t>Dividend Amount</t>
        </is>
      </c>
      <c r="B31" t="n">
        <v>833</v>
      </c>
      <c r="C31" t="n">
        <v>1108.83</v>
      </c>
      <c r="D31" t="n">
        <v>3306.24</v>
      </c>
      <c r="E31" t="n">
        <v>1936.26</v>
      </c>
      <c r="F31" t="n">
        <v>1927.38</v>
      </c>
      <c r="G31" t="n">
        <v>2127.99</v>
      </c>
      <c r="H31" t="n">
        <v>1679.44</v>
      </c>
      <c r="I31" t="n">
        <v>3107.07</v>
      </c>
      <c r="J31" t="n">
        <v>2598.48</v>
      </c>
      <c r="K31" t="n">
        <v>2309.34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5268</v>
      </c>
      <c r="C42" t="n">
        <v>4814</v>
      </c>
      <c r="D42" t="n">
        <v>5104</v>
      </c>
      <c r="E42" t="n">
        <v>4780</v>
      </c>
      <c r="F42" t="n">
        <v>5504</v>
      </c>
      <c r="G42" t="n">
        <v>5096</v>
      </c>
      <c r="H42" t="n">
        <v>5644</v>
      </c>
      <c r="I42" t="n">
        <v>5667</v>
      </c>
      <c r="J42" t="n">
        <v>6748</v>
      </c>
      <c r="K42" t="n">
        <v>6378</v>
      </c>
    </row>
    <row r="43" customFormat="1" s="188">
      <c r="A43" s="188" t="inlineStr">
        <is>
          <t>Expenses</t>
        </is>
      </c>
      <c r="B43" t="n">
        <v>3918</v>
      </c>
      <c r="C43" t="n">
        <v>3700</v>
      </c>
      <c r="D43" t="n">
        <v>3940</v>
      </c>
      <c r="E43" t="n">
        <v>3685</v>
      </c>
      <c r="F43" t="n">
        <v>4128</v>
      </c>
      <c r="G43" t="n">
        <v>4009</v>
      </c>
      <c r="H43" t="n">
        <v>4417</v>
      </c>
      <c r="I43" t="n">
        <v>4486</v>
      </c>
      <c r="J43" t="n">
        <v>4979</v>
      </c>
      <c r="K43" t="n">
        <v>4856</v>
      </c>
    </row>
    <row r="44" customFormat="1" s="188">
      <c r="A44" s="188" t="inlineStr">
        <is>
          <t>Other Income</t>
        </is>
      </c>
      <c r="B44" t="n">
        <v>37</v>
      </c>
      <c r="C44" t="n">
        <v>39</v>
      </c>
      <c r="D44" t="n">
        <v>190</v>
      </c>
      <c r="E44" t="n">
        <v>4</v>
      </c>
      <c r="F44" t="n">
        <v>9</v>
      </c>
      <c r="G44" t="n">
        <v>4</v>
      </c>
      <c r="H44" t="n">
        <v>2</v>
      </c>
      <c r="I44" t="n">
        <v>170</v>
      </c>
      <c r="J44" t="n">
        <v>-18</v>
      </c>
      <c r="K44" t="n">
        <v>16</v>
      </c>
    </row>
    <row r="45" customFormat="1" s="188">
      <c r="A45" s="188" t="inlineStr">
        <is>
          <t>Depreciation</t>
        </is>
      </c>
      <c r="B45" t="n">
        <v>110</v>
      </c>
      <c r="C45" t="n">
        <v>113</v>
      </c>
      <c r="D45" t="n">
        <v>122</v>
      </c>
      <c r="E45" t="n">
        <v>150</v>
      </c>
      <c r="F45" t="n">
        <v>155</v>
      </c>
      <c r="G45" t="n">
        <v>157</v>
      </c>
      <c r="H45" t="n">
        <v>163</v>
      </c>
      <c r="I45" t="n">
        <v>174</v>
      </c>
      <c r="J45" t="n">
        <v>205</v>
      </c>
      <c r="K45" t="n">
        <v>188</v>
      </c>
    </row>
    <row r="46" customFormat="1" s="188">
      <c r="A46" s="188" t="inlineStr">
        <is>
          <t>Interest</t>
        </is>
      </c>
      <c r="B46" t="n">
        <v>26</v>
      </c>
      <c r="C46" t="n">
        <v>32</v>
      </c>
      <c r="D46" t="n">
        <v>32</v>
      </c>
      <c r="E46" t="n">
        <v>35</v>
      </c>
      <c r="F46" t="n">
        <v>38</v>
      </c>
      <c r="G46" t="n">
        <v>47</v>
      </c>
      <c r="H46" t="n">
        <v>46</v>
      </c>
      <c r="I46" t="n">
        <v>28</v>
      </c>
      <c r="J46" t="n">
        <v>37</v>
      </c>
      <c r="K46" t="n">
        <v>42</v>
      </c>
    </row>
    <row r="47" customFormat="1" s="188">
      <c r="A47" s="188" t="inlineStr">
        <is>
          <t>Profit before tax</t>
        </is>
      </c>
      <c r="B47" t="n">
        <v>1251</v>
      </c>
      <c r="C47" t="n">
        <v>1009</v>
      </c>
      <c r="D47" t="n">
        <v>1200</v>
      </c>
      <c r="E47" t="n">
        <v>914</v>
      </c>
      <c r="F47" t="n">
        <v>1192</v>
      </c>
      <c r="G47" t="n">
        <v>888</v>
      </c>
      <c r="H47" t="n">
        <v>1018</v>
      </c>
      <c r="I47" t="n">
        <v>1148</v>
      </c>
      <c r="J47" t="n">
        <v>1509</v>
      </c>
      <c r="K47" t="n">
        <v>1308</v>
      </c>
    </row>
    <row r="48" customFormat="1" s="188">
      <c r="A48" s="188" t="inlineStr">
        <is>
          <t>Tax</t>
        </is>
      </c>
      <c r="B48" t="n">
        <v>317</v>
      </c>
      <c r="C48" t="n">
        <v>262</v>
      </c>
      <c r="D48" t="n">
        <v>301</v>
      </c>
      <c r="E48" t="n">
        <v>226</v>
      </c>
      <c r="F48" t="n">
        <v>319</v>
      </c>
      <c r="G48" t="n">
        <v>241</v>
      </c>
      <c r="H48" t="n">
        <v>275</v>
      </c>
      <c r="I48" t="n">
        <v>150</v>
      </c>
      <c r="J48" t="n">
        <v>398</v>
      </c>
      <c r="K48" t="n">
        <v>349</v>
      </c>
    </row>
    <row r="49" customFormat="1" s="188">
      <c r="A49" s="188" t="inlineStr">
        <is>
          <t>Net profit</t>
        </is>
      </c>
      <c r="B49" t="n">
        <v>934</v>
      </c>
      <c r="C49" t="n">
        <v>747</v>
      </c>
      <c r="D49" t="n">
        <v>899</v>
      </c>
      <c r="E49" t="n">
        <v>688</v>
      </c>
      <c r="F49" t="n">
        <v>873</v>
      </c>
      <c r="G49" t="n">
        <v>647</v>
      </c>
      <c r="H49" t="n">
        <v>743</v>
      </c>
      <c r="I49" t="n">
        <v>998</v>
      </c>
      <c r="J49" t="n">
        <v>1111</v>
      </c>
      <c r="K49" t="n">
        <v>959</v>
      </c>
    </row>
    <row r="50">
      <c r="A50" s="188" t="inlineStr">
        <is>
          <t>Operating Profit</t>
        </is>
      </c>
      <c r="B50" t="n">
        <v>1350</v>
      </c>
      <c r="C50" t="n">
        <v>1114</v>
      </c>
      <c r="D50" t="n">
        <v>1164</v>
      </c>
      <c r="E50" t="n">
        <v>1095</v>
      </c>
      <c r="F50" t="n">
        <v>1376</v>
      </c>
      <c r="G50" t="n">
        <v>1087</v>
      </c>
      <c r="H50" t="n">
        <v>1227</v>
      </c>
      <c r="I50" t="n">
        <v>1181</v>
      </c>
      <c r="J50" t="n">
        <v>1768</v>
      </c>
      <c r="K50" t="n">
        <v>1522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43100</v>
      </c>
      <c r="C56" s="16" t="n">
        <v>43465</v>
      </c>
      <c r="D56" s="16" t="n">
        <v>43830</v>
      </c>
      <c r="E56" s="16" t="n">
        <v>44196</v>
      </c>
      <c r="F56" s="16" t="n">
        <v>44561</v>
      </c>
      <c r="G56" s="16" t="n">
        <v>44926</v>
      </c>
      <c r="H56" s="16" t="n">
        <v>45291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96</v>
      </c>
      <c r="C57" t="n">
        <v>96</v>
      </c>
      <c r="D57" t="n">
        <v>96</v>
      </c>
      <c r="E57" t="n">
        <v>96</v>
      </c>
      <c r="F57" t="n">
        <v>96</v>
      </c>
      <c r="G57" t="n">
        <v>96</v>
      </c>
      <c r="H57" t="n">
        <v>96</v>
      </c>
      <c r="I57" t="n">
        <v>96</v>
      </c>
      <c r="J57" t="n">
        <v>96</v>
      </c>
      <c r="K57" t="n">
        <v>193</v>
      </c>
    </row>
    <row r="58">
      <c r="A58" s="188" t="inlineStr">
        <is>
          <t>Reserves</t>
        </is>
      </c>
      <c r="B58" t="n">
        <v>3324</v>
      </c>
      <c r="C58" t="n">
        <v>3577</v>
      </c>
      <c r="D58" t="n">
        <v>1822</v>
      </c>
      <c r="E58" t="n">
        <v>1923</v>
      </c>
      <c r="F58" t="n">
        <v>1850</v>
      </c>
      <c r="G58" t="n">
        <v>2363</v>
      </c>
      <c r="H58" t="n">
        <v>2363</v>
      </c>
      <c r="I58" t="n">
        <v>3244</v>
      </c>
      <c r="J58" t="n">
        <v>3914</v>
      </c>
      <c r="K58" t="n">
        <v>4964</v>
      </c>
    </row>
    <row r="59">
      <c r="A59" s="188" t="inlineStr">
        <is>
          <t>Borrowings</t>
        </is>
      </c>
      <c r="B59" t="n">
        <v>35</v>
      </c>
      <c r="C59" t="n">
        <v>35</v>
      </c>
      <c r="D59" t="n">
        <v>189</v>
      </c>
      <c r="E59" t="n">
        <v>147</v>
      </c>
      <c r="F59" t="n">
        <v>266</v>
      </c>
      <c r="G59" t="n">
        <v>271</v>
      </c>
      <c r="H59" t="n">
        <v>271</v>
      </c>
      <c r="I59" t="n">
        <v>345</v>
      </c>
      <c r="J59" t="n">
        <v>1167</v>
      </c>
      <c r="K59" t="n">
        <v>444</v>
      </c>
    </row>
    <row r="60">
      <c r="A60" s="188" t="inlineStr">
        <is>
          <t>Other Liabilities</t>
        </is>
      </c>
      <c r="B60" t="n">
        <v>3907</v>
      </c>
      <c r="C60" t="n">
        <v>4379</v>
      </c>
      <c r="D60" t="n">
        <v>5065</v>
      </c>
      <c r="E60" t="n">
        <v>5733</v>
      </c>
      <c r="F60" t="n">
        <v>6021</v>
      </c>
      <c r="G60" t="n">
        <v>6249</v>
      </c>
      <c r="H60" t="n">
        <v>6249</v>
      </c>
      <c r="I60" t="n">
        <v>6838</v>
      </c>
      <c r="J60" t="n">
        <v>7016</v>
      </c>
      <c r="K60" t="n">
        <v>7581</v>
      </c>
    </row>
    <row r="61" customFormat="1" s="187">
      <c r="A61" s="187" t="inlineStr">
        <is>
          <t>Total</t>
        </is>
      </c>
      <c r="B61" t="n">
        <v>7363</v>
      </c>
      <c r="C61" t="n">
        <v>8088</v>
      </c>
      <c r="D61" t="n">
        <v>7173</v>
      </c>
      <c r="E61" t="n">
        <v>7900</v>
      </c>
      <c r="F61" t="n">
        <v>8234</v>
      </c>
      <c r="G61" t="n">
        <v>8979</v>
      </c>
      <c r="H61" t="n">
        <v>8979</v>
      </c>
      <c r="I61" t="n">
        <v>10523</v>
      </c>
      <c r="J61" t="n">
        <v>12193</v>
      </c>
      <c r="K61" t="n">
        <v>13182</v>
      </c>
    </row>
    <row r="62">
      <c r="A62" s="188" t="inlineStr">
        <is>
          <t>Net Block</t>
        </is>
      </c>
      <c r="B62" t="n">
        <v>2616</v>
      </c>
      <c r="C62" t="n">
        <v>2401</v>
      </c>
      <c r="D62" t="n">
        <v>2341</v>
      </c>
      <c r="E62" t="n">
        <v>2179</v>
      </c>
      <c r="F62" t="n">
        <v>2995</v>
      </c>
      <c r="G62" t="n">
        <v>3044</v>
      </c>
      <c r="H62" t="n">
        <v>3044</v>
      </c>
      <c r="I62" t="n">
        <v>3460</v>
      </c>
      <c r="J62" t="n">
        <v>5474</v>
      </c>
      <c r="K62" t="n">
        <v>6290</v>
      </c>
    </row>
    <row r="63">
      <c r="A63" s="188" t="inlineStr">
        <is>
          <t>Capital Work in Progress</t>
        </is>
      </c>
      <c r="B63" t="n">
        <v>94</v>
      </c>
      <c r="C63" t="n">
        <v>105</v>
      </c>
      <c r="D63" t="n">
        <v>143</v>
      </c>
      <c r="E63" t="n">
        <v>639</v>
      </c>
      <c r="F63" t="n">
        <v>246</v>
      </c>
      <c r="G63" t="n">
        <v>358</v>
      </c>
      <c r="H63" t="n">
        <v>358</v>
      </c>
      <c r="I63" t="n">
        <v>1742</v>
      </c>
      <c r="J63" t="n">
        <v>1173</v>
      </c>
      <c r="K63" t="n">
        <v>507</v>
      </c>
    </row>
    <row r="64">
      <c r="A64" s="188" t="inlineStr">
        <is>
          <t>Investments</t>
        </is>
      </c>
      <c r="B64" t="n">
        <v>1979</v>
      </c>
      <c r="C64" t="n">
        <v>2658</v>
      </c>
      <c r="D64" t="n">
        <v>1751</v>
      </c>
      <c r="E64" t="n">
        <v>1464</v>
      </c>
      <c r="F64" t="n">
        <v>774</v>
      </c>
      <c r="G64" t="n">
        <v>778</v>
      </c>
      <c r="H64" t="n">
        <v>778</v>
      </c>
      <c r="I64" t="n">
        <v>464</v>
      </c>
      <c r="J64" t="n">
        <v>575</v>
      </c>
      <c r="K64" t="n">
        <v>531</v>
      </c>
    </row>
    <row r="65">
      <c r="A65" s="188" t="inlineStr">
        <is>
          <t>Other Assets</t>
        </is>
      </c>
      <c r="B65" t="n">
        <v>2673</v>
      </c>
      <c r="C65" t="n">
        <v>2924</v>
      </c>
      <c r="D65" t="n">
        <v>2937</v>
      </c>
      <c r="E65" t="n">
        <v>3618</v>
      </c>
      <c r="F65" t="n">
        <v>4219</v>
      </c>
      <c r="G65" t="n">
        <v>4799</v>
      </c>
      <c r="H65" t="n">
        <v>4799</v>
      </c>
      <c r="I65" t="n">
        <v>4857</v>
      </c>
      <c r="J65" t="n">
        <v>4972</v>
      </c>
      <c r="K65" t="n">
        <v>5854</v>
      </c>
    </row>
    <row r="66" customFormat="1" s="187">
      <c r="A66" s="187" t="inlineStr">
        <is>
          <t>Total</t>
        </is>
      </c>
      <c r="B66" t="n">
        <v>7363</v>
      </c>
      <c r="C66" t="n">
        <v>8088</v>
      </c>
      <c r="D66" t="n">
        <v>7173</v>
      </c>
      <c r="E66" t="n">
        <v>7900</v>
      </c>
      <c r="F66" t="n">
        <v>8234</v>
      </c>
      <c r="G66" t="n">
        <v>8979</v>
      </c>
      <c r="H66" t="n">
        <v>8979</v>
      </c>
      <c r="I66" t="n">
        <v>10523</v>
      </c>
      <c r="J66" t="n">
        <v>12193</v>
      </c>
      <c r="K66" t="n">
        <v>13182</v>
      </c>
    </row>
    <row r="67" customFormat="1" s="188">
      <c r="A67" s="188" t="inlineStr">
        <is>
          <t>Receivables</t>
        </is>
      </c>
      <c r="B67" t="n">
        <v>89</v>
      </c>
      <c r="C67" t="n">
        <v>125</v>
      </c>
      <c r="D67" t="n">
        <v>124</v>
      </c>
      <c r="E67" t="n">
        <v>165</v>
      </c>
      <c r="F67" t="n">
        <v>166</v>
      </c>
      <c r="G67" t="n">
        <v>192</v>
      </c>
      <c r="H67" t="n">
        <v>192</v>
      </c>
      <c r="I67" t="n">
        <v>300</v>
      </c>
      <c r="J67" t="n">
        <v>363</v>
      </c>
      <c r="K67" t="n">
        <v>329</v>
      </c>
    </row>
    <row r="68">
      <c r="A68" s="188" t="inlineStr">
        <is>
          <t>Inventory</t>
        </is>
      </c>
      <c r="B68" t="n">
        <v>902</v>
      </c>
      <c r="C68" t="n">
        <v>966</v>
      </c>
      <c r="D68" t="n">
        <v>1283</v>
      </c>
      <c r="E68" t="n">
        <v>1416</v>
      </c>
      <c r="F68" t="n">
        <v>1593</v>
      </c>
      <c r="G68" t="n">
        <v>1929</v>
      </c>
      <c r="H68" t="n">
        <v>1929</v>
      </c>
      <c r="I68" t="n">
        <v>2089</v>
      </c>
      <c r="J68" t="n">
        <v>2850</v>
      </c>
      <c r="K68" t="n">
        <v>2569</v>
      </c>
    </row>
    <row r="69">
      <c r="A69" s="193" t="inlineStr">
        <is>
          <t>Cash &amp; Bank</t>
        </is>
      </c>
      <c r="B69" t="n">
        <v>1457</v>
      </c>
      <c r="C69" t="n">
        <v>1610</v>
      </c>
      <c r="D69" t="n">
        <v>1308</v>
      </c>
      <c r="E69" t="n">
        <v>1770</v>
      </c>
      <c r="F69" t="n">
        <v>735</v>
      </c>
      <c r="G69" t="n">
        <v>946</v>
      </c>
      <c r="H69" t="n">
        <v>946</v>
      </c>
      <c r="I69" t="n">
        <v>779</v>
      </c>
      <c r="J69" t="n">
        <v>96</v>
      </c>
      <c r="K69" t="n">
        <v>2100</v>
      </c>
    </row>
    <row r="70">
      <c r="A70" s="193" t="inlineStr">
        <is>
          <t>No. of Equity Shares</t>
        </is>
      </c>
      <c r="B70" t="n">
        <v>960000000</v>
      </c>
      <c r="C70" t="n">
        <v>960000000</v>
      </c>
      <c r="D70" t="n">
        <v>960000000</v>
      </c>
      <c r="E70" t="n">
        <v>960000000</v>
      </c>
      <c r="F70" t="n">
        <v>960000000</v>
      </c>
      <c r="G70" t="n">
        <v>960000000</v>
      </c>
      <c r="H70" t="n">
        <v>960000000</v>
      </c>
      <c r="I70" t="n">
        <v>960000000</v>
      </c>
      <c r="J70" t="n">
        <v>960000000</v>
      </c>
      <c r="K70" t="n">
        <v>1930000000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43100</v>
      </c>
      <c r="C81" s="16" t="n">
        <v>43465</v>
      </c>
      <c r="D81" s="16" t="n">
        <v>43830</v>
      </c>
      <c r="E81" s="16" t="n">
        <v>44196</v>
      </c>
      <c r="F81" s="16" t="n">
        <v>44561</v>
      </c>
      <c r="G81" s="16" t="n">
        <v>44926</v>
      </c>
      <c r="H81" s="16" t="n">
        <v>45291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1818</v>
      </c>
      <c r="C82" t="n">
        <v>2052</v>
      </c>
      <c r="D82" t="n">
        <v>2295</v>
      </c>
      <c r="E82" t="n">
        <v>2454</v>
      </c>
      <c r="F82" t="n">
        <v>2236</v>
      </c>
      <c r="G82" t="n">
        <v>2737</v>
      </c>
      <c r="H82" t="n">
        <v>3392</v>
      </c>
      <c r="I82" t="n">
        <v>4175</v>
      </c>
      <c r="J82" t="n">
        <v>2936</v>
      </c>
      <c r="K82" t="n">
        <v>5048</v>
      </c>
    </row>
    <row r="83" customFormat="1" s="188">
      <c r="A83" s="188" t="inlineStr">
        <is>
          <t>Cash from Investing Activity</t>
        </is>
      </c>
      <c r="B83" t="n">
        <v>-131</v>
      </c>
      <c r="C83" t="n">
        <v>-52</v>
      </c>
      <c r="D83" t="n">
        <v>83</v>
      </c>
      <c r="E83" t="n">
        <v>-321</v>
      </c>
      <c r="F83" t="n">
        <v>-1920</v>
      </c>
      <c r="G83" t="n">
        <v>-392</v>
      </c>
      <c r="H83" t="n">
        <v>-927</v>
      </c>
      <c r="I83" t="n">
        <v>-1237</v>
      </c>
      <c r="J83" t="n">
        <v>-1811</v>
      </c>
      <c r="K83" t="n">
        <v>-624</v>
      </c>
    </row>
    <row r="84" customFormat="1" s="188">
      <c r="A84" s="188" t="inlineStr">
        <is>
          <t>Cash from Financing Activity</t>
        </is>
      </c>
      <c r="B84" t="n">
        <v>-997</v>
      </c>
      <c r="C84" t="n">
        <v>-1317</v>
      </c>
      <c r="D84" t="n">
        <v>-3602</v>
      </c>
      <c r="E84" t="n">
        <v>-1956</v>
      </c>
      <c r="F84" t="n">
        <v>-2020</v>
      </c>
      <c r="G84" t="n">
        <v>-2123</v>
      </c>
      <c r="H84" t="n">
        <v>-2436</v>
      </c>
      <c r="I84" t="n">
        <v>-3135</v>
      </c>
      <c r="J84" t="n">
        <v>-1848</v>
      </c>
      <c r="K84" t="n">
        <v>-3179</v>
      </c>
    </row>
    <row r="85" customFormat="1" s="187">
      <c r="A85" s="188" t="inlineStr">
        <is>
          <t>Net Cash Flow</t>
        </is>
      </c>
      <c r="B85" t="n">
        <v>691</v>
      </c>
      <c r="C85" t="n">
        <v>683</v>
      </c>
      <c r="D85" t="n">
        <v>-1223</v>
      </c>
      <c r="E85" t="n">
        <v>177</v>
      </c>
      <c r="F85" t="n">
        <v>-1704</v>
      </c>
      <c r="G85" t="n">
        <v>223</v>
      </c>
      <c r="H85" t="n">
        <v>29</v>
      </c>
      <c r="I85" t="n">
        <v>-198</v>
      </c>
      <c r="J85" t="n">
        <v>-723</v>
      </c>
      <c r="K85" t="n">
        <v>1244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384.82</v>
      </c>
      <c r="C90" t="n">
        <v>538.24</v>
      </c>
      <c r="D90" t="n">
        <v>722.7</v>
      </c>
      <c r="E90" t="n">
        <v>891.4400000000001</v>
      </c>
      <c r="F90" t="n">
        <v>966.0700000000001</v>
      </c>
      <c r="G90" t="n">
        <v>987.5599999999999</v>
      </c>
      <c r="H90" t="n">
        <v>1216.93</v>
      </c>
      <c r="I90" t="n">
        <v>1297.45</v>
      </c>
      <c r="J90" t="n">
        <v>1094.83</v>
      </c>
      <c r="K90" t="n">
        <v>1319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193</v>
      </c>
      <c r="C93" s="198" t="n">
        <v>193</v>
      </c>
      <c r="D93" s="198" t="n">
        <v>193</v>
      </c>
      <c r="E93" s="198" t="n">
        <v>193</v>
      </c>
      <c r="F93" s="198" t="n">
        <v>193</v>
      </c>
      <c r="G93" s="198" t="n">
        <v>193</v>
      </c>
      <c r="H93" s="198" t="n">
        <v>193</v>
      </c>
      <c r="I93" s="198" t="n">
        <v>193</v>
      </c>
      <c r="J93" s="198" t="n">
        <v>193</v>
      </c>
      <c r="K93" s="198" t="n">
        <v>193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NESTLE INDIA LTD</t>
        </is>
      </c>
    </row>
    <row r="4">
      <c r="B4" s="49" t="inlineStr">
        <is>
          <t>Particulars</t>
        </is>
      </c>
      <c r="C4" s="50" t="inlineStr">
        <is>
          <t>Dec 2015</t>
        </is>
      </c>
      <c r="D4" s="50" t="inlineStr">
        <is>
          <t>Dec 2016</t>
        </is>
      </c>
      <c r="E4" s="50" t="inlineStr">
        <is>
          <t>Dec 2017</t>
        </is>
      </c>
      <c r="F4" s="50" t="inlineStr">
        <is>
          <t>Dec 2018</t>
        </is>
      </c>
      <c r="G4" s="50" t="inlineStr">
        <is>
          <t>Dec 2019</t>
        </is>
      </c>
      <c r="H4" s="50" t="inlineStr">
        <is>
          <t>Dec 2020</t>
        </is>
      </c>
      <c r="I4" s="50" t="inlineStr">
        <is>
          <t>Dec 2021</t>
        </is>
      </c>
      <c r="J4" s="50" t="inlineStr">
        <is>
          <t>Dec 2022</t>
        </is>
      </c>
      <c r="K4" s="50" t="inlineStr">
        <is>
          <t>Dec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1098</v>
      </c>
      <c r="D6" s="73" t="n">
        <v>1466</v>
      </c>
      <c r="E6" s="73" t="n">
        <v>1818</v>
      </c>
      <c r="F6" s="73" t="n">
        <v>2052</v>
      </c>
      <c r="G6" s="73" t="n">
        <v>2295</v>
      </c>
      <c r="H6" s="73" t="n">
        <v>2454</v>
      </c>
      <c r="I6" s="73" t="n">
        <v>2236</v>
      </c>
      <c r="J6" s="73" t="n">
        <v>2737</v>
      </c>
      <c r="K6" s="73" t="n">
        <v>3392</v>
      </c>
      <c r="L6" s="73" t="n">
        <v>4175</v>
      </c>
      <c r="M6" s="73" t="n">
        <v>2936</v>
      </c>
      <c r="N6" s="73" t="n">
        <v>5048</v>
      </c>
    </row>
    <row r="7">
      <c r="B7" t="inlineStr">
        <is>
          <t>Profit from operations</t>
        </is>
      </c>
      <c r="C7" s="73" t="n">
        <v>1109</v>
      </c>
      <c r="D7" s="73" t="n">
        <v>1765</v>
      </c>
      <c r="E7" s="73" t="n">
        <v>2047</v>
      </c>
      <c r="F7" s="73" t="n">
        <v>2521</v>
      </c>
      <c r="G7" s="73" t="n">
        <v>2805</v>
      </c>
      <c r="H7" s="73" t="n">
        <v>3061</v>
      </c>
      <c r="I7" s="73" t="n">
        <v>3136</v>
      </c>
      <c r="J7" s="73" t="n">
        <v>3609</v>
      </c>
      <c r="K7" s="73" t="n">
        <v>4388</v>
      </c>
      <c r="L7" s="73" t="n">
        <v>5722</v>
      </c>
      <c r="M7" s="73" t="n">
        <v>4672</v>
      </c>
      <c r="N7" s="73" t="n">
        <v>5326</v>
      </c>
    </row>
    <row r="8">
      <c r="B8" t="inlineStr">
        <is>
          <t>Receivables</t>
        </is>
      </c>
      <c r="C8" t="n">
        <v>21</v>
      </c>
      <c r="D8" t="n">
        <v>-19</v>
      </c>
      <c r="E8" t="n">
        <v>8</v>
      </c>
      <c r="F8" t="n">
        <v>-36</v>
      </c>
      <c r="G8" t="n">
        <v>0</v>
      </c>
      <c r="H8" s="73" t="n">
        <v>-42</v>
      </c>
      <c r="I8" t="n">
        <v>-2</v>
      </c>
      <c r="J8" t="n">
        <v>-28</v>
      </c>
      <c r="K8" t="n">
        <v>-11</v>
      </c>
      <c r="L8" t="n">
        <v>-109</v>
      </c>
      <c r="M8" s="73" t="n">
        <v>-70</v>
      </c>
      <c r="N8" t="n">
        <v>34</v>
      </c>
    </row>
    <row r="9">
      <c r="B9" t="inlineStr">
        <is>
          <t>Inventory</t>
        </is>
      </c>
      <c r="C9" t="n">
        <v>23</v>
      </c>
      <c r="D9" t="n">
        <v>-119</v>
      </c>
      <c r="E9" t="n">
        <v>38</v>
      </c>
      <c r="F9" t="n">
        <v>-63</v>
      </c>
      <c r="G9" t="n">
        <v>-318</v>
      </c>
      <c r="H9" t="n">
        <v>-133</v>
      </c>
      <c r="I9" s="73" t="n">
        <v>-169</v>
      </c>
      <c r="J9" t="n">
        <v>-336</v>
      </c>
      <c r="K9" s="73" t="n">
        <v>56</v>
      </c>
      <c r="L9" s="73" t="n">
        <v>-161</v>
      </c>
      <c r="M9" s="73" t="n">
        <v>-767</v>
      </c>
      <c r="N9" s="73" t="n">
        <v>281</v>
      </c>
    </row>
    <row r="10">
      <c r="B10" t="inlineStr">
        <is>
          <t>Payables</t>
        </is>
      </c>
      <c r="C10" t="n">
        <v>79</v>
      </c>
      <c r="D10" t="n">
        <v>50</v>
      </c>
      <c r="E10" t="n">
        <v>185</v>
      </c>
      <c r="F10" s="73" t="n">
        <v>257</v>
      </c>
      <c r="G10" t="n">
        <v>253</v>
      </c>
      <c r="H10" t="n">
        <v>23</v>
      </c>
      <c r="I10" s="73" t="n">
        <v>217</v>
      </c>
      <c r="J10" s="73" t="n">
        <v>178</v>
      </c>
      <c r="K10" s="73" t="n">
        <v>68</v>
      </c>
      <c r="L10" t="n">
        <v>310</v>
      </c>
      <c r="M10" s="73" t="n">
        <v>134</v>
      </c>
      <c r="N10" t="n">
        <v>588</v>
      </c>
    </row>
    <row r="11">
      <c r="B11" t="inlineStr">
        <is>
          <t>Working capital changes</t>
        </is>
      </c>
      <c r="C11" t="n">
        <v>332</v>
      </c>
      <c r="D11" t="n">
        <v>204</v>
      </c>
      <c r="E11" t="n">
        <v>375</v>
      </c>
      <c r="F11" s="73" t="n">
        <v>413</v>
      </c>
      <c r="G11" t="n">
        <v>163</v>
      </c>
      <c r="H11" t="n">
        <v>97</v>
      </c>
      <c r="I11" t="n">
        <v>-172</v>
      </c>
      <c r="J11" t="n">
        <v>-30</v>
      </c>
      <c r="K11" t="n">
        <v>63</v>
      </c>
      <c r="L11" s="73" t="n">
        <v>-249</v>
      </c>
      <c r="M11" s="73" t="n">
        <v>-711</v>
      </c>
      <c r="N11" s="73" t="n">
        <v>793</v>
      </c>
    </row>
    <row r="12">
      <c r="B12" t="inlineStr">
        <is>
          <t>Direct taxes</t>
        </is>
      </c>
      <c r="C12" s="73" t="n">
        <v>-342</v>
      </c>
      <c r="D12" s="73" t="n">
        <v>-503</v>
      </c>
      <c r="E12" s="73" t="n">
        <v>-604</v>
      </c>
      <c r="F12" s="73" t="n">
        <v>-881</v>
      </c>
      <c r="G12" s="73" t="n">
        <v>-673</v>
      </c>
      <c r="H12" s="73" t="n">
        <v>-703</v>
      </c>
      <c r="I12" s="73" t="n">
        <v>-729</v>
      </c>
      <c r="J12" s="73" t="n">
        <v>-841</v>
      </c>
      <c r="K12" s="73" t="n">
        <v>-1059</v>
      </c>
      <c r="L12" s="73" t="n">
        <v>-1299</v>
      </c>
      <c r="M12" s="73" t="n">
        <v>-1024</v>
      </c>
      <c r="N12" s="73" t="n">
        <v>-1071</v>
      </c>
    </row>
    <row r="13">
      <c r="B13" t="inlineStr">
        <is>
          <t>Cash from Investing Activity -</t>
        </is>
      </c>
      <c r="C13" s="73" t="n">
        <v>-70</v>
      </c>
      <c r="D13" s="73" t="n">
        <v>-126</v>
      </c>
      <c r="E13" s="73" t="n">
        <v>-131</v>
      </c>
      <c r="F13" s="73" t="n">
        <v>-52</v>
      </c>
      <c r="G13" s="73" t="n">
        <v>83</v>
      </c>
      <c r="H13" s="73" t="n">
        <v>-321</v>
      </c>
      <c r="I13" s="73" t="n">
        <v>-1920</v>
      </c>
      <c r="J13" s="73" t="n">
        <v>-392</v>
      </c>
      <c r="K13" s="73" t="n">
        <v>-927</v>
      </c>
      <c r="L13" s="73" t="n">
        <v>-1237</v>
      </c>
      <c r="M13" t="n">
        <v>-1811</v>
      </c>
      <c r="N13" s="73" t="n">
        <v>-624</v>
      </c>
    </row>
    <row r="14">
      <c r="B14" t="inlineStr">
        <is>
          <t>Fixed assets purchased</t>
        </is>
      </c>
      <c r="C14" s="73" t="n">
        <v>-151</v>
      </c>
      <c r="D14" s="73" t="n">
        <v>-207</v>
      </c>
      <c r="E14" s="73" t="n">
        <v>-199</v>
      </c>
      <c r="F14" s="73" t="n">
        <v>-166</v>
      </c>
      <c r="G14" s="73" t="n">
        <v>-155</v>
      </c>
      <c r="H14" s="73" t="n">
        <v>-478</v>
      </c>
      <c r="I14" s="73" t="n">
        <v>-735</v>
      </c>
      <c r="J14" s="73" t="n">
        <v>-550</v>
      </c>
      <c r="K14" s="73" t="n">
        <v>-1371</v>
      </c>
      <c r="L14" s="73" t="n">
        <v>-1883</v>
      </c>
      <c r="M14" s="73" t="n">
        <v>-2009</v>
      </c>
      <c r="N14" s="73" t="n">
        <v>-830</v>
      </c>
    </row>
    <row r="15">
      <c r="B15" t="inlineStr">
        <is>
          <t>Fixed assets sold</t>
        </is>
      </c>
      <c r="C15" t="n">
        <v>1</v>
      </c>
      <c r="D15" t="n">
        <v>94</v>
      </c>
      <c r="E15" t="n">
        <v>3</v>
      </c>
      <c r="F15" t="n">
        <v>3</v>
      </c>
      <c r="G15" t="n">
        <v>2</v>
      </c>
      <c r="H15" t="n">
        <v>4</v>
      </c>
      <c r="I15" t="n">
        <v>4</v>
      </c>
      <c r="J15" t="n">
        <v>9</v>
      </c>
      <c r="K15" t="n">
        <v>7</v>
      </c>
      <c r="L15" t="n">
        <v>4</v>
      </c>
      <c r="M15" t="n">
        <v>4</v>
      </c>
      <c r="N15" t="n">
        <v>3</v>
      </c>
    </row>
    <row r="16">
      <c r="B16" t="inlineStr">
        <is>
          <t>Investments purchased</t>
        </is>
      </c>
      <c r="C16" s="73" t="n">
        <v>-37</v>
      </c>
      <c r="D16" s="73" t="n">
        <v>-153</v>
      </c>
      <c r="E16" s="73" t="n">
        <v>-112</v>
      </c>
      <c r="F16" s="73" t="n">
        <v>-160</v>
      </c>
      <c r="G16" s="73" t="n">
        <v>-16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0</v>
      </c>
      <c r="N16" s="73" t="n">
        <v>0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25</v>
      </c>
      <c r="K17" s="73" t="n">
        <v>312</v>
      </c>
      <c r="L17" s="73" t="n">
        <v>284</v>
      </c>
      <c r="M17" s="73" t="n">
        <v>424</v>
      </c>
      <c r="N17" s="73" t="n">
        <v>0</v>
      </c>
    </row>
    <row r="18">
      <c r="B18" t="inlineStr">
        <is>
          <t>Interest received</t>
        </is>
      </c>
      <c r="C18" t="n">
        <v>99</v>
      </c>
      <c r="D18" t="n">
        <v>126</v>
      </c>
      <c r="E18" t="n">
        <v>154</v>
      </c>
      <c r="F18" t="n">
        <v>237</v>
      </c>
      <c r="G18" s="73" t="n">
        <v>238</v>
      </c>
      <c r="H18" s="73" t="n">
        <v>148</v>
      </c>
      <c r="I18" s="73" t="n">
        <v>125</v>
      </c>
      <c r="J18" s="73" t="n">
        <v>103</v>
      </c>
      <c r="K18" s="73" t="n">
        <v>0</v>
      </c>
      <c r="L18" s="73" t="n">
        <v>167</v>
      </c>
      <c r="M18" s="73" t="n">
        <v>76</v>
      </c>
      <c r="N18" t="n">
        <v>34</v>
      </c>
    </row>
    <row r="19">
      <c r="B19" t="inlineStr">
        <is>
          <t>Dividends received</t>
        </is>
      </c>
      <c r="C19" t="n">
        <v>12</v>
      </c>
      <c r="D19" t="n">
        <v>13</v>
      </c>
      <c r="E19" t="n">
        <v>16</v>
      </c>
      <c r="F19" t="n">
        <v>19</v>
      </c>
      <c r="G19" t="n">
        <v>13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6</v>
      </c>
      <c r="D23" s="73" t="n">
        <v>1</v>
      </c>
      <c r="E23" s="73" t="n">
        <v>7</v>
      </c>
      <c r="F23" s="73" t="n">
        <v>15</v>
      </c>
      <c r="G23" s="73" t="n">
        <v>0</v>
      </c>
      <c r="H23" s="73" t="n">
        <v>3</v>
      </c>
      <c r="I23" s="73" t="n">
        <v>-1314</v>
      </c>
      <c r="J23" s="73" t="n">
        <v>20</v>
      </c>
      <c r="K23" t="n">
        <v>126</v>
      </c>
      <c r="L23" s="73" t="n">
        <v>190</v>
      </c>
      <c r="M23" t="n">
        <v>400</v>
      </c>
      <c r="N23" s="73" t="n">
        <v>168</v>
      </c>
    </row>
    <row r="24">
      <c r="B24" t="inlineStr">
        <is>
          <t>Cash from Financing Activity -</t>
        </is>
      </c>
      <c r="C24" s="73" t="n">
        <v>-498</v>
      </c>
      <c r="D24" s="73" t="n">
        <v>-666</v>
      </c>
      <c r="E24" s="73" t="n">
        <v>-997</v>
      </c>
      <c r="F24" s="73" t="n">
        <v>-1317</v>
      </c>
      <c r="G24" s="73" t="n">
        <v>-3602</v>
      </c>
      <c r="H24" s="73" t="n">
        <v>-1956</v>
      </c>
      <c r="I24" s="73" t="n">
        <v>-2020</v>
      </c>
      <c r="J24" s="73" t="n">
        <v>-2123</v>
      </c>
      <c r="K24" s="73" t="n">
        <v>-2436</v>
      </c>
      <c r="L24" s="73" t="n">
        <v>-3135</v>
      </c>
      <c r="M24" s="73" t="n">
        <v>-1848</v>
      </c>
      <c r="N24" s="73" t="n">
        <v>-3179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s="73" t="n">
        <v>0</v>
      </c>
      <c r="L25" s="73" t="n">
        <v>0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</v>
      </c>
      <c r="J26" t="n">
        <v>0</v>
      </c>
      <c r="K26" t="n">
        <v>0</v>
      </c>
      <c r="L26" t="n">
        <v>0</v>
      </c>
      <c r="M26" t="n">
        <v>726</v>
      </c>
      <c r="N26" s="73" t="n">
        <v>0</v>
      </c>
    </row>
    <row r="27">
      <c r="B27" t="inlineStr">
        <is>
          <t>Repayment of borrowings</t>
        </is>
      </c>
      <c r="C27" t="n">
        <v>-3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-24</v>
      </c>
      <c r="J27" t="n">
        <v>0</v>
      </c>
      <c r="K27" t="n">
        <v>0</v>
      </c>
      <c r="L27" t="n">
        <v>0</v>
      </c>
      <c r="M27" t="n">
        <v>0</v>
      </c>
      <c r="N27" t="n">
        <v>-726</v>
      </c>
    </row>
    <row r="28">
      <c r="B28" t="inlineStr">
        <is>
          <t>Interest paid fin</t>
        </is>
      </c>
      <c r="C28" t="n">
        <v>-3</v>
      </c>
      <c r="D28" t="n">
        <v>-4</v>
      </c>
      <c r="E28" t="n">
        <v>-1</v>
      </c>
      <c r="F28" t="n">
        <v>-4</v>
      </c>
      <c r="G28" t="n">
        <v>-63</v>
      </c>
      <c r="H28" t="n">
        <v>-69</v>
      </c>
      <c r="I28" t="n">
        <v>-9</v>
      </c>
      <c r="J28" t="n">
        <v>-18</v>
      </c>
      <c r="K28" t="n">
        <v>-20</v>
      </c>
      <c r="L28" t="n">
        <v>-26</v>
      </c>
      <c r="M28" t="n">
        <v>-34</v>
      </c>
      <c r="N28" t="n">
        <v>-50</v>
      </c>
    </row>
    <row r="29">
      <c r="B29" t="inlineStr">
        <is>
          <t>Dividends paid</t>
        </is>
      </c>
      <c r="C29" s="73" t="n">
        <v>-410</v>
      </c>
      <c r="D29" s="73" t="n">
        <v>-564</v>
      </c>
      <c r="E29" s="73" t="n">
        <v>-829</v>
      </c>
      <c r="F29" s="73" t="n">
        <v>-1090</v>
      </c>
      <c r="G29" s="73" t="n">
        <v>-2950</v>
      </c>
      <c r="H29" s="73" t="n">
        <v>-1890</v>
      </c>
      <c r="I29" s="73" t="n">
        <v>-1928</v>
      </c>
      <c r="J29" s="73" t="n">
        <v>-2025</v>
      </c>
      <c r="K29" s="73" t="n">
        <v>-2333</v>
      </c>
      <c r="L29" s="73" t="n">
        <v>-3008</v>
      </c>
      <c r="M29" s="73" t="n">
        <v>-2459</v>
      </c>
      <c r="N29" s="73" t="n">
        <v>-2314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-79</v>
      </c>
      <c r="J30" t="n">
        <v>-73</v>
      </c>
      <c r="K30" t="n">
        <v>-166</v>
      </c>
      <c r="L30" t="n">
        <v>-100</v>
      </c>
      <c r="M30" t="n">
        <v>-76</v>
      </c>
      <c r="N30" t="n">
        <v>-86</v>
      </c>
    </row>
    <row r="31">
      <c r="B31" t="inlineStr">
        <is>
          <t>Other financing items</t>
        </is>
      </c>
      <c r="C31" t="n">
        <v>-82</v>
      </c>
      <c r="D31" t="n">
        <v>-98</v>
      </c>
      <c r="E31" s="73" t="n">
        <v>-167</v>
      </c>
      <c r="F31" s="73" t="n">
        <v>-224</v>
      </c>
      <c r="G31" s="73" t="n">
        <v>-588</v>
      </c>
      <c r="H31" s="73" t="n">
        <v>3</v>
      </c>
      <c r="I31" t="n">
        <v>-3</v>
      </c>
      <c r="J31" t="n">
        <v>-7</v>
      </c>
      <c r="K31" t="n">
        <v>83</v>
      </c>
      <c r="L31" t="n">
        <v>-1</v>
      </c>
      <c r="M31" t="n">
        <v>-5</v>
      </c>
      <c r="N31" t="n">
        <v>-3</v>
      </c>
    </row>
    <row r="32">
      <c r="B32" t="inlineStr">
        <is>
          <t>Net Cash Flow</t>
        </is>
      </c>
      <c r="C32" t="n">
        <v>529</v>
      </c>
      <c r="D32" t="n">
        <v>674</v>
      </c>
      <c r="E32" t="n">
        <v>691</v>
      </c>
      <c r="F32" t="n">
        <v>683</v>
      </c>
      <c r="G32" t="n">
        <v>-1223</v>
      </c>
      <c r="H32" t="n">
        <v>177</v>
      </c>
      <c r="I32" t="n">
        <v>-1704</v>
      </c>
      <c r="J32" t="n">
        <v>223</v>
      </c>
      <c r="K32" t="n">
        <v>29</v>
      </c>
      <c r="L32" t="n">
        <v>-198</v>
      </c>
      <c r="M32" t="n">
        <v>-723</v>
      </c>
      <c r="N32" t="n">
        <v>1244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>
        <f>Control!C13&amp;" Daily Returns"</f>
        <v/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0.65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0.7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>
        <f>'Beta-Regression'!O11</f>
        <v/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 (RBI 10Y G-Sec)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 (Damodaran)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C34/C36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C35/C36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C34/C35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FS'!Z6-'Raw FS'!Z10</f>
        <v/>
      </c>
      <c r="I38" s="146">
        <f>'Raw FS'!AA6-'Raw FS'!AA10</f>
        <v/>
      </c>
      <c r="J38" s="146">
        <f>'Raw FS'!AB6-'Raw FS'!AB10</f>
        <v/>
      </c>
      <c r="K38" s="146">
        <f>'Raw FS'!AC6-'Raw FS'!AC10</f>
        <v/>
      </c>
      <c r="L38" s="146">
        <f>'Raw FS'!AD6-'Raw FS'!AD10</f>
        <v/>
      </c>
    </row>
    <row r="39" ht="7.8" customHeight="1" s="176" thickBot="1"/>
    <row r="40" ht="15" customHeight="1" s="176" thickBot="1">
      <c r="B40" s="141" t="inlineStr">
        <is>
          <t>ROIC (After-Tax NOPAT / Invested Capital)</t>
        </is>
      </c>
      <c r="C40" s="141" t="n"/>
      <c r="D40" s="141" t="n"/>
      <c r="E40" s="141" t="n"/>
      <c r="F40" s="141" t="n"/>
      <c r="G40" s="141" t="n"/>
      <c r="H40" s="144">
        <f>H38*(1-'Raw Data'!$T$24)/H37</f>
        <v/>
      </c>
      <c r="I40" s="144">
        <f>I38*(1-'Raw Data'!$T$24)/I37</f>
        <v/>
      </c>
      <c r="J40" s="144">
        <f>J38*(1-'Raw Data'!$T$24)/J37</f>
        <v/>
      </c>
      <c r="K40" s="144">
        <f>K38*(1-'Raw Data'!$T$24)/K37</f>
        <v/>
      </c>
      <c r="L40" s="144">
        <f>L38*(1-'Raw Data'!$T$24)/L37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FS'!Z27:Z28)-'Raw FS'!Z10</f>
        <v/>
      </c>
      <c r="I44" s="130">
        <f>-SUM('Raw FS'!AA27:AA28)-'Raw FS'!AA10</f>
        <v/>
      </c>
      <c r="J44" s="130">
        <f>-SUM('Raw FS'!AB27:AB28)-'Raw FS'!AB10</f>
        <v/>
      </c>
      <c r="K44" s="130">
        <f>-SUM('Raw FS'!AC27:AC28)-'Raw FS'!AC10</f>
        <v/>
      </c>
      <c r="L44" s="130">
        <f>-SUM('Raw FS'!AD27:AD28)-'Raw FS'!AD10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'Raw Data'!T24</f>
        <v/>
      </c>
      <c r="I48" s="81">
        <f>'Raw Data'!T24</f>
        <v/>
      </c>
      <c r="J48" s="81">
        <f>'Raw Data'!T24</f>
        <v/>
      </c>
      <c r="K48" s="81">
        <f>'Raw Data'!T24</f>
        <v/>
      </c>
      <c r="L48" s="81">
        <f>'Raw Data'!T24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Total Reinvestment (Δ Invested Capital)</t>
        </is>
      </c>
      <c r="H51" s="180">
        <f>H37-G37</f>
        <v/>
      </c>
      <c r="I51" s="107">
        <f>I37-H37</f>
        <v/>
      </c>
      <c r="J51" s="107">
        <f>J37-I37</f>
        <v/>
      </c>
      <c r="K51" s="107">
        <f>K37-J37</f>
        <v/>
      </c>
      <c r="L51" s="107">
        <f>L37-K37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>
        <f>H51/H49</f>
        <v/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34" t="inlineStr">
        <is>
          <t>4 Col Median (I:L)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>
        <f>H52</f>
        <v/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>
        <f>H59*H60</f>
        <v/>
      </c>
      <c r="I62" s="135">
        <f>I52*I40</f>
        <v/>
      </c>
      <c r="J62" s="135">
        <f>J52*J40</f>
        <v/>
      </c>
      <c r="K62" s="135">
        <f>K52*K40</f>
        <v/>
      </c>
      <c r="L62" s="135">
        <f>L52*L40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34" t="inlineStr">
        <is>
          <t>4 Col Median (I:L)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78">
        <f>I44+I45</f>
        <v/>
      </c>
      <c r="J68" s="278">
        <f>J44+J45</f>
        <v/>
      </c>
      <c r="K68" s="278">
        <f>K44+K45</f>
        <v/>
      </c>
      <c r="L68" s="278">
        <f>L44+L45</f>
        <v/>
      </c>
    </row>
    <row r="69">
      <c r="B69" t="inlineStr">
        <is>
          <t>Organic Reinvestment Rate (on NOPAT)</t>
        </is>
      </c>
      <c r="I69" s="280">
        <f>I68/I49</f>
        <v/>
      </c>
      <c r="J69" s="280">
        <f>J68/J49</f>
        <v/>
      </c>
      <c r="K69" s="280">
        <f>K68/K49</f>
        <v/>
      </c>
      <c r="L69" s="280">
        <f>L68/L49</f>
        <v/>
      </c>
    </row>
    <row r="70">
      <c r="B70" t="inlineStr">
        <is>
          <t>Organic 4-Year Median</t>
        </is>
      </c>
      <c r="L70" s="280">
        <f>MEDIAN(I69:L69)</f>
        <v/>
      </c>
    </row>
    <row r="71">
      <c r="B71" t="inlineStr">
        <is>
          <t>Currently used in DCF (L55 - median of I:L; acquisition-year spikes can distort it)</t>
        </is>
      </c>
      <c r="L71" s="280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74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EDATE(H6, 12)</f>
        <v/>
      </c>
      <c r="J6" s="78">
        <f>EDATE(I6, 12)</f>
        <v/>
      </c>
      <c r="K6" s="78">
        <f>EDATE(J6, 12)</f>
        <v/>
      </c>
      <c r="L6" s="78">
        <f>EDATE(K6, 12)</f>
        <v/>
      </c>
      <c r="M6" s="78">
        <f>EDATE(L6, 12)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 t="n">
        <v>1.5</v>
      </c>
      <c r="K13" s="72" t="n">
        <v>2.5</v>
      </c>
      <c r="L13" s="72" t="n">
        <v>3.5</v>
      </c>
      <c r="M13" s="72" t="n">
        <v>4.5</v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(1+$D$20)^(-I13)</f>
        <v/>
      </c>
      <c r="J14" s="72">
        <f>(1+$D$20)^(-J13)</f>
        <v/>
      </c>
      <c r="K14" s="72">
        <f>(1+$D$20)^(-K13)</f>
        <v/>
      </c>
      <c r="L14" s="72">
        <f>(1+$D$20)^(-L13)</f>
        <v/>
      </c>
      <c r="M14" s="72">
        <f>(1+$D$20)^(-M13)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 s="46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D33+D34</f>
        <v/>
      </c>
    </row>
    <row r="36"/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34" t="inlineStr">
        <is>
          <t>Less: Minority Interest</t>
        </is>
      </c>
      <c r="C39" s="37" t="n"/>
      <c r="D39" s="235">
        <f>IF(Control!$C$24="Market Multiple", INDEX('Data Sheet'!$B73:$K73, Control!$C$26)*1.2, INDEX('Data Sheet'!$B73:$K73, Control!$C$26))</f>
        <v/>
      </c>
    </row>
    <row r="40">
      <c r="B40" s="234" t="inlineStr">
        <is>
          <t>Equity Value</t>
        </is>
      </c>
      <c r="D40" s="235">
        <f>D35+D37-D38-D39</f>
        <v/>
      </c>
    </row>
    <row r="41">
      <c r="B41" s="236" t="inlineStr">
        <is>
          <t>No. of Shares</t>
        </is>
      </c>
      <c r="D41" s="237">
        <f>INDEX('Data Sheet'!$B70:$K70, Control!$C$26)/Control!$C$9</f>
        <v/>
      </c>
    </row>
    <row r="42" ht="15" customHeight="1" s="176" thickBot="1">
      <c r="B42" s="238" t="n"/>
      <c r="C42" s="238" t="n"/>
      <c r="D42" s="238" t="n"/>
    </row>
    <row r="43">
      <c r="B43" s="239" t="inlineStr">
        <is>
          <t>Equity Value per Share</t>
        </is>
      </c>
      <c r="D43" s="240">
        <f>D40/D41</f>
        <v/>
      </c>
    </row>
    <row r="44">
      <c r="B44" s="238" t="n"/>
      <c r="C44" s="238" t="n"/>
      <c r="D44" s="238" t="n"/>
    </row>
    <row r="45">
      <c r="B45" s="238" t="inlineStr">
        <is>
          <t>Share Price</t>
        </is>
      </c>
      <c r="D45" s="241">
        <f>'Data Sheet'!B8</f>
        <v/>
      </c>
    </row>
    <row r="46">
      <c r="B46" s="238" t="inlineStr">
        <is>
          <t>Upside / (Downside)</t>
        </is>
      </c>
      <c r="D46" s="242">
        <f>D43/D45-1</f>
        <v/>
      </c>
    </row>
    <row r="47">
      <c r="B47" s="243" t="n"/>
      <c r="C47" s="243" t="n"/>
      <c r="D47" s="243" t="n"/>
    </row>
    <row r="49">
      <c r="B49" s="258" t="inlineStr">
        <is>
          <t>2D SENSITIVITY ANALYSIS: IMPLIED SHARE PRICE (INR)</t>
        </is>
      </c>
    </row>
    <row r="50">
      <c r="B50" s="246" t="inlineStr">
        <is>
          <t>WACC \ Terminal Growth (g)</t>
        </is>
      </c>
      <c r="E50" s="275">
        <f>D19+(-0.01)</f>
        <v/>
      </c>
      <c r="F50" s="275">
        <f>D19+(-0.005)</f>
        <v/>
      </c>
      <c r="G50" s="275">
        <f>D19+(0)</f>
        <v/>
      </c>
      <c r="H50" s="275">
        <f>D19+(0.005)</f>
        <v/>
      </c>
      <c r="I50" s="275">
        <f>D19+(0.01)</f>
        <v/>
      </c>
    </row>
    <row r="51">
      <c r="B51" s="275">
        <f>D20+(-0.01)</f>
        <v/>
      </c>
      <c r="E51" s="276">
        <f>IF($B51&lt;=E$50,"n/a",MAX(0,(SUMPRODUCT($I$12:$M$12,(1+$B51)^(-$I$13:$M$13))+($M$10*(1+E$50)*(1-MIN(Control!$C$22,E$50/$D$22)))/($B51-E$50)*(1+$B51)^(-$M$13)+$D$37-$D$38-$D$39)/$D$41))</f>
        <v/>
      </c>
      <c r="F51" s="276">
        <f>IF($B51&lt;=F$50,"n/a",MAX(0,(SUMPRODUCT($I$12:$M$12,(1+$B51)^(-$I$13:$M$13))+($M$10*(1+F$50)*(1-MIN(Control!$C$22,F$50/$D$22)))/($B51-F$50)*(1+$B51)^(-$M$13)+$D$37-$D$38-$D$39)/$D$41))</f>
        <v/>
      </c>
      <c r="G51" s="276">
        <f>IF($B51&lt;=G$50,"n/a",MAX(0,(SUMPRODUCT($I$12:$M$12,(1+$B51)^(-$I$13:$M$13))+($M$10*(1+G$50)*(1-MIN(Control!$C$22,G$50/$D$22)))/($B51-G$50)*(1+$B51)^(-$M$13)+$D$37-$D$38-$D$39)/$D$41))</f>
        <v/>
      </c>
      <c r="H51" s="276">
        <f>IF($B51&lt;=H$50,"n/a",MAX(0,(SUMPRODUCT($I$12:$M$12,(1+$B51)^(-$I$13:$M$13))+($M$10*(1+H$50)*(1-MIN(Control!$C$22,H$50/$D$22)))/($B51-H$50)*(1+$B51)^(-$M$13)+$D$37-$D$38-$D$39)/$D$41))</f>
        <v/>
      </c>
      <c r="I51" s="276">
        <f>IF($B51&lt;=I$50,"n/a",MAX(0,(SUMPRODUCT($I$12:$M$12,(1+$B51)^(-$I$13:$M$13))+($M$10*(1+I$50)*(1-MIN(Control!$C$22,I$50/$D$22)))/($B51-I$50)*(1+$B51)^(-$M$13)+$D$37-$D$38-$D$39)/$D$41))</f>
        <v/>
      </c>
    </row>
    <row r="52">
      <c r="B52" s="275">
        <f>D20+(-0.005)</f>
        <v/>
      </c>
      <c r="E52" s="276">
        <f>IF($B52&lt;=E$50,"n/a",MAX(0,(SUMPRODUCT($I$12:$M$12,(1+$B52)^(-$I$13:$M$13))+($M$10*(1+E$50)*(1-MIN(Control!$C$22,E$50/$D$22)))/($B52-E$50)*(1+$B52)^(-$M$13)+$D$37-$D$38-$D$39)/$D$41))</f>
        <v/>
      </c>
      <c r="F52" s="276">
        <f>IF($B52&lt;=F$50,"n/a",MAX(0,(SUMPRODUCT($I$12:$M$12,(1+$B52)^(-$I$13:$M$13))+($M$10*(1+F$50)*(1-MIN(Control!$C$22,F$50/$D$22)))/($B52-F$50)*(1+$B52)^(-$M$13)+$D$37-$D$38-$D$39)/$D$41))</f>
        <v/>
      </c>
      <c r="G52" s="276">
        <f>IF($B52&lt;=G$50,"n/a",MAX(0,(SUMPRODUCT($I$12:$M$12,(1+$B52)^(-$I$13:$M$13))+($M$10*(1+G$50)*(1-MIN(Control!$C$22,G$50/$D$22)))/($B52-G$50)*(1+$B52)^(-$M$13)+$D$37-$D$38-$D$39)/$D$41))</f>
        <v/>
      </c>
      <c r="H52" s="276">
        <f>IF($B52&lt;=H$50,"n/a",MAX(0,(SUMPRODUCT($I$12:$M$12,(1+$B52)^(-$I$13:$M$13))+($M$10*(1+H$50)*(1-MIN(Control!$C$22,H$50/$D$22)))/($B52-H$50)*(1+$B52)^(-$M$13)+$D$37-$D$38-$D$39)/$D$41))</f>
        <v/>
      </c>
      <c r="I52" s="276">
        <f>IF($B52&lt;=I$50,"n/a",MAX(0,(SUMPRODUCT($I$12:$M$12,(1+$B52)^(-$I$13:$M$13))+($M$10*(1+I$50)*(1-MIN(Control!$C$22,I$50/$D$22)))/($B52-I$50)*(1+$B52)^(-$M$13)+$D$37-$D$38-$D$39)/$D$41))</f>
        <v/>
      </c>
    </row>
    <row r="53">
      <c r="B53" s="275">
        <f>D20+(0)</f>
        <v/>
      </c>
      <c r="E53" s="276">
        <f>IF($B53&lt;=E$50,"n/a",MAX(0,(SUMPRODUCT($I$12:$M$12,(1+$B53)^(-$I$13:$M$13))+($M$10*(1+E$50)*(1-MIN(Control!$C$22,E$50/$D$22)))/($B53-E$50)*(1+$B53)^(-$M$13)+$D$37-$D$38-$D$39)/$D$41))</f>
        <v/>
      </c>
      <c r="F53" s="276">
        <f>IF($B53&lt;=F$50,"n/a",MAX(0,(SUMPRODUCT($I$12:$M$12,(1+$B53)^(-$I$13:$M$13))+($M$10*(1+F$50)*(1-MIN(Control!$C$22,F$50/$D$22)))/($B53-F$50)*(1+$B53)^(-$M$13)+$D$37-$D$38-$D$39)/$D$41))</f>
        <v/>
      </c>
      <c r="G53" s="276">
        <f>IF($B53&lt;=G$50,"n/a",MAX(0,(SUMPRODUCT($I$12:$M$12,(1+$B53)^(-$I$13:$M$13))+($M$10*(1+G$50)*(1-MIN(Control!$C$22,G$50/$D$22)))/($B53-G$50)*(1+$B53)^(-$M$13)+$D$37-$D$38-$D$39)/$D$41))</f>
        <v/>
      </c>
      <c r="H53" s="276">
        <f>IF($B53&lt;=H$50,"n/a",MAX(0,(SUMPRODUCT($I$12:$M$12,(1+$B53)^(-$I$13:$M$13))+($M$10*(1+H$50)*(1-MIN(Control!$C$22,H$50/$D$22)))/($B53-H$50)*(1+$B53)^(-$M$13)+$D$37-$D$38-$D$39)/$D$41))</f>
        <v/>
      </c>
      <c r="I53" s="276">
        <f>IF($B53&lt;=I$50,"n/a",MAX(0,(SUMPRODUCT($I$12:$M$12,(1+$B53)^(-$I$13:$M$13))+($M$10*(1+I$50)*(1-MIN(Control!$C$22,I$50/$D$22)))/($B53-I$50)*(1+$B53)^(-$M$13)+$D$37-$D$38-$D$39)/$D$41))</f>
        <v/>
      </c>
    </row>
    <row r="54">
      <c r="B54" s="275">
        <f>D20+(0.005)</f>
        <v/>
      </c>
      <c r="E54" s="276">
        <f>IF($B54&lt;=E$50,"n/a",MAX(0,(SUMPRODUCT($I$12:$M$12,(1+$B54)^(-$I$13:$M$13))+($M$10*(1+E$50)*(1-MIN(Control!$C$22,E$50/$D$22)))/($B54-E$50)*(1+$B54)^(-$M$13)+$D$37-$D$38-$D$39)/$D$41))</f>
        <v/>
      </c>
      <c r="F54" s="276">
        <f>IF($B54&lt;=F$50,"n/a",MAX(0,(SUMPRODUCT($I$12:$M$12,(1+$B54)^(-$I$13:$M$13))+($M$10*(1+F$50)*(1-MIN(Control!$C$22,F$50/$D$22)))/($B54-F$50)*(1+$B54)^(-$M$13)+$D$37-$D$38-$D$39)/$D$41))</f>
        <v/>
      </c>
      <c r="G54" s="276">
        <f>IF($B54&lt;=G$50,"n/a",MAX(0,(SUMPRODUCT($I$12:$M$12,(1+$B54)^(-$I$13:$M$13))+($M$10*(1+G$50)*(1-MIN(Control!$C$22,G$50/$D$22)))/($B54-G$50)*(1+$B54)^(-$M$13)+$D$37-$D$38-$D$39)/$D$41))</f>
        <v/>
      </c>
      <c r="H54" s="276">
        <f>IF($B54&lt;=H$50,"n/a",MAX(0,(SUMPRODUCT($I$12:$M$12,(1+$B54)^(-$I$13:$M$13))+($M$10*(1+H$50)*(1-MIN(Control!$C$22,H$50/$D$22)))/($B54-H$50)*(1+$B54)^(-$M$13)+$D$37-$D$38-$D$39)/$D$41))</f>
        <v/>
      </c>
      <c r="I54" s="276">
        <f>IF($B54&lt;=I$50,"n/a",MAX(0,(SUMPRODUCT($I$12:$M$12,(1+$B54)^(-$I$13:$M$13))+($M$10*(1+I$50)*(1-MIN(Control!$C$22,I$50/$D$22)))/($B54-I$50)*(1+$B54)^(-$M$13)+$D$37-$D$38-$D$39)/$D$41))</f>
        <v/>
      </c>
    </row>
    <row r="55">
      <c r="B55" s="275">
        <f>D20+(0.01)</f>
        <v/>
      </c>
      <c r="E55" s="276">
        <f>IF($B55&lt;=E$50,"n/a",MAX(0,(SUMPRODUCT($I$12:$M$12,(1+$B55)^(-$I$13:$M$13))+($M$10*(1+E$50)*(1-MIN(Control!$C$22,E$50/$D$22)))/($B55-E$50)*(1+$B55)^(-$M$13)+$D$37-$D$38-$D$39)/$D$41))</f>
        <v/>
      </c>
      <c r="F55" s="276">
        <f>IF($B55&lt;=F$50,"n/a",MAX(0,(SUMPRODUCT($I$12:$M$12,(1+$B55)^(-$I$13:$M$13))+($M$10*(1+F$50)*(1-MIN(Control!$C$22,F$50/$D$22)))/($B55-F$50)*(1+$B55)^(-$M$13)+$D$37-$D$38-$D$39)/$D$41))</f>
        <v/>
      </c>
      <c r="G55" s="276">
        <f>IF($B55&lt;=G$50,"n/a",MAX(0,(SUMPRODUCT($I$12:$M$12,(1+$B55)^(-$I$13:$M$13))+($M$10*(1+G$50)*(1-MIN(Control!$C$22,G$50/$D$22)))/($B55-G$50)*(1+$B55)^(-$M$13)+$D$37-$D$38-$D$39)/$D$41))</f>
        <v/>
      </c>
      <c r="H55" s="276">
        <f>IF($B55&lt;=H$50,"n/a",MAX(0,(SUMPRODUCT($I$12:$M$12,(1+$B55)^(-$I$13:$M$13))+($M$10*(1+H$50)*(1-MIN(Control!$C$22,H$50/$D$22)))/($B55-H$50)*(1+$B55)^(-$M$13)+$D$37-$D$38-$D$39)/$D$41))</f>
        <v/>
      </c>
      <c r="I55" s="276">
        <f>IF($B55&lt;=I$50,"n/a",MAX(0,(SUMPRODUCT($I$12:$M$12,(1+$B55)^(-$I$13:$M$13))+($M$10*(1+I$50)*(1-MIN(Control!$C$22,I$50/$D$22)))/($B55-I$50)*(1+$B55)^(-$M$13)+$D$37-$D$38-$D$39)/$D$41))</f>
        <v/>
      </c>
    </row>
    <row r="58">
      <c r="B58" s="258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65">
        <f>IF(ISNUMBER(Control!$C$33),Control!$C$33,$I$8/$H$8-1)</f>
        <v/>
      </c>
    </row>
    <row r="61">
      <c r="B61" t="inlineStr">
        <is>
          <t>Starting incremental ROIC</t>
        </is>
      </c>
      <c r="D61" s="165">
        <f>IF(ISNUMBER(Control!$C$36),Control!$C$36,'Intrinsic Valuation'!$L$40)</f>
        <v/>
      </c>
    </row>
    <row r="64">
      <c r="B64" t="inlineStr">
        <is>
          <t>Year</t>
        </is>
      </c>
      <c r="D64" s="180" t="n">
        <v>1</v>
      </c>
      <c r="E64" s="180" t="n">
        <v>2</v>
      </c>
      <c r="F64" s="180" t="n">
        <v>3</v>
      </c>
      <c r="G64" s="180" t="n">
        <v>4</v>
      </c>
      <c r="H64" s="180" t="n">
        <v>5</v>
      </c>
      <c r="I64" s="180" t="n">
        <v>6</v>
      </c>
      <c r="J64" s="180" t="n">
        <v>7</v>
      </c>
      <c r="K64" s="180" t="n">
        <v>8</v>
      </c>
      <c r="L64" s="180" t="n">
        <v>9</v>
      </c>
      <c r="M64" s="180" t="n">
        <v>10</v>
      </c>
    </row>
    <row r="65">
      <c r="B65" t="inlineStr">
        <is>
          <t>EBIT growth (fades to terminal g)</t>
        </is>
      </c>
      <c r="D65" s="165">
        <f>$D$60+($D$19-$D$60)*(D64-1)/9</f>
        <v/>
      </c>
      <c r="E65" s="165">
        <f>$D$60+($D$19-$D$60)*(E64-1)/9</f>
        <v/>
      </c>
      <c r="F65" s="165">
        <f>$D$60+($D$19-$D$60)*(F64-1)/9</f>
        <v/>
      </c>
      <c r="G65" s="165">
        <f>$D$60+($D$19-$D$60)*(G64-1)/9</f>
        <v/>
      </c>
      <c r="H65" s="165">
        <f>$D$60+($D$19-$D$60)*(H64-1)/9</f>
        <v/>
      </c>
      <c r="I65" s="165">
        <f>$D$60+($D$19-$D$60)*(I64-1)/9</f>
        <v/>
      </c>
      <c r="J65" s="165">
        <f>$D$60+($D$19-$D$60)*(J64-1)/9</f>
        <v/>
      </c>
      <c r="K65" s="165">
        <f>$D$60+($D$19-$D$60)*(K64-1)/9</f>
        <v/>
      </c>
      <c r="L65" s="165">
        <f>$D$60+($D$19-$D$60)*(L64-1)/9</f>
        <v/>
      </c>
      <c r="M65" s="165">
        <f>$D$60+($D$19-$D$60)*(M64-1)/9</f>
        <v/>
      </c>
    </row>
    <row r="66">
      <c r="B66" t="inlineStr">
        <is>
          <t>ROIC (converges to terminal ROIC)</t>
        </is>
      </c>
      <c r="D66" s="165">
        <f>$D$61+($D$22-$D$61)*(D64-1)/9</f>
        <v/>
      </c>
      <c r="E66" s="165">
        <f>$D$61+($D$22-$D$61)*(E64-1)/9</f>
        <v/>
      </c>
      <c r="F66" s="165">
        <f>$D$61+($D$22-$D$61)*(F64-1)/9</f>
        <v/>
      </c>
      <c r="G66" s="165">
        <f>$D$61+($D$22-$D$61)*(G64-1)/9</f>
        <v/>
      </c>
      <c r="H66" s="165">
        <f>$D$61+($D$22-$D$61)*(H64-1)/9</f>
        <v/>
      </c>
      <c r="I66" s="165">
        <f>$D$61+($D$22-$D$61)*(I64-1)/9</f>
        <v/>
      </c>
      <c r="J66" s="165">
        <f>$D$61+($D$22-$D$61)*(J64-1)/9</f>
        <v/>
      </c>
      <c r="K66" s="165">
        <f>$D$61+($D$22-$D$61)*(K64-1)/9</f>
        <v/>
      </c>
      <c r="L66" s="165">
        <f>$D$61+($D$22-$D$61)*(L64-1)/9</f>
        <v/>
      </c>
      <c r="M66" s="165">
        <f>$D$61+($D$22-$D$61)*(M64-1)/9</f>
        <v/>
      </c>
    </row>
    <row r="67">
      <c r="B67" t="inlineStr">
        <is>
          <t>Reinvestment rate (g / ROIC, capped)</t>
        </is>
      </c>
      <c r="D67" s="165">
        <f>MIN(Control!$C$22,MAX(0,D65/D66))</f>
        <v/>
      </c>
      <c r="E67" s="165">
        <f>MIN(Control!$C$22,MAX(0,E65/E66))</f>
        <v/>
      </c>
      <c r="F67" s="165">
        <f>MIN(Control!$C$22,MAX(0,F65/F66))</f>
        <v/>
      </c>
      <c r="G67" s="165">
        <f>MIN(Control!$C$22,MAX(0,G65/G66))</f>
        <v/>
      </c>
      <c r="H67" s="165">
        <f>MIN(Control!$C$22,MAX(0,H65/H66))</f>
        <v/>
      </c>
      <c r="I67" s="165">
        <f>MIN(Control!$C$22,MAX(0,I65/I66))</f>
        <v/>
      </c>
      <c r="J67" s="165">
        <f>MIN(Control!$C$22,MAX(0,J65/J66))</f>
        <v/>
      </c>
      <c r="K67" s="165">
        <f>MIN(Control!$C$22,MAX(0,K65/K66))</f>
        <v/>
      </c>
      <c r="L67" s="165">
        <f>MIN(Control!$C$22,MAX(0,L65/L66))</f>
        <v/>
      </c>
      <c r="M67" s="165">
        <f>MIN(Control!$C$22,MAX(0,M65/M66))</f>
        <v/>
      </c>
    </row>
    <row r="68">
      <c r="B68" t="inlineStr">
        <is>
          <t>EBIT</t>
        </is>
      </c>
      <c r="D68" s="278">
        <f>$H$8*(1+D65)</f>
        <v/>
      </c>
      <c r="E68" s="278">
        <f>D68*(1+E65)</f>
        <v/>
      </c>
      <c r="F68" s="278">
        <f>E68*(1+F65)</f>
        <v/>
      </c>
      <c r="G68" s="278">
        <f>F68*(1+G65)</f>
        <v/>
      </c>
      <c r="H68" s="278">
        <f>G68*(1+H65)</f>
        <v/>
      </c>
      <c r="I68" s="278">
        <f>H68*(1+I65)</f>
        <v/>
      </c>
      <c r="J68" s="278">
        <f>I68*(1+J65)</f>
        <v/>
      </c>
      <c r="K68" s="278">
        <f>J68*(1+K65)</f>
        <v/>
      </c>
      <c r="L68" s="278">
        <f>K68*(1+L65)</f>
        <v/>
      </c>
      <c r="M68" s="278">
        <f>L68*(1+M65)</f>
        <v/>
      </c>
    </row>
    <row r="69">
      <c r="B69" t="inlineStr">
        <is>
          <t>NOPAT</t>
        </is>
      </c>
      <c r="D69" s="278">
        <f>D68*(1-$H$9)</f>
        <v/>
      </c>
      <c r="E69" s="278">
        <f>E68*(1-$H$9)</f>
        <v/>
      </c>
      <c r="F69" s="278">
        <f>F68*(1-$H$9)</f>
        <v/>
      </c>
      <c r="G69" s="278">
        <f>G68*(1-$H$9)</f>
        <v/>
      </c>
      <c r="H69" s="278">
        <f>H68*(1-$H$9)</f>
        <v/>
      </c>
      <c r="I69" s="278">
        <f>I68*(1-$H$9)</f>
        <v/>
      </c>
      <c r="J69" s="278">
        <f>J68*(1-$H$9)</f>
        <v/>
      </c>
      <c r="K69" s="278">
        <f>K68*(1-$H$9)</f>
        <v/>
      </c>
      <c r="L69" s="278">
        <f>L68*(1-$H$9)</f>
        <v/>
      </c>
      <c r="M69" s="278">
        <f>M68*(1-$H$9)</f>
        <v/>
      </c>
    </row>
    <row r="70">
      <c r="B70" t="inlineStr">
        <is>
          <t>FCFF</t>
        </is>
      </c>
      <c r="D70" s="278">
        <f>D69*(1-D67)</f>
        <v/>
      </c>
      <c r="E70" s="278">
        <f>E69*(1-E67)</f>
        <v/>
      </c>
      <c r="F70" s="278">
        <f>F69*(1-F67)</f>
        <v/>
      </c>
      <c r="G70" s="278">
        <f>G69*(1-G67)</f>
        <v/>
      </c>
      <c r="H70" s="278">
        <f>H69*(1-H67)</f>
        <v/>
      </c>
      <c r="I70" s="278">
        <f>I69*(1-I67)</f>
        <v/>
      </c>
      <c r="J70" s="278">
        <f>J69*(1-J67)</f>
        <v/>
      </c>
      <c r="K70" s="278">
        <f>K69*(1-K67)</f>
        <v/>
      </c>
      <c r="L70" s="278">
        <f>L69*(1-L67)</f>
        <v/>
      </c>
      <c r="M70" s="278">
        <f>M69*(1-M67)</f>
        <v/>
      </c>
    </row>
    <row r="71">
      <c r="B71" t="inlineStr">
        <is>
          <t>Discounting factor (mid-year)</t>
        </is>
      </c>
      <c r="D71" s="173">
        <f>(1+$D$20)^(-(D64-0.5))</f>
        <v/>
      </c>
      <c r="E71" s="173">
        <f>(1+$D$20)^(-(E64-0.5))</f>
        <v/>
      </c>
      <c r="F71" s="173">
        <f>(1+$D$20)^(-(F64-0.5))</f>
        <v/>
      </c>
      <c r="G71" s="173">
        <f>(1+$D$20)^(-(G64-0.5))</f>
        <v/>
      </c>
      <c r="H71" s="173">
        <f>(1+$D$20)^(-(H64-0.5))</f>
        <v/>
      </c>
      <c r="I71" s="173">
        <f>(1+$D$20)^(-(I64-0.5))</f>
        <v/>
      </c>
      <c r="J71" s="173">
        <f>(1+$D$20)^(-(J64-0.5))</f>
        <v/>
      </c>
      <c r="K71" s="173">
        <f>(1+$D$20)^(-(K64-0.5))</f>
        <v/>
      </c>
      <c r="L71" s="173">
        <f>(1+$D$20)^(-(L64-0.5))</f>
        <v/>
      </c>
      <c r="M71" s="173">
        <f>(1+$D$20)^(-(M64-0.5))</f>
        <v/>
      </c>
    </row>
    <row r="72">
      <c r="B72" t="inlineStr">
        <is>
          <t>PV of FCFF</t>
        </is>
      </c>
      <c r="D72" s="278">
        <f>D70*D71</f>
        <v/>
      </c>
      <c r="E72" s="278">
        <f>E70*E71</f>
        <v/>
      </c>
      <c r="F72" s="278">
        <f>F70*F71</f>
        <v/>
      </c>
      <c r="G72" s="278">
        <f>G70*G71</f>
        <v/>
      </c>
      <c r="H72" s="278">
        <f>H70*H71</f>
        <v/>
      </c>
      <c r="I72" s="278">
        <f>I70*I71</f>
        <v/>
      </c>
      <c r="J72" s="278">
        <f>J70*J71</f>
        <v/>
      </c>
      <c r="K72" s="278">
        <f>K70*K71</f>
        <v/>
      </c>
      <c r="L72" s="278">
        <f>L70*L71</f>
        <v/>
      </c>
      <c r="M72" s="278">
        <f>M70*M71</f>
        <v/>
      </c>
    </row>
    <row r="74">
      <c r="B74" t="inlineStr">
        <is>
          <t>Terminal value - Gordon Growth</t>
        </is>
      </c>
      <c r="D74" s="278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78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78">
        <f>IF(D76="Exit Multiple",D75*(1+$D$20)^(-10),D74*M71)</f>
        <v/>
      </c>
    </row>
    <row r="78">
      <c r="B78" t="inlineStr">
        <is>
          <t>PV of 10-year FCFF</t>
        </is>
      </c>
      <c r="D78" s="278">
        <f>SUM(D72:M72)</f>
        <v/>
      </c>
    </row>
    <row r="79">
      <c r="B79" t="inlineStr">
        <is>
          <t>Enterprise value</t>
        </is>
      </c>
      <c r="D79" s="278">
        <f>D77+D78</f>
        <v/>
      </c>
    </row>
    <row r="80">
      <c r="B80" t="inlineStr">
        <is>
          <t>Equity value</t>
        </is>
      </c>
      <c r="D80" s="278">
        <f>D79+$D$37-$D$38-$D$39</f>
        <v/>
      </c>
    </row>
    <row r="81">
      <c r="B81" s="234" t="inlineStr">
        <is>
          <t>Alt DCF value per share</t>
        </is>
      </c>
      <c r="D81" s="235">
        <f>D80/$D$41</f>
        <v/>
      </c>
    </row>
    <row r="82">
      <c r="B82" t="inlineStr">
        <is>
          <t>Upside / (Downside) vs price</t>
        </is>
      </c>
      <c r="D82" s="165">
        <f>D81/$D$45-1</f>
        <v/>
      </c>
    </row>
    <row r="83">
      <c r="B83" t="inlineStr">
        <is>
          <t>Terminal value % of EV</t>
        </is>
      </c>
      <c r="D83" s="165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2026-10-08</t>
        </is>
      </c>
      <c r="H6" t="n">
        <v>1319</v>
      </c>
      <c r="J6" t="n">
        <v>22603.05</v>
      </c>
    </row>
    <row r="7">
      <c r="B7" t="n">
        <v>2024</v>
      </c>
      <c r="C7" s="46" t="n">
        <v>0.08749999999999999</v>
      </c>
      <c r="G7" s="34" t="inlineStr">
        <is>
          <t>2026-10-07</t>
        </is>
      </c>
      <c r="H7" t="n">
        <v>1324</v>
      </c>
      <c r="J7" t="n">
        <v>22603.05</v>
      </c>
    </row>
    <row r="8">
      <c r="B8" t="n">
        <v>2023</v>
      </c>
      <c r="C8" s="46" t="n">
        <v>0.1942</v>
      </c>
      <c r="G8" s="34" t="inlineStr">
        <is>
          <t>2026-10-06</t>
        </is>
      </c>
      <c r="H8" t="n">
        <v>1341.4</v>
      </c>
      <c r="J8" t="n">
        <v>22776.1</v>
      </c>
    </row>
    <row r="9">
      <c r="B9" t="n">
        <v>2022</v>
      </c>
      <c r="C9" s="46" t="n">
        <v>0.0432</v>
      </c>
      <c r="G9" s="34" t="inlineStr">
        <is>
          <t>2026-10-05</t>
        </is>
      </c>
      <c r="H9" t="n">
        <v>1297.1</v>
      </c>
      <c r="J9" t="n">
        <v>22555.75</v>
      </c>
    </row>
    <row r="10">
      <c r="B10" t="n">
        <v>2021</v>
      </c>
      <c r="C10" s="46" t="n">
        <v>0.2412</v>
      </c>
      <c r="G10" s="34" t="inlineStr">
        <is>
          <t>2026-10-01</t>
        </is>
      </c>
      <c r="H10" t="n">
        <v>1307.7</v>
      </c>
      <c r="J10" t="n">
        <v>22421.95</v>
      </c>
    </row>
    <row r="11">
      <c r="B11" t="n">
        <v>2020</v>
      </c>
      <c r="C11" s="46" t="n">
        <v>0.149</v>
      </c>
      <c r="G11" s="34" t="inlineStr">
        <is>
          <t>2026-09-30</t>
        </is>
      </c>
      <c r="H11" t="n">
        <v>1310</v>
      </c>
      <c r="J11" t="n">
        <v>22620.45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2026-09-29</t>
        </is>
      </c>
      <c r="H12" t="n">
        <v>1345.7</v>
      </c>
      <c r="J12" t="n">
        <v>22716.2</v>
      </c>
      <c r="N12" t="n">
        <v>1</v>
      </c>
      <c r="O12" t="inlineStr">
        <is>
          <t>Britannia Inds.</t>
        </is>
      </c>
      <c r="P12" t="n">
        <v>4745.6</v>
      </c>
      <c r="Q12">
        <f>IF(P12&gt;0, R12/P12, 0)</f>
        <v/>
      </c>
      <c r="R12" t="n">
        <v>114215.7</v>
      </c>
      <c r="S12" t="n">
        <v>1380</v>
      </c>
      <c r="T12" t="n">
        <v>3610</v>
      </c>
      <c r="U12">
        <f>R12+S12-T12</f>
        <v/>
      </c>
      <c r="V12" t="n">
        <v>19999.9</v>
      </c>
      <c r="W12">
        <f>IF(X12&gt;0, U12/X12, "N/A")</f>
        <v/>
      </c>
      <c r="X12" t="n">
        <v>2604.1</v>
      </c>
    </row>
    <row r="13">
      <c r="B13" t="n">
        <v>2018</v>
      </c>
      <c r="C13" s="46" t="n">
        <v>0.0315</v>
      </c>
      <c r="G13" s="34" t="inlineStr">
        <is>
          <t>2026-09-28</t>
        </is>
      </c>
      <c r="H13" t="n">
        <v>1346</v>
      </c>
      <c r="J13" t="n">
        <v>22780.25</v>
      </c>
      <c r="N13" t="n">
        <v>2</v>
      </c>
      <c r="O13" t="inlineStr">
        <is>
          <t>ITC</t>
        </is>
      </c>
      <c r="P13" t="n">
        <v>255</v>
      </c>
      <c r="Q13">
        <f>IF(P13&gt;0, R13/P13, 0)</f>
        <v/>
      </c>
      <c r="R13" t="n">
        <v>320010</v>
      </c>
      <c r="S13" t="n">
        <v>2399</v>
      </c>
      <c r="T13" t="n">
        <v>38128</v>
      </c>
      <c r="U13">
        <f>R13+S13-T13</f>
        <v/>
      </c>
      <c r="V13" t="n">
        <v>76457.5</v>
      </c>
      <c r="W13">
        <f>IF(X13&gt;0, U13/X13, "N/A")</f>
        <v/>
      </c>
      <c r="X13" t="n">
        <v>19753.7</v>
      </c>
    </row>
    <row r="14">
      <c r="B14" t="n">
        <v>2017</v>
      </c>
      <c r="C14" s="46" t="n">
        <v>0.2865</v>
      </c>
      <c r="G14" s="34" t="inlineStr">
        <is>
          <t>2026-09-25</t>
        </is>
      </c>
      <c r="H14" t="n">
        <v>1362.6</v>
      </c>
      <c r="J14" t="n">
        <v>23140.5</v>
      </c>
      <c r="N14" t="n">
        <v>3</v>
      </c>
      <c r="O14">
        <f>'Data Sheet'!B1</f>
        <v/>
      </c>
      <c r="P14" t="n">
        <v>1319</v>
      </c>
      <c r="Q14">
        <f>IF(P14&gt;0, R14/P14, 0)</f>
        <v/>
      </c>
      <c r="R14" t="n">
        <v>254913</v>
      </c>
      <c r="S14" t="n">
        <v>444</v>
      </c>
      <c r="T14" t="n">
        <v>0</v>
      </c>
      <c r="U14">
        <f>R14+S14-T14</f>
        <v/>
      </c>
      <c r="V14" t="n">
        <v>0</v>
      </c>
      <c r="W14">
        <f>IF(X14&gt;0, U14/X14, "N/A")</f>
        <v/>
      </c>
      <c r="X14" t="n">
        <v>0</v>
      </c>
    </row>
    <row r="15">
      <c r="B15" t="n">
        <v>2016</v>
      </c>
      <c r="C15" s="46" t="n">
        <v>0.0301</v>
      </c>
      <c r="G15" s="34" t="inlineStr">
        <is>
          <t>2026-09-24</t>
        </is>
      </c>
      <c r="H15" t="n">
        <v>1351</v>
      </c>
      <c r="J15" t="n">
        <v>23063.1</v>
      </c>
      <c r="N15" t="n">
        <v>4</v>
      </c>
      <c r="O15" t="inlineStr">
        <is>
          <t>Hind. Unilever</t>
        </is>
      </c>
      <c r="P15" t="n">
        <v>1844.5</v>
      </c>
      <c r="Q15">
        <f>IF(P15&gt;0, R15/P15, 0)</f>
        <v/>
      </c>
      <c r="R15" t="n">
        <v>432778.9</v>
      </c>
      <c r="S15" t="n">
        <v>1478</v>
      </c>
      <c r="T15" t="n">
        <v>5939</v>
      </c>
      <c r="U15">
        <f>R15+S15-T15</f>
        <v/>
      </c>
      <c r="V15" t="n">
        <v>69364</v>
      </c>
      <c r="W15">
        <f>IF(X15&gt;0, U15/X15, "N/A")</f>
        <v/>
      </c>
      <c r="X15" t="n">
        <v>11026.21</v>
      </c>
    </row>
    <row r="16">
      <c r="B16" t="n">
        <v>2015</v>
      </c>
      <c r="C16" s="46" t="n">
        <v>-0.0406</v>
      </c>
      <c r="G16" s="34" t="inlineStr">
        <is>
          <t>2026-09-23</t>
        </is>
      </c>
      <c r="H16" t="n">
        <v>1387.2</v>
      </c>
      <c r="J16" t="n">
        <v>23446.8</v>
      </c>
      <c r="N16" t="n">
        <v>5</v>
      </c>
      <c r="O16" t="inlineStr">
        <is>
          <t>Varun Beverages</t>
        </is>
      </c>
      <c r="P16" t="n">
        <v>432</v>
      </c>
      <c r="Q16">
        <f>IF(P16&gt;0, R16/P16, 0)</f>
        <v/>
      </c>
      <c r="R16" t="n">
        <v>146156.9</v>
      </c>
      <c r="S16" t="n">
        <v>2508</v>
      </c>
      <c r="T16" t="n">
        <v>1200</v>
      </c>
      <c r="U16">
        <f>R16+S16-T16</f>
        <v/>
      </c>
      <c r="V16" t="n">
        <v>33804.9</v>
      </c>
      <c r="W16">
        <f>IF(X16&gt;0, U16/X16, "N/A")</f>
        <v/>
      </c>
      <c r="X16" t="n">
        <v>3386.4</v>
      </c>
    </row>
    <row r="17">
      <c r="B17" t="n">
        <v>2014</v>
      </c>
      <c r="C17" s="46" t="n">
        <v>0.3139</v>
      </c>
      <c r="G17" s="34" t="inlineStr">
        <is>
          <t>2026-09-22</t>
        </is>
      </c>
      <c r="H17" t="n">
        <v>1363.9</v>
      </c>
      <c r="J17" t="n">
        <v>23329</v>
      </c>
      <c r="N17" t="n">
        <v>6</v>
      </c>
      <c r="O17" t="inlineStr">
        <is>
          <t>Marico</t>
        </is>
      </c>
      <c r="P17" t="n">
        <v>777.25</v>
      </c>
      <c r="Q17">
        <f>IF(P17&gt;0, R17/P17, 0)</f>
        <v/>
      </c>
      <c r="R17" t="n">
        <v>101148.3</v>
      </c>
      <c r="S17" t="n">
        <v>557</v>
      </c>
      <c r="T17" t="n">
        <v>2083</v>
      </c>
      <c r="U17">
        <f>R17+S17-T17</f>
        <v/>
      </c>
      <c r="V17" t="n">
        <v>15828</v>
      </c>
      <c r="W17">
        <f>IF(X17&gt;0, U17/X17, "N/A")</f>
        <v/>
      </c>
      <c r="X17" t="n">
        <v>1888.15</v>
      </c>
    </row>
    <row r="18">
      <c r="B18" t="n">
        <v>2013</v>
      </c>
      <c r="C18" s="46" t="n">
        <v>0.06759999999999999</v>
      </c>
      <c r="G18" s="34" t="inlineStr">
        <is>
          <t>2026-09-21</t>
        </is>
      </c>
      <c r="H18" t="n">
        <v>1385</v>
      </c>
      <c r="J18" t="n">
        <v>23414.3</v>
      </c>
      <c r="N18" t="n">
        <v>7</v>
      </c>
      <c r="O18" t="inlineStr">
        <is>
          <t>Godrej Consumer</t>
        </is>
      </c>
      <c r="P18" t="n">
        <v>865</v>
      </c>
      <c r="Q18">
        <f>IF(P18&gt;0, R18/P18, 0)</f>
        <v/>
      </c>
      <c r="R18" t="n">
        <v>88367.8</v>
      </c>
      <c r="S18" t="n">
        <v>4421</v>
      </c>
      <c r="T18" t="n">
        <v>2767</v>
      </c>
      <c r="U18">
        <f>R18+S18-T18</f>
        <v/>
      </c>
      <c r="V18" t="n">
        <v>16901.9</v>
      </c>
      <c r="W18">
        <f>IF(X18&gt;0, U18/X18, "N/A")</f>
        <v/>
      </c>
      <c r="X18" t="n">
        <v>2076.31</v>
      </c>
    </row>
    <row r="19">
      <c r="B19" t="n">
        <v>2012</v>
      </c>
      <c r="C19" s="46" t="n">
        <v>0.277</v>
      </c>
      <c r="G19" s="34" t="inlineStr">
        <is>
          <t>2026-09-18</t>
        </is>
      </c>
      <c r="H19" t="n">
        <v>1372.4</v>
      </c>
      <c r="J19" t="n">
        <v>23346.4</v>
      </c>
      <c r="N19" t="n">
        <v>8</v>
      </c>
      <c r="O19" t="inlineStr">
        <is>
          <t>Dabur India</t>
        </is>
      </c>
      <c r="P19" t="n">
        <v>376.8</v>
      </c>
      <c r="Q19">
        <f>IF(P19&gt;0, R19/P19, 0)</f>
        <v/>
      </c>
      <c r="R19" t="n">
        <v>66634.2</v>
      </c>
      <c r="S19" t="n">
        <v>1120</v>
      </c>
      <c r="T19" t="n">
        <v>1450</v>
      </c>
      <c r="U19">
        <f>R19+S19-T19</f>
        <v/>
      </c>
      <c r="V19" t="n">
        <v>15057.6</v>
      </c>
      <c r="W19">
        <f>IF(X19&gt;0, U19/X19, "N/A")</f>
        <v/>
      </c>
      <c r="X19" t="n">
        <v>1983.75</v>
      </c>
    </row>
    <row r="20">
      <c r="B20" t="n">
        <v>2011</v>
      </c>
      <c r="C20" s="46" t="n">
        <v>-0.2462</v>
      </c>
      <c r="G20" s="34" t="inlineStr">
        <is>
          <t>2026-09-17</t>
        </is>
      </c>
      <c r="H20" t="n">
        <v>1370.6</v>
      </c>
      <c r="J20" t="n">
        <v>23270.6</v>
      </c>
      <c r="N20" t="n">
        <v>9</v>
      </c>
      <c r="O20" t="inlineStr">
        <is>
          <t>Milky Mist Dairy</t>
        </is>
      </c>
      <c r="P20" t="n">
        <v>328.35</v>
      </c>
      <c r="Q20">
        <f>IF(P20&gt;0, R20/P20, 0)</f>
        <v/>
      </c>
      <c r="R20" t="n">
        <v>25330.7</v>
      </c>
      <c r="S20" t="n">
        <v>1677</v>
      </c>
      <c r="T20" t="n">
        <v>0</v>
      </c>
      <c r="U20">
        <f>R20+S20-T20</f>
        <v/>
      </c>
      <c r="V20" t="n">
        <v>3893.6</v>
      </c>
      <c r="W20">
        <f>IF(X20&gt;0, U20/X20, "N/A")</f>
        <v/>
      </c>
      <c r="X20" t="n">
        <v>183.21</v>
      </c>
    </row>
    <row r="21">
      <c r="B21" t="n">
        <v>2010</v>
      </c>
      <c r="C21" s="46" t="n">
        <v>0.1795</v>
      </c>
      <c r="G21" s="34" t="inlineStr">
        <is>
          <t>2026-09-16</t>
        </is>
      </c>
      <c r="H21" t="n">
        <v>1384.5</v>
      </c>
      <c r="J21" t="n">
        <v>23217.6</v>
      </c>
      <c r="N21" t="n">
        <v>10</v>
      </c>
      <c r="O21" t="inlineStr">
        <is>
          <t>Hero Motocorp</t>
        </is>
      </c>
      <c r="P21" t="n">
        <v>5285.5</v>
      </c>
      <c r="Q21">
        <f>IF(P21&gt;0, R21/P21, 0)</f>
        <v/>
      </c>
      <c r="R21" t="n">
        <v>105784.63</v>
      </c>
      <c r="S21" t="n">
        <v>26446.16</v>
      </c>
      <c r="T21" t="n">
        <v>5289.23</v>
      </c>
      <c r="U21" t="n">
        <v>126941.56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inlineStr">
        <is>
          <t>2026-09-15</t>
        </is>
      </c>
      <c r="H22" t="n">
        <v>1362</v>
      </c>
      <c r="J22" t="n">
        <v>23118.6</v>
      </c>
      <c r="W22">
        <f>IF(X22&gt;0, U22/X22, "N/A")</f>
        <v/>
      </c>
    </row>
    <row r="23">
      <c r="B23" t="n">
        <v>2008</v>
      </c>
      <c r="C23" s="46" t="n">
        <v>-0.5179</v>
      </c>
      <c r="G23" s="34" t="inlineStr">
        <is>
          <t>2026-09-11</t>
        </is>
      </c>
      <c r="H23" t="n">
        <v>1383.3</v>
      </c>
      <c r="J23" t="n">
        <v>23398.1</v>
      </c>
      <c r="W23">
        <f>IF(X23&gt;0, U23/X23, "N/A")</f>
        <v/>
      </c>
    </row>
    <row r="24">
      <c r="B24" t="n">
        <v>2007</v>
      </c>
      <c r="C24" s="46" t="n">
        <v>0.5477</v>
      </c>
      <c r="G24" s="34" t="inlineStr">
        <is>
          <t>2026-09-10</t>
        </is>
      </c>
      <c r="H24" t="n">
        <v>1386.2</v>
      </c>
      <c r="J24" t="n">
        <v>23477.8</v>
      </c>
      <c r="O24" t="inlineStr">
        <is>
          <t>Britannia Inds.</t>
        </is>
      </c>
      <c r="Q24" t="inlineStr">
        <is>
          <t>India</t>
        </is>
      </c>
      <c r="R24" t="n">
        <v>1380</v>
      </c>
      <c r="S24" t="n">
        <v>114215.7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inlineStr">
        <is>
          <t>2026-09-09</t>
        </is>
      </c>
      <c r="H25" t="n">
        <v>1393</v>
      </c>
      <c r="J25" t="n">
        <v>23431.5</v>
      </c>
      <c r="O25" t="inlineStr">
        <is>
          <t>ITC</t>
        </is>
      </c>
      <c r="Q25">
        <f>Q24</f>
        <v/>
      </c>
      <c r="R25" t="n">
        <v>2399</v>
      </c>
      <c r="S25" t="n">
        <v>320010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inlineStr">
        <is>
          <t>2026-09-08</t>
        </is>
      </c>
      <c r="H26" t="n">
        <v>1400.5</v>
      </c>
      <c r="J26" t="n">
        <v>23635.1</v>
      </c>
      <c r="O26">
        <f>'Data Sheet'!B1</f>
        <v/>
      </c>
      <c r="Q26">
        <f>Q25</f>
        <v/>
      </c>
      <c r="R26" t="n">
        <v>444</v>
      </c>
      <c r="S26" t="n">
        <v>254913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inlineStr">
        <is>
          <t>2026-09-07</t>
        </is>
      </c>
      <c r="H27" t="n">
        <v>1398</v>
      </c>
      <c r="J27" t="n">
        <v>23779.15</v>
      </c>
      <c r="O27" t="inlineStr">
        <is>
          <t>Hind. Unilever</t>
        </is>
      </c>
      <c r="Q27">
        <f>Q26</f>
        <v/>
      </c>
      <c r="R27" t="n">
        <v>1478</v>
      </c>
      <c r="S27" t="n">
        <v>432778.9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2026-09-04</t>
        </is>
      </c>
      <c r="H28" t="n">
        <v>1410.5</v>
      </c>
      <c r="J28" t="n">
        <v>23897.7</v>
      </c>
      <c r="O28" t="inlineStr">
        <is>
          <t>Varun Beverages</t>
        </is>
      </c>
      <c r="Q28">
        <f>Q27</f>
        <v/>
      </c>
      <c r="R28" t="n">
        <v>2508</v>
      </c>
      <c r="S28" t="n">
        <v>146156.9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2026-09-03</t>
        </is>
      </c>
      <c r="H29" t="n">
        <v>1416</v>
      </c>
      <c r="J29" t="n">
        <v>23873.45</v>
      </c>
    </row>
    <row r="30">
      <c r="G30" s="34" t="inlineStr">
        <is>
          <t>2026-09-02</t>
        </is>
      </c>
      <c r="H30" t="n">
        <v>1425</v>
      </c>
      <c r="J30" t="n">
        <v>23914.45</v>
      </c>
    </row>
    <row r="31">
      <c r="G31" s="34" t="inlineStr">
        <is>
          <t>2026-09-01</t>
        </is>
      </c>
      <c r="H31" t="n">
        <v>1438.2</v>
      </c>
      <c r="J31" t="n">
        <v>24055.8</v>
      </c>
    </row>
    <row r="32">
      <c r="G32" s="34" t="inlineStr">
        <is>
          <t>2026-08-31</t>
        </is>
      </c>
      <c r="H32" t="n">
        <v>1496.5</v>
      </c>
      <c r="J32" t="n">
        <v>24080.4</v>
      </c>
    </row>
    <row r="33">
      <c r="G33" s="34" t="inlineStr">
        <is>
          <t>2026-08-28</t>
        </is>
      </c>
      <c r="H33" t="n">
        <v>1454.6</v>
      </c>
      <c r="J33" t="n">
        <v>24175.65</v>
      </c>
    </row>
    <row r="34">
      <c r="G34" s="34" t="inlineStr">
        <is>
          <t>2026-08-27</t>
        </is>
      </c>
      <c r="H34" t="n">
        <v>1450</v>
      </c>
      <c r="J34" t="n">
        <v>24090.85</v>
      </c>
    </row>
    <row r="35">
      <c r="G35" s="34" t="inlineStr">
        <is>
          <t>2026-08-26</t>
        </is>
      </c>
      <c r="H35" t="n">
        <v>1451.5</v>
      </c>
      <c r="J35" t="n">
        <v>24207.75</v>
      </c>
    </row>
    <row r="36">
      <c r="G36" s="34" t="inlineStr">
        <is>
          <t>2026-08-25</t>
        </is>
      </c>
      <c r="H36" t="n">
        <v>1479</v>
      </c>
      <c r="J36" t="n">
        <v>24334.55</v>
      </c>
    </row>
    <row r="37">
      <c r="G37" s="34" t="inlineStr">
        <is>
          <t>2026-08-24</t>
        </is>
      </c>
      <c r="H37" t="n">
        <v>1471.3</v>
      </c>
      <c r="J37" t="n">
        <v>24219.05</v>
      </c>
    </row>
    <row r="38">
      <c r="G38" s="34" t="inlineStr">
        <is>
          <t>2026-08-21</t>
        </is>
      </c>
      <c r="H38" t="n">
        <v>1477.1</v>
      </c>
      <c r="J38" t="n">
        <v>24252</v>
      </c>
    </row>
    <row r="39">
      <c r="G39" s="34" t="inlineStr">
        <is>
          <t>2026-08-20</t>
        </is>
      </c>
      <c r="H39" t="n">
        <v>1458</v>
      </c>
      <c r="J39" t="n">
        <v>24231.85</v>
      </c>
    </row>
    <row r="40">
      <c r="G40" s="34" t="inlineStr">
        <is>
          <t>2026-08-19</t>
        </is>
      </c>
      <c r="H40" t="n">
        <v>1465</v>
      </c>
      <c r="J40" t="n">
        <v>24078.3</v>
      </c>
    </row>
    <row r="41">
      <c r="G41" s="34" t="inlineStr">
        <is>
          <t>2026-08-18</t>
        </is>
      </c>
      <c r="H41" t="n">
        <v>1462.5</v>
      </c>
      <c r="J41" t="n">
        <v>24154.9</v>
      </c>
    </row>
    <row r="42">
      <c r="G42" s="34" t="inlineStr">
        <is>
          <t>2026-08-17</t>
        </is>
      </c>
      <c r="H42" t="n">
        <v>1470</v>
      </c>
      <c r="J42" t="n">
        <v>24287.65</v>
      </c>
    </row>
    <row r="43">
      <c r="G43" s="34" t="inlineStr">
        <is>
          <t>2026-08-14</t>
        </is>
      </c>
      <c r="H43" t="n">
        <v>1499.1</v>
      </c>
      <c r="J43" t="n">
        <v>24366</v>
      </c>
    </row>
    <row r="44">
      <c r="G44" s="34" t="inlineStr">
        <is>
          <t>2026-08-13</t>
        </is>
      </c>
      <c r="H44" t="n">
        <v>1506.9</v>
      </c>
      <c r="J44" t="n">
        <v>24395.85</v>
      </c>
    </row>
    <row r="45">
      <c r="G45" s="34" t="inlineStr">
        <is>
          <t>2026-08-12</t>
        </is>
      </c>
      <c r="H45" t="n">
        <v>1507</v>
      </c>
      <c r="J45" t="n">
        <v>24435.95</v>
      </c>
    </row>
    <row r="46">
      <c r="G46" s="34" t="inlineStr">
        <is>
          <t>2026-08-11</t>
        </is>
      </c>
      <c r="H46" t="n">
        <v>1493.2</v>
      </c>
      <c r="J46" t="n">
        <v>24471.7</v>
      </c>
    </row>
    <row r="47">
      <c r="G47" s="34" t="inlineStr">
        <is>
          <t>2026-08-10</t>
        </is>
      </c>
      <c r="H47" t="n">
        <v>1528.6</v>
      </c>
      <c r="J47" t="n">
        <v>24583.8</v>
      </c>
    </row>
    <row r="48">
      <c r="G48" s="34" t="inlineStr">
        <is>
          <t>2026-08-07</t>
        </is>
      </c>
      <c r="H48" t="n">
        <v>1540</v>
      </c>
      <c r="J48" t="n">
        <v>24570.65</v>
      </c>
    </row>
    <row r="49">
      <c r="G49" s="34" t="inlineStr">
        <is>
          <t>2026-08-06</t>
        </is>
      </c>
      <c r="H49" t="n">
        <v>1535</v>
      </c>
      <c r="J49" t="n">
        <v>24636</v>
      </c>
    </row>
    <row r="50">
      <c r="G50" s="34" t="inlineStr">
        <is>
          <t>2026-08-05</t>
        </is>
      </c>
      <c r="H50" t="n">
        <v>1520</v>
      </c>
      <c r="J50" t="n">
        <v>24624.65</v>
      </c>
    </row>
    <row r="51">
      <c r="G51" s="34" t="inlineStr">
        <is>
          <t>2026-08-04</t>
        </is>
      </c>
      <c r="H51" t="n">
        <v>1520</v>
      </c>
      <c r="J51" t="n">
        <v>24614.9</v>
      </c>
    </row>
    <row r="52">
      <c r="G52" s="34" t="inlineStr">
        <is>
          <t>2026-08-03</t>
        </is>
      </c>
      <c r="H52" t="n">
        <v>1530</v>
      </c>
      <c r="J52" t="n">
        <v>24774.3</v>
      </c>
    </row>
    <row r="53">
      <c r="G53" s="34" t="inlineStr">
        <is>
          <t>2026-07-31</t>
        </is>
      </c>
      <c r="H53" t="n">
        <v>1509.6</v>
      </c>
      <c r="J53" t="n">
        <v>24383.6</v>
      </c>
    </row>
    <row r="54">
      <c r="G54" s="34" t="inlineStr">
        <is>
          <t>2026-07-30</t>
        </is>
      </c>
      <c r="H54" t="n">
        <v>1520.7</v>
      </c>
      <c r="J54" t="n">
        <v>24317.15</v>
      </c>
    </row>
    <row r="55">
      <c r="G55" s="34" t="inlineStr">
        <is>
          <t>2026-07-29</t>
        </is>
      </c>
      <c r="H55" t="n">
        <v>1503.3</v>
      </c>
      <c r="J55" t="n">
        <v>24250.2</v>
      </c>
    </row>
    <row r="56">
      <c r="G56" s="34" t="inlineStr">
        <is>
          <t>2026-07-28</t>
        </is>
      </c>
      <c r="H56" t="n">
        <v>1491.8</v>
      </c>
      <c r="J56" t="n">
        <v>23985.35</v>
      </c>
    </row>
    <row r="57">
      <c r="G57" s="34" t="inlineStr">
        <is>
          <t>2026-07-27</t>
        </is>
      </c>
      <c r="H57" t="n">
        <v>1446.1</v>
      </c>
      <c r="J57" t="n">
        <v>23995.95</v>
      </c>
    </row>
    <row r="58">
      <c r="G58" s="34" t="inlineStr">
        <is>
          <t>2026-07-24</t>
        </is>
      </c>
      <c r="H58" t="n">
        <v>1443.5</v>
      </c>
      <c r="J58" t="n">
        <v>23767.45</v>
      </c>
    </row>
    <row r="59">
      <c r="G59" s="34" t="inlineStr">
        <is>
          <t>2026-07-23</t>
        </is>
      </c>
      <c r="H59" t="n">
        <v>1447.9</v>
      </c>
      <c r="J59" t="n">
        <v>23869.6</v>
      </c>
    </row>
    <row r="60">
      <c r="G60" s="34" t="inlineStr">
        <is>
          <t>2026-07-22</t>
        </is>
      </c>
      <c r="H60" t="n">
        <v>1493.6</v>
      </c>
      <c r="J60" t="n">
        <v>23996.25</v>
      </c>
    </row>
    <row r="61">
      <c r="G61" s="34" t="inlineStr">
        <is>
          <t>2026-07-21</t>
        </is>
      </c>
      <c r="H61" t="n">
        <v>1451.9</v>
      </c>
      <c r="J61" t="n">
        <v>24187.7</v>
      </c>
    </row>
    <row r="62">
      <c r="G62" s="34" t="inlineStr">
        <is>
          <t>2026-07-20</t>
        </is>
      </c>
      <c r="H62" t="n">
        <v>1446.3</v>
      </c>
      <c r="J62" t="n">
        <v>24238.5</v>
      </c>
    </row>
    <row r="63">
      <c r="G63" s="34" t="inlineStr">
        <is>
          <t>2026-07-17</t>
        </is>
      </c>
      <c r="H63" t="n">
        <v>1427.2</v>
      </c>
      <c r="J63" t="n">
        <v>24334.3</v>
      </c>
    </row>
    <row r="64">
      <c r="G64" s="34" t="inlineStr">
        <is>
          <t>2026-07-16</t>
        </is>
      </c>
      <c r="H64" t="n">
        <v>1423.5</v>
      </c>
      <c r="J64" t="n">
        <v>24072.75</v>
      </c>
    </row>
    <row r="65">
      <c r="G65" s="34" t="inlineStr">
        <is>
          <t>2026-07-15</t>
        </is>
      </c>
      <c r="H65" t="n">
        <v>1424.4</v>
      </c>
      <c r="J65" t="n">
        <v>24078.5</v>
      </c>
    </row>
    <row r="66">
      <c r="G66" s="34" t="inlineStr">
        <is>
          <t>2026-07-14</t>
        </is>
      </c>
      <c r="H66" t="n">
        <v>1427.1</v>
      </c>
      <c r="J66" t="n">
        <v>24052.05</v>
      </c>
    </row>
    <row r="67">
      <c r="G67" s="34" t="inlineStr">
        <is>
          <t>2026-07-13</t>
        </is>
      </c>
      <c r="H67" t="n">
        <v>1427</v>
      </c>
      <c r="J67" t="n">
        <v>24211</v>
      </c>
    </row>
    <row r="68">
      <c r="G68" s="34" t="inlineStr">
        <is>
          <t>2026-07-10</t>
        </is>
      </c>
      <c r="H68" t="n">
        <v>1455.2</v>
      </c>
      <c r="J68" t="n">
        <v>24206.9</v>
      </c>
    </row>
    <row r="69">
      <c r="G69" s="34" t="inlineStr">
        <is>
          <t>2026-07-09</t>
        </is>
      </c>
      <c r="H69" t="n">
        <v>1463.2</v>
      </c>
      <c r="J69" t="n">
        <v>23962.8</v>
      </c>
    </row>
    <row r="70">
      <c r="G70" s="34" t="inlineStr">
        <is>
          <t>2026-07-08</t>
        </is>
      </c>
      <c r="H70" t="n">
        <v>1450.5</v>
      </c>
      <c r="J70" t="n">
        <v>23882.05</v>
      </c>
    </row>
    <row r="71">
      <c r="G71" s="34" t="inlineStr">
        <is>
          <t>2026-07-07</t>
        </is>
      </c>
      <c r="H71" t="n">
        <v>1471.8</v>
      </c>
      <c r="J71" t="n">
        <v>24398.7</v>
      </c>
    </row>
    <row r="72">
      <c r="G72" s="34" t="inlineStr">
        <is>
          <t>2026-07-06</t>
        </is>
      </c>
      <c r="H72" t="n">
        <v>1473.7</v>
      </c>
      <c r="J72" t="n">
        <v>24430.35</v>
      </c>
    </row>
    <row r="73">
      <c r="G73" s="34" t="inlineStr">
        <is>
          <t>2026-07-03</t>
        </is>
      </c>
      <c r="H73" t="n">
        <v>1459.8</v>
      </c>
      <c r="J73" t="n">
        <v>24270.85</v>
      </c>
    </row>
    <row r="74">
      <c r="G74" s="34" t="inlineStr">
        <is>
          <t>2026-07-02</t>
        </is>
      </c>
      <c r="H74" t="n">
        <v>1446.2</v>
      </c>
      <c r="J74" t="n">
        <v>24175.7</v>
      </c>
    </row>
    <row r="75">
      <c r="G75" s="34" t="inlineStr">
        <is>
          <t>2026-07-01</t>
        </is>
      </c>
      <c r="H75" t="n">
        <v>1453.8</v>
      </c>
      <c r="J75" t="n">
        <v>24005.85</v>
      </c>
    </row>
    <row r="76">
      <c r="G76" s="34" t="inlineStr">
        <is>
          <t>2026-06-30</t>
        </is>
      </c>
      <c r="H76" t="n">
        <v>1405.2</v>
      </c>
      <c r="J76" t="n">
        <v>23865.75</v>
      </c>
    </row>
    <row r="77">
      <c r="G77" s="34" t="inlineStr">
        <is>
          <t>2026-06-29</t>
        </is>
      </c>
      <c r="H77" t="n">
        <v>1387.3</v>
      </c>
      <c r="J77" t="n">
        <v>23946.25</v>
      </c>
    </row>
    <row r="78">
      <c r="G78" s="34" t="inlineStr">
        <is>
          <t>2026-06-25</t>
        </is>
      </c>
      <c r="H78" t="n">
        <v>1402.6</v>
      </c>
      <c r="J78" t="n">
        <v>24056</v>
      </c>
    </row>
    <row r="79">
      <c r="G79" s="34" t="inlineStr">
        <is>
          <t>2026-06-24</t>
        </is>
      </c>
      <c r="H79" t="n">
        <v>1382.6</v>
      </c>
      <c r="J79" t="n">
        <v>24021.65</v>
      </c>
    </row>
    <row r="80">
      <c r="G80" s="34" t="inlineStr">
        <is>
          <t>2026-06-23</t>
        </is>
      </c>
      <c r="H80" t="n">
        <v>1392.2</v>
      </c>
      <c r="J80" t="n">
        <v>23824.1</v>
      </c>
    </row>
    <row r="81">
      <c r="G81" s="34" t="inlineStr">
        <is>
          <t>2026-06-22</t>
        </is>
      </c>
      <c r="H81" t="n">
        <v>1401.9</v>
      </c>
      <c r="J81" t="n">
        <v>24102.9</v>
      </c>
    </row>
    <row r="82">
      <c r="G82" s="34" t="inlineStr">
        <is>
          <t>2026-06-19</t>
        </is>
      </c>
      <c r="H82" t="n">
        <v>1414.8</v>
      </c>
      <c r="J82" t="n">
        <v>24013.1</v>
      </c>
    </row>
    <row r="83">
      <c r="G83" s="34" t="inlineStr">
        <is>
          <t>2026-06-18</t>
        </is>
      </c>
      <c r="H83" t="n">
        <v>1400.4</v>
      </c>
      <c r="J83" t="n">
        <v>24168</v>
      </c>
    </row>
    <row r="84">
      <c r="G84" s="34" t="inlineStr">
        <is>
          <t>2026-06-17</t>
        </is>
      </c>
      <c r="H84" t="n">
        <v>1407.3</v>
      </c>
      <c r="J84" t="n">
        <v>24085.7</v>
      </c>
    </row>
    <row r="85">
      <c r="G85" s="34" t="inlineStr">
        <is>
          <t>2026-06-16</t>
        </is>
      </c>
      <c r="H85" t="n">
        <v>1391.7</v>
      </c>
      <c r="J85" t="n">
        <v>23989.15</v>
      </c>
    </row>
    <row r="86">
      <c r="G86" s="34" t="inlineStr">
        <is>
          <t>2026-06-15</t>
        </is>
      </c>
      <c r="H86" t="n">
        <v>1374.7</v>
      </c>
      <c r="J86" t="n">
        <v>23853.9</v>
      </c>
    </row>
    <row r="87">
      <c r="G87" s="34" t="inlineStr">
        <is>
          <t>2026-06-12</t>
        </is>
      </c>
      <c r="H87" t="n">
        <v>1375.7</v>
      </c>
      <c r="J87" t="n">
        <v>23622.9</v>
      </c>
    </row>
    <row r="88">
      <c r="G88" s="34" t="inlineStr">
        <is>
          <t>2026-06-11</t>
        </is>
      </c>
      <c r="H88" t="n">
        <v>1422.5</v>
      </c>
      <c r="J88" t="n">
        <v>23161.6</v>
      </c>
    </row>
    <row r="89">
      <c r="G89" s="34" t="inlineStr">
        <is>
          <t>2026-06-10</t>
        </is>
      </c>
      <c r="H89" t="n">
        <v>1438.3</v>
      </c>
      <c r="J89" t="n">
        <v>23214.95</v>
      </c>
    </row>
    <row r="90">
      <c r="G90" s="34" t="inlineStr">
        <is>
          <t>2026-06-09</t>
        </is>
      </c>
      <c r="H90" t="n">
        <v>1410.4</v>
      </c>
      <c r="J90" t="n">
        <v>23242.1</v>
      </c>
    </row>
    <row r="91">
      <c r="G91" s="34" t="inlineStr">
        <is>
          <t>2026-06-08</t>
        </is>
      </c>
      <c r="H91" t="n">
        <v>1398.9</v>
      </c>
      <c r="J91" t="n">
        <v>23123</v>
      </c>
    </row>
    <row r="92">
      <c r="G92" s="34" t="inlineStr">
        <is>
          <t>2026-06-05</t>
        </is>
      </c>
      <c r="H92" t="n">
        <v>1386.2</v>
      </c>
      <c r="J92" t="n">
        <v>23366.7</v>
      </c>
    </row>
    <row r="93">
      <c r="G93" s="34" t="inlineStr">
        <is>
          <t>2026-06-04</t>
        </is>
      </c>
      <c r="H93" t="n">
        <v>1382.9</v>
      </c>
      <c r="J93" t="n">
        <v>23416.55</v>
      </c>
    </row>
    <row r="94">
      <c r="G94" s="34" t="inlineStr">
        <is>
          <t>2026-06-03</t>
        </is>
      </c>
      <c r="H94" t="n">
        <v>1391.5</v>
      </c>
      <c r="J94" t="n">
        <v>23405.6</v>
      </c>
    </row>
    <row r="95">
      <c r="G95" s="34" t="inlineStr">
        <is>
          <t>2026-06-02</t>
        </is>
      </c>
      <c r="H95" t="n">
        <v>1398.7</v>
      </c>
      <c r="J95" t="n">
        <v>23483.55</v>
      </c>
    </row>
    <row r="96">
      <c r="G96" s="34" t="inlineStr">
        <is>
          <t>2026-06-01</t>
        </is>
      </c>
      <c r="H96" t="n">
        <v>1391.8</v>
      </c>
      <c r="J96" t="n">
        <v>23382.6</v>
      </c>
    </row>
    <row r="97">
      <c r="G97" s="34" t="inlineStr">
        <is>
          <t>2026-05-29</t>
        </is>
      </c>
      <c r="H97" t="n">
        <v>1421.5</v>
      </c>
      <c r="J97" t="n">
        <v>23547.75</v>
      </c>
    </row>
    <row r="98">
      <c r="G98" s="34" t="inlineStr">
        <is>
          <t>2026-05-27</t>
        </is>
      </c>
      <c r="H98" t="n">
        <v>1427.5</v>
      </c>
      <c r="J98" t="n">
        <v>23907.15</v>
      </c>
    </row>
    <row r="99">
      <c r="G99" s="34" t="inlineStr">
        <is>
          <t>2026-05-26</t>
        </is>
      </c>
      <c r="H99" t="n">
        <v>1428.6</v>
      </c>
      <c r="J99" t="n">
        <v>23913.7</v>
      </c>
    </row>
    <row r="100">
      <c r="G100" s="34" t="inlineStr">
        <is>
          <t>2026-05-25</t>
        </is>
      </c>
      <c r="H100" t="n">
        <v>1413.6</v>
      </c>
      <c r="J100" t="n">
        <v>24031.7</v>
      </c>
    </row>
    <row r="101">
      <c r="G101" s="34" t="inlineStr">
        <is>
          <t>2026-05-22</t>
        </is>
      </c>
      <c r="H101" t="n">
        <v>1423.1</v>
      </c>
      <c r="J101" t="n">
        <v>23719.3</v>
      </c>
    </row>
    <row r="102">
      <c r="G102" s="34" t="inlineStr">
        <is>
          <t>2026-05-21</t>
        </is>
      </c>
      <c r="H102" t="n">
        <v>1406.5</v>
      </c>
      <c r="J102" t="n">
        <v>23654.7</v>
      </c>
    </row>
    <row r="103">
      <c r="G103" s="34" t="inlineStr">
        <is>
          <t>2026-05-20</t>
        </is>
      </c>
      <c r="H103" t="n">
        <v>1420.1</v>
      </c>
      <c r="J103" t="n">
        <v>23659</v>
      </c>
    </row>
    <row r="104">
      <c r="G104" s="34" t="inlineStr">
        <is>
          <t>2026-05-19</t>
        </is>
      </c>
      <c r="H104" t="n">
        <v>1431.4</v>
      </c>
      <c r="J104" t="n">
        <v>23618</v>
      </c>
    </row>
    <row r="105">
      <c r="G105" s="34" t="inlineStr">
        <is>
          <t>2026-05-18</t>
        </is>
      </c>
      <c r="H105" t="n">
        <v>1431.7</v>
      </c>
      <c r="J105" t="n">
        <v>23649.95</v>
      </c>
    </row>
    <row r="106">
      <c r="G106" s="34" t="inlineStr">
        <is>
          <t>2026-05-15</t>
        </is>
      </c>
      <c r="H106" t="n">
        <v>1430.5</v>
      </c>
      <c r="J106" t="n">
        <v>23643.5</v>
      </c>
    </row>
    <row r="107">
      <c r="G107" s="34" t="inlineStr">
        <is>
          <t>2026-05-14</t>
        </is>
      </c>
      <c r="H107" t="n">
        <v>1459.6</v>
      </c>
      <c r="J107" t="n">
        <v>23689.6</v>
      </c>
    </row>
    <row r="108">
      <c r="G108" s="34" t="inlineStr">
        <is>
          <t>2026-05-13</t>
        </is>
      </c>
      <c r="H108" t="n">
        <v>1468.9</v>
      </c>
      <c r="J108" t="n">
        <v>23412.6</v>
      </c>
    </row>
    <row r="109">
      <c r="G109" s="34" t="inlineStr">
        <is>
          <t>2026-05-12</t>
        </is>
      </c>
      <c r="H109" t="n">
        <v>1468.6</v>
      </c>
      <c r="J109" t="n">
        <v>23379.55</v>
      </c>
    </row>
    <row r="110">
      <c r="G110" s="34" t="inlineStr">
        <is>
          <t>2026-05-11</t>
        </is>
      </c>
      <c r="H110" t="n">
        <v>1481.9</v>
      </c>
      <c r="J110" t="n">
        <v>23815.85</v>
      </c>
    </row>
    <row r="111">
      <c r="G111" s="34" t="inlineStr">
        <is>
          <t>2026-05-08</t>
        </is>
      </c>
      <c r="H111" t="n">
        <v>1482.4</v>
      </c>
      <c r="J111" t="n">
        <v>24176.15</v>
      </c>
    </row>
    <row r="112">
      <c r="G112" s="34" t="inlineStr">
        <is>
          <t>2026-05-07</t>
        </is>
      </c>
      <c r="H112" t="n">
        <v>1476</v>
      </c>
      <c r="J112" t="n">
        <v>24326.65</v>
      </c>
    </row>
    <row r="113">
      <c r="G113" s="34" t="inlineStr">
        <is>
          <t>2026-05-06</t>
        </is>
      </c>
      <c r="H113" t="n">
        <v>1486.1</v>
      </c>
      <c r="J113" t="n">
        <v>24330.95</v>
      </c>
    </row>
    <row r="114">
      <c r="G114" s="34" t="inlineStr">
        <is>
          <t>2026-05-05</t>
        </is>
      </c>
      <c r="H114" t="n">
        <v>1477.8</v>
      </c>
      <c r="J114" t="n">
        <v>24032.8</v>
      </c>
    </row>
    <row r="115">
      <c r="G115" s="34" t="inlineStr">
        <is>
          <t>2026-05-04</t>
        </is>
      </c>
      <c r="H115" t="n">
        <v>1457.1</v>
      </c>
      <c r="J115" t="n">
        <v>24119.3</v>
      </c>
    </row>
    <row r="116">
      <c r="G116" s="34" t="inlineStr">
        <is>
          <t>2026-04-30</t>
        </is>
      </c>
      <c r="H116" t="n">
        <v>1458.6</v>
      </c>
      <c r="J116" t="n">
        <v>23997.55</v>
      </c>
    </row>
    <row r="117">
      <c r="G117" s="34" t="inlineStr">
        <is>
          <t>2026-04-29</t>
        </is>
      </c>
      <c r="H117" t="n">
        <v>1465.6</v>
      </c>
      <c r="J117" t="n">
        <v>24177.65</v>
      </c>
    </row>
    <row r="118">
      <c r="G118" s="34" t="inlineStr">
        <is>
          <t>2026-04-28</t>
        </is>
      </c>
      <c r="H118" t="n">
        <v>1440</v>
      </c>
      <c r="J118" t="n">
        <v>23995.7</v>
      </c>
    </row>
    <row r="119">
      <c r="G119" s="34" t="inlineStr">
        <is>
          <t>2026-04-27</t>
        </is>
      </c>
      <c r="H119" t="n">
        <v>1417.3</v>
      </c>
      <c r="J119" t="n">
        <v>24092.7</v>
      </c>
    </row>
    <row r="120">
      <c r="G120" s="34" t="inlineStr">
        <is>
          <t>2026-04-24</t>
        </is>
      </c>
      <c r="H120" t="n">
        <v>1421.3</v>
      </c>
      <c r="J120" t="n">
        <v>23897.95</v>
      </c>
    </row>
    <row r="121">
      <c r="G121" s="34" t="inlineStr">
        <is>
          <t>2026-04-23</t>
        </is>
      </c>
      <c r="H121" t="n">
        <v>1410.5</v>
      </c>
      <c r="J121" t="n">
        <v>24173.05</v>
      </c>
    </row>
    <row r="122">
      <c r="G122" s="34" t="inlineStr">
        <is>
          <t>2026-04-22</t>
        </is>
      </c>
      <c r="H122" t="n">
        <v>1395.8</v>
      </c>
      <c r="J122" t="n">
        <v>24378.1</v>
      </c>
    </row>
    <row r="123">
      <c r="G123" s="34" t="inlineStr">
        <is>
          <t>2026-04-21</t>
        </is>
      </c>
      <c r="H123" t="n">
        <v>1379.9</v>
      </c>
      <c r="J123" t="n">
        <v>24576.6</v>
      </c>
    </row>
    <row r="124">
      <c r="G124" s="34" t="inlineStr">
        <is>
          <t>2026-04-20</t>
        </is>
      </c>
      <c r="H124" t="n">
        <v>1286.4</v>
      </c>
      <c r="J124" t="n">
        <v>24364.85</v>
      </c>
    </row>
    <row r="125">
      <c r="G125" s="34" t="inlineStr">
        <is>
          <t>2026-04-17</t>
        </is>
      </c>
      <c r="H125" t="n">
        <v>1285.6</v>
      </c>
      <c r="J125" t="n">
        <v>24353.55</v>
      </c>
    </row>
    <row r="126">
      <c r="G126" s="34" t="inlineStr">
        <is>
          <t>2026-04-16</t>
        </is>
      </c>
      <c r="H126" t="n">
        <v>1257.4</v>
      </c>
      <c r="J126" t="n">
        <v>24196.75</v>
      </c>
    </row>
    <row r="127">
      <c r="G127" s="34" t="inlineStr">
        <is>
          <t>2026-04-15</t>
        </is>
      </c>
      <c r="H127" t="n">
        <v>1256.6</v>
      </c>
      <c r="J127" t="n">
        <v>24231.3</v>
      </c>
    </row>
    <row r="128">
      <c r="G128" s="34" t="inlineStr">
        <is>
          <t>2026-04-13</t>
        </is>
      </c>
      <c r="H128" t="n">
        <v>1226.1</v>
      </c>
      <c r="J128" t="n">
        <v>23842.65</v>
      </c>
    </row>
    <row r="129">
      <c r="G129" s="34" t="inlineStr">
        <is>
          <t>2026-04-10</t>
        </is>
      </c>
      <c r="H129" t="n">
        <v>1249.3</v>
      </c>
      <c r="J129" t="n">
        <v>24050.6</v>
      </c>
    </row>
    <row r="130">
      <c r="G130" s="34" t="inlineStr">
        <is>
          <t>2026-04-09</t>
        </is>
      </c>
      <c r="H130" t="n">
        <v>1228.7</v>
      </c>
      <c r="J130" t="n">
        <v>23775.1</v>
      </c>
    </row>
    <row r="131">
      <c r="G131" s="34" t="inlineStr">
        <is>
          <t>2026-04-08</t>
        </is>
      </c>
      <c r="H131" t="n">
        <v>1213.7</v>
      </c>
      <c r="J131" t="n">
        <v>23997.35</v>
      </c>
    </row>
    <row r="132">
      <c r="G132" s="34" t="inlineStr">
        <is>
          <t>2026-04-07</t>
        </is>
      </c>
      <c r="H132" t="n">
        <v>1222.8</v>
      </c>
      <c r="J132" t="n">
        <v>23123.65</v>
      </c>
    </row>
    <row r="133">
      <c r="G133" s="34" t="inlineStr">
        <is>
          <t>2026-04-06</t>
        </is>
      </c>
      <c r="H133" t="n">
        <v>1216</v>
      </c>
      <c r="J133" t="n">
        <v>22968.25</v>
      </c>
    </row>
    <row r="134">
      <c r="G134" s="34" t="inlineStr">
        <is>
          <t>2026-04-02</t>
        </is>
      </c>
      <c r="H134" t="n">
        <v>1191.3</v>
      </c>
      <c r="J134" t="n">
        <v>22713.1</v>
      </c>
    </row>
    <row r="135">
      <c r="G135" s="34" t="inlineStr">
        <is>
          <t>2026-04-01</t>
        </is>
      </c>
      <c r="H135" t="n">
        <v>1180.8</v>
      </c>
      <c r="J135" t="n">
        <v>22679.4</v>
      </c>
    </row>
    <row r="136">
      <c r="G136" s="34" t="inlineStr">
        <is>
          <t>2026-03-30</t>
        </is>
      </c>
      <c r="H136" t="n">
        <v>1174.8</v>
      </c>
      <c r="J136" t="n">
        <v>22331.4</v>
      </c>
    </row>
    <row r="137">
      <c r="G137" s="34" t="inlineStr">
        <is>
          <t>2026-03-27</t>
        </is>
      </c>
      <c r="H137" t="n">
        <v>1193.2</v>
      </c>
      <c r="J137" t="n">
        <v>22819.6</v>
      </c>
    </row>
    <row r="138">
      <c r="G138" s="34" t="inlineStr">
        <is>
          <t>2026-03-25</t>
        </is>
      </c>
      <c r="H138" t="n">
        <v>1204.1</v>
      </c>
      <c r="J138" t="n">
        <v>23306.45</v>
      </c>
    </row>
    <row r="139">
      <c r="G139" s="34" t="inlineStr">
        <is>
          <t>2026-03-24</t>
        </is>
      </c>
      <c r="H139" t="n">
        <v>1183.2</v>
      </c>
      <c r="J139" t="n">
        <v>22912.4</v>
      </c>
    </row>
    <row r="140">
      <c r="G140" s="34" t="inlineStr">
        <is>
          <t>2026-03-23</t>
        </is>
      </c>
      <c r="H140" t="n">
        <v>1166.8</v>
      </c>
      <c r="J140" t="n">
        <v>22512.65</v>
      </c>
    </row>
    <row r="141">
      <c r="G141" s="34" t="inlineStr">
        <is>
          <t>2026-03-20</t>
        </is>
      </c>
      <c r="H141" t="n">
        <v>1193.6</v>
      </c>
      <c r="J141" t="n">
        <v>23114.5</v>
      </c>
    </row>
    <row r="142">
      <c r="G142" s="34" t="inlineStr">
        <is>
          <t>2026-03-19</t>
        </is>
      </c>
      <c r="H142" t="n">
        <v>1186.3</v>
      </c>
      <c r="J142" t="n">
        <v>23002.15</v>
      </c>
    </row>
    <row r="143">
      <c r="G143" s="34" t="inlineStr">
        <is>
          <t>2026-03-18</t>
        </is>
      </c>
      <c r="H143" t="n">
        <v>1204.8</v>
      </c>
      <c r="J143" t="n">
        <v>23777.8</v>
      </c>
    </row>
    <row r="144">
      <c r="G144" s="34" t="inlineStr">
        <is>
          <t>2026-03-17</t>
        </is>
      </c>
      <c r="H144" t="n">
        <v>1206.9</v>
      </c>
      <c r="J144" t="n">
        <v>23581.15</v>
      </c>
    </row>
    <row r="145">
      <c r="G145" s="34" t="inlineStr">
        <is>
          <t>2026-03-16</t>
        </is>
      </c>
      <c r="H145" t="n">
        <v>1213.4</v>
      </c>
      <c r="J145" t="n">
        <v>23408.8</v>
      </c>
    </row>
    <row r="146">
      <c r="G146" s="34" t="inlineStr">
        <is>
          <t>2026-03-13</t>
        </is>
      </c>
      <c r="H146" t="n">
        <v>1202.2</v>
      </c>
      <c r="J146" t="n">
        <v>23151.1</v>
      </c>
    </row>
    <row r="147">
      <c r="G147" s="34" t="inlineStr">
        <is>
          <t>2026-03-12</t>
        </is>
      </c>
      <c r="H147" t="n">
        <v>1220.8</v>
      </c>
      <c r="J147" t="n">
        <v>23639.15</v>
      </c>
    </row>
    <row r="148">
      <c r="G148" s="34" t="inlineStr">
        <is>
          <t>2026-03-11</t>
        </is>
      </c>
      <c r="H148" t="n">
        <v>1233.7</v>
      </c>
      <c r="J148" t="n">
        <v>23866.85</v>
      </c>
    </row>
    <row r="149">
      <c r="G149" s="34" t="inlineStr">
        <is>
          <t>2026-03-10</t>
        </is>
      </c>
      <c r="H149" t="n">
        <v>1241.2</v>
      </c>
      <c r="J149" t="n">
        <v>24261.6</v>
      </c>
    </row>
    <row r="150">
      <c r="G150" s="34" t="inlineStr">
        <is>
          <t>2026-03-09</t>
        </is>
      </c>
      <c r="H150" t="n">
        <v>1235.8</v>
      </c>
      <c r="J150" t="n">
        <v>24028.05</v>
      </c>
    </row>
    <row r="151">
      <c r="G151" s="34" t="inlineStr">
        <is>
          <t>2026-03-06</t>
        </is>
      </c>
      <c r="H151" t="n">
        <v>1252.4</v>
      </c>
      <c r="J151" t="n">
        <v>24450.45</v>
      </c>
    </row>
    <row r="152">
      <c r="G152" s="34" t="inlineStr">
        <is>
          <t>2026-03-05</t>
        </is>
      </c>
      <c r="H152" t="n">
        <v>1250.9</v>
      </c>
      <c r="J152" t="n">
        <v>24765.9</v>
      </c>
    </row>
    <row r="153">
      <c r="G153" s="34" t="inlineStr">
        <is>
          <t>2026-03-04</t>
        </is>
      </c>
      <c r="H153" t="n">
        <v>1245.3</v>
      </c>
      <c r="J153" t="n">
        <v>24480.5</v>
      </c>
    </row>
    <row r="154">
      <c r="G154" s="34" t="inlineStr">
        <is>
          <t>2026-03-02</t>
        </is>
      </c>
      <c r="H154" t="n">
        <v>1279.7</v>
      </c>
      <c r="J154" t="n">
        <v>24865.7</v>
      </c>
    </row>
    <row r="155">
      <c r="G155" s="34" t="inlineStr">
        <is>
          <t>2026-02-27</t>
        </is>
      </c>
      <c r="H155" t="n">
        <v>1291.7</v>
      </c>
      <c r="J155" t="n">
        <v>25178.65</v>
      </c>
    </row>
    <row r="156">
      <c r="G156" s="34" t="inlineStr">
        <is>
          <t>2026-02-26</t>
        </is>
      </c>
      <c r="H156" t="n">
        <v>1318</v>
      </c>
      <c r="J156" t="n">
        <v>25496.55</v>
      </c>
    </row>
    <row r="157">
      <c r="G157" s="34" t="inlineStr">
        <is>
          <t>2026-02-25</t>
        </is>
      </c>
      <c r="H157" t="n">
        <v>1323.4</v>
      </c>
      <c r="J157" t="n">
        <v>25482.5</v>
      </c>
    </row>
    <row r="158">
      <c r="G158" s="34" t="inlineStr">
        <is>
          <t>2026-02-24</t>
        </is>
      </c>
      <c r="H158" t="n">
        <v>1320</v>
      </c>
      <c r="J158" t="n">
        <v>25424.65</v>
      </c>
    </row>
    <row r="159">
      <c r="G159" s="34" t="inlineStr">
        <is>
          <t>2026-02-23</t>
        </is>
      </c>
      <c r="H159" t="n">
        <v>1315.1</v>
      </c>
      <c r="J159" t="n">
        <v>25713</v>
      </c>
    </row>
    <row r="160">
      <c r="G160" s="34" t="inlineStr">
        <is>
          <t>2026-02-20</t>
        </is>
      </c>
      <c r="H160" t="n">
        <v>1293.8</v>
      </c>
      <c r="J160" t="n">
        <v>25571.25</v>
      </c>
    </row>
    <row r="161">
      <c r="G161" s="34" t="inlineStr">
        <is>
          <t>2026-02-19</t>
        </is>
      </c>
      <c r="H161" t="n">
        <v>1278.5</v>
      </c>
      <c r="J161" t="n">
        <v>25454.35</v>
      </c>
    </row>
    <row r="162">
      <c r="G162" s="34" t="inlineStr">
        <is>
          <t>2026-02-18</t>
        </is>
      </c>
      <c r="H162" t="n">
        <v>1300.9</v>
      </c>
      <c r="J162" t="n">
        <v>25819.35</v>
      </c>
    </row>
    <row r="163">
      <c r="G163" s="34" t="inlineStr">
        <is>
          <t>2026-02-17</t>
        </is>
      </c>
      <c r="H163" t="n">
        <v>1285.3</v>
      </c>
      <c r="J163" t="n">
        <v>25725.4</v>
      </c>
    </row>
    <row r="164">
      <c r="G164" s="34" t="inlineStr">
        <is>
          <t>2026-02-16</t>
        </is>
      </c>
      <c r="H164" t="n">
        <v>1289.8</v>
      </c>
      <c r="J164" t="n">
        <v>25682.75</v>
      </c>
    </row>
    <row r="165">
      <c r="G165" s="34" t="inlineStr">
        <is>
          <t>2026-02-13</t>
        </is>
      </c>
      <c r="H165" t="n">
        <v>1282.6</v>
      </c>
      <c r="J165" t="n">
        <v>25471.1</v>
      </c>
    </row>
    <row r="166">
      <c r="G166" s="34" t="inlineStr">
        <is>
          <t>2026-02-12</t>
        </is>
      </c>
      <c r="H166" t="n">
        <v>1305.5</v>
      </c>
      <c r="J166" t="n">
        <v>25807.2</v>
      </c>
    </row>
    <row r="167">
      <c r="G167" s="34" t="inlineStr">
        <is>
          <t>2026-02-11</t>
        </is>
      </c>
      <c r="H167" t="n">
        <v>1305.3</v>
      </c>
      <c r="J167" t="n">
        <v>25953.85</v>
      </c>
    </row>
    <row r="168">
      <c r="G168" s="34" t="inlineStr">
        <is>
          <t>2026-02-10</t>
        </is>
      </c>
      <c r="H168" t="n">
        <v>1308.6</v>
      </c>
      <c r="J168" t="n">
        <v>25935.15</v>
      </c>
    </row>
    <row r="169">
      <c r="G169" s="34" t="inlineStr">
        <is>
          <t>2026-02-09</t>
        </is>
      </c>
      <c r="H169" t="n">
        <v>1295.6</v>
      </c>
      <c r="J169" t="n">
        <v>25867.3</v>
      </c>
    </row>
    <row r="170">
      <c r="G170" s="34" t="inlineStr">
        <is>
          <t>2026-02-06</t>
        </is>
      </c>
      <c r="H170" t="n">
        <v>1303.3</v>
      </c>
      <c r="J170" t="n">
        <v>25693.7</v>
      </c>
    </row>
    <row r="171">
      <c r="G171" s="34" t="inlineStr">
        <is>
          <t>2026-02-05</t>
        </is>
      </c>
      <c r="H171" t="n">
        <v>1303.5</v>
      </c>
      <c r="J171" t="n">
        <v>25642.8</v>
      </c>
    </row>
    <row r="172">
      <c r="G172" s="34" t="inlineStr">
        <is>
          <t>2026-02-04</t>
        </is>
      </c>
      <c r="H172" t="n">
        <v>1303.2</v>
      </c>
      <c r="J172" t="n">
        <v>25776</v>
      </c>
    </row>
    <row r="173">
      <c r="G173" s="34" t="inlineStr">
        <is>
          <t>2026-02-03</t>
        </is>
      </c>
      <c r="H173" t="n">
        <v>1308</v>
      </c>
      <c r="J173" t="n">
        <v>25727.55</v>
      </c>
    </row>
    <row r="174">
      <c r="G174" s="34" t="inlineStr">
        <is>
          <t>2026-02-02</t>
        </is>
      </c>
      <c r="H174" t="n">
        <v>1308.3</v>
      </c>
      <c r="J174" t="n">
        <v>25088.4</v>
      </c>
    </row>
    <row r="175">
      <c r="G175" s="34" t="inlineStr">
        <is>
          <t>2026-02-01</t>
        </is>
      </c>
      <c r="H175" t="n">
        <v>1282.5</v>
      </c>
      <c r="J175" t="n">
        <v>25320.65</v>
      </c>
    </row>
    <row r="176">
      <c r="G176" s="34" t="inlineStr">
        <is>
          <t>2026-01-30</t>
        </is>
      </c>
      <c r="H176" t="n">
        <v>1332.4</v>
      </c>
      <c r="J176" t="n">
        <v>25320.65</v>
      </c>
    </row>
    <row r="177">
      <c r="G177" s="34" t="inlineStr">
        <is>
          <t>2026-01-29</t>
        </is>
      </c>
      <c r="H177" t="n">
        <v>1287.9</v>
      </c>
      <c r="J177" t="n">
        <v>25418.9</v>
      </c>
    </row>
    <row r="178">
      <c r="G178" s="34" t="inlineStr">
        <is>
          <t>2026-01-28</t>
        </is>
      </c>
      <c r="H178" t="n">
        <v>1292.4</v>
      </c>
      <c r="J178" t="n">
        <v>25342.75</v>
      </c>
    </row>
    <row r="179">
      <c r="G179" s="34" t="inlineStr">
        <is>
          <t>2026-01-27</t>
        </is>
      </c>
      <c r="H179" t="n">
        <v>1303.3</v>
      </c>
      <c r="J179" t="n">
        <v>25175.4</v>
      </c>
    </row>
    <row r="180">
      <c r="G180" s="34" t="inlineStr">
        <is>
          <t>2026-01-23</t>
        </is>
      </c>
      <c r="H180" t="n">
        <v>1293.8</v>
      </c>
      <c r="J180" t="n">
        <v>25048.65</v>
      </c>
    </row>
    <row r="181">
      <c r="G181" s="34" t="inlineStr">
        <is>
          <t>2026-01-22</t>
        </is>
      </c>
      <c r="H181" t="n">
        <v>1306</v>
      </c>
      <c r="J181" t="n">
        <v>25289.9</v>
      </c>
    </row>
    <row r="182">
      <c r="G182" s="34" t="inlineStr">
        <is>
          <t>2026-01-21</t>
        </is>
      </c>
      <c r="H182" t="n">
        <v>1283.2</v>
      </c>
      <c r="J182" t="n">
        <v>25157.5</v>
      </c>
    </row>
    <row r="183">
      <c r="G183" s="34" t="inlineStr">
        <is>
          <t>2026-01-20</t>
        </is>
      </c>
      <c r="H183" t="n">
        <v>1295.7</v>
      </c>
      <c r="J183" t="n">
        <v>25232.5</v>
      </c>
    </row>
    <row r="184">
      <c r="G184" s="34" t="inlineStr">
        <is>
          <t>2026-01-19</t>
        </is>
      </c>
      <c r="H184" t="n">
        <v>1315.6</v>
      </c>
      <c r="J184" t="n">
        <v>25585.5</v>
      </c>
    </row>
    <row r="185">
      <c r="G185" s="34" t="inlineStr">
        <is>
          <t>2026-01-16</t>
        </is>
      </c>
      <c r="H185" t="n">
        <v>1315.9</v>
      </c>
      <c r="J185" t="n">
        <v>25694.35</v>
      </c>
    </row>
    <row r="186">
      <c r="G186" s="34" t="inlineStr">
        <is>
          <t>2026-01-14</t>
        </is>
      </c>
      <c r="H186" t="n">
        <v>1307.1</v>
      </c>
      <c r="J186" t="n">
        <v>25665.6</v>
      </c>
    </row>
    <row r="187">
      <c r="G187" s="34" t="inlineStr">
        <is>
          <t>2026-01-13</t>
        </is>
      </c>
      <c r="H187" t="n">
        <v>1318.7</v>
      </c>
      <c r="J187" t="n">
        <v>25732.3</v>
      </c>
    </row>
    <row r="188">
      <c r="G188" s="34" t="inlineStr">
        <is>
          <t>2026-01-12</t>
        </is>
      </c>
      <c r="H188" t="n">
        <v>1312.4</v>
      </c>
      <c r="J188" t="n">
        <v>25790.25</v>
      </c>
    </row>
    <row r="189">
      <c r="G189" s="34" t="inlineStr">
        <is>
          <t>2026-01-09</t>
        </is>
      </c>
      <c r="H189" t="n">
        <v>1299.1</v>
      </c>
      <c r="J189" t="n">
        <v>25683.3</v>
      </c>
    </row>
    <row r="190">
      <c r="G190" s="34" t="inlineStr">
        <is>
          <t>2026-01-08</t>
        </is>
      </c>
      <c r="H190" t="n">
        <v>1306.9</v>
      </c>
      <c r="J190" t="n">
        <v>25876.85</v>
      </c>
    </row>
    <row r="191">
      <c r="G191" s="34" t="inlineStr">
        <is>
          <t>2026-01-07</t>
        </is>
      </c>
      <c r="H191" t="n">
        <v>1314.8</v>
      </c>
      <c r="J191" t="n">
        <v>26140.75</v>
      </c>
    </row>
    <row r="192">
      <c r="G192" s="34" t="inlineStr">
        <is>
          <t>2026-01-06</t>
        </is>
      </c>
      <c r="H192" t="n">
        <v>1319.9</v>
      </c>
      <c r="J192" t="n">
        <v>26178.7</v>
      </c>
    </row>
    <row r="193">
      <c r="G193" s="34" t="inlineStr">
        <is>
          <t>2026-01-05</t>
        </is>
      </c>
      <c r="H193" t="n">
        <v>1314.6</v>
      </c>
      <c r="J193" t="n">
        <v>26250.3</v>
      </c>
    </row>
    <row r="194">
      <c r="G194" s="34" t="inlineStr">
        <is>
          <t>2026-01-02</t>
        </is>
      </c>
      <c r="H194" t="n">
        <v>1279.7</v>
      </c>
      <c r="J194" t="n">
        <v>26328.55</v>
      </c>
    </row>
    <row r="195">
      <c r="G195" s="34" t="inlineStr">
        <is>
          <t>2026-01-01</t>
        </is>
      </c>
      <c r="H195" t="n">
        <v>1295</v>
      </c>
      <c r="J195" t="n">
        <v>26146.55</v>
      </c>
    </row>
    <row r="196">
      <c r="G196" s="34" t="inlineStr">
        <is>
          <t>2025-12-31</t>
        </is>
      </c>
      <c r="H196" t="n">
        <v>1288</v>
      </c>
      <c r="J196" t="n">
        <v>26129.6</v>
      </c>
    </row>
    <row r="197">
      <c r="G197" s="34" t="inlineStr">
        <is>
          <t>2025-12-30</t>
        </is>
      </c>
      <c r="H197" t="n">
        <v>1274.1</v>
      </c>
      <c r="J197" t="n">
        <v>25938.85</v>
      </c>
    </row>
    <row r="198">
      <c r="G198" s="34" t="inlineStr">
        <is>
          <t>2025-12-29</t>
        </is>
      </c>
      <c r="H198" t="n">
        <v>1280</v>
      </c>
      <c r="J198" t="n">
        <v>25942.1</v>
      </c>
    </row>
    <row r="199">
      <c r="G199" s="34" t="inlineStr">
        <is>
          <t>2025-12-26</t>
        </is>
      </c>
      <c r="H199" t="n">
        <v>1272.6</v>
      </c>
      <c r="J199" t="n">
        <v>26042.3</v>
      </c>
    </row>
    <row r="200">
      <c r="G200" s="34" t="inlineStr">
        <is>
          <t>2025-12-24</t>
        </is>
      </c>
      <c r="H200" t="n">
        <v>1259.7</v>
      </c>
      <c r="J200" t="n">
        <v>26142.1</v>
      </c>
    </row>
    <row r="201">
      <c r="G201" s="34" t="inlineStr">
        <is>
          <t>2025-12-23</t>
        </is>
      </c>
      <c r="H201" t="n">
        <v>1256.5</v>
      </c>
      <c r="J201" t="n">
        <v>26177.15</v>
      </c>
    </row>
    <row r="202">
      <c r="G202" s="34" t="inlineStr">
        <is>
          <t>2025-12-22</t>
        </is>
      </c>
      <c r="H202" t="n">
        <v>1257.2</v>
      </c>
      <c r="J202" t="n">
        <v>26172.4</v>
      </c>
    </row>
    <row r="203">
      <c r="G203" s="34" t="inlineStr">
        <is>
          <t>2025-12-19</t>
        </is>
      </c>
      <c r="H203" t="n">
        <v>1244.4</v>
      </c>
      <c r="J203" t="n">
        <v>25966.4</v>
      </c>
    </row>
    <row r="204">
      <c r="G204" s="34" t="inlineStr">
        <is>
          <t>2025-12-18</t>
        </is>
      </c>
      <c r="H204" t="n">
        <v>1233.5</v>
      </c>
      <c r="J204" t="n">
        <v>25815.55</v>
      </c>
    </row>
    <row r="205">
      <c r="G205" s="34" t="inlineStr">
        <is>
          <t>2025-12-17</t>
        </is>
      </c>
      <c r="H205" t="n">
        <v>1234.6</v>
      </c>
      <c r="J205" t="n">
        <v>25818.55</v>
      </c>
    </row>
    <row r="206">
      <c r="G206" s="34" t="inlineStr">
        <is>
          <t>2025-12-16</t>
        </is>
      </c>
      <c r="H206" t="n">
        <v>1240.6</v>
      </c>
      <c r="J206" t="n">
        <v>25860.1</v>
      </c>
    </row>
    <row r="207">
      <c r="G207" s="34" t="inlineStr">
        <is>
          <t>2025-12-15</t>
        </is>
      </c>
      <c r="H207" t="n">
        <v>1243.5</v>
      </c>
      <c r="J207" t="n">
        <v>26027.3</v>
      </c>
    </row>
    <row r="208">
      <c r="G208" s="34" t="inlineStr">
        <is>
          <t>2025-12-12</t>
        </is>
      </c>
      <c r="H208" t="n">
        <v>1238.3</v>
      </c>
      <c r="J208" t="n">
        <v>26046.95</v>
      </c>
    </row>
    <row r="209">
      <c r="G209" s="34" t="inlineStr">
        <is>
          <t>2025-12-11</t>
        </is>
      </c>
      <c r="H209" t="n">
        <v>1215</v>
      </c>
      <c r="J209" t="n">
        <v>25898.55</v>
      </c>
    </row>
    <row r="210">
      <c r="G210" s="34" t="inlineStr">
        <is>
          <t>2025-12-10</t>
        </is>
      </c>
      <c r="H210" t="n">
        <v>1209.3</v>
      </c>
      <c r="J210" t="n">
        <v>25758</v>
      </c>
    </row>
    <row r="211">
      <c r="G211" s="34" t="inlineStr">
        <is>
          <t>2025-12-09</t>
        </is>
      </c>
      <c r="H211" t="n">
        <v>1215.8</v>
      </c>
      <c r="J211" t="n">
        <v>25839.65</v>
      </c>
    </row>
    <row r="212">
      <c r="G212" s="34" t="inlineStr">
        <is>
          <t>2025-12-08</t>
        </is>
      </c>
      <c r="H212" t="n">
        <v>1214.8</v>
      </c>
      <c r="J212" t="n">
        <v>25960.55</v>
      </c>
    </row>
    <row r="213">
      <c r="G213" s="34" t="inlineStr">
        <is>
          <t>2025-12-05</t>
        </is>
      </c>
      <c r="H213" t="n">
        <v>1246.9</v>
      </c>
      <c r="J213" t="n">
        <v>26186.45</v>
      </c>
    </row>
    <row r="214">
      <c r="G214" s="34" t="inlineStr">
        <is>
          <t>2025-12-04</t>
        </is>
      </c>
      <c r="H214" t="n">
        <v>1242.4</v>
      </c>
      <c r="J214" t="n">
        <v>26033.75</v>
      </c>
    </row>
    <row r="215">
      <c r="G215" s="34" t="inlineStr">
        <is>
          <t>2025-12-03</t>
        </is>
      </c>
      <c r="H215" t="n">
        <v>1241.9</v>
      </c>
      <c r="J215" t="n">
        <v>25986</v>
      </c>
    </row>
    <row r="216">
      <c r="G216" s="34" t="inlineStr">
        <is>
          <t>2025-12-02</t>
        </is>
      </c>
      <c r="H216" t="n">
        <v>1258.9</v>
      </c>
      <c r="J216" t="n">
        <v>26032.2</v>
      </c>
    </row>
    <row r="217">
      <c r="G217" s="34" t="inlineStr">
        <is>
          <t>2025-12-01</t>
        </is>
      </c>
      <c r="H217" t="n">
        <v>1260.6</v>
      </c>
      <c r="J217" t="n">
        <v>26175.75</v>
      </c>
    </row>
    <row r="218">
      <c r="G218" s="34" t="inlineStr">
        <is>
          <t>2025-11-28</t>
        </is>
      </c>
      <c r="H218" t="n">
        <v>1261.1</v>
      </c>
      <c r="J218" t="n">
        <v>26202.95</v>
      </c>
    </row>
    <row r="219">
      <c r="G219" s="34" t="inlineStr">
        <is>
          <t>2025-11-27</t>
        </is>
      </c>
      <c r="H219" t="n">
        <v>1266.4</v>
      </c>
      <c r="J219" t="n">
        <v>26215.55</v>
      </c>
    </row>
    <row r="220">
      <c r="G220" s="34" t="inlineStr">
        <is>
          <t>2025-11-26</t>
        </is>
      </c>
      <c r="H220" t="n">
        <v>1276.8</v>
      </c>
      <c r="J220" t="n">
        <v>26205.3</v>
      </c>
    </row>
    <row r="221">
      <c r="G221" s="34" t="inlineStr">
        <is>
          <t>2025-11-25</t>
        </is>
      </c>
      <c r="H221" t="n">
        <v>1263.2</v>
      </c>
      <c r="J221" t="n">
        <v>25884.8</v>
      </c>
    </row>
    <row r="222">
      <c r="G222" s="34" t="inlineStr">
        <is>
          <t>2025-11-24</t>
        </is>
      </c>
      <c r="H222" t="n">
        <v>1269.2</v>
      </c>
      <c r="J222" t="n">
        <v>25959.5</v>
      </c>
    </row>
    <row r="223">
      <c r="G223" s="34" t="inlineStr">
        <is>
          <t>2025-11-21</t>
        </is>
      </c>
      <c r="H223" t="n">
        <v>1280.7</v>
      </c>
      <c r="J223" t="n">
        <v>26068.15</v>
      </c>
    </row>
    <row r="224">
      <c r="G224" s="34" t="inlineStr">
        <is>
          <t>2025-11-20</t>
        </is>
      </c>
      <c r="H224" t="n">
        <v>1279.2</v>
      </c>
      <c r="J224" t="n">
        <v>26192.15</v>
      </c>
    </row>
    <row r="225">
      <c r="G225" s="34" t="inlineStr">
        <is>
          <t>2025-11-19</t>
        </is>
      </c>
      <c r="H225" t="n">
        <v>1279</v>
      </c>
      <c r="J225" t="n">
        <v>26052.65</v>
      </c>
    </row>
    <row r="226">
      <c r="G226" s="34" t="inlineStr">
        <is>
          <t>2025-11-18</t>
        </is>
      </c>
      <c r="H226" t="n">
        <v>1265.1</v>
      </c>
      <c r="J226" t="n">
        <v>25910.05</v>
      </c>
    </row>
    <row r="227">
      <c r="G227" s="34" t="inlineStr">
        <is>
          <t>2025-11-17</t>
        </is>
      </c>
      <c r="H227" t="n">
        <v>1270.3</v>
      </c>
      <c r="J227" t="n">
        <v>26013.45</v>
      </c>
    </row>
    <row r="228">
      <c r="G228" s="34" t="inlineStr">
        <is>
          <t>2025-11-14</t>
        </is>
      </c>
      <c r="H228" t="n">
        <v>1271.6</v>
      </c>
      <c r="J228" t="n">
        <v>25910.05</v>
      </c>
    </row>
    <row r="229">
      <c r="G229" s="34" t="inlineStr">
        <is>
          <t>2025-11-13</t>
        </is>
      </c>
      <c r="H229" t="n">
        <v>1275.2</v>
      </c>
      <c r="J229" t="n">
        <v>25879.15</v>
      </c>
    </row>
    <row r="230">
      <c r="G230" s="34" t="inlineStr">
        <is>
          <t>2025-11-12</t>
        </is>
      </c>
      <c r="H230" t="n">
        <v>1278.2</v>
      </c>
      <c r="J230" t="n">
        <v>25875.8</v>
      </c>
    </row>
    <row r="231">
      <c r="G231" s="34" t="inlineStr">
        <is>
          <t>2025-11-11</t>
        </is>
      </c>
      <c r="H231" t="n">
        <v>1268.1</v>
      </c>
      <c r="J231" t="n">
        <v>25694.95</v>
      </c>
    </row>
    <row r="232">
      <c r="G232" s="34" t="inlineStr">
        <is>
          <t>2025-11-10</t>
        </is>
      </c>
      <c r="H232" t="n">
        <v>1262.9</v>
      </c>
      <c r="J232" t="n">
        <v>25574.35</v>
      </c>
    </row>
    <row r="233">
      <c r="G233" s="34" t="inlineStr">
        <is>
          <t>2025-11-07</t>
        </is>
      </c>
      <c r="H233" t="n">
        <v>1262.7</v>
      </c>
      <c r="J233" t="n">
        <v>25492.3</v>
      </c>
    </row>
    <row r="234">
      <c r="G234" s="34" t="inlineStr">
        <is>
          <t>2025-11-06</t>
        </is>
      </c>
      <c r="H234" t="n">
        <v>1266.1</v>
      </c>
      <c r="J234" t="n">
        <v>25509.7</v>
      </c>
    </row>
    <row r="235">
      <c r="G235" s="34" t="inlineStr">
        <is>
          <t>2025-11-04</t>
        </is>
      </c>
      <c r="H235" t="n">
        <v>1265</v>
      </c>
      <c r="J235" t="n">
        <v>25597.65</v>
      </c>
    </row>
    <row r="236">
      <c r="G236" s="34" t="inlineStr">
        <is>
          <t>2025-11-03</t>
        </is>
      </c>
      <c r="H236" t="n">
        <v>1266.7</v>
      </c>
      <c r="J236" t="n">
        <v>25763.35</v>
      </c>
    </row>
    <row r="237">
      <c r="G237" s="34" t="inlineStr">
        <is>
          <t>2025-10-31</t>
        </is>
      </c>
      <c r="H237" t="n">
        <v>1271.6</v>
      </c>
      <c r="J237" t="n">
        <v>25722.1</v>
      </c>
    </row>
    <row r="238">
      <c r="G238" s="34" t="inlineStr">
        <is>
          <t>2025-10-30</t>
        </is>
      </c>
      <c r="H238" t="n">
        <v>1279.9</v>
      </c>
      <c r="J238" t="n">
        <v>25877.85</v>
      </c>
    </row>
    <row r="239">
      <c r="G239" s="34" t="inlineStr">
        <is>
          <t>2025-10-29</t>
        </is>
      </c>
      <c r="H239" t="n">
        <v>1273</v>
      </c>
      <c r="J239" t="n">
        <v>26053.9</v>
      </c>
    </row>
    <row r="240">
      <c r="G240" s="34" t="inlineStr">
        <is>
          <t>2025-10-28</t>
        </is>
      </c>
      <c r="H240" t="n">
        <v>1271</v>
      </c>
      <c r="J240" t="n">
        <v>25936.2</v>
      </c>
    </row>
    <row r="241">
      <c r="G241" s="34" t="inlineStr">
        <is>
          <t>2025-10-27</t>
        </is>
      </c>
      <c r="H241" t="n">
        <v>1283</v>
      </c>
      <c r="J241" t="n">
        <v>25966.05</v>
      </c>
    </row>
    <row r="242">
      <c r="G242" s="34" t="inlineStr">
        <is>
          <t>2025-10-24</t>
        </is>
      </c>
      <c r="H242" t="n">
        <v>1282</v>
      </c>
      <c r="J242" t="n">
        <v>25795.15</v>
      </c>
    </row>
    <row r="243">
      <c r="G243" s="34" t="inlineStr">
        <is>
          <t>2025-10-23</t>
        </is>
      </c>
      <c r="H243" t="n">
        <v>1272.8</v>
      </c>
      <c r="J243" t="n">
        <v>25891.4</v>
      </c>
    </row>
    <row r="244">
      <c r="G244" s="34" t="inlineStr">
        <is>
          <t>2025-10-21</t>
        </is>
      </c>
      <c r="H244" t="n">
        <v>1287.3</v>
      </c>
      <c r="J244" t="n">
        <v>25868.6</v>
      </c>
    </row>
    <row r="245">
      <c r="G245" s="34" t="inlineStr">
        <is>
          <t>2025-10-20</t>
        </is>
      </c>
      <c r="H245" t="n">
        <v>1285.4</v>
      </c>
      <c r="J245" t="n">
        <v>25843.15</v>
      </c>
    </row>
    <row r="246">
      <c r="G246" s="34" t="inlineStr">
        <is>
          <t>2025-10-17</t>
        </is>
      </c>
      <c r="H246" t="n">
        <v>1289.5</v>
      </c>
      <c r="J246" t="n">
        <v>25709.85</v>
      </c>
    </row>
    <row r="247">
      <c r="G247" s="34" t="inlineStr">
        <is>
          <t>2025-10-16</t>
        </is>
      </c>
      <c r="H247" t="n">
        <v>1276.6</v>
      </c>
      <c r="J247" t="n">
        <v>25585.3</v>
      </c>
    </row>
    <row r="248">
      <c r="G248" s="34" t="inlineStr">
        <is>
          <t>2025-10-15</t>
        </is>
      </c>
      <c r="H248" t="n">
        <v>1221.4</v>
      </c>
      <c r="J248" t="n">
        <v>25323.55</v>
      </c>
    </row>
    <row r="249">
      <c r="G249" s="161" t="inlineStr">
        <is>
          <t>2025-10-14</t>
        </is>
      </c>
      <c r="H249" t="n">
        <v>1175.5</v>
      </c>
      <c r="J249" t="n">
        <v>25145.5</v>
      </c>
    </row>
    <row r="250">
      <c r="G250" s="161" t="inlineStr">
        <is>
          <t>2025-10-13</t>
        </is>
      </c>
      <c r="H250" t="n">
        <v>1188.1</v>
      </c>
      <c r="J250" t="n">
        <v>25227.35</v>
      </c>
    </row>
    <row r="251">
      <c r="G251" s="161" t="inlineStr">
        <is>
          <t>2025-10-10</t>
        </is>
      </c>
      <c r="H251" t="n">
        <v>1199.5</v>
      </c>
      <c r="J251" t="n">
        <v>25285.35</v>
      </c>
    </row>
    <row r="252">
      <c r="G252" s="161" t="inlineStr">
        <is>
          <t>2025-10-09</t>
        </is>
      </c>
      <c r="H252" t="n">
        <v>1187.8</v>
      </c>
      <c r="J252" t="n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>
      <c r="B11" s="246">
        <f>IF(COUNTA(C12:C26)&gt;=4, "Peers &gt;= 4 (Valid Sample)", "WARNING: Insufficient Peers (&lt; 4)")</f>
        <v/>
      </c>
    </row>
    <row r="12">
      <c r="B12" s="201">
        <f>'Raw FS'!L57</f>
        <v/>
      </c>
      <c r="C12" s="201" t="inlineStr">
        <is>
          <t>BRITANNIA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ITC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HINDUNILVR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VBL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MARICO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GODREJCP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DABUR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MILKYMIST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4.2" customHeight="1" s="176">
      <c r="B7" s="37" t="n"/>
    </row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FSSAI issues notices to Dr Reddy's, Nestle Health Science, Amazon, Flipkart over misleading protein claims</t>
        </is>
      </c>
    </row>
    <row r="38"/>
    <row r="39">
      <c r="A39" t="inlineStr">
        <is>
          <t>•</t>
        </is>
      </c>
      <c r="B39" s="184" t="inlineStr">
        <is>
          <t>Nestle India's low-fat dairy whitener fails food safety test</t>
        </is>
      </c>
    </row>
    <row r="40"/>
    <row r="41">
      <c r="A41" t="inlineStr">
        <is>
          <t>•</t>
        </is>
      </c>
      <c r="B41" s="184" t="inlineStr">
        <is>
          <t>Market wrap: Coal India, Eternal, Tata Consumer, Nestle India top gainers and losers on Nifty and Sensex o</t>
        </is>
      </c>
    </row>
    <row r="42"/>
    <row r="43">
      <c r="A43" t="inlineStr">
        <is>
          <t>•</t>
        </is>
      </c>
      <c r="B43" s="184" t="inlineStr">
        <is>
          <t>Nestle India shares slip nearly 3% after FSSAI initiates legal action over infant nutrition products</t>
        </is>
      </c>
    </row>
    <row r="44"/>
    <row r="45">
      <c r="A45" t="inlineStr">
        <is>
          <t>•</t>
        </is>
      </c>
      <c r="B45" s="184" t="inlineStr">
        <is>
          <t>For Nestle, India a growth outlier across markets</t>
        </is>
      </c>
    </row>
    <row r="46"/>
    <row r="47">
      <c r="A47" t="inlineStr">
        <is>
          <t>•</t>
        </is>
      </c>
      <c r="B47" s="184" t="inlineStr">
        <is>
          <t>NESTLE INDIA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'Data Sheet'!B1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77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58">
        <f>"About the Company: "&amp;'Data Sheet'!B1&amp;" (Manual, Refresh Per Run)"</f>
        <v/>
      </c>
    </row>
    <row r="7" ht="6.6" customHeight="1" s="176"/>
    <row r="8">
      <c r="B8" s="185" t="inlineStr">
        <is>
          <t>Nestlé India Limited is the Indian subsidiary of Nestlé which is a Swiss multinational company. The company is headquartered in Gurgaon, Haryana. The company's products include food, beverages, chocolate, and confectioneries.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FSSAI issues notices to Dr Reddy's, Nestle Health Science, Amazon, Flipkart over misleading protein claims</t>
        </is>
      </c>
    </row>
    <row r="37"/>
    <row r="38" ht="14.4" customHeight="1" s="176">
      <c r="A38" t="inlineStr">
        <is>
          <t>•</t>
        </is>
      </c>
      <c r="B38" s="184" t="inlineStr">
        <is>
          <t>Nestle India's low-fat dairy whitener fails food safety test</t>
        </is>
      </c>
    </row>
    <row r="39"/>
    <row r="40" ht="20.4" customHeight="1" s="176">
      <c r="A40" t="inlineStr">
        <is>
          <t>•</t>
        </is>
      </c>
      <c r="B40" s="184" t="inlineStr">
        <is>
          <t>Market wrap: Coal India, Eternal, Tata Consumer, Nestle India top gainers and losers on Nifty and Sensex o</t>
        </is>
      </c>
    </row>
    <row r="41"/>
    <row r="42">
      <c r="A42" t="inlineStr">
        <is>
          <t>•</t>
        </is>
      </c>
      <c r="B42" s="184" t="inlineStr">
        <is>
          <t>Nestle India shares slip nearly 3% after FSSAI initiates legal action over infant nutrition products</t>
        </is>
      </c>
    </row>
    <row r="43"/>
    <row r="44">
      <c r="A44" t="inlineStr">
        <is>
          <t>•</t>
        </is>
      </c>
      <c r="B44" s="184" t="inlineStr">
        <is>
          <t>For Nestle, India a growth outlier across markets</t>
        </is>
      </c>
    </row>
    <row r="45"/>
    <row r="46">
      <c r="A46" t="inlineStr">
        <is>
          <t>•</t>
        </is>
      </c>
      <c r="B46" s="184" t="inlineStr">
        <is>
          <t>NESTLE INDIA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1"/>
    <row r="2"/>
    <row r="3">
      <c r="B3" s="84" t="inlineStr">
        <is>
          <t>Particulars</t>
        </is>
      </c>
      <c r="C3" s="40" t="inlineStr">
        <is>
          <t>Dec 2015</t>
        </is>
      </c>
      <c r="D3" s="40" t="inlineStr">
        <is>
          <t>Dec 2016</t>
        </is>
      </c>
      <c r="E3" s="40" t="inlineStr">
        <is>
          <t>Dec 2017</t>
        </is>
      </c>
      <c r="F3" s="40" t="inlineStr">
        <is>
          <t>Dec 2018</t>
        </is>
      </c>
      <c r="G3" s="40" t="inlineStr">
        <is>
          <t>Dec 2019</t>
        </is>
      </c>
      <c r="H3" s="40" t="inlineStr">
        <is>
          <t>Dec 2020</t>
        </is>
      </c>
      <c r="I3" s="40" t="inlineStr">
        <is>
          <t>Dec 2021</t>
        </is>
      </c>
      <c r="J3" s="40" t="inlineStr">
        <is>
          <t>Dec 2022</t>
        </is>
      </c>
      <c r="K3" s="40" t="inlineStr">
        <is>
          <t>Dec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Dec 2015</t>
        </is>
      </c>
      <c r="T3" s="35" t="inlineStr">
        <is>
          <t>Dec 2016</t>
        </is>
      </c>
      <c r="U3" s="35" t="inlineStr">
        <is>
          <t>Dec 2017</t>
        </is>
      </c>
      <c r="V3" s="35" t="inlineStr">
        <is>
          <t>Dec 2018</t>
        </is>
      </c>
      <c r="W3" s="35" t="inlineStr">
        <is>
          <t>Dec 2019</t>
        </is>
      </c>
      <c r="X3" s="35" t="inlineStr">
        <is>
          <t>Dec 2020</t>
        </is>
      </c>
      <c r="Y3" s="35" t="inlineStr">
        <is>
          <t>Dec 2021</t>
        </is>
      </c>
      <c r="Z3" s="35" t="inlineStr">
        <is>
          <t>Dec 2022</t>
        </is>
      </c>
      <c r="AA3" s="35" t="inlineStr">
        <is>
          <t>Dec 2023</t>
        </is>
      </c>
      <c r="AB3" s="35" t="inlineStr">
        <is>
          <t>Mar 2024 15m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8175</v>
      </c>
      <c r="T4" s="73" t="n">
        <v>9141</v>
      </c>
      <c r="U4" s="73" t="n">
        <v>10010</v>
      </c>
      <c r="V4" s="73" t="n">
        <v>11292</v>
      </c>
      <c r="W4" s="73" t="n">
        <v>12369</v>
      </c>
      <c r="X4" s="73" t="n">
        <v>13350</v>
      </c>
      <c r="Y4" s="73" t="n">
        <v>14741</v>
      </c>
      <c r="Z4" s="73" t="n">
        <v>16897</v>
      </c>
      <c r="AA4" s="73" t="n">
        <v>19126</v>
      </c>
      <c r="AB4" s="73" t="n">
        <v>24394</v>
      </c>
      <c r="AC4" s="73" t="n">
        <v>20202</v>
      </c>
      <c r="AD4" s="73" t="n">
        <v>23155</v>
      </c>
      <c r="AE4" s="73" t="n">
        <v>24437</v>
      </c>
    </row>
    <row r="5">
      <c r="B5" s="35" t="inlineStr">
        <is>
          <t>Equity Capital</t>
        </is>
      </c>
      <c r="C5" t="n">
        <v>96</v>
      </c>
      <c r="D5" s="47" t="n">
        <v>96</v>
      </c>
      <c r="E5" s="47" t="n">
        <v>96</v>
      </c>
      <c r="F5" s="47" t="n">
        <v>96</v>
      </c>
      <c r="G5" s="47" t="n">
        <v>96</v>
      </c>
      <c r="H5" s="47" t="n">
        <v>96</v>
      </c>
      <c r="I5" s="47" t="n">
        <v>96</v>
      </c>
      <c r="J5" s="47" t="n">
        <v>96</v>
      </c>
      <c r="K5" s="47" t="n">
        <v>96</v>
      </c>
      <c r="L5" s="47" t="n">
        <v>96</v>
      </c>
      <c r="M5" s="47" t="n">
        <v>96</v>
      </c>
      <c r="N5" s="47" t="n">
        <v>193</v>
      </c>
      <c r="R5" t="inlineStr">
        <is>
          <t>Expenses +</t>
        </is>
      </c>
      <c r="S5" s="73" t="n">
        <v>6620</v>
      </c>
      <c r="T5" s="73" t="n">
        <v>7292</v>
      </c>
      <c r="U5" s="73" t="n">
        <v>7913</v>
      </c>
      <c r="V5" s="73" t="n">
        <v>8675</v>
      </c>
      <c r="W5" s="73" t="n">
        <v>9443</v>
      </c>
      <c r="X5" s="73" t="n">
        <v>10149</v>
      </c>
      <c r="Y5" s="73" t="n">
        <v>11178</v>
      </c>
      <c r="Z5" s="73" t="n">
        <v>13191</v>
      </c>
      <c r="AA5" s="73" t="n">
        <v>14655</v>
      </c>
      <c r="AB5" s="73" t="n">
        <v>18551</v>
      </c>
      <c r="AC5" s="73" t="n">
        <v>15454</v>
      </c>
      <c r="AD5" s="73" t="n">
        <v>17893</v>
      </c>
      <c r="AE5" s="73" t="n">
        <v>18739</v>
      </c>
    </row>
    <row r="6">
      <c r="B6" t="inlineStr">
        <is>
          <t>Reserves</t>
        </is>
      </c>
      <c r="C6" s="73" t="n">
        <v>2721</v>
      </c>
      <c r="D6" s="73" t="n">
        <v>3186</v>
      </c>
      <c r="E6" s="73" t="n">
        <v>3324</v>
      </c>
      <c r="F6" s="73" t="n">
        <v>3577</v>
      </c>
      <c r="G6" s="73" t="n">
        <v>1822</v>
      </c>
      <c r="H6" s="73" t="n">
        <v>1923</v>
      </c>
      <c r="I6" s="73" t="n">
        <v>1850</v>
      </c>
      <c r="J6" s="73" t="n">
        <v>2363</v>
      </c>
      <c r="K6" s="73" t="n">
        <v>2363</v>
      </c>
      <c r="L6" s="73" t="n">
        <v>3244</v>
      </c>
      <c r="M6" s="73" t="n">
        <v>3914</v>
      </c>
      <c r="N6" s="73" t="n">
        <v>4964</v>
      </c>
      <c r="O6" s="73" t="n"/>
      <c r="R6" t="inlineStr">
        <is>
          <t>Operating Profit</t>
        </is>
      </c>
      <c r="S6" s="73" t="n">
        <v>1555</v>
      </c>
      <c r="T6" s="73" t="n">
        <v>1850</v>
      </c>
      <c r="U6" s="73" t="n">
        <v>2097</v>
      </c>
      <c r="V6" s="73" t="n">
        <v>2618</v>
      </c>
      <c r="W6" s="73" t="n">
        <v>2926</v>
      </c>
      <c r="X6" s="73" t="n">
        <v>3202</v>
      </c>
      <c r="Y6" s="73" t="n">
        <v>3562</v>
      </c>
      <c r="Z6" s="73" t="n">
        <v>3706</v>
      </c>
      <c r="AA6" s="73" t="n">
        <v>4471</v>
      </c>
      <c r="AB6" s="73" t="n">
        <v>5843</v>
      </c>
      <c r="AC6" s="73" t="n">
        <v>4747</v>
      </c>
      <c r="AD6" s="73" t="n">
        <v>5261</v>
      </c>
      <c r="AE6" s="73" t="n">
        <v>5698</v>
      </c>
    </row>
    <row r="7">
      <c r="B7" s="73" t="inlineStr">
        <is>
          <t>Borrowings -</t>
        </is>
      </c>
      <c r="C7" s="73" t="n">
        <v>18</v>
      </c>
      <c r="D7" s="73" t="n">
        <v>33</v>
      </c>
      <c r="E7" s="73" t="n">
        <v>35</v>
      </c>
      <c r="F7" s="73" t="n">
        <v>35</v>
      </c>
      <c r="G7" s="73" t="n">
        <v>189</v>
      </c>
      <c r="H7" s="73" t="n">
        <v>147</v>
      </c>
      <c r="I7" s="73" t="n">
        <v>266</v>
      </c>
      <c r="J7" s="73" t="n">
        <v>271</v>
      </c>
      <c r="K7" s="73" t="n">
        <v>271</v>
      </c>
      <c r="L7" s="73" t="n">
        <v>345</v>
      </c>
      <c r="M7" s="73" t="n">
        <v>1167</v>
      </c>
      <c r="N7" s="73" t="n">
        <v>444</v>
      </c>
      <c r="O7" s="73" t="n"/>
      <c r="R7" t="inlineStr">
        <is>
          <t>OPM %</t>
        </is>
      </c>
      <c r="S7" s="75" t="n">
        <v>19</v>
      </c>
      <c r="T7" s="75" t="n">
        <v>20</v>
      </c>
      <c r="U7" s="75" t="n">
        <v>21</v>
      </c>
      <c r="V7" s="75" t="n">
        <v>23</v>
      </c>
      <c r="W7" s="75" t="n">
        <v>24</v>
      </c>
      <c r="X7" s="75" t="n">
        <v>24</v>
      </c>
      <c r="Y7" s="75" t="n">
        <v>24</v>
      </c>
      <c r="Z7" s="75" t="n">
        <v>22</v>
      </c>
      <c r="AA7" s="75" t="n">
        <v>23</v>
      </c>
      <c r="AB7" s="75" t="n">
        <v>24</v>
      </c>
      <c r="AC7" s="75" t="n">
        <v>24</v>
      </c>
      <c r="AD7" s="75" t="n">
        <v>23</v>
      </c>
      <c r="AE7" s="75" t="n">
        <v>23</v>
      </c>
    </row>
    <row r="8">
      <c r="B8" s="73" t="inlineStr">
        <is>
          <t>Long term Borrowings</t>
        </is>
      </c>
      <c r="C8" s="73" t="n">
        <v>17</v>
      </c>
      <c r="D8" s="73" t="n">
        <v>33</v>
      </c>
      <c r="E8" s="73" t="n">
        <v>35</v>
      </c>
      <c r="F8" s="73" t="n">
        <v>35</v>
      </c>
      <c r="G8" s="73" t="n">
        <v>53</v>
      </c>
      <c r="H8" s="73" t="n">
        <v>32</v>
      </c>
      <c r="I8" s="73" t="n">
        <v>27</v>
      </c>
      <c r="J8" s="73" t="n">
        <v>27</v>
      </c>
      <c r="K8" s="73" t="n">
        <v>27</v>
      </c>
      <c r="L8" s="73" t="n">
        <v>25</v>
      </c>
      <c r="M8" s="73" t="n">
        <v>22</v>
      </c>
      <c r="N8" s="73" t="n">
        <v>20</v>
      </c>
      <c r="R8" t="inlineStr">
        <is>
          <t>Other Income +</t>
        </is>
      </c>
      <c r="S8" s="73" t="n">
        <v>-391</v>
      </c>
      <c r="T8" s="73" t="n">
        <v>140</v>
      </c>
      <c r="U8" s="73" t="n">
        <v>177</v>
      </c>
      <c r="V8" s="73" t="n">
        <v>259</v>
      </c>
      <c r="W8" s="73" t="n">
        <v>247</v>
      </c>
      <c r="X8" s="73" t="n">
        <v>146</v>
      </c>
      <c r="Y8" s="73" t="n">
        <v>-112</v>
      </c>
      <c r="Z8" s="73" t="n">
        <v>107</v>
      </c>
      <c r="AA8" s="73" t="n">
        <v>116</v>
      </c>
      <c r="AB8" s="73" t="n">
        <v>159</v>
      </c>
      <c r="AC8" s="73" t="n">
        <v>245</v>
      </c>
      <c r="AD8" s="73" t="n">
        <v>160</v>
      </c>
      <c r="AE8" s="73" t="n">
        <v>170</v>
      </c>
    </row>
    <row r="9">
      <c r="B9" t="inlineStr">
        <is>
          <t>Short term Borrowings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7</v>
      </c>
      <c r="J9" t="n">
        <v>3</v>
      </c>
      <c r="K9" t="n">
        <v>3</v>
      </c>
      <c r="L9" t="n">
        <v>6</v>
      </c>
      <c r="M9" t="n">
        <v>731</v>
      </c>
      <c r="N9" s="73" t="n">
        <v>4</v>
      </c>
      <c r="R9" t="inlineStr">
        <is>
          <t>Interest</t>
        </is>
      </c>
      <c r="S9" t="n">
        <v>3</v>
      </c>
      <c r="T9" t="n">
        <v>91</v>
      </c>
      <c r="U9" t="n">
        <v>92</v>
      </c>
      <c r="V9" t="n">
        <v>112</v>
      </c>
      <c r="W9" t="n">
        <v>129</v>
      </c>
      <c r="X9" t="n">
        <v>164</v>
      </c>
      <c r="Y9" t="n">
        <v>202</v>
      </c>
      <c r="Z9" t="n">
        <v>155</v>
      </c>
      <c r="AA9" t="n">
        <v>119</v>
      </c>
      <c r="AB9" t="n">
        <v>145</v>
      </c>
      <c r="AC9" t="n">
        <v>136</v>
      </c>
      <c r="AD9" t="n">
        <v>158</v>
      </c>
      <c r="AE9" t="n">
        <v>154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136</v>
      </c>
      <c r="H10" t="n">
        <v>113</v>
      </c>
      <c r="I10" t="n">
        <v>232</v>
      </c>
      <c r="J10" t="n">
        <v>240</v>
      </c>
      <c r="K10" t="n">
        <v>240</v>
      </c>
      <c r="L10" t="n">
        <v>313</v>
      </c>
      <c r="M10" t="n">
        <v>414</v>
      </c>
      <c r="N10" t="n">
        <v>420</v>
      </c>
      <c r="O10" s="73" t="n"/>
      <c r="R10" t="inlineStr">
        <is>
          <t>Depreciation</t>
        </is>
      </c>
      <c r="S10" s="73" t="n">
        <v>347</v>
      </c>
      <c r="T10" s="73" t="n">
        <v>354</v>
      </c>
      <c r="U10" s="73" t="n">
        <v>342</v>
      </c>
      <c r="V10" s="73" t="n">
        <v>336</v>
      </c>
      <c r="W10" s="73" t="n">
        <v>370</v>
      </c>
      <c r="X10" s="73" t="n">
        <v>370</v>
      </c>
      <c r="Y10" s="73" t="n">
        <v>391</v>
      </c>
      <c r="Z10" s="73" t="n">
        <v>403</v>
      </c>
      <c r="AA10" s="73" t="n">
        <v>429</v>
      </c>
      <c r="AB10" s="73" t="n">
        <v>568</v>
      </c>
      <c r="AC10" s="73" t="n">
        <v>540</v>
      </c>
      <c r="AD10" s="73" t="n">
        <v>699</v>
      </c>
      <c r="AE10" s="73" t="n">
        <v>730</v>
      </c>
    </row>
    <row r="11">
      <c r="B11" s="73" t="inlineStr">
        <is>
          <t>Other Borrowings</t>
        </is>
      </c>
      <c r="C11" s="73" t="n">
        <v>0</v>
      </c>
      <c r="D11" s="73" t="n">
        <v>0</v>
      </c>
      <c r="E11" s="73" t="n">
        <v>0</v>
      </c>
      <c r="F11" s="73" t="n">
        <v>0</v>
      </c>
      <c r="G11" s="73" t="n">
        <v>0</v>
      </c>
      <c r="H11" s="73" t="n">
        <v>0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814</v>
      </c>
      <c r="T11" s="73" t="n">
        <v>1545</v>
      </c>
      <c r="U11" s="73" t="n">
        <v>1839</v>
      </c>
      <c r="V11" s="73" t="n">
        <v>2429</v>
      </c>
      <c r="W11" s="73" t="n">
        <v>2673</v>
      </c>
      <c r="X11" s="73" t="n">
        <v>2813</v>
      </c>
      <c r="Y11" s="73" t="n">
        <v>2857</v>
      </c>
      <c r="Z11" s="73" t="n">
        <v>3256</v>
      </c>
      <c r="AA11" s="73" t="n">
        <v>4038</v>
      </c>
      <c r="AB11" s="73" t="n">
        <v>5289</v>
      </c>
      <c r="AC11" s="73" t="n">
        <v>4316</v>
      </c>
      <c r="AD11" s="73" t="n">
        <v>4564</v>
      </c>
      <c r="AE11" s="73" t="n">
        <v>4984</v>
      </c>
    </row>
    <row r="12">
      <c r="B12" s="73" t="inlineStr">
        <is>
          <t>Other Liabilities -</t>
        </is>
      </c>
      <c r="C12" s="73" t="n">
        <v>3251</v>
      </c>
      <c r="D12" s="73" t="n">
        <v>3495</v>
      </c>
      <c r="E12" s="73" t="n">
        <v>3907</v>
      </c>
      <c r="F12" s="73" t="n">
        <v>4379</v>
      </c>
      <c r="G12" s="73" t="n">
        <v>5065</v>
      </c>
      <c r="H12" s="73" t="n">
        <v>5733</v>
      </c>
      <c r="I12" s="73" t="n">
        <v>6021</v>
      </c>
      <c r="J12" s="73" t="n">
        <v>6249</v>
      </c>
      <c r="K12" s="73" t="n">
        <v>6249</v>
      </c>
      <c r="L12" s="73" t="n">
        <v>6838</v>
      </c>
      <c r="M12" s="73" t="n">
        <v>7016</v>
      </c>
      <c r="N12" s="73" t="n">
        <v>7581</v>
      </c>
      <c r="R12" t="inlineStr">
        <is>
          <t>Tax %</t>
        </is>
      </c>
      <c r="S12" s="75" t="n">
        <v>31</v>
      </c>
      <c r="T12" s="75" t="n">
        <v>35</v>
      </c>
      <c r="U12" s="75" t="n">
        <v>33</v>
      </c>
      <c r="V12" s="75" t="n">
        <v>34</v>
      </c>
      <c r="W12" s="75" t="n">
        <v>26</v>
      </c>
      <c r="X12" s="75" t="n">
        <v>26</v>
      </c>
      <c r="Y12" s="75" t="n">
        <v>26</v>
      </c>
      <c r="Z12" s="75" t="n">
        <v>27</v>
      </c>
      <c r="AA12" s="75" t="n">
        <v>26</v>
      </c>
      <c r="AB12" s="75" t="n">
        <v>26</v>
      </c>
      <c r="AC12" s="75" t="n">
        <v>26</v>
      </c>
      <c r="AD12" s="75" t="n">
        <v>23</v>
      </c>
      <c r="AE12" t="n">
        <v>0</v>
      </c>
    </row>
    <row r="13">
      <c r="B13" t="inlineStr">
        <is>
          <t>Non controlling int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s="73" t="n"/>
      <c r="R13" t="inlineStr">
        <is>
          <t>Net Profit +</t>
        </is>
      </c>
      <c r="S13" s="73" t="n">
        <v>563</v>
      </c>
      <c r="T13" s="73" t="n">
        <v>1001</v>
      </c>
      <c r="U13" s="73" t="n">
        <v>1225</v>
      </c>
      <c r="V13" s="73" t="n">
        <v>1607</v>
      </c>
      <c r="W13" s="73" t="n">
        <v>1968</v>
      </c>
      <c r="X13" s="73" t="n">
        <v>2082</v>
      </c>
      <c r="Y13" s="73" t="n">
        <v>2118</v>
      </c>
      <c r="Z13" s="73" t="n">
        <v>2391</v>
      </c>
      <c r="AA13" s="73" t="n">
        <v>2999</v>
      </c>
      <c r="AB13" s="73" t="n">
        <v>3933</v>
      </c>
      <c r="AC13" s="73" t="n">
        <v>3208</v>
      </c>
      <c r="AD13" s="73" t="n">
        <v>3499</v>
      </c>
      <c r="AE13" s="73" t="n">
        <v>3811</v>
      </c>
    </row>
    <row r="14">
      <c r="B14" s="73" t="inlineStr">
        <is>
          <t>Trade Payables</t>
        </is>
      </c>
      <c r="C14" s="73" t="n">
        <v>749</v>
      </c>
      <c r="D14" s="73" t="n">
        <v>799</v>
      </c>
      <c r="E14" s="73" t="n">
        <v>985</v>
      </c>
      <c r="F14" s="73" t="n">
        <v>1240</v>
      </c>
      <c r="G14" s="73" t="n">
        <v>1492</v>
      </c>
      <c r="H14" s="73" t="n">
        <v>1517</v>
      </c>
      <c r="I14" s="73" t="n">
        <v>1748</v>
      </c>
      <c r="J14" s="73" t="n">
        <v>2121</v>
      </c>
      <c r="K14" s="73" t="n">
        <v>2121</v>
      </c>
      <c r="L14" s="73" t="n">
        <v>2812</v>
      </c>
      <c r="M14" s="73" t="n">
        <v>2624</v>
      </c>
      <c r="N14" s="73" t="n">
        <v>3160</v>
      </c>
      <c r="S14" t="n">
        <v>2.92</v>
      </c>
      <c r="T14" t="n">
        <v>5.19</v>
      </c>
      <c r="U14" t="n">
        <v>6.35</v>
      </c>
      <c r="V14" t="n">
        <v>8.33</v>
      </c>
      <c r="W14" t="n">
        <v>10.21</v>
      </c>
      <c r="X14" t="n">
        <v>10.8</v>
      </c>
      <c r="Y14" t="n">
        <v>10.99</v>
      </c>
      <c r="Z14" t="n">
        <v>12.4</v>
      </c>
      <c r="AA14" t="n">
        <v>15.55</v>
      </c>
      <c r="AB14" t="n">
        <v>20.4</v>
      </c>
      <c r="AC14" t="n">
        <v>16.63</v>
      </c>
      <c r="AD14" t="n">
        <v>18.15</v>
      </c>
      <c r="AE14" t="n">
        <v>19.76</v>
      </c>
    </row>
    <row r="15">
      <c r="B15" t="inlineStr">
        <is>
          <t>Advance from Customers</t>
        </is>
      </c>
      <c r="C15" t="n">
        <v>103</v>
      </c>
      <c r="D15" t="n">
        <v>25</v>
      </c>
      <c r="E15" t="n">
        <v>17</v>
      </c>
      <c r="F15" t="n">
        <v>41</v>
      </c>
      <c r="G15" t="n">
        <v>37</v>
      </c>
      <c r="H15" t="n">
        <v>53</v>
      </c>
      <c r="I15" t="n">
        <v>69</v>
      </c>
      <c r="J15" s="73" t="n">
        <v>114</v>
      </c>
      <c r="K15" s="73" t="n">
        <v>0</v>
      </c>
      <c r="L15" t="n">
        <v>16</v>
      </c>
      <c r="M15" s="73" t="n">
        <v>27</v>
      </c>
      <c r="N15" s="73" t="n">
        <v>103</v>
      </c>
      <c r="O15" s="73" t="n"/>
      <c r="S15" t="n">
        <v>83</v>
      </c>
      <c r="T15" t="n">
        <v>61</v>
      </c>
      <c r="U15" t="n">
        <v>68</v>
      </c>
      <c r="V15" t="n">
        <v>69</v>
      </c>
      <c r="W15" t="n">
        <v>168</v>
      </c>
      <c r="X15" t="n">
        <v>93</v>
      </c>
      <c r="Y15" t="n">
        <v>91</v>
      </c>
      <c r="Z15" t="n">
        <v>89</v>
      </c>
      <c r="AA15" t="n">
        <v>56</v>
      </c>
      <c r="AB15" t="n">
        <v>79</v>
      </c>
      <c r="AC15" t="n">
        <v>81</v>
      </c>
      <c r="AD15" t="n">
        <v>66</v>
      </c>
      <c r="AE15" t="n">
        <v>0</v>
      </c>
    </row>
    <row r="16">
      <c r="B16" s="73" t="inlineStr">
        <is>
          <t>Other liability items</t>
        </is>
      </c>
      <c r="C16" s="73" t="n">
        <v>2398</v>
      </c>
      <c r="D16" s="73" t="n">
        <v>2671</v>
      </c>
      <c r="E16" s="73" t="n">
        <v>2905</v>
      </c>
      <c r="F16" s="73" t="n">
        <v>3098</v>
      </c>
      <c r="G16" s="73" t="n">
        <v>3537</v>
      </c>
      <c r="H16" s="73" t="n">
        <v>4164</v>
      </c>
      <c r="I16" s="73" t="n">
        <v>4204</v>
      </c>
      <c r="J16" s="73" t="n">
        <v>4014</v>
      </c>
      <c r="K16" s="73" t="n">
        <v>4128</v>
      </c>
      <c r="L16" s="73" t="n">
        <v>4010</v>
      </c>
      <c r="M16" s="73" t="n">
        <v>4365</v>
      </c>
      <c r="N16" s="73" t="n">
        <v>4318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6086</v>
      </c>
      <c r="D18" s="71" t="n">
        <v>6810</v>
      </c>
      <c r="E18" s="71" t="n">
        <v>7363</v>
      </c>
      <c r="F18" s="71" t="n">
        <v>8088</v>
      </c>
      <c r="G18" s="71" t="n">
        <v>7173</v>
      </c>
      <c r="H18" s="71" t="n">
        <v>7900</v>
      </c>
      <c r="I18" s="71" t="n">
        <v>8234</v>
      </c>
      <c r="J18" s="71" t="n">
        <v>8979</v>
      </c>
      <c r="K18" s="71" t="n">
        <v>8979</v>
      </c>
      <c r="L18" s="71" t="n">
        <v>10523</v>
      </c>
      <c r="M18" s="71" t="n">
        <v>12193</v>
      </c>
      <c r="N18" s="71" t="n">
        <v>13182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1098</v>
      </c>
      <c r="T19" s="73" t="n">
        <v>1466</v>
      </c>
      <c r="U19" s="73" t="n">
        <v>1818</v>
      </c>
      <c r="V19" s="73" t="n">
        <v>2052</v>
      </c>
      <c r="W19" s="73" t="n">
        <v>2295</v>
      </c>
      <c r="X19" s="73" t="n">
        <v>2454</v>
      </c>
      <c r="Y19" s="73" t="n">
        <v>2236</v>
      </c>
      <c r="Z19" s="73" t="n">
        <v>2737</v>
      </c>
      <c r="AA19" s="73" t="n">
        <v>3392</v>
      </c>
      <c r="AB19" s="73" t="n">
        <v>4175</v>
      </c>
      <c r="AC19" s="73" t="n">
        <v>2936</v>
      </c>
      <c r="AD19" s="73" t="n">
        <v>5048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1109</v>
      </c>
      <c r="T20" s="73" t="n">
        <v>1765</v>
      </c>
      <c r="U20" s="73" t="n">
        <v>2047</v>
      </c>
      <c r="V20" s="73" t="n">
        <v>2521</v>
      </c>
      <c r="W20" s="73" t="n">
        <v>2805</v>
      </c>
      <c r="X20" s="73" t="n">
        <v>3061</v>
      </c>
      <c r="Y20" s="73" t="n">
        <v>3136</v>
      </c>
      <c r="Z20" s="73" t="n">
        <v>3609</v>
      </c>
      <c r="AA20" s="73" t="n">
        <v>4388</v>
      </c>
      <c r="AB20" s="73" t="n">
        <v>5722</v>
      </c>
      <c r="AC20" s="73" t="n">
        <v>4672</v>
      </c>
      <c r="AD20" s="73" t="n">
        <v>5326</v>
      </c>
      <c r="AE20" t="n">
        <v>0</v>
      </c>
    </row>
    <row r="21">
      <c r="B21" s="73" t="inlineStr">
        <is>
          <t>Fixed Assets -</t>
        </is>
      </c>
      <c r="C21" s="73" t="n">
        <v>2898</v>
      </c>
      <c r="D21" s="73" t="n">
        <v>2730</v>
      </c>
      <c r="E21" s="73" t="n">
        <v>2616</v>
      </c>
      <c r="F21" s="73" t="n">
        <v>2401</v>
      </c>
      <c r="G21" s="73" t="n">
        <v>2341</v>
      </c>
      <c r="H21" s="73" t="n">
        <v>2179</v>
      </c>
      <c r="I21" s="73" t="n">
        <v>2995</v>
      </c>
      <c r="J21" s="73" t="n">
        <v>3044</v>
      </c>
      <c r="K21" s="73" t="n">
        <v>3044</v>
      </c>
      <c r="L21" s="73" t="n">
        <v>3460</v>
      </c>
      <c r="M21" s="73" t="n">
        <v>5474</v>
      </c>
      <c r="N21" s="73" t="n">
        <v>6290</v>
      </c>
      <c r="R21" t="inlineStr">
        <is>
          <t>Receivables</t>
        </is>
      </c>
      <c r="S21" t="n">
        <v>21</v>
      </c>
      <c r="T21" t="n">
        <v>-19</v>
      </c>
      <c r="U21" t="n">
        <v>8</v>
      </c>
      <c r="V21" t="n">
        <v>-36</v>
      </c>
      <c r="W21" t="n">
        <v>0</v>
      </c>
      <c r="X21" s="73" t="n">
        <v>-42</v>
      </c>
      <c r="Y21" t="n">
        <v>-2</v>
      </c>
      <c r="Z21" t="n">
        <v>-28</v>
      </c>
      <c r="AA21" t="n">
        <v>-11</v>
      </c>
      <c r="AB21" t="n">
        <v>-109</v>
      </c>
      <c r="AC21" s="73" t="n">
        <v>-70</v>
      </c>
      <c r="AD21" t="n">
        <v>34</v>
      </c>
      <c r="AE21" t="n">
        <v>0</v>
      </c>
    </row>
    <row r="22">
      <c r="B22" s="73" t="inlineStr">
        <is>
          <t>Land</t>
        </is>
      </c>
      <c r="C22" s="73" t="n">
        <v>146</v>
      </c>
      <c r="D22" s="73" t="n">
        <v>140</v>
      </c>
      <c r="E22" s="73" t="n">
        <v>140</v>
      </c>
      <c r="F22" s="73" t="n">
        <v>141</v>
      </c>
      <c r="G22" s="73" t="n">
        <v>141</v>
      </c>
      <c r="H22" s="73" t="n">
        <v>141</v>
      </c>
      <c r="I22" s="73" t="n">
        <v>142</v>
      </c>
      <c r="J22" s="73" t="n">
        <v>142</v>
      </c>
      <c r="K22" s="73" t="n">
        <v>0</v>
      </c>
      <c r="L22" s="73" t="n">
        <v>151</v>
      </c>
      <c r="M22" s="73" t="n">
        <v>215</v>
      </c>
      <c r="N22" s="73" t="n">
        <v>216</v>
      </c>
      <c r="O22" s="73" t="n"/>
      <c r="R22" t="inlineStr">
        <is>
          <t>Inventory</t>
        </is>
      </c>
      <c r="S22" t="n">
        <v>23</v>
      </c>
      <c r="T22" t="n">
        <v>-119</v>
      </c>
      <c r="U22" t="n">
        <v>38</v>
      </c>
      <c r="V22" t="n">
        <v>-63</v>
      </c>
      <c r="W22" t="n">
        <v>-318</v>
      </c>
      <c r="X22" t="n">
        <v>-133</v>
      </c>
      <c r="Y22" s="73" t="n">
        <v>-169</v>
      </c>
      <c r="Z22" t="n">
        <v>-336</v>
      </c>
      <c r="AA22" s="73" t="n">
        <v>56</v>
      </c>
      <c r="AB22" s="73" t="n">
        <v>-161</v>
      </c>
      <c r="AC22" s="73" t="n">
        <v>-767</v>
      </c>
      <c r="AD22" s="73" t="n">
        <v>281</v>
      </c>
      <c r="AE22" t="n">
        <v>0</v>
      </c>
    </row>
    <row r="23">
      <c r="B23" s="73" t="inlineStr">
        <is>
          <t>Building</t>
        </is>
      </c>
      <c r="C23" s="73" t="n">
        <v>985</v>
      </c>
      <c r="D23" s="73" t="n">
        <v>865</v>
      </c>
      <c r="E23" s="73" t="n">
        <v>903</v>
      </c>
      <c r="F23" s="73" t="n">
        <v>912</v>
      </c>
      <c r="G23" s="73" t="n">
        <v>1160</v>
      </c>
      <c r="H23" s="73" t="n">
        <v>1140</v>
      </c>
      <c r="I23" s="73" t="n">
        <v>1485</v>
      </c>
      <c r="J23" s="73" t="n">
        <v>1532</v>
      </c>
      <c r="K23" s="73" t="n">
        <v>0</v>
      </c>
      <c r="L23" s="73" t="n">
        <v>1821</v>
      </c>
      <c r="M23" s="73" t="n">
        <v>2332</v>
      </c>
      <c r="N23" s="73" t="n">
        <v>2569</v>
      </c>
      <c r="O23" s="73" t="n"/>
      <c r="R23" t="inlineStr">
        <is>
          <t>Payables</t>
        </is>
      </c>
      <c r="S23" t="n">
        <v>79</v>
      </c>
      <c r="T23" t="n">
        <v>50</v>
      </c>
      <c r="U23" t="n">
        <v>185</v>
      </c>
      <c r="V23" s="73" t="n">
        <v>257</v>
      </c>
      <c r="W23" t="n">
        <v>253</v>
      </c>
      <c r="X23" t="n">
        <v>23</v>
      </c>
      <c r="Y23" s="73" t="n">
        <v>217</v>
      </c>
      <c r="Z23" s="73" t="n">
        <v>178</v>
      </c>
      <c r="AA23" s="73" t="n">
        <v>68</v>
      </c>
      <c r="AB23" t="n">
        <v>310</v>
      </c>
      <c r="AC23" s="73" t="n">
        <v>134</v>
      </c>
      <c r="AD23" t="n">
        <v>588</v>
      </c>
      <c r="AE23" t="n">
        <v>0</v>
      </c>
    </row>
    <row r="24">
      <c r="B24" s="73" t="inlineStr">
        <is>
          <t>Plant Machinery</t>
        </is>
      </c>
      <c r="C24" s="73" t="n">
        <v>3636</v>
      </c>
      <c r="D24" s="73" t="n">
        <v>1972</v>
      </c>
      <c r="E24" s="73" t="n">
        <v>2180</v>
      </c>
      <c r="F24" s="73" t="n">
        <v>2280</v>
      </c>
      <c r="G24" s="73" t="n">
        <v>2378</v>
      </c>
      <c r="H24" s="73" t="n">
        <v>2519</v>
      </c>
      <c r="I24" s="73" t="n">
        <v>3287</v>
      </c>
      <c r="J24" s="73" t="n">
        <v>3546</v>
      </c>
      <c r="K24" s="73" t="n">
        <v>0</v>
      </c>
      <c r="L24" s="73" t="n">
        <v>4068</v>
      </c>
      <c r="M24" s="73" t="n">
        <v>5932</v>
      </c>
      <c r="N24" s="73" t="n">
        <v>7052</v>
      </c>
      <c r="R24" t="inlineStr">
        <is>
          <t>Working capital changes</t>
        </is>
      </c>
      <c r="S24" t="n">
        <v>332</v>
      </c>
      <c r="T24" t="n">
        <v>204</v>
      </c>
      <c r="U24" t="n">
        <v>375</v>
      </c>
      <c r="V24" s="73" t="n">
        <v>413</v>
      </c>
      <c r="W24" t="n">
        <v>163</v>
      </c>
      <c r="X24" t="n">
        <v>97</v>
      </c>
      <c r="Y24" t="n">
        <v>-172</v>
      </c>
      <c r="Z24" t="n">
        <v>-30</v>
      </c>
      <c r="AA24" t="n">
        <v>63</v>
      </c>
      <c r="AB24" s="73" t="n">
        <v>-249</v>
      </c>
      <c r="AC24" s="73" t="n">
        <v>-711</v>
      </c>
      <c r="AD24" s="73" t="n">
        <v>793</v>
      </c>
      <c r="AE24" t="n">
        <v>0</v>
      </c>
    </row>
    <row r="25">
      <c r="B25" t="inlineStr">
        <is>
          <t>Equipments</t>
        </is>
      </c>
      <c r="C25" t="n">
        <v>15</v>
      </c>
      <c r="D25" t="n">
        <v>11</v>
      </c>
      <c r="E25" t="n">
        <v>13</v>
      </c>
      <c r="F25" t="n">
        <v>15</v>
      </c>
      <c r="G25" t="n">
        <v>18</v>
      </c>
      <c r="H25" t="n">
        <v>20</v>
      </c>
      <c r="I25" t="n">
        <v>23</v>
      </c>
      <c r="J25" t="n">
        <v>43</v>
      </c>
      <c r="K25" t="n">
        <v>0</v>
      </c>
      <c r="L25" t="n">
        <v>51</v>
      </c>
      <c r="M25" t="n">
        <v>52</v>
      </c>
      <c r="N25" t="n">
        <v>54</v>
      </c>
      <c r="R25" t="inlineStr">
        <is>
          <t>Direct taxes</t>
        </is>
      </c>
      <c r="S25" s="73" t="n">
        <v>-342</v>
      </c>
      <c r="T25" s="73" t="n">
        <v>-503</v>
      </c>
      <c r="U25" s="73" t="n">
        <v>-604</v>
      </c>
      <c r="V25" s="73" t="n">
        <v>-881</v>
      </c>
      <c r="W25" s="73" t="n">
        <v>-673</v>
      </c>
      <c r="X25" s="73" t="n">
        <v>-703</v>
      </c>
      <c r="Y25" s="73" t="n">
        <v>-729</v>
      </c>
      <c r="Z25" s="73" t="n">
        <v>-841</v>
      </c>
      <c r="AA25" s="73" t="n">
        <v>-1059</v>
      </c>
      <c r="AB25" s="73" t="n">
        <v>-1299</v>
      </c>
      <c r="AC25" s="73" t="n">
        <v>-1024</v>
      </c>
      <c r="AD25" s="73" t="n">
        <v>-1071</v>
      </c>
      <c r="AE25" t="n">
        <v>0</v>
      </c>
    </row>
    <row r="26">
      <c r="B26" s="73" t="inlineStr">
        <is>
          <t>Furniture n fittings</t>
        </is>
      </c>
      <c r="C26" s="73" t="n">
        <v>197</v>
      </c>
      <c r="D26" s="73" t="n">
        <v>69</v>
      </c>
      <c r="E26" s="73" t="n">
        <v>71</v>
      </c>
      <c r="F26" s="73" t="n">
        <v>71</v>
      </c>
      <c r="G26" s="73" t="n">
        <v>70</v>
      </c>
      <c r="H26" s="73" t="n">
        <v>69</v>
      </c>
      <c r="I26" s="73" t="n">
        <v>65</v>
      </c>
      <c r="J26" s="73" t="n">
        <v>64</v>
      </c>
      <c r="K26" s="73" t="n">
        <v>0</v>
      </c>
      <c r="L26" s="73" t="n">
        <v>68</v>
      </c>
      <c r="M26" s="73" t="n">
        <v>71</v>
      </c>
      <c r="N26" s="73" t="n">
        <v>74</v>
      </c>
      <c r="R26" t="inlineStr">
        <is>
          <t>Cash from Investing Activity -</t>
        </is>
      </c>
      <c r="S26" s="73" t="n">
        <v>-70</v>
      </c>
      <c r="T26" s="73" t="n">
        <v>-126</v>
      </c>
      <c r="U26" s="73" t="n">
        <v>-131</v>
      </c>
      <c r="V26" s="73" t="n">
        <v>-52</v>
      </c>
      <c r="W26" s="73" t="n">
        <v>83</v>
      </c>
      <c r="X26" s="73" t="n">
        <v>-321</v>
      </c>
      <c r="Y26" s="73" t="n">
        <v>-1920</v>
      </c>
      <c r="Z26" s="73" t="n">
        <v>-392</v>
      </c>
      <c r="AA26" s="73" t="n">
        <v>-927</v>
      </c>
      <c r="AB26" s="73" t="n">
        <v>-1237</v>
      </c>
      <c r="AC26" t="n">
        <v>-1811</v>
      </c>
      <c r="AD26" s="73" t="n">
        <v>-624</v>
      </c>
      <c r="AE26" t="n">
        <v>0</v>
      </c>
    </row>
    <row r="27">
      <c r="B27" s="73" t="inlineStr">
        <is>
          <t>Railway sidings</t>
        </is>
      </c>
      <c r="C27" s="73" t="n">
        <v>1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-151</v>
      </c>
      <c r="T27" s="73" t="n">
        <v>-207</v>
      </c>
      <c r="U27" s="73" t="n">
        <v>-199</v>
      </c>
      <c r="V27" s="73" t="n">
        <v>-166</v>
      </c>
      <c r="W27" s="73" t="n">
        <v>-155</v>
      </c>
      <c r="X27" s="73" t="n">
        <v>-478</v>
      </c>
      <c r="Y27" s="73" t="n">
        <v>-735</v>
      </c>
      <c r="Z27" s="73" t="n">
        <v>-550</v>
      </c>
      <c r="AA27" s="73" t="n">
        <v>-1371</v>
      </c>
      <c r="AB27" s="73" t="n">
        <v>-1883</v>
      </c>
      <c r="AC27" s="73" t="n">
        <v>-2009</v>
      </c>
      <c r="AD27" s="73" t="n">
        <v>-830</v>
      </c>
      <c r="AE27" t="n">
        <v>0</v>
      </c>
    </row>
    <row r="28">
      <c r="B28" t="inlineStr">
        <is>
          <t>Vehicles</t>
        </is>
      </c>
      <c r="C28" t="n">
        <v>4</v>
      </c>
      <c r="D28" t="n">
        <v>3</v>
      </c>
      <c r="E28" t="n">
        <v>3</v>
      </c>
      <c r="F28" t="n">
        <v>2</v>
      </c>
      <c r="G28" t="n">
        <v>20</v>
      </c>
      <c r="H28" t="n">
        <v>18</v>
      </c>
      <c r="I28" t="n">
        <v>19</v>
      </c>
      <c r="J28" t="n">
        <v>18</v>
      </c>
      <c r="K28" t="n">
        <v>0</v>
      </c>
      <c r="L28" t="n">
        <v>20</v>
      </c>
      <c r="M28" t="n">
        <v>25</v>
      </c>
      <c r="N28" t="n">
        <v>32</v>
      </c>
      <c r="O28" s="73" t="n"/>
      <c r="R28" t="inlineStr">
        <is>
          <t>Fixed assets sold</t>
        </is>
      </c>
      <c r="S28" s="73" t="n">
        <v>1</v>
      </c>
      <c r="T28" s="73" t="n">
        <v>94</v>
      </c>
      <c r="U28" s="73" t="n">
        <v>3</v>
      </c>
      <c r="V28" s="73" t="n">
        <v>3</v>
      </c>
      <c r="W28" s="73" t="n">
        <v>2</v>
      </c>
      <c r="X28" s="73" t="n">
        <v>4</v>
      </c>
      <c r="Y28" s="73" t="n">
        <v>4</v>
      </c>
      <c r="Z28" s="73" t="n">
        <v>9</v>
      </c>
      <c r="AA28" s="73" t="n">
        <v>7</v>
      </c>
      <c r="AB28" t="n">
        <v>4</v>
      </c>
      <c r="AC28" s="73" t="n">
        <v>4</v>
      </c>
      <c r="AD28" s="73" t="n">
        <v>3</v>
      </c>
      <c r="AE28" t="n">
        <v>0</v>
      </c>
    </row>
    <row r="29">
      <c r="B29" t="inlineStr">
        <is>
          <t>Intangible Assets</t>
        </is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-37</v>
      </c>
      <c r="T29" s="73" t="n">
        <v>-153</v>
      </c>
      <c r="U29" s="73" t="n">
        <v>-112</v>
      </c>
      <c r="V29" s="73" t="n">
        <v>-160</v>
      </c>
      <c r="W29" s="73" t="n">
        <v>-16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0</v>
      </c>
      <c r="AD29" s="73" t="n">
        <v>0</v>
      </c>
      <c r="AE29" t="n">
        <v>0</v>
      </c>
    </row>
    <row r="30">
      <c r="B30" t="inlineStr">
        <is>
          <t>Other fixed assets</t>
        </is>
      </c>
      <c r="C30" t="n">
        <v>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73" t="n">
        <v>0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25</v>
      </c>
      <c r="AA30" s="73" t="n">
        <v>312</v>
      </c>
      <c r="AB30" s="73" t="n">
        <v>284</v>
      </c>
      <c r="AC30" s="73" t="n">
        <v>424</v>
      </c>
      <c r="AD30" s="73" t="n">
        <v>0</v>
      </c>
      <c r="AE30" t="n">
        <v>0</v>
      </c>
    </row>
    <row r="31">
      <c r="B31" t="inlineStr">
        <is>
          <t>Gross Block</t>
        </is>
      </c>
      <c r="C31" s="73" t="n">
        <v>5117</v>
      </c>
      <c r="D31" s="73" t="n">
        <v>3095</v>
      </c>
      <c r="E31" s="73" t="n">
        <v>3358</v>
      </c>
      <c r="F31" s="73" t="n">
        <v>3485</v>
      </c>
      <c r="G31" s="73" t="n">
        <v>3865</v>
      </c>
      <c r="H31" s="73" t="n">
        <v>3998</v>
      </c>
      <c r="I31" s="73" t="n">
        <v>5119</v>
      </c>
      <c r="J31" s="73" t="n">
        <v>5474</v>
      </c>
      <c r="K31" s="73" t="n">
        <v>0</v>
      </c>
      <c r="L31" s="73" t="n">
        <v>6334</v>
      </c>
      <c r="M31" s="73" t="n">
        <v>8796</v>
      </c>
      <c r="N31" s="73" t="n">
        <v>10185</v>
      </c>
      <c r="O31" s="73" t="n"/>
      <c r="R31" t="inlineStr">
        <is>
          <t>Interest received</t>
        </is>
      </c>
      <c r="S31" t="n">
        <v>99</v>
      </c>
      <c r="T31" t="n">
        <v>126</v>
      </c>
      <c r="U31" s="73" t="n">
        <v>154</v>
      </c>
      <c r="V31" s="73" t="n">
        <v>237</v>
      </c>
      <c r="W31" s="73" t="n">
        <v>238</v>
      </c>
      <c r="X31" s="73" t="n">
        <v>148</v>
      </c>
      <c r="Y31" s="73" t="n">
        <v>125</v>
      </c>
      <c r="Z31" s="73" t="n">
        <v>103</v>
      </c>
      <c r="AA31" s="73" t="n">
        <v>0</v>
      </c>
      <c r="AB31" s="73" t="n">
        <v>167</v>
      </c>
      <c r="AC31" s="73" t="n">
        <v>76</v>
      </c>
      <c r="AD31" s="73" t="n">
        <v>34</v>
      </c>
      <c r="AE31" t="n">
        <v>0</v>
      </c>
    </row>
    <row r="32">
      <c r="B32" s="73" t="inlineStr">
        <is>
          <t>Accumulated Depreciation</t>
        </is>
      </c>
      <c r="C32" s="73" t="n">
        <v>2220</v>
      </c>
      <c r="D32" s="73" t="n">
        <v>365</v>
      </c>
      <c r="E32" s="73" t="n">
        <v>742</v>
      </c>
      <c r="F32" s="73" t="n">
        <v>1085</v>
      </c>
      <c r="G32" s="73" t="n">
        <v>1524</v>
      </c>
      <c r="H32" s="73" t="n">
        <v>1819</v>
      </c>
      <c r="I32" s="73" t="n">
        <v>2124</v>
      </c>
      <c r="J32" s="73" t="n">
        <v>2430</v>
      </c>
      <c r="K32" s="73" t="n">
        <v>0</v>
      </c>
      <c r="L32" s="73" t="n">
        <v>2873</v>
      </c>
      <c r="M32" s="73" t="n">
        <v>3322</v>
      </c>
      <c r="N32" s="73" t="n">
        <v>3895</v>
      </c>
      <c r="O32" s="73" t="n"/>
      <c r="R32" t="inlineStr">
        <is>
          <t>Dividends received</t>
        </is>
      </c>
      <c r="S32" t="n">
        <v>12</v>
      </c>
      <c r="T32" t="n">
        <v>13</v>
      </c>
      <c r="U32" s="73" t="n">
        <v>16</v>
      </c>
      <c r="V32" t="n">
        <v>19</v>
      </c>
      <c r="W32" t="n">
        <v>13</v>
      </c>
      <c r="X32" t="n">
        <v>2</v>
      </c>
      <c r="Y32" s="73" t="n">
        <v>0</v>
      </c>
      <c r="Z32" s="73" t="n">
        <v>0</v>
      </c>
      <c r="AA32" s="73" t="n">
        <v>0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2898</v>
      </c>
      <c r="D33" s="73" t="n">
        <v>2730</v>
      </c>
      <c r="E33" s="73" t="n">
        <v>2616</v>
      </c>
      <c r="F33" s="73" t="n">
        <v>2401</v>
      </c>
      <c r="G33" s="73" t="n">
        <v>2341</v>
      </c>
      <c r="H33" s="73" t="n">
        <v>2179</v>
      </c>
      <c r="I33" s="73" t="n">
        <v>2995</v>
      </c>
      <c r="J33" s="73" t="n">
        <v>3044</v>
      </c>
      <c r="K33" s="73" t="n">
        <v>3044</v>
      </c>
      <c r="L33" s="73" t="n">
        <v>3460</v>
      </c>
      <c r="M33" s="73" t="n">
        <v>5474</v>
      </c>
      <c r="N33" s="73" t="n">
        <v>6290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231</v>
      </c>
      <c r="D35" s="73" t="n">
        <v>188</v>
      </c>
      <c r="E35" s="73" t="n">
        <v>94</v>
      </c>
      <c r="F35" s="73" t="n">
        <v>105</v>
      </c>
      <c r="G35" s="73" t="n">
        <v>143</v>
      </c>
      <c r="H35" s="73" t="n">
        <v>639</v>
      </c>
      <c r="I35" s="73" t="n">
        <v>246</v>
      </c>
      <c r="J35" s="73" t="n">
        <v>358</v>
      </c>
      <c r="K35" s="73" t="n">
        <v>358</v>
      </c>
      <c r="L35" s="73" t="n">
        <v>1742</v>
      </c>
      <c r="M35" s="73" t="n">
        <v>1173</v>
      </c>
      <c r="N35" s="73" t="n">
        <v>507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0</v>
      </c>
      <c r="V35" s="73" t="n">
        <v>0</v>
      </c>
      <c r="W35" s="73" t="n">
        <v>0</v>
      </c>
      <c r="X35" s="73" t="n">
        <v>0</v>
      </c>
      <c r="Y35" s="73" t="n">
        <v>0</v>
      </c>
      <c r="Z35" s="73" t="n">
        <v>0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1325</v>
      </c>
      <c r="D36" s="73" t="n">
        <v>1756</v>
      </c>
      <c r="E36" s="73" t="n">
        <v>1979</v>
      </c>
      <c r="F36" s="73" t="n">
        <v>2658</v>
      </c>
      <c r="G36" s="73" t="n">
        <v>1751</v>
      </c>
      <c r="H36" s="73" t="n">
        <v>1464</v>
      </c>
      <c r="I36" s="73" t="n">
        <v>774</v>
      </c>
      <c r="J36" s="73" t="n">
        <v>778</v>
      </c>
      <c r="K36" s="73" t="n">
        <v>778</v>
      </c>
      <c r="L36" s="73" t="n">
        <v>464</v>
      </c>
      <c r="M36" s="73" t="n">
        <v>575</v>
      </c>
      <c r="N36" s="73" t="n">
        <v>531</v>
      </c>
      <c r="O36" s="73" t="n"/>
      <c r="R36" t="inlineStr">
        <is>
          <t>Other investing items</t>
        </is>
      </c>
      <c r="S36" s="73" t="n">
        <v>6</v>
      </c>
      <c r="T36" s="73" t="n">
        <v>1</v>
      </c>
      <c r="U36" s="73" t="n">
        <v>7</v>
      </c>
      <c r="V36" s="73" t="n">
        <v>15</v>
      </c>
      <c r="W36" s="73" t="n">
        <v>0</v>
      </c>
      <c r="X36" s="73" t="n">
        <v>3</v>
      </c>
      <c r="Y36" s="73" t="n">
        <v>-1314</v>
      </c>
      <c r="Z36" s="73" t="n">
        <v>20</v>
      </c>
      <c r="AA36" t="n">
        <v>126</v>
      </c>
      <c r="AB36" s="73" t="n">
        <v>190</v>
      </c>
      <c r="AC36" t="n">
        <v>400</v>
      </c>
      <c r="AD36" s="73" t="n">
        <v>168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-498</v>
      </c>
      <c r="T37" s="73" t="n">
        <v>-666</v>
      </c>
      <c r="U37" s="73" t="n">
        <v>-997</v>
      </c>
      <c r="V37" s="73" t="n">
        <v>-1317</v>
      </c>
      <c r="W37" s="73" t="n">
        <v>-3602</v>
      </c>
      <c r="X37" s="73" t="n">
        <v>-1956</v>
      </c>
      <c r="Y37" s="73" t="n">
        <v>-2020</v>
      </c>
      <c r="Z37" s="73" t="n">
        <v>-2123</v>
      </c>
      <c r="AA37" s="73" t="n">
        <v>-2436</v>
      </c>
      <c r="AB37" s="73" t="n">
        <v>-3135</v>
      </c>
      <c r="AC37" s="73" t="n">
        <v>-1848</v>
      </c>
      <c r="AD37" s="73" t="n">
        <v>-3179</v>
      </c>
      <c r="AE37" t="n">
        <v>0</v>
      </c>
    </row>
    <row r="38">
      <c r="B38" t="inlineStr">
        <is>
          <t>Other Assets -</t>
        </is>
      </c>
      <c r="C38" s="73" t="n">
        <v>1633</v>
      </c>
      <c r="D38" s="73" t="n">
        <v>2136</v>
      </c>
      <c r="E38" s="73" t="n">
        <v>2673</v>
      </c>
      <c r="F38" s="73" t="n">
        <v>2924</v>
      </c>
      <c r="G38" s="73" t="n">
        <v>2937</v>
      </c>
      <c r="H38" s="73" t="n">
        <v>3618</v>
      </c>
      <c r="I38" s="73" t="n">
        <v>4219</v>
      </c>
      <c r="J38" s="73" t="n">
        <v>4799</v>
      </c>
      <c r="K38" s="73" t="n">
        <v>4799</v>
      </c>
      <c r="L38" s="73" t="n">
        <v>4857</v>
      </c>
      <c r="M38" s="73" t="n">
        <v>4972</v>
      </c>
      <c r="N38" s="73" t="n">
        <v>5854</v>
      </c>
      <c r="O38" s="73" t="n"/>
      <c r="R38" t="inlineStr">
        <is>
          <t>Proceeds from shares</t>
        </is>
      </c>
      <c r="S38" t="n">
        <v>0</v>
      </c>
      <c r="T38" t="n">
        <v>0</v>
      </c>
      <c r="U38" s="73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s="73" t="n">
        <v>0</v>
      </c>
      <c r="AB38" s="73" t="n">
        <v>0</v>
      </c>
      <c r="AC38" t="n">
        <v>0</v>
      </c>
      <c r="AD38" t="n">
        <v>0</v>
      </c>
      <c r="AE38" t="n">
        <v>0</v>
      </c>
    </row>
    <row r="39">
      <c r="B39" t="inlineStr">
        <is>
          <t>Inventories</t>
        </is>
      </c>
      <c r="C39" s="73" t="n">
        <v>821</v>
      </c>
      <c r="D39" s="73" t="n">
        <v>940</v>
      </c>
      <c r="E39" s="73" t="n">
        <v>902</v>
      </c>
      <c r="F39" s="73" t="n">
        <v>966</v>
      </c>
      <c r="G39" s="73" t="n">
        <v>1283</v>
      </c>
      <c r="H39" s="73" t="n">
        <v>1416</v>
      </c>
      <c r="I39" s="73" t="n">
        <v>1593</v>
      </c>
      <c r="J39" s="73" t="n">
        <v>1929</v>
      </c>
      <c r="K39" s="73" t="n">
        <v>1929</v>
      </c>
      <c r="L39" s="73" t="n">
        <v>2089</v>
      </c>
      <c r="M39" s="73" t="n">
        <v>2850</v>
      </c>
      <c r="N39" s="73" t="n">
        <v>2569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24</v>
      </c>
      <c r="Z39" t="n">
        <v>0</v>
      </c>
      <c r="AA39" t="n">
        <v>0</v>
      </c>
      <c r="AB39" t="n">
        <v>0</v>
      </c>
      <c r="AC39" t="n">
        <v>726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78</v>
      </c>
      <c r="D40" s="73" t="n">
        <v>98</v>
      </c>
      <c r="E40" s="73" t="n">
        <v>89</v>
      </c>
      <c r="F40" s="73" t="n">
        <v>125</v>
      </c>
      <c r="G40" s="73" t="n">
        <v>124</v>
      </c>
      <c r="H40" s="73" t="n">
        <v>165</v>
      </c>
      <c r="I40" s="73" t="n">
        <v>166</v>
      </c>
      <c r="J40" s="73" t="n">
        <v>192</v>
      </c>
      <c r="K40" s="73" t="n">
        <v>192</v>
      </c>
      <c r="L40" s="73" t="n">
        <v>300</v>
      </c>
      <c r="M40" s="73" t="n">
        <v>363</v>
      </c>
      <c r="N40" s="73" t="n">
        <v>329</v>
      </c>
      <c r="O40" s="73" t="n"/>
      <c r="R40" t="inlineStr">
        <is>
          <t>Repayment of borrowings</t>
        </is>
      </c>
      <c r="S40" t="n">
        <v>-3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-24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-726</v>
      </c>
      <c r="AE40" t="n">
        <v>0</v>
      </c>
    </row>
    <row r="41">
      <c r="B41" t="inlineStr">
        <is>
          <t>Cash Equivalents</t>
        </is>
      </c>
      <c r="C41" s="73" t="n">
        <v>500</v>
      </c>
      <c r="D41" s="73" t="n">
        <v>880</v>
      </c>
      <c r="E41" s="73" t="n">
        <v>1457</v>
      </c>
      <c r="F41" s="73" t="n">
        <v>1610</v>
      </c>
      <c r="G41" s="73" t="n">
        <v>1308</v>
      </c>
      <c r="H41" s="73" t="n">
        <v>1770</v>
      </c>
      <c r="I41" s="73" t="n">
        <v>735</v>
      </c>
      <c r="J41" s="73" t="n">
        <v>946</v>
      </c>
      <c r="K41" s="73" t="n">
        <v>946</v>
      </c>
      <c r="L41" s="73" t="n">
        <v>779</v>
      </c>
      <c r="M41" s="73" t="n">
        <v>96</v>
      </c>
      <c r="N41" s="73" t="n">
        <v>1341</v>
      </c>
      <c r="O41" s="73" t="n"/>
      <c r="R41" t="inlineStr">
        <is>
          <t>Interest paid fin</t>
        </is>
      </c>
      <c r="S41" s="73" t="n">
        <v>-3</v>
      </c>
      <c r="T41" s="73" t="n">
        <v>-4</v>
      </c>
      <c r="U41" s="73" t="n">
        <v>-1</v>
      </c>
      <c r="V41" s="73" t="n">
        <v>-4</v>
      </c>
      <c r="W41" s="73" t="n">
        <v>-63</v>
      </c>
      <c r="X41" s="73" t="n">
        <v>-69</v>
      </c>
      <c r="Y41" s="73" t="n">
        <v>-9</v>
      </c>
      <c r="Z41" s="73" t="n">
        <v>-18</v>
      </c>
      <c r="AA41" s="73" t="n">
        <v>-20</v>
      </c>
      <c r="AB41" s="73" t="n">
        <v>-26</v>
      </c>
      <c r="AC41" s="73" t="n">
        <v>-34</v>
      </c>
      <c r="AD41" s="73" t="n">
        <v>-50</v>
      </c>
      <c r="AE41" t="n">
        <v>0</v>
      </c>
    </row>
    <row r="42">
      <c r="B42" t="inlineStr">
        <is>
          <t>Loans n Advances</t>
        </is>
      </c>
      <c r="C42" s="73" t="n">
        <v>61</v>
      </c>
      <c r="D42" s="73" t="n">
        <v>21</v>
      </c>
      <c r="E42" s="73" t="n">
        <v>43</v>
      </c>
      <c r="F42" s="73" t="n">
        <v>48</v>
      </c>
      <c r="G42" s="73" t="n">
        <v>35</v>
      </c>
      <c r="H42" s="73" t="n">
        <v>47</v>
      </c>
      <c r="I42" s="73" t="n">
        <v>93</v>
      </c>
      <c r="J42" s="73" t="n">
        <v>68</v>
      </c>
      <c r="K42" s="73" t="n">
        <v>66</v>
      </c>
      <c r="L42" s="73" t="n">
        <v>76</v>
      </c>
      <c r="M42" s="73" t="n">
        <v>81</v>
      </c>
      <c r="N42" s="73" t="n">
        <v>100</v>
      </c>
      <c r="O42" s="73" t="n"/>
      <c r="R42" t="inlineStr">
        <is>
          <t>Dividends paid</t>
        </is>
      </c>
      <c r="S42" s="73" t="n">
        <v>-410</v>
      </c>
      <c r="T42" s="73" t="n">
        <v>-564</v>
      </c>
      <c r="U42" s="73" t="n">
        <v>-829</v>
      </c>
      <c r="V42" s="73" t="n">
        <v>-1090</v>
      </c>
      <c r="W42" s="73" t="n">
        <v>-2950</v>
      </c>
      <c r="X42" s="73" t="n">
        <v>-1890</v>
      </c>
      <c r="Y42" s="73" t="n">
        <v>-1928</v>
      </c>
      <c r="Z42" s="73" t="n">
        <v>-2025</v>
      </c>
      <c r="AA42" s="73" t="n">
        <v>-2333</v>
      </c>
      <c r="AB42" s="73" t="n">
        <v>-3008</v>
      </c>
      <c r="AC42" s="73" t="n">
        <v>-2459</v>
      </c>
      <c r="AD42" s="73" t="n">
        <v>-2314</v>
      </c>
      <c r="AE42" t="n">
        <v>0</v>
      </c>
    </row>
    <row r="43">
      <c r="B43" t="inlineStr">
        <is>
          <t>Other asset items</t>
        </is>
      </c>
      <c r="C43" s="73" t="n">
        <v>173</v>
      </c>
      <c r="D43" s="73" t="n">
        <v>197</v>
      </c>
      <c r="E43" s="73" t="n">
        <v>182</v>
      </c>
      <c r="F43" s="73" t="n">
        <v>175</v>
      </c>
      <c r="G43" s="73" t="n">
        <v>186</v>
      </c>
      <c r="H43" s="73" t="n">
        <v>219</v>
      </c>
      <c r="I43" s="73" t="n">
        <v>1632</v>
      </c>
      <c r="J43" s="73" t="n">
        <v>1665</v>
      </c>
      <c r="K43" s="73" t="n">
        <v>1667</v>
      </c>
      <c r="L43" s="73" t="n">
        <v>1613</v>
      </c>
      <c r="M43" s="73" t="n">
        <v>1582</v>
      </c>
      <c r="N43" s="73" t="n">
        <v>1515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-79</v>
      </c>
      <c r="Z43" t="n">
        <v>-73</v>
      </c>
      <c r="AA43" t="n">
        <v>-166</v>
      </c>
      <c r="AB43" t="n">
        <v>-100</v>
      </c>
      <c r="AC43" t="n">
        <v>-76</v>
      </c>
      <c r="AD43" t="n">
        <v>-86</v>
      </c>
      <c r="AE43" t="n">
        <v>0</v>
      </c>
    </row>
    <row r="44">
      <c r="B44" s="57" t="inlineStr">
        <is>
          <t>Total Assets</t>
        </is>
      </c>
      <c r="C44" s="73" t="n">
        <v>6086</v>
      </c>
      <c r="D44" s="73" t="n">
        <v>6810</v>
      </c>
      <c r="E44" s="73" t="n">
        <v>7363</v>
      </c>
      <c r="F44" s="73" t="n">
        <v>8088</v>
      </c>
      <c r="G44" s="73" t="n">
        <v>7173</v>
      </c>
      <c r="H44" s="73" t="n">
        <v>7900</v>
      </c>
      <c r="I44" s="73" t="n">
        <v>8234</v>
      </c>
      <c r="J44" s="73" t="n">
        <v>8979</v>
      </c>
      <c r="K44" s="73" t="n">
        <v>8979</v>
      </c>
      <c r="L44" s="73" t="n">
        <v>10523</v>
      </c>
      <c r="M44" s="73" t="n">
        <v>12193</v>
      </c>
      <c r="N44" s="73" t="n">
        <v>13182</v>
      </c>
      <c r="R44" t="inlineStr">
        <is>
          <t>Other financing items</t>
        </is>
      </c>
      <c r="S44" t="n">
        <v>-82</v>
      </c>
      <c r="T44" t="n">
        <v>-98</v>
      </c>
      <c r="U44" s="73" t="n">
        <v>-167</v>
      </c>
      <c r="V44" s="73" t="n">
        <v>-224</v>
      </c>
      <c r="W44" s="73" t="n">
        <v>-588</v>
      </c>
      <c r="X44" s="73" t="n">
        <v>3</v>
      </c>
      <c r="Y44" t="n">
        <v>-3</v>
      </c>
      <c r="Z44" t="n">
        <v>-7</v>
      </c>
      <c r="AA44" t="n">
        <v>83</v>
      </c>
      <c r="AB44" t="n">
        <v>-1</v>
      </c>
      <c r="AC44" t="n">
        <v>-5</v>
      </c>
      <c r="AD44" t="n">
        <v>-3</v>
      </c>
      <c r="AE44" t="n">
        <v>0</v>
      </c>
    </row>
    <row r="45">
      <c r="R45" t="inlineStr">
        <is>
          <t>Net Cash Flow</t>
        </is>
      </c>
      <c r="S45" t="n">
        <v>529</v>
      </c>
      <c r="T45" t="n">
        <v>674</v>
      </c>
      <c r="U45" t="n">
        <v>691</v>
      </c>
      <c r="V45" t="n">
        <v>683</v>
      </c>
      <c r="W45" t="n">
        <v>-1223</v>
      </c>
      <c r="X45" t="n">
        <v>177</v>
      </c>
      <c r="Y45" t="n">
        <v>-1704</v>
      </c>
      <c r="Z45" t="n">
        <v>223</v>
      </c>
      <c r="AA45" t="n">
        <v>29</v>
      </c>
      <c r="AB45" t="n">
        <v>-198</v>
      </c>
      <c r="AC45" t="n">
        <v>-723</v>
      </c>
      <c r="AD45" t="n">
        <v>1244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Sheet'!K69+'Data Sheet'!K64</f>
        <v/>
      </c>
    </row>
    <row r="57">
      <c r="K57" t="n">
        <v>1</v>
      </c>
      <c r="L57" t="inlineStr">
        <is>
          <t>Britannia Inds.</t>
        </is>
      </c>
      <c r="M57" t="n">
        <v>4745.6</v>
      </c>
      <c r="N57" t="n">
        <v>24.0677</v>
      </c>
      <c r="AR57" t="n">
        <v>114215.7</v>
      </c>
      <c r="AS57">
        <f>AZ57-BA57</f>
        <v/>
      </c>
      <c r="AT57">
        <f>AR57+AS57</f>
        <v/>
      </c>
      <c r="AU57" t="n">
        <v>19999.9</v>
      </c>
      <c r="AV57" t="n">
        <v>3560.3</v>
      </c>
      <c r="AW57" t="n">
        <v>2604.1</v>
      </c>
      <c r="AX57" t="n">
        <v>15</v>
      </c>
      <c r="AZ57" t="n">
        <v>1380</v>
      </c>
      <c r="BA57" t="n">
        <v>3610</v>
      </c>
    </row>
    <row r="58">
      <c r="K58" t="n">
        <v>2</v>
      </c>
      <c r="L58" t="inlineStr">
        <is>
          <t>ITC</t>
        </is>
      </c>
      <c r="M58" t="n">
        <v>255</v>
      </c>
      <c r="N58" t="n">
        <v>1254.9412</v>
      </c>
      <c r="AR58" t="n">
        <v>320010</v>
      </c>
      <c r="AS58">
        <f>AZ58-BA58</f>
        <v/>
      </c>
      <c r="AT58">
        <f>AR58+AS58</f>
        <v/>
      </c>
      <c r="AU58" t="n">
        <v>76457.5</v>
      </c>
      <c r="AV58" t="n">
        <v>27052.7</v>
      </c>
      <c r="AW58" t="n">
        <v>19753.7</v>
      </c>
      <c r="AX58" t="n">
        <v>15</v>
      </c>
      <c r="AZ58" t="n">
        <v>2399</v>
      </c>
      <c r="BA58" t="n">
        <v>38128</v>
      </c>
    </row>
    <row r="59">
      <c r="K59" t="n">
        <v>3</v>
      </c>
      <c r="L59" t="inlineStr">
        <is>
          <t>Hind. Unilever</t>
        </is>
      </c>
      <c r="M59" t="n">
        <v>1844.5</v>
      </c>
      <c r="N59" t="n">
        <v>234.6321</v>
      </c>
      <c r="AR59" t="n">
        <v>432778.9</v>
      </c>
      <c r="AS59">
        <f>AZ59-BA59</f>
        <v/>
      </c>
      <c r="AT59">
        <f>AR59+AS59</f>
        <v/>
      </c>
      <c r="AU59" t="n">
        <v>69364</v>
      </c>
      <c r="AV59" t="n">
        <v>16080</v>
      </c>
      <c r="AW59" t="n">
        <v>11026.21</v>
      </c>
      <c r="AX59" t="n">
        <v>15</v>
      </c>
      <c r="AZ59" t="n">
        <v>1478</v>
      </c>
      <c r="BA59" t="n">
        <v>5939</v>
      </c>
    </row>
    <row r="60">
      <c r="K60" t="n">
        <v>4</v>
      </c>
      <c r="L60" t="inlineStr">
        <is>
          <t>Varun Beverages</t>
        </is>
      </c>
      <c r="M60" t="n">
        <v>432</v>
      </c>
      <c r="N60" t="n">
        <v>338.3262</v>
      </c>
      <c r="AR60" t="n">
        <v>146156.9</v>
      </c>
      <c r="AS60">
        <f>AZ60-BA60</f>
        <v/>
      </c>
      <c r="AT60">
        <f>AR60+AS60</f>
        <v/>
      </c>
      <c r="AU60" t="n">
        <v>33804.9</v>
      </c>
      <c r="AV60" t="n">
        <v>9152.200000000001</v>
      </c>
      <c r="AW60" t="n">
        <v>3386.4</v>
      </c>
      <c r="AX60" t="n">
        <v>15</v>
      </c>
      <c r="AZ60" t="n">
        <v>2508</v>
      </c>
      <c r="BA60" t="n">
        <v>1200</v>
      </c>
    </row>
    <row r="61">
      <c r="K61" t="n">
        <v>5</v>
      </c>
      <c r="L61" t="inlineStr">
        <is>
          <t>Marico</t>
        </is>
      </c>
      <c r="M61" t="n">
        <v>777.25</v>
      </c>
      <c r="N61" t="n">
        <v>130.1361</v>
      </c>
      <c r="AR61" t="n">
        <v>101148.3</v>
      </c>
      <c r="AS61">
        <f>AZ61-BA61</f>
        <v/>
      </c>
      <c r="AT61">
        <f>AR61+AS61</f>
        <v/>
      </c>
      <c r="AU61" t="n">
        <v>15828</v>
      </c>
      <c r="AV61" t="n">
        <v>3912</v>
      </c>
      <c r="AW61" t="n">
        <v>1888.15</v>
      </c>
      <c r="AX61" t="n">
        <v>15</v>
      </c>
      <c r="AZ61" t="n">
        <v>557</v>
      </c>
      <c r="BA61" t="n">
        <v>2083</v>
      </c>
    </row>
    <row r="62">
      <c r="K62" t="n">
        <v>6</v>
      </c>
      <c r="L62" t="inlineStr">
        <is>
          <t>Godrej Consumer</t>
        </is>
      </c>
      <c r="M62" t="n">
        <v>865</v>
      </c>
      <c r="N62" t="n">
        <v>102.1593</v>
      </c>
      <c r="AR62" t="n">
        <v>88367.8</v>
      </c>
      <c r="AS62">
        <f>AZ62-BA62</f>
        <v/>
      </c>
      <c r="AT62">
        <f>AR62+AS62</f>
        <v/>
      </c>
      <c r="AU62" t="n">
        <v>16901.9</v>
      </c>
      <c r="AV62" t="n">
        <v>3027.1</v>
      </c>
      <c r="AW62" t="n">
        <v>2076.31</v>
      </c>
      <c r="AX62" t="n">
        <v>15</v>
      </c>
      <c r="AZ62" t="n">
        <v>4421</v>
      </c>
      <c r="BA62" t="n">
        <v>2767</v>
      </c>
    </row>
    <row r="63">
      <c r="K63" t="n">
        <v>7</v>
      </c>
      <c r="L63" t="inlineStr">
        <is>
          <t>Dabur India</t>
        </is>
      </c>
      <c r="M63" t="n">
        <v>376.8</v>
      </c>
      <c r="N63" t="n">
        <v>176.8424</v>
      </c>
      <c r="AR63" t="n">
        <v>66634.2</v>
      </c>
      <c r="AS63">
        <f>AZ63-BA63</f>
        <v/>
      </c>
      <c r="AT63">
        <f>AR63+AS63</f>
        <v/>
      </c>
      <c r="AU63" t="n">
        <v>15057.6</v>
      </c>
      <c r="AV63" t="n">
        <v>3517</v>
      </c>
      <c r="AW63" t="n">
        <v>1983.75</v>
      </c>
      <c r="AX63" t="n">
        <v>15</v>
      </c>
      <c r="AZ63" t="n">
        <v>1120</v>
      </c>
      <c r="BA63" t="n">
        <v>1450</v>
      </c>
    </row>
    <row r="64">
      <c r="K64" t="n">
        <v>8</v>
      </c>
      <c r="L64" t="inlineStr">
        <is>
          <t>Milky Mist Dairy</t>
        </is>
      </c>
      <c r="M64" t="n">
        <v>328.35</v>
      </c>
      <c r="N64" t="n">
        <v>77.1454</v>
      </c>
      <c r="AR64" t="n">
        <v>25330.7</v>
      </c>
      <c r="AS64">
        <f>AZ64-BA64</f>
        <v/>
      </c>
      <c r="AT64">
        <f>AR64+AS64</f>
        <v/>
      </c>
      <c r="AU64" t="n">
        <v>3893.6</v>
      </c>
      <c r="AV64" t="n">
        <v>386.7</v>
      </c>
      <c r="AW64" t="n">
        <v>183.21</v>
      </c>
      <c r="AX64" t="n">
        <v>15</v>
      </c>
      <c r="AZ64" t="n">
        <v>1677</v>
      </c>
      <c r="BA64" t="n">
        <v>0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2026-10-08T19:47:48Z</dcterms:modified>
  <cp:lastModifiedBy>Loveish</cp:lastModifiedBy>
  <cp:lastPrinted>2012-12-06T18:14:13Z</cp:lastPrinted>
</cp:coreProperties>
</file>