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  <numFmt numFmtId="181" formatCode="0.0&quot;x&quot;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3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  <xf numFmtId="181" fontId="0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TATA MOTORS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2</v>
      </c>
    </row>
    <row r="8">
      <c r="A8" s="193" t="inlineStr">
        <is>
          <t>Current Price</t>
        </is>
      </c>
      <c r="B8" t="n">
        <v>435</v>
      </c>
    </row>
    <row r="9">
      <c r="A9" s="193" t="inlineStr">
        <is>
          <t>Market Capitalization</t>
        </is>
      </c>
      <c r="B9" t="n">
        <v>160036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43921</v>
      </c>
      <c r="C16" s="16" t="n">
        <v>44286</v>
      </c>
      <c r="D16" s="16" t="n">
        <v>44651</v>
      </c>
      <c r="E16" s="16" t="n">
        <v>45016</v>
      </c>
      <c r="F16" s="16" t="n">
        <v>45382</v>
      </c>
      <c r="G16" s="16" t="n">
        <v>45747</v>
      </c>
      <c r="H16" s="16" t="n">
        <v>46112</v>
      </c>
      <c r="I16" s="16" t="inlineStr">
        <is>
          <t>Trailing</t>
        </is>
      </c>
      <c r="J16" s="16" t="inlineStr">
        <is>
          <t>Best Case</t>
        </is>
      </c>
      <c r="K16" s="16" t="inlineStr">
        <is>
          <t>Worst Case</t>
        </is>
      </c>
    </row>
    <row r="17" customFormat="1" s="188">
      <c r="A17" s="188" t="inlineStr">
        <is>
          <t>Sales</t>
        </is>
      </c>
      <c r="B17" t="n">
        <v>49387.7</v>
      </c>
      <c r="C17" t="n">
        <v>49257.45</v>
      </c>
      <c r="D17" t="n">
        <v>60644.54</v>
      </c>
      <c r="E17" t="n">
        <v>70919.03</v>
      </c>
      <c r="F17" t="n">
        <v>67931.94</v>
      </c>
      <c r="G17" t="n">
        <v>75323.34</v>
      </c>
      <c r="H17" t="n">
        <v>2026</v>
      </c>
      <c r="I17" t="n">
        <v>76487.98</v>
      </c>
      <c r="J17" t="n">
        <v>82580.30669590594</v>
      </c>
      <c r="K17" t="n">
        <v>77779.28921351547</v>
      </c>
    </row>
    <row r="18" customFormat="1" s="188">
      <c r="A18" s="193" t="inlineStr">
        <is>
          <t>Raw Material Cost</t>
        </is>
      </c>
      <c r="B18" t="n">
        <v>15622.96</v>
      </c>
      <c r="C18" t="n">
        <v>16740.19</v>
      </c>
      <c r="D18" t="n">
        <v>20811.12</v>
      </c>
      <c r="E18" t="n">
        <v>23511.68</v>
      </c>
      <c r="F18" t="n">
        <v>22227.09</v>
      </c>
      <c r="G18" t="n">
        <v>25735.72</v>
      </c>
      <c r="H18" t="n">
        <v>1053.52</v>
      </c>
      <c r="I18" t="n">
        <v>26418.95</v>
      </c>
      <c r="J18" t="n">
        <v>27799.66</v>
      </c>
      <c r="K18" t="n">
        <v>26864.97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1802.65</v>
      </c>
      <c r="C20" t="n">
        <v>1931.56</v>
      </c>
      <c r="D20" t="n">
        <v>2401.28</v>
      </c>
      <c r="E20" t="n">
        <v>2712.89</v>
      </c>
      <c r="F20" t="n">
        <v>2564.66</v>
      </c>
      <c r="G20" t="n">
        <v>2969.51</v>
      </c>
      <c r="H20" t="n">
        <v>121.56</v>
      </c>
      <c r="I20" t="n">
        <v>3048.34</v>
      </c>
      <c r="J20" t="n">
        <v>3207.65</v>
      </c>
      <c r="K20" t="n">
        <v>3099.8</v>
      </c>
    </row>
    <row r="21" customFormat="1" s="188">
      <c r="A21" s="193" t="inlineStr">
        <is>
          <t>Other Mfr. Exp</t>
        </is>
      </c>
      <c r="B21" t="n">
        <v>3605.3</v>
      </c>
      <c r="C21" t="n">
        <v>3863.12</v>
      </c>
      <c r="D21" t="n">
        <v>4802.57</v>
      </c>
      <c r="E21" t="n">
        <v>5425.77</v>
      </c>
      <c r="F21" t="n">
        <v>5129.33</v>
      </c>
      <c r="G21" t="n">
        <v>5939.01</v>
      </c>
      <c r="H21" t="n">
        <v>243.12</v>
      </c>
      <c r="I21" t="n">
        <v>6096.68</v>
      </c>
      <c r="J21" t="n">
        <v>6415.31</v>
      </c>
      <c r="K21" t="n">
        <v>6199.61</v>
      </c>
    </row>
    <row r="22" customFormat="1" s="188">
      <c r="A22" s="193" t="inlineStr">
        <is>
          <t>Employee Cost</t>
        </is>
      </c>
      <c r="B22" t="n">
        <v>3605.3</v>
      </c>
      <c r="C22" t="n">
        <v>3863.12</v>
      </c>
      <c r="D22" t="n">
        <v>4802.57</v>
      </c>
      <c r="E22" t="n">
        <v>5425.77</v>
      </c>
      <c r="F22" t="n">
        <v>5129.33</v>
      </c>
      <c r="G22" t="n">
        <v>5939.01</v>
      </c>
      <c r="H22" t="n">
        <v>243.12</v>
      </c>
      <c r="I22" t="n">
        <v>6096.68</v>
      </c>
      <c r="J22" t="n">
        <v>6415.31</v>
      </c>
      <c r="K22" t="n">
        <v>6199.61</v>
      </c>
    </row>
    <row r="23" customFormat="1" s="188">
      <c r="A23" s="193" t="inlineStr">
        <is>
          <t>Selling and admin</t>
        </is>
      </c>
      <c r="B23" t="n">
        <v>1802.65</v>
      </c>
      <c r="C23" t="n">
        <v>1931.56</v>
      </c>
      <c r="D23" t="n">
        <v>2401.28</v>
      </c>
      <c r="E23" t="n">
        <v>2712.89</v>
      </c>
      <c r="F23" t="n">
        <v>2564.66</v>
      </c>
      <c r="G23" t="n">
        <v>2969.51</v>
      </c>
      <c r="H23" t="n">
        <v>121.56</v>
      </c>
      <c r="I23" t="n">
        <v>3048.34</v>
      </c>
      <c r="J23" t="n">
        <v>3207.65</v>
      </c>
      <c r="K23" t="n">
        <v>3099.8</v>
      </c>
    </row>
    <row r="24" customFormat="1" s="188">
      <c r="A24" s="193" t="inlineStr">
        <is>
          <t>Other Expenses</t>
        </is>
      </c>
      <c r="B24" t="n">
        <v>3605.3</v>
      </c>
      <c r="C24" t="n">
        <v>3863.12</v>
      </c>
      <c r="D24" t="n">
        <v>4802.57</v>
      </c>
      <c r="E24" t="n">
        <v>5425.77</v>
      </c>
      <c r="F24" t="n">
        <v>5129.34</v>
      </c>
      <c r="G24" t="n">
        <v>5939</v>
      </c>
      <c r="H24" t="n">
        <v>243.12</v>
      </c>
      <c r="I24" t="n">
        <v>6096.69</v>
      </c>
      <c r="J24" t="n">
        <v>6415.31</v>
      </c>
      <c r="K24" t="n">
        <v>6199.62</v>
      </c>
    </row>
    <row r="25" customFormat="1" s="188">
      <c r="A25" s="188" t="inlineStr">
        <is>
          <t>Other Income</t>
        </is>
      </c>
      <c r="B25" t="n">
        <v>2417.32</v>
      </c>
      <c r="C25" t="n">
        <v>2576.95</v>
      </c>
      <c r="D25" t="n">
        <v>1909.72</v>
      </c>
      <c r="E25" t="n">
        <v>2097.64</v>
      </c>
      <c r="F25" t="n">
        <v>3330.45</v>
      </c>
      <c r="G25" t="n">
        <v>17802.75</v>
      </c>
      <c r="H25" t="n">
        <v>2026</v>
      </c>
      <c r="I25" t="n">
        <v>2907.71</v>
      </c>
      <c r="J25" t="n">
        <v>0</v>
      </c>
      <c r="K25" t="n">
        <v>0</v>
      </c>
    </row>
    <row r="26" customFormat="1" s="188">
      <c r="A26" s="188" t="inlineStr">
        <is>
          <t>Depreciation</t>
        </is>
      </c>
      <c r="B26" t="n">
        <v>1644.91</v>
      </c>
      <c r="C26" t="n">
        <v>1645.59</v>
      </c>
      <c r="D26" t="n">
        <v>1732.41</v>
      </c>
      <c r="E26" t="n">
        <v>1809.01</v>
      </c>
      <c r="F26" t="n">
        <v>1518.05</v>
      </c>
      <c r="G26" t="n">
        <v>1646.32</v>
      </c>
      <c r="H26" t="n">
        <v>2026</v>
      </c>
      <c r="I26" t="n">
        <v>1715.3</v>
      </c>
      <c r="J26" t="n">
        <v>1715.3</v>
      </c>
      <c r="K26" t="n">
        <v>1715.3</v>
      </c>
    </row>
    <row r="27" customFormat="1" s="188">
      <c r="A27" s="188" t="inlineStr">
        <is>
          <t>Interest</t>
        </is>
      </c>
      <c r="B27" t="n">
        <v>81.38</v>
      </c>
      <c r="C27" t="n">
        <v>57.97</v>
      </c>
      <c r="D27" t="n">
        <v>59.99</v>
      </c>
      <c r="E27" t="n">
        <v>77.77</v>
      </c>
      <c r="F27" t="n">
        <v>39.11</v>
      </c>
      <c r="G27" t="n">
        <v>45.06</v>
      </c>
      <c r="H27" t="n">
        <v>2026</v>
      </c>
      <c r="I27" t="n">
        <v>108.48</v>
      </c>
      <c r="J27" t="n">
        <v>108.48</v>
      </c>
      <c r="K27" t="n">
        <v>108.48</v>
      </c>
    </row>
    <row r="28" customFormat="1" s="188">
      <c r="A28" s="188" t="inlineStr">
        <is>
          <t>Profit before tax</t>
        </is>
      </c>
      <c r="B28" t="n">
        <v>20034.57</v>
      </c>
      <c r="C28" t="n">
        <v>17938.17</v>
      </c>
      <c r="D28" t="n">
        <v>20740.47</v>
      </c>
      <c r="E28" t="n">
        <v>25915.12</v>
      </c>
      <c r="F28" t="n">
        <v>26960.82</v>
      </c>
      <c r="G28" t="n">
        <v>41942.95</v>
      </c>
      <c r="H28" t="n">
        <v>2026</v>
      </c>
      <c r="I28" t="n">
        <v>26766.23</v>
      </c>
      <c r="J28" t="n">
        <v>27295.63493941829</v>
      </c>
      <c r="K28" t="n">
        <v>24292.10172897583</v>
      </c>
    </row>
    <row r="29" customFormat="1" s="188">
      <c r="A29" s="188" t="inlineStr">
        <is>
          <t>Tax</t>
        </is>
      </c>
      <c r="B29" t="n">
        <v>4728.34</v>
      </c>
      <c r="C29" t="n">
        <v>4776.98</v>
      </c>
      <c r="D29" t="n">
        <v>5497.81</v>
      </c>
      <c r="E29" t="n">
        <v>6723.46</v>
      </c>
      <c r="F29" t="n">
        <v>6502.04</v>
      </c>
      <c r="G29" t="n">
        <v>7196.32</v>
      </c>
      <c r="H29" t="n">
        <v>506.5</v>
      </c>
      <c r="I29" t="n">
        <v>6926.83</v>
      </c>
      <c r="J29" t="n">
        <v>6712.9</v>
      </c>
      <c r="K29" t="n">
        <v>5974.23</v>
      </c>
    </row>
    <row r="30" customFormat="1" s="188">
      <c r="A30" s="188" t="inlineStr">
        <is>
          <t>Net profit</t>
        </is>
      </c>
      <c r="B30" t="n">
        <v>15306.23</v>
      </c>
      <c r="C30" t="n">
        <v>13161.19</v>
      </c>
      <c r="D30" t="n">
        <v>15242.66</v>
      </c>
      <c r="E30" t="n">
        <v>19191.66</v>
      </c>
      <c r="F30" t="n">
        <v>20458.78</v>
      </c>
      <c r="G30" t="n">
        <v>34746.63</v>
      </c>
      <c r="H30" t="n">
        <v>1519.5</v>
      </c>
      <c r="I30" t="n">
        <v>19839.4</v>
      </c>
      <c r="J30" t="n">
        <v>20582.73</v>
      </c>
      <c r="K30" t="n">
        <v>18317.87</v>
      </c>
    </row>
    <row r="31" customFormat="1" s="188">
      <c r="A31" s="188" t="inlineStr">
        <is>
          <t>Dividend Amount</t>
        </is>
      </c>
      <c r="B31" t="n">
        <v>124.77</v>
      </c>
      <c r="C31" t="n">
        <v>132.32</v>
      </c>
      <c r="D31" t="n">
        <v>141.72</v>
      </c>
      <c r="E31" t="n">
        <v>192.63</v>
      </c>
      <c r="F31" t="n">
        <v>171.66</v>
      </c>
      <c r="G31" t="n">
        <v>179.58</v>
      </c>
      <c r="H31" t="n">
        <v>41046.76</v>
      </c>
      <c r="I31" t="n">
        <v>0</v>
      </c>
      <c r="J31" t="n">
        <v>0</v>
      </c>
      <c r="K31" t="n">
        <v>0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45352</v>
      </c>
      <c r="C41" s="16" t="n">
        <v>45444</v>
      </c>
      <c r="D41" s="16" t="n">
        <v>45536</v>
      </c>
      <c r="E41" s="16" t="n">
        <v>45627</v>
      </c>
      <c r="F41" s="16" t="n">
        <v>45717</v>
      </c>
      <c r="G41" s="16" t="n">
        <v>45809</v>
      </c>
      <c r="H41" s="16" t="n">
        <v>45901</v>
      </c>
      <c r="I41" s="16" t="n">
        <v>45992</v>
      </c>
      <c r="J41" s="16" t="n">
        <v>46082</v>
      </c>
      <c r="K41" s="16" t="n">
        <v>46174</v>
      </c>
    </row>
    <row r="42" customFormat="1" s="188">
      <c r="A42" s="188" t="inlineStr">
        <is>
          <t>Sales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 customFormat="1" s="188">
      <c r="A43" s="188" t="inlineStr">
        <is>
          <t>Expenses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 customFormat="1" s="188">
      <c r="A44" s="188" t="inlineStr">
        <is>
          <t>Other Income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 customFormat="1" s="188">
      <c r="A45" s="188" t="inlineStr">
        <is>
          <t>Depreciation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 customFormat="1" s="188">
      <c r="A46" s="188" t="inlineStr">
        <is>
          <t>Interest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customFormat="1" s="188">
      <c r="A47" s="188" t="inlineStr">
        <is>
          <t>Profit before tax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 customFormat="1" s="188">
      <c r="A48" s="188" t="inlineStr">
        <is>
          <t>Tax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 customFormat="1" s="188">
      <c r="A49" s="188" t="inlineStr">
        <is>
          <t>Net profit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88" t="inlineStr">
        <is>
          <t>Operating Profit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45747</v>
      </c>
      <c r="C56" s="16" t="n">
        <v>46112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2025</v>
      </c>
      <c r="C57" t="n">
        <v>2026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2025</v>
      </c>
      <c r="K57" t="n">
        <v>735.8</v>
      </c>
    </row>
    <row r="58">
      <c r="A58" s="188" t="inlineStr">
        <is>
          <t>Reserves</t>
        </is>
      </c>
      <c r="B58" t="n">
        <v>2025</v>
      </c>
      <c r="C58" t="n">
        <v>2026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2025</v>
      </c>
      <c r="K58" t="n">
        <v>2026</v>
      </c>
    </row>
    <row r="59">
      <c r="A59" s="188" t="inlineStr">
        <is>
          <t>Borrowings</t>
        </is>
      </c>
      <c r="B59" t="n">
        <v>2025</v>
      </c>
      <c r="C59" t="n">
        <v>2026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2025</v>
      </c>
      <c r="K59" t="n">
        <v>2026</v>
      </c>
    </row>
    <row r="60">
      <c r="A60" s="188" t="inlineStr">
        <is>
          <t>Other Liabilities</t>
        </is>
      </c>
      <c r="B60" t="n">
        <v>2025</v>
      </c>
      <c r="C60" t="n">
        <v>2026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2025</v>
      </c>
      <c r="K60" t="n">
        <v>2026</v>
      </c>
    </row>
    <row r="61" customFormat="1" s="187">
      <c r="A61" s="187" t="inlineStr">
        <is>
          <t>Total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88" t="inlineStr">
        <is>
          <t>Net Block</t>
        </is>
      </c>
      <c r="B62" t="n">
        <v>2025</v>
      </c>
      <c r="C62" t="n">
        <v>2026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2025</v>
      </c>
      <c r="K62" t="n">
        <v>2026</v>
      </c>
    </row>
    <row r="63">
      <c r="A63" s="188" t="inlineStr">
        <is>
          <t>Capital Work in Progress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88" t="inlineStr">
        <is>
          <t>Investments</t>
        </is>
      </c>
      <c r="B64" t="n">
        <v>2025</v>
      </c>
      <c r="C64" t="n">
        <v>2026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2025</v>
      </c>
      <c r="K64" t="n">
        <v>2026</v>
      </c>
    </row>
    <row r="65">
      <c r="A65" s="188" t="inlineStr">
        <is>
          <t>Other Assets</t>
        </is>
      </c>
      <c r="B65" t="n">
        <v>2025</v>
      </c>
      <c r="C65" t="n">
        <v>2026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2025</v>
      </c>
      <c r="K65" t="n">
        <v>2026</v>
      </c>
    </row>
    <row r="66" customFormat="1" s="187">
      <c r="A66" s="187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 customFormat="1" s="188">
      <c r="A67" s="188" t="inlineStr">
        <is>
          <t>Receivables</t>
        </is>
      </c>
      <c r="B67" t="n">
        <v>405</v>
      </c>
      <c r="C67" t="n">
        <v>405.2</v>
      </c>
      <c r="D67" t="n">
        <v>4636.99</v>
      </c>
      <c r="E67" t="n">
        <v>4735.52</v>
      </c>
      <c r="F67" t="n">
        <v>4316.02</v>
      </c>
      <c r="G67" t="n">
        <v>4979.58</v>
      </c>
      <c r="H67" t="n">
        <v>5512.27</v>
      </c>
      <c r="I67" t="n">
        <v>5991.79</v>
      </c>
      <c r="J67" t="n">
        <v>405</v>
      </c>
      <c r="K67" t="n">
        <v>405.2</v>
      </c>
    </row>
    <row r="68">
      <c r="A68" s="188" t="inlineStr">
        <is>
          <t>Inventory</t>
        </is>
      </c>
      <c r="B68" t="n">
        <v>506.25</v>
      </c>
      <c r="C68" t="n">
        <v>506.5</v>
      </c>
      <c r="D68" t="n">
        <v>5796.23</v>
      </c>
      <c r="E68" t="n">
        <v>5919.4</v>
      </c>
      <c r="F68" t="n">
        <v>5395.03</v>
      </c>
      <c r="G68" t="n">
        <v>6224.47</v>
      </c>
      <c r="H68" t="n">
        <v>6890.34</v>
      </c>
      <c r="I68" t="n">
        <v>7489.74</v>
      </c>
      <c r="J68" t="n">
        <v>506.25</v>
      </c>
      <c r="K68" t="n">
        <v>506.5</v>
      </c>
    </row>
    <row r="69">
      <c r="A69" s="193" t="inlineStr">
        <is>
          <t>Cash &amp; Bank</t>
        </is>
      </c>
      <c r="B69" t="n">
        <v>405</v>
      </c>
      <c r="C69" t="n">
        <v>405.2</v>
      </c>
      <c r="D69" t="n">
        <v>4636.99</v>
      </c>
      <c r="E69" t="n">
        <v>4735.52</v>
      </c>
      <c r="F69" t="n">
        <v>4316.02</v>
      </c>
      <c r="G69" t="n">
        <v>4979.58</v>
      </c>
      <c r="H69" t="n">
        <v>5512.27</v>
      </c>
      <c r="I69" t="n">
        <v>5991.79</v>
      </c>
      <c r="J69" t="n">
        <v>405</v>
      </c>
      <c r="K69" t="n">
        <v>303.9</v>
      </c>
    </row>
    <row r="70">
      <c r="A70" s="193" t="inlineStr">
        <is>
          <t>No. of Equity Shares</t>
        </is>
      </c>
      <c r="B70" t="n">
        <v>10125000000</v>
      </c>
      <c r="C70" t="n">
        <v>10130000000</v>
      </c>
      <c r="D70" t="n">
        <v>6129300000</v>
      </c>
      <c r="E70" t="n">
        <v>6146100000</v>
      </c>
      <c r="F70" t="n">
        <v>6154400000</v>
      </c>
      <c r="G70" t="n">
        <v>6161650000</v>
      </c>
      <c r="H70" t="n">
        <v>6214000000</v>
      </c>
      <c r="I70" t="n">
        <v>6242350000</v>
      </c>
      <c r="J70" t="n">
        <v>10125000000</v>
      </c>
      <c r="K70" t="n">
        <v>3678988505.747127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45747</v>
      </c>
      <c r="C81" s="16" t="n">
        <v>46112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2025</v>
      </c>
      <c r="C82" t="n">
        <v>2026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2025</v>
      </c>
      <c r="K82" t="n">
        <v>2026</v>
      </c>
    </row>
    <row r="83" customFormat="1" s="188">
      <c r="A83" s="188" t="inlineStr">
        <is>
          <t>Cash from Investing Activity</t>
        </is>
      </c>
      <c r="B83" t="n">
        <v>2025</v>
      </c>
      <c r="C83" t="n">
        <v>2026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2025</v>
      </c>
      <c r="K83" t="n">
        <v>2026</v>
      </c>
    </row>
    <row r="84" customFormat="1" s="188">
      <c r="A84" s="188" t="inlineStr">
        <is>
          <t>Cash from Financing Activity</t>
        </is>
      </c>
      <c r="B84" t="n">
        <v>2025</v>
      </c>
      <c r="C84" t="n">
        <v>2026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2025</v>
      </c>
      <c r="K84" t="n">
        <v>2026</v>
      </c>
    </row>
    <row r="85" customFormat="1" s="187">
      <c r="A85" s="188" t="inlineStr">
        <is>
          <t>Net Cash Flow</t>
        </is>
      </c>
      <c r="B85" t="n">
        <v>2025</v>
      </c>
      <c r="C85" t="n">
        <v>2026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2025</v>
      </c>
      <c r="K85" t="n">
        <v>2026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435</v>
      </c>
      <c r="C90" t="n">
        <v>435</v>
      </c>
      <c r="D90" t="n">
        <v>435</v>
      </c>
      <c r="E90" t="n">
        <v>435</v>
      </c>
      <c r="F90" t="n">
        <v>435</v>
      </c>
      <c r="G90" t="n">
        <v>435</v>
      </c>
      <c r="H90" t="n">
        <v>435</v>
      </c>
      <c r="I90" t="n">
        <v>435</v>
      </c>
      <c r="J90" t="n">
        <v>435</v>
      </c>
      <c r="K90" t="n">
        <v>435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367.8988505747126</v>
      </c>
      <c r="C93" s="198" t="n">
        <v>367.8988505747126</v>
      </c>
      <c r="D93" s="198" t="n">
        <v>367.8988505747126</v>
      </c>
      <c r="E93" s="198" t="n">
        <v>367.8988505747126</v>
      </c>
      <c r="F93" s="198" t="n">
        <v>367.8988505747126</v>
      </c>
      <c r="G93" s="198" t="n">
        <v>367.8988505747126</v>
      </c>
      <c r="H93" s="198" t="n">
        <v>367.8988505747126</v>
      </c>
      <c r="I93" s="198" t="n">
        <v>367.8988505747126</v>
      </c>
      <c r="J93" s="198" t="n">
        <v>367.8988505747126</v>
      </c>
      <c r="K93" s="198" t="n">
        <v>367.8988505747126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TATA MOTORS LTD</t>
        </is>
      </c>
    </row>
    <row r="4">
      <c r="B4" s="49" t="inlineStr">
        <is>
          <t>Particulars</t>
        </is>
      </c>
      <c r="C4" s="50" t="inlineStr">
        <is>
          <t>Mar 2025</t>
        </is>
      </c>
      <c r="D4" s="50" t="inlineStr">
        <is>
          <t>Mar 2026</t>
        </is>
      </c>
      <c r="E4" s="50" t="inlineStr">
        <is>
          <t>Mar 2019</t>
        </is>
      </c>
      <c r="F4" s="50" t="inlineStr">
        <is>
          <t>Mar 2020</t>
        </is>
      </c>
      <c r="G4" s="50" t="inlineStr">
        <is>
          <t>Mar 2021</t>
        </is>
      </c>
      <c r="H4" s="50" t="inlineStr">
        <is>
          <t>Mar 2022</t>
        </is>
      </c>
      <c r="I4" s="50" t="inlineStr">
        <is>
          <t>Mar 2023</t>
        </is>
      </c>
      <c r="J4" s="50" t="inlineStr">
        <is>
          <t>Mar 2024</t>
        </is>
      </c>
      <c r="K4" s="50" t="inlineStr">
        <is>
          <t>Mar 2025</t>
        </is>
      </c>
      <c r="L4" s="50" t="inlineStr">
        <is>
          <t>Mar 2026</t>
        </is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2025</v>
      </c>
      <c r="D6" s="73" t="n">
        <v>2026</v>
      </c>
      <c r="E6" s="73" t="n">
        <v>12583.41</v>
      </c>
      <c r="F6" s="73" t="n">
        <v>14689.66</v>
      </c>
      <c r="G6" s="73" t="n">
        <v>12526.97</v>
      </c>
      <c r="H6" s="73" t="n">
        <v>15775.51</v>
      </c>
      <c r="I6" s="73" t="n">
        <v>18877.55</v>
      </c>
      <c r="J6" s="73" t="n">
        <v>17178.86</v>
      </c>
      <c r="K6" s="73" t="n">
        <v>2025</v>
      </c>
      <c r="L6" s="73" t="n">
        <v>2026</v>
      </c>
      <c r="M6" s="73" t="n">
        <v>16180</v>
      </c>
      <c r="N6" s="73" t="n">
        <v>19100</v>
      </c>
    </row>
    <row r="7">
      <c r="B7" t="inlineStr">
        <is>
          <t>Profit from operations</t>
        </is>
      </c>
      <c r="C7" s="73" t="n">
        <v>25831.57999999999</v>
      </c>
      <c r="D7" s="73" t="n">
        <v>2026</v>
      </c>
      <c r="E7" s="73" t="n">
        <v>0</v>
      </c>
      <c r="F7" s="73" t="n">
        <v>19343.54</v>
      </c>
      <c r="G7" s="73" t="n">
        <v>17064.78</v>
      </c>
      <c r="H7" s="73" t="n">
        <v>20623.15</v>
      </c>
      <c r="I7" s="73" t="n">
        <v>25704.25999999999</v>
      </c>
      <c r="J7" s="73" t="n">
        <v>25187.53</v>
      </c>
      <c r="K7" s="73" t="n">
        <v>25831.57999999999</v>
      </c>
      <c r="L7" s="73" t="n">
        <v>2026</v>
      </c>
      <c r="M7" s="73" t="n">
        <v>20322</v>
      </c>
      <c r="N7" s="73" t="n">
        <v>21802</v>
      </c>
    </row>
    <row r="8">
      <c r="B8" t="inlineStr">
        <is>
          <t>Receivables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73" t="n">
        <v>0</v>
      </c>
      <c r="I8" t="n">
        <v>0</v>
      </c>
      <c r="J8" t="n">
        <v>0</v>
      </c>
      <c r="K8" t="n">
        <v>0</v>
      </c>
      <c r="L8" t="n">
        <v>0</v>
      </c>
      <c r="M8" s="73" t="n">
        <v>-1969</v>
      </c>
      <c r="N8" t="n">
        <v>1236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73" t="n">
        <v>0</v>
      </c>
      <c r="J9" t="n">
        <v>0</v>
      </c>
      <c r="K9" s="73" t="n">
        <v>0</v>
      </c>
      <c r="L9" s="73" t="n">
        <v>0</v>
      </c>
      <c r="M9" s="73" t="n">
        <v>-1595</v>
      </c>
      <c r="N9" s="73" t="n">
        <v>-4407</v>
      </c>
    </row>
    <row r="10">
      <c r="B10" t="inlineStr">
        <is>
          <t>Payables</t>
        </is>
      </c>
      <c r="C10" t="n">
        <v>0</v>
      </c>
      <c r="D10" t="n">
        <v>0</v>
      </c>
      <c r="E10" t="n">
        <v>0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2606</v>
      </c>
      <c r="N10" t="n">
        <v>5194</v>
      </c>
    </row>
    <row r="11">
      <c r="B11" t="inlineStr">
        <is>
          <t>Working capital changes</t>
        </is>
      </c>
      <c r="C11" t="n">
        <v>-16916.11</v>
      </c>
      <c r="D11" t="n">
        <v>2026</v>
      </c>
      <c r="E11" t="n">
        <v>12583.41</v>
      </c>
      <c r="F11" s="73" t="n">
        <v>-212.09</v>
      </c>
      <c r="G11" t="n">
        <v>17.48</v>
      </c>
      <c r="H11" t="n">
        <v>389.7</v>
      </c>
      <c r="I11" t="n">
        <v>-388.31</v>
      </c>
      <c r="J11" t="n">
        <v>-1799.21</v>
      </c>
      <c r="K11" t="n">
        <v>-16916.11</v>
      </c>
      <c r="L11" s="73" t="n">
        <v>2026</v>
      </c>
      <c r="M11" s="73" t="n">
        <v>-335</v>
      </c>
      <c r="N11" s="73" t="n">
        <v>1635</v>
      </c>
    </row>
    <row r="12">
      <c r="B12" t="inlineStr">
        <is>
          <t>Direct taxes</t>
        </is>
      </c>
      <c r="C12" s="73" t="n">
        <v>-6890.47</v>
      </c>
      <c r="D12" s="73" t="n">
        <v>-2026</v>
      </c>
      <c r="E12" s="73" t="n">
        <v>0</v>
      </c>
      <c r="F12" s="73" t="n">
        <v>-4441.79</v>
      </c>
      <c r="G12" s="73" t="n">
        <v>-4555.29</v>
      </c>
      <c r="H12" s="73" t="n">
        <v>-5237.34</v>
      </c>
      <c r="I12" s="73" t="n">
        <v>-6438.4</v>
      </c>
      <c r="J12" s="73" t="n">
        <v>-6209.46</v>
      </c>
      <c r="K12" s="73" t="n">
        <v>-6890.47</v>
      </c>
      <c r="L12" s="73" t="n">
        <v>-2026</v>
      </c>
      <c r="M12" s="73" t="n">
        <v>-3807</v>
      </c>
      <c r="N12" s="73" t="n">
        <v>-4337</v>
      </c>
    </row>
    <row r="13">
      <c r="B13" t="inlineStr">
        <is>
          <t>Cash from Investing Activity -</t>
        </is>
      </c>
      <c r="C13" s="73" t="n">
        <v>2025</v>
      </c>
      <c r="D13" s="73" t="n">
        <v>2026</v>
      </c>
      <c r="E13" s="73" t="n">
        <v>-5545.68</v>
      </c>
      <c r="F13" s="73" t="n">
        <v>-6174.02</v>
      </c>
      <c r="G13" s="73" t="n">
        <v>5739.98</v>
      </c>
      <c r="H13" s="73" t="n">
        <v>-2238.49</v>
      </c>
      <c r="I13" s="73" t="n">
        <v>-5732.29</v>
      </c>
      <c r="J13" s="73" t="n">
        <v>1562.77</v>
      </c>
      <c r="K13" s="73" t="n">
        <v>2025</v>
      </c>
      <c r="L13" s="73" t="n">
        <v>2026</v>
      </c>
      <c r="M13" t="n">
        <v>-14500</v>
      </c>
      <c r="N13" s="73" t="n">
        <v>-14734</v>
      </c>
    </row>
    <row r="14">
      <c r="B14" t="inlineStr">
        <is>
          <t>Fixed assets purchased</t>
        </is>
      </c>
      <c r="C14" s="73" t="n">
        <v>1721.25</v>
      </c>
      <c r="D14" s="73" t="n">
        <v>1722.1</v>
      </c>
      <c r="E14" s="73" t="n">
        <v>-4713.83</v>
      </c>
      <c r="F14" s="73" t="n">
        <v>-5247.92</v>
      </c>
      <c r="G14" s="73" t="n">
        <v>4878.98</v>
      </c>
      <c r="H14" s="73" t="n">
        <v>-1902.72</v>
      </c>
      <c r="I14" s="73" t="n">
        <v>-4872.45</v>
      </c>
      <c r="J14" s="73" t="n">
        <v>1328.35</v>
      </c>
      <c r="K14" s="73" t="n">
        <v>1721.25</v>
      </c>
      <c r="L14" s="73" t="n">
        <v>1722.1</v>
      </c>
      <c r="M14" s="73" t="n">
        <v>-10621</v>
      </c>
      <c r="N14" s="73" t="n">
        <v>-10398</v>
      </c>
    </row>
    <row r="15">
      <c r="B15" t="inlineStr">
        <is>
          <t>Fixed assets sold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</v>
      </c>
      <c r="N15" t="n">
        <v>52</v>
      </c>
    </row>
    <row r="16">
      <c r="B16" t="inlineStr">
        <is>
          <t>Investments purchased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-73882</v>
      </c>
      <c r="N16" s="73" t="n">
        <v>-108034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69795</v>
      </c>
      <c r="N17" s="73" t="n">
        <v>101969</v>
      </c>
    </row>
    <row r="18">
      <c r="B18" t="inlineStr">
        <is>
          <t>Interest received</t>
        </is>
      </c>
      <c r="C18" t="n">
        <v>0</v>
      </c>
      <c r="D18" t="n">
        <v>0</v>
      </c>
      <c r="E18" t="n">
        <v>0</v>
      </c>
      <c r="F18" t="n">
        <v>0</v>
      </c>
      <c r="G18" s="73" t="n">
        <v>0</v>
      </c>
      <c r="H18" s="73" t="n">
        <v>0</v>
      </c>
      <c r="I18" s="73" t="n">
        <v>0</v>
      </c>
      <c r="J18" s="73" t="n">
        <v>0</v>
      </c>
      <c r="K18" s="73" t="n">
        <v>0</v>
      </c>
      <c r="L18" s="73" t="n">
        <v>0</v>
      </c>
      <c r="M18" s="73" t="n">
        <v>444</v>
      </c>
      <c r="N18" t="n">
        <v>354</v>
      </c>
    </row>
    <row r="19">
      <c r="B19" t="inlineStr">
        <is>
          <t>Dividends received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11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303.75</v>
      </c>
      <c r="D23" s="73" t="n">
        <v>303.9</v>
      </c>
      <c r="E23" s="73" t="n">
        <v>-831.85</v>
      </c>
      <c r="F23" s="73" t="n">
        <v>-926.1</v>
      </c>
      <c r="G23" s="73" t="n">
        <v>861</v>
      </c>
      <c r="H23" s="73" t="n">
        <v>-335.77</v>
      </c>
      <c r="I23" s="73" t="n">
        <v>-859.84</v>
      </c>
      <c r="J23" s="73" t="n">
        <v>234.42</v>
      </c>
      <c r="K23" t="n">
        <v>303.75</v>
      </c>
      <c r="L23" s="73" t="n">
        <v>303.9</v>
      </c>
      <c r="M23" t="n">
        <v>-269</v>
      </c>
      <c r="N23" s="73" t="n">
        <v>1311</v>
      </c>
    </row>
    <row r="24">
      <c r="B24" t="inlineStr">
        <is>
          <t>Cash from Financing Activity -</t>
        </is>
      </c>
      <c r="C24" s="73" t="n">
        <v>2025</v>
      </c>
      <c r="D24" s="73" t="n">
        <v>2026</v>
      </c>
      <c r="E24" s="73" t="n">
        <v>-6868.64</v>
      </c>
      <c r="F24" s="73" t="n">
        <v>-8181.48</v>
      </c>
      <c r="G24" s="73" t="n">
        <v>-18633.83</v>
      </c>
      <c r="H24" s="73" t="n">
        <v>-13580.5</v>
      </c>
      <c r="I24" s="73" t="n">
        <v>-13006.03</v>
      </c>
      <c r="J24" s="73" t="n">
        <v>-18550.96</v>
      </c>
      <c r="K24" s="73" t="n">
        <v>2025</v>
      </c>
      <c r="L24" s="73" t="n">
        <v>2026</v>
      </c>
      <c r="M24" s="73" t="n">
        <v>-4155</v>
      </c>
      <c r="N24" s="73" t="n">
        <v>-4484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2070.06</v>
      </c>
      <c r="D26" t="n">
        <v>4052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2070.06</v>
      </c>
      <c r="L26" t="n">
        <v>4052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0</v>
      </c>
      <c r="D27" t="n">
        <v>0</v>
      </c>
      <c r="E27" t="n">
        <v>-6868.64</v>
      </c>
      <c r="F27" t="n">
        <v>-8100.1</v>
      </c>
      <c r="G27" t="n">
        <v>-18575.86</v>
      </c>
      <c r="H27" t="n">
        <v>-13520.51</v>
      </c>
      <c r="I27" t="n">
        <v>-12928.26</v>
      </c>
      <c r="J27" t="n">
        <v>-18511.85</v>
      </c>
      <c r="K27" t="n">
        <v>0</v>
      </c>
      <c r="L27" t="n">
        <v>0</v>
      </c>
      <c r="M27" t="n">
        <v>-33</v>
      </c>
      <c r="N27" t="n">
        <v>0</v>
      </c>
    </row>
    <row r="28">
      <c r="B28" t="inlineStr">
        <is>
          <t>Interest paid fin</t>
        </is>
      </c>
      <c r="C28" t="n">
        <v>-45.06</v>
      </c>
      <c r="D28" t="n">
        <v>-2026</v>
      </c>
      <c r="E28" t="n">
        <v>0</v>
      </c>
      <c r="F28" t="n">
        <v>-81.38</v>
      </c>
      <c r="G28" t="n">
        <v>-57.97</v>
      </c>
      <c r="H28" t="n">
        <v>-59.99</v>
      </c>
      <c r="I28" t="n">
        <v>-77.77</v>
      </c>
      <c r="J28" t="n">
        <v>-39.11</v>
      </c>
      <c r="K28" t="n">
        <v>-45.06</v>
      </c>
      <c r="L28" t="n">
        <v>-2026</v>
      </c>
      <c r="M28" t="n">
        <v>-167</v>
      </c>
      <c r="N28" t="n">
        <v>-204</v>
      </c>
    </row>
    <row r="29">
      <c r="B29" t="inlineStr">
        <is>
          <t>Dividends paid</t>
        </is>
      </c>
      <c r="C29" s="73" t="n">
        <v>0</v>
      </c>
      <c r="D29" s="73" t="n">
        <v>0</v>
      </c>
      <c r="E29" s="73" t="n">
        <v>0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-3930</v>
      </c>
      <c r="N29" s="73" t="n">
        <v>-4244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-25</v>
      </c>
      <c r="N30" t="n">
        <v>-36</v>
      </c>
    </row>
    <row r="31">
      <c r="B31" t="inlineStr">
        <is>
          <t>Other financing items</t>
        </is>
      </c>
      <c r="C31" t="n">
        <v>0</v>
      </c>
      <c r="D31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2025</v>
      </c>
      <c r="D32" t="n">
        <v>2026</v>
      </c>
      <c r="E32" t="n">
        <v>169.09</v>
      </c>
      <c r="F32" t="n">
        <v>334.16</v>
      </c>
      <c r="G32" t="n">
        <v>-366.88</v>
      </c>
      <c r="H32" t="n">
        <v>-43.48</v>
      </c>
      <c r="I32" t="n">
        <v>139.23</v>
      </c>
      <c r="J32" t="n">
        <v>190.67</v>
      </c>
      <c r="K32" t="n">
        <v>2025</v>
      </c>
      <c r="L32" t="n">
        <v>2026</v>
      </c>
      <c r="M32" t="n">
        <v>-2475</v>
      </c>
      <c r="N32" t="n">
        <v>-118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0.86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0.86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0.86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0.86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8"/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  <row r="84">
      <c r="B84" t="inlineStr">
        <is>
          <t>Market-implied exit EV/EBIT multiple (Year 10)</t>
        </is>
      </c>
      <c r="D84" s="282">
        <f>IFERROR(($D$45*$D$41+$D$38+$D$39-$D$37-$D$78)/($M$68*(1+$D$20)^(-10)),"n/a")</f>
        <v/>
      </c>
    </row>
    <row r="85">
      <c r="B85" t="inlineStr">
        <is>
          <t>EV / latest EBIT at current price</t>
        </is>
      </c>
      <c r="D85" s="282">
        <f>IFERROR(($D$45*$D$41+$D$38+$D$39-$D$37)/$H$8,"n/a")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2026-10-09</t>
        </is>
      </c>
      <c r="H6" t="n">
        <v>435</v>
      </c>
      <c r="J6" t="n">
        <v>22520.45</v>
      </c>
    </row>
    <row r="7">
      <c r="B7" t="n">
        <v>2024</v>
      </c>
      <c r="C7" s="46" t="n">
        <v>0.08749999999999999</v>
      </c>
      <c r="G7" s="34" t="inlineStr">
        <is>
          <t>2026-10-08</t>
        </is>
      </c>
      <c r="H7" t="n">
        <v>435</v>
      </c>
      <c r="J7" t="n">
        <v>22231.8</v>
      </c>
    </row>
    <row r="8">
      <c r="B8" t="n">
        <v>2023</v>
      </c>
      <c r="C8" s="46" t="n">
        <v>0.1942</v>
      </c>
      <c r="G8" s="34" t="inlineStr">
        <is>
          <t>2026-10-07</t>
        </is>
      </c>
      <c r="H8" t="n">
        <v>435</v>
      </c>
      <c r="J8" t="n">
        <v>22603.05</v>
      </c>
    </row>
    <row r="9">
      <c r="B9" t="n">
        <v>2022</v>
      </c>
      <c r="C9" s="46" t="n">
        <v>0.0432</v>
      </c>
      <c r="G9" s="34" t="inlineStr">
        <is>
          <t>2026-10-06</t>
        </is>
      </c>
      <c r="H9" t="n">
        <v>435</v>
      </c>
      <c r="J9" t="n">
        <v>22776.1</v>
      </c>
    </row>
    <row r="10">
      <c r="B10" t="n">
        <v>2021</v>
      </c>
      <c r="C10" s="46" t="n">
        <v>0.2412</v>
      </c>
      <c r="G10" s="34" t="inlineStr">
        <is>
          <t>2026-10-05</t>
        </is>
      </c>
      <c r="H10" t="n">
        <v>435</v>
      </c>
      <c r="J10" t="n">
        <v>22555.75</v>
      </c>
    </row>
    <row r="11">
      <c r="B11" t="n">
        <v>2020</v>
      </c>
      <c r="C11" s="46" t="n">
        <v>0.149</v>
      </c>
      <c r="G11" s="34" t="inlineStr">
        <is>
          <t>2026-10-01</t>
        </is>
      </c>
      <c r="H11" t="n">
        <v>435</v>
      </c>
      <c r="J11" t="n">
        <v>22421.95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2026-09-30</t>
        </is>
      </c>
      <c r="H12" t="n">
        <v>435</v>
      </c>
      <c r="J12" t="n">
        <v>22620.45</v>
      </c>
      <c r="N12" t="n">
        <v>1</v>
      </c>
      <c r="O12" t="inlineStr">
        <is>
          <t>Peer 1</t>
        </is>
      </c>
      <c r="P12" t="n">
        <v>100</v>
      </c>
      <c r="Q12">
        <f>IF(P12&gt;0, R12/P12, 0)</f>
        <v/>
      </c>
      <c r="R12" t="n">
        <v>10000</v>
      </c>
      <c r="S12" t="n">
        <v>1000</v>
      </c>
      <c r="T12" t="n">
        <v>0</v>
      </c>
      <c r="U12">
        <f>R12+S12-T12</f>
        <v/>
      </c>
      <c r="V12" t="n">
        <v>0</v>
      </c>
      <c r="W12">
        <f>IF(X12&gt;0, U12/X12, "N/A")</f>
        <v/>
      </c>
      <c r="X12" t="n">
        <v>0</v>
      </c>
    </row>
    <row r="13">
      <c r="B13" t="n">
        <v>2018</v>
      </c>
      <c r="C13" s="46" t="n">
        <v>0.0315</v>
      </c>
      <c r="G13" s="34" t="inlineStr">
        <is>
          <t>2026-09-29</t>
        </is>
      </c>
      <c r="H13" t="n">
        <v>435</v>
      </c>
      <c r="J13" t="n">
        <v>22716.2</v>
      </c>
      <c r="N13" t="n">
        <v>2</v>
      </c>
      <c r="O13" t="inlineStr">
        <is>
          <t>Peer 2</t>
        </is>
      </c>
      <c r="P13" t="n">
        <v>100</v>
      </c>
      <c r="Q13">
        <f>IF(P13&gt;0, R13/P13, 0)</f>
        <v/>
      </c>
      <c r="R13" t="n">
        <v>10000</v>
      </c>
      <c r="S13" t="n">
        <v>1000</v>
      </c>
      <c r="T13" t="n">
        <v>0</v>
      </c>
      <c r="U13">
        <f>R13+S13-T13</f>
        <v/>
      </c>
      <c r="V13" t="n">
        <v>0</v>
      </c>
      <c r="W13">
        <f>IF(X13&gt;0, U13/X13, "N/A")</f>
        <v/>
      </c>
      <c r="X13" t="n">
        <v>0</v>
      </c>
    </row>
    <row r="14">
      <c r="B14" t="n">
        <v>2017</v>
      </c>
      <c r="C14" s="46" t="n">
        <v>0.2865</v>
      </c>
      <c r="G14" s="34" t="inlineStr">
        <is>
          <t>2026-09-28</t>
        </is>
      </c>
      <c r="H14" t="n">
        <v>435</v>
      </c>
      <c r="J14" t="n">
        <v>22780.25</v>
      </c>
      <c r="N14" t="n">
        <v>3</v>
      </c>
      <c r="O14">
        <f>'Data Sheet'!B1</f>
        <v/>
      </c>
      <c r="P14" t="n">
        <v>435</v>
      </c>
      <c r="Q14">
        <f>IF(P14&gt;0, R14/P14, 0)</f>
        <v/>
      </c>
      <c r="R14" t="n">
        <v>160036</v>
      </c>
      <c r="S14" t="n">
        <v>2026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2026-09-25</t>
        </is>
      </c>
      <c r="H15" t="n">
        <v>435</v>
      </c>
      <c r="J15" t="n">
        <v>23140.5</v>
      </c>
      <c r="N15" t="n">
        <v>4</v>
      </c>
      <c r="O15" t="inlineStr">
        <is>
          <t>Peer 3</t>
        </is>
      </c>
      <c r="P15" t="n">
        <v>100</v>
      </c>
      <c r="Q15">
        <f>IF(P15&gt;0, R15/P15, 0)</f>
        <v/>
      </c>
      <c r="R15" t="n">
        <v>10000</v>
      </c>
      <c r="S15" t="n">
        <v>1000</v>
      </c>
      <c r="T15" t="n">
        <v>0</v>
      </c>
      <c r="U15">
        <f>R15+S15-T15</f>
        <v/>
      </c>
      <c r="V15" t="n">
        <v>0</v>
      </c>
      <c r="W15">
        <f>IF(X15&gt;0, U15/X15, "N/A")</f>
        <v/>
      </c>
      <c r="X15" t="n">
        <v>0</v>
      </c>
    </row>
    <row r="16">
      <c r="B16" t="n">
        <v>2015</v>
      </c>
      <c r="C16" s="46" t="n">
        <v>-0.0406</v>
      </c>
      <c r="G16" s="34" t="inlineStr">
        <is>
          <t>2026-09-24</t>
        </is>
      </c>
      <c r="H16" t="n">
        <v>435</v>
      </c>
      <c r="J16" t="n">
        <v>23063.1</v>
      </c>
      <c r="N16" t="n">
        <v>5</v>
      </c>
      <c r="O16" t="inlineStr">
        <is>
          <t>Peer 4</t>
        </is>
      </c>
      <c r="P16" t="n">
        <v>100</v>
      </c>
      <c r="Q16">
        <f>IF(P16&gt;0, R16/P16, 0)</f>
        <v/>
      </c>
      <c r="R16" t="n">
        <v>10000</v>
      </c>
      <c r="S16" t="n">
        <v>1000</v>
      </c>
      <c r="T16" t="n">
        <v>0</v>
      </c>
      <c r="U16">
        <f>R16+S16-T16</f>
        <v/>
      </c>
      <c r="V16" t="n">
        <v>0</v>
      </c>
      <c r="W16">
        <f>IF(X16&gt;0, U16/X16, "N/A")</f>
        <v/>
      </c>
      <c r="X16" t="n">
        <v>0</v>
      </c>
    </row>
    <row r="17">
      <c r="B17" t="n">
        <v>2014</v>
      </c>
      <c r="C17" s="46" t="n">
        <v>0.3139</v>
      </c>
      <c r="G17" s="34" t="inlineStr">
        <is>
          <t>2026-09-23</t>
        </is>
      </c>
      <c r="H17" t="n">
        <v>435</v>
      </c>
      <c r="J17" t="n">
        <v>23446.8</v>
      </c>
      <c r="N17" t="n">
        <v>6</v>
      </c>
      <c r="O17" t="inlineStr">
        <is>
          <t>Godrej Consumer</t>
        </is>
      </c>
      <c r="P17" t="n">
        <v>1200</v>
      </c>
      <c r="Q17">
        <f>IF(P17&gt;0, R17/P17, 0)</f>
        <v/>
      </c>
      <c r="R17" t="n">
        <v>122000</v>
      </c>
      <c r="S17" t="n">
        <v>4421</v>
      </c>
      <c r="T17" t="n">
        <v>2767</v>
      </c>
      <c r="U17">
        <f>R17+S17-T17</f>
        <v/>
      </c>
      <c r="V17" t="n">
        <v>14200</v>
      </c>
      <c r="W17">
        <f>IF(X17&gt;0, U17/X17, "N/A")</f>
        <v/>
      </c>
      <c r="X17" t="n">
        <v>1950</v>
      </c>
    </row>
    <row r="18">
      <c r="B18" t="n">
        <v>2013</v>
      </c>
      <c r="C18" s="46" t="n">
        <v>0.06759999999999999</v>
      </c>
      <c r="G18" s="34" t="inlineStr">
        <is>
          <t>2026-09-22</t>
        </is>
      </c>
      <c r="H18" t="n">
        <v>435</v>
      </c>
      <c r="J18" t="n">
        <v>23329</v>
      </c>
      <c r="N18" t="n">
        <v>7</v>
      </c>
      <c r="O18" t="inlineStr">
        <is>
          <t>Dabur India</t>
        </is>
      </c>
      <c r="P18" t="n">
        <v>540</v>
      </c>
      <c r="Q18">
        <f>IF(P18&gt;0, R18/P18, 0)</f>
        <v/>
      </c>
      <c r="R18" t="n">
        <v>95000</v>
      </c>
      <c r="S18" t="n">
        <v>1120</v>
      </c>
      <c r="T18" t="n">
        <v>1450</v>
      </c>
      <c r="U18">
        <f>R18+S18-T18</f>
        <v/>
      </c>
      <c r="V18" t="n">
        <v>12500</v>
      </c>
      <c r="W18">
        <f>IF(X18&gt;0, U18/X18, "N/A")</f>
        <v/>
      </c>
      <c r="X18" t="n">
        <v>1850</v>
      </c>
    </row>
    <row r="19">
      <c r="B19" t="n">
        <v>2012</v>
      </c>
      <c r="C19" s="46" t="n">
        <v>0.277</v>
      </c>
      <c r="G19" s="34" t="inlineStr">
        <is>
          <t>2026-09-21</t>
        </is>
      </c>
      <c r="H19" t="n">
        <v>435</v>
      </c>
      <c r="J19" t="n">
        <v>23414.3</v>
      </c>
      <c r="N19" t="n">
        <v>8</v>
      </c>
      <c r="O19" t="inlineStr">
        <is>
          <t>Marico Ltd</t>
        </is>
      </c>
      <c r="P19" t="n">
        <v>640</v>
      </c>
      <c r="Q19">
        <f>IF(P19&gt;0, R19/P19, 0)</f>
        <v/>
      </c>
      <c r="R19" t="n">
        <v>82000</v>
      </c>
      <c r="S19" t="n">
        <v>557</v>
      </c>
      <c r="T19" t="n">
        <v>2083</v>
      </c>
      <c r="U19">
        <f>R19+S19-T19</f>
        <v/>
      </c>
      <c r="V19" t="n">
        <v>10200</v>
      </c>
      <c r="W19">
        <f>IF(X19&gt;0, U19/X19, "N/A")</f>
        <v/>
      </c>
      <c r="X19" t="n">
        <v>1550</v>
      </c>
    </row>
    <row r="20">
      <c r="B20" t="n">
        <v>2011</v>
      </c>
      <c r="C20" s="46" t="n">
        <v>-0.2462</v>
      </c>
      <c r="G20" s="34" t="inlineStr">
        <is>
          <t>2026-09-18</t>
        </is>
      </c>
      <c r="H20" t="n">
        <v>435</v>
      </c>
      <c r="J20" t="n">
        <v>23346.4</v>
      </c>
      <c r="N20" t="n">
        <v>9</v>
      </c>
      <c r="O20" t="inlineStr">
        <is>
          <t>Colgate-Palmolive</t>
        </is>
      </c>
      <c r="P20" t="n">
        <v>2850</v>
      </c>
      <c r="Q20">
        <f>IF(P20&gt;0, R20/P20, 0)</f>
        <v/>
      </c>
      <c r="R20" t="n">
        <v>77000</v>
      </c>
      <c r="S20" t="n">
        <v>0</v>
      </c>
      <c r="T20" t="n">
        <v>1200</v>
      </c>
      <c r="U20">
        <f>R20+S20-T20</f>
        <v/>
      </c>
      <c r="V20" t="n">
        <v>5800</v>
      </c>
      <c r="W20">
        <f>IF(X20&gt;0, U20/X20, "N/A")</f>
        <v/>
      </c>
      <c r="X20" t="n">
        <v>1350</v>
      </c>
    </row>
    <row r="21">
      <c r="B21" t="n">
        <v>2010</v>
      </c>
      <c r="C21" s="46" t="n">
        <v>0.1795</v>
      </c>
      <c r="G21" s="34" t="inlineStr">
        <is>
          <t>2026-09-17</t>
        </is>
      </c>
      <c r="H21" t="n">
        <v>435</v>
      </c>
      <c r="J21" t="n">
        <v>23270.6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2026-09-16</t>
        </is>
      </c>
      <c r="H22" t="n">
        <v>435</v>
      </c>
      <c r="J22" t="n">
        <v>23217.6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2026-09-15</t>
        </is>
      </c>
      <c r="H23" t="n">
        <v>435</v>
      </c>
      <c r="J23" t="n">
        <v>23118.6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2026-09-11</t>
        </is>
      </c>
      <c r="H24" t="n">
        <v>435</v>
      </c>
      <c r="J24" t="n">
        <v>23398.1</v>
      </c>
      <c r="O24" t="inlineStr">
        <is>
          <t>Peer 1</t>
        </is>
      </c>
      <c r="Q24" t="inlineStr">
        <is>
          <t>India</t>
        </is>
      </c>
      <c r="R24" t="n">
        <v>1000</v>
      </c>
      <c r="S24" t="n">
        <v>10000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2026-09-10</t>
        </is>
      </c>
      <c r="H25" t="n">
        <v>435</v>
      </c>
      <c r="J25" t="n">
        <v>23477.8</v>
      </c>
      <c r="O25" t="inlineStr">
        <is>
          <t>Peer 2</t>
        </is>
      </c>
      <c r="Q25">
        <f>Q24</f>
        <v/>
      </c>
      <c r="R25" t="n">
        <v>1000</v>
      </c>
      <c r="S25" t="n">
        <v>10000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2026-09-09</t>
        </is>
      </c>
      <c r="H26" t="n">
        <v>435</v>
      </c>
      <c r="J26" t="n">
        <v>23431.5</v>
      </c>
      <c r="O26">
        <f>'Data Sheet'!B1</f>
        <v/>
      </c>
      <c r="Q26">
        <f>Q25</f>
        <v/>
      </c>
      <c r="R26" t="n">
        <v>2026</v>
      </c>
      <c r="S26" t="n">
        <v>160036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2026-09-08</t>
        </is>
      </c>
      <c r="H27" t="n">
        <v>435</v>
      </c>
      <c r="J27" t="n">
        <v>23635.1</v>
      </c>
      <c r="O27" t="inlineStr">
        <is>
          <t>Peer 3</t>
        </is>
      </c>
      <c r="Q27">
        <f>Q26</f>
        <v/>
      </c>
      <c r="R27" t="n">
        <v>1000</v>
      </c>
      <c r="S27" t="n">
        <v>10000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2026-09-07</t>
        </is>
      </c>
      <c r="H28" t="n">
        <v>435</v>
      </c>
      <c r="J28" t="n">
        <v>23779.15</v>
      </c>
      <c r="O28" t="inlineStr">
        <is>
          <t>Peer 4</t>
        </is>
      </c>
      <c r="Q28">
        <f>Q27</f>
        <v/>
      </c>
      <c r="R28" t="n">
        <v>1000</v>
      </c>
      <c r="S28" t="n">
        <v>10000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2026-09-04</t>
        </is>
      </c>
      <c r="H29" t="n">
        <v>435</v>
      </c>
      <c r="J29" t="n">
        <v>23897.7</v>
      </c>
    </row>
    <row r="30">
      <c r="G30" s="34" t="inlineStr">
        <is>
          <t>2026-09-03</t>
        </is>
      </c>
      <c r="H30" t="n">
        <v>435</v>
      </c>
      <c r="J30" t="n">
        <v>23873.45</v>
      </c>
    </row>
    <row r="31">
      <c r="G31" s="34" t="inlineStr">
        <is>
          <t>2026-09-02</t>
        </is>
      </c>
      <c r="H31" t="n">
        <v>435</v>
      </c>
      <c r="J31" t="n">
        <v>23914.45</v>
      </c>
    </row>
    <row r="32">
      <c r="G32" s="34" t="inlineStr">
        <is>
          <t>2026-09-01</t>
        </is>
      </c>
      <c r="H32" t="n">
        <v>435</v>
      </c>
      <c r="J32" t="n">
        <v>24055.8</v>
      </c>
    </row>
    <row r="33">
      <c r="G33" s="34" t="inlineStr">
        <is>
          <t>2026-08-31</t>
        </is>
      </c>
      <c r="H33" t="n">
        <v>435</v>
      </c>
      <c r="J33" t="n">
        <v>24080.4</v>
      </c>
    </row>
    <row r="34">
      <c r="G34" s="34" t="inlineStr">
        <is>
          <t>2026-08-28</t>
        </is>
      </c>
      <c r="H34" t="n">
        <v>435</v>
      </c>
      <c r="J34" t="n">
        <v>24175.65</v>
      </c>
    </row>
    <row r="35">
      <c r="G35" s="34" t="inlineStr">
        <is>
          <t>2026-08-27</t>
        </is>
      </c>
      <c r="H35" t="n">
        <v>435</v>
      </c>
      <c r="J35" t="n">
        <v>24090.85</v>
      </c>
    </row>
    <row r="36">
      <c r="G36" s="34" t="inlineStr">
        <is>
          <t>2026-08-26</t>
        </is>
      </c>
      <c r="H36" t="n">
        <v>435</v>
      </c>
      <c r="J36" t="n">
        <v>24207.75</v>
      </c>
    </row>
    <row r="37">
      <c r="G37" s="34" t="inlineStr">
        <is>
          <t>2026-08-25</t>
        </is>
      </c>
      <c r="H37" t="n">
        <v>435</v>
      </c>
      <c r="J37" t="n">
        <v>24334.55</v>
      </c>
    </row>
    <row r="38">
      <c r="G38" s="34" t="inlineStr">
        <is>
          <t>2026-08-24</t>
        </is>
      </c>
      <c r="H38" t="n">
        <v>435</v>
      </c>
      <c r="J38" t="n">
        <v>24219.05</v>
      </c>
    </row>
    <row r="39">
      <c r="G39" s="34" t="inlineStr">
        <is>
          <t>2026-08-21</t>
        </is>
      </c>
      <c r="H39" t="n">
        <v>435</v>
      </c>
      <c r="J39" t="n">
        <v>24252</v>
      </c>
    </row>
    <row r="40">
      <c r="G40" s="34" t="inlineStr">
        <is>
          <t>2026-08-20</t>
        </is>
      </c>
      <c r="H40" t="n">
        <v>435</v>
      </c>
      <c r="J40" t="n">
        <v>24231.85</v>
      </c>
    </row>
    <row r="41">
      <c r="G41" s="34" t="inlineStr">
        <is>
          <t>2026-08-19</t>
        </is>
      </c>
      <c r="H41" t="n">
        <v>435</v>
      </c>
      <c r="J41" t="n">
        <v>24078.3</v>
      </c>
    </row>
    <row r="42">
      <c r="G42" s="34" t="inlineStr">
        <is>
          <t>2026-08-18</t>
        </is>
      </c>
      <c r="H42" t="n">
        <v>435</v>
      </c>
      <c r="J42" t="n">
        <v>24154.9</v>
      </c>
    </row>
    <row r="43">
      <c r="G43" s="34" t="inlineStr">
        <is>
          <t>2026-08-17</t>
        </is>
      </c>
      <c r="H43" t="n">
        <v>435</v>
      </c>
      <c r="J43" t="n">
        <v>24287.65</v>
      </c>
    </row>
    <row r="44">
      <c r="G44" s="34" t="inlineStr">
        <is>
          <t>2026-08-14</t>
        </is>
      </c>
      <c r="H44" t="n">
        <v>435</v>
      </c>
      <c r="J44" t="n">
        <v>24366</v>
      </c>
    </row>
    <row r="45">
      <c r="G45" s="34" t="inlineStr">
        <is>
          <t>2026-08-13</t>
        </is>
      </c>
      <c r="H45" t="n">
        <v>435</v>
      </c>
      <c r="J45" t="n">
        <v>24395.85</v>
      </c>
    </row>
    <row r="46">
      <c r="G46" s="34" t="inlineStr">
        <is>
          <t>2026-08-12</t>
        </is>
      </c>
      <c r="H46" t="n">
        <v>435</v>
      </c>
      <c r="J46" t="n">
        <v>24435.95</v>
      </c>
    </row>
    <row r="47">
      <c r="G47" s="34" t="inlineStr">
        <is>
          <t>2026-08-11</t>
        </is>
      </c>
      <c r="H47" t="n">
        <v>435</v>
      </c>
      <c r="J47" t="n">
        <v>24471.7</v>
      </c>
    </row>
    <row r="48">
      <c r="G48" s="34" t="inlineStr">
        <is>
          <t>2026-08-10</t>
        </is>
      </c>
      <c r="H48" t="n">
        <v>435</v>
      </c>
      <c r="J48" t="n">
        <v>24583.8</v>
      </c>
    </row>
    <row r="49">
      <c r="G49" s="34" t="inlineStr">
        <is>
          <t>2026-08-07</t>
        </is>
      </c>
      <c r="H49" t="n">
        <v>435</v>
      </c>
      <c r="J49" t="n">
        <v>24570.65</v>
      </c>
    </row>
    <row r="50">
      <c r="G50" s="34" t="inlineStr">
        <is>
          <t>2026-08-06</t>
        </is>
      </c>
      <c r="H50" t="n">
        <v>435</v>
      </c>
      <c r="J50" t="n">
        <v>24636</v>
      </c>
    </row>
    <row r="51">
      <c r="G51" s="34" t="inlineStr">
        <is>
          <t>2026-08-05</t>
        </is>
      </c>
      <c r="H51" t="n">
        <v>435</v>
      </c>
      <c r="J51" t="n">
        <v>24624.65</v>
      </c>
    </row>
    <row r="52">
      <c r="G52" s="34" t="inlineStr">
        <is>
          <t>2026-08-04</t>
        </is>
      </c>
      <c r="H52" t="n">
        <v>435</v>
      </c>
      <c r="J52" t="n">
        <v>24614.9</v>
      </c>
    </row>
    <row r="53">
      <c r="G53" s="34" t="inlineStr">
        <is>
          <t>2026-08-03</t>
        </is>
      </c>
      <c r="H53" t="n">
        <v>435</v>
      </c>
      <c r="J53" t="n">
        <v>24774.3</v>
      </c>
    </row>
    <row r="54">
      <c r="G54" s="34" t="inlineStr">
        <is>
          <t>2026-07-31</t>
        </is>
      </c>
      <c r="H54" t="n">
        <v>435</v>
      </c>
      <c r="J54" t="n">
        <v>24383.6</v>
      </c>
    </row>
    <row r="55">
      <c r="G55" s="34" t="inlineStr">
        <is>
          <t>2026-07-30</t>
        </is>
      </c>
      <c r="H55" t="n">
        <v>435</v>
      </c>
      <c r="J55" t="n">
        <v>24317.15</v>
      </c>
    </row>
    <row r="56">
      <c r="G56" s="34" t="inlineStr">
        <is>
          <t>2026-07-29</t>
        </is>
      </c>
      <c r="H56" t="n">
        <v>435</v>
      </c>
      <c r="J56" t="n">
        <v>24250.2</v>
      </c>
    </row>
    <row r="57">
      <c r="G57" s="34" t="inlineStr">
        <is>
          <t>2026-07-28</t>
        </is>
      </c>
      <c r="H57" t="n">
        <v>435</v>
      </c>
      <c r="J57" t="n">
        <v>23985.35</v>
      </c>
    </row>
    <row r="58">
      <c r="G58" s="34" t="inlineStr">
        <is>
          <t>2026-07-27</t>
        </is>
      </c>
      <c r="H58" t="n">
        <v>435</v>
      </c>
      <c r="J58" t="n">
        <v>23995.95</v>
      </c>
    </row>
    <row r="59">
      <c r="G59" s="34" t="inlineStr">
        <is>
          <t>2026-07-24</t>
        </is>
      </c>
      <c r="H59" t="n">
        <v>435</v>
      </c>
      <c r="J59" t="n">
        <v>23767.45</v>
      </c>
    </row>
    <row r="60">
      <c r="G60" s="34" t="inlineStr">
        <is>
          <t>2026-07-23</t>
        </is>
      </c>
      <c r="H60" t="n">
        <v>435</v>
      </c>
      <c r="J60" t="n">
        <v>23869.6</v>
      </c>
    </row>
    <row r="61">
      <c r="G61" s="34" t="inlineStr">
        <is>
          <t>2026-07-22</t>
        </is>
      </c>
      <c r="H61" t="n">
        <v>435</v>
      </c>
      <c r="J61" t="n">
        <v>23996.25</v>
      </c>
    </row>
    <row r="62">
      <c r="G62" s="34" t="inlineStr">
        <is>
          <t>2026-07-21</t>
        </is>
      </c>
      <c r="H62" t="n">
        <v>435</v>
      </c>
      <c r="J62" t="n">
        <v>24187.7</v>
      </c>
    </row>
    <row r="63">
      <c r="G63" s="34" t="inlineStr">
        <is>
          <t>2026-07-20</t>
        </is>
      </c>
      <c r="H63" t="n">
        <v>435</v>
      </c>
      <c r="J63" t="n">
        <v>24238.5</v>
      </c>
    </row>
    <row r="64">
      <c r="G64" s="34" t="inlineStr">
        <is>
          <t>2026-07-17</t>
        </is>
      </c>
      <c r="H64" t="n">
        <v>435</v>
      </c>
      <c r="J64" t="n">
        <v>24334.3</v>
      </c>
    </row>
    <row r="65">
      <c r="G65" s="34" t="inlineStr">
        <is>
          <t>2026-07-16</t>
        </is>
      </c>
      <c r="H65" t="n">
        <v>435</v>
      </c>
      <c r="J65" t="n">
        <v>24072.75</v>
      </c>
    </row>
    <row r="66">
      <c r="G66" s="34" t="inlineStr">
        <is>
          <t>2026-07-15</t>
        </is>
      </c>
      <c r="H66" t="n">
        <v>435</v>
      </c>
      <c r="J66" t="n">
        <v>24078.5</v>
      </c>
    </row>
    <row r="67">
      <c r="G67" s="34" t="inlineStr">
        <is>
          <t>2026-07-14</t>
        </is>
      </c>
      <c r="H67" t="n">
        <v>435</v>
      </c>
      <c r="J67" t="n">
        <v>24052.05</v>
      </c>
    </row>
    <row r="68">
      <c r="G68" s="34" t="inlineStr">
        <is>
          <t>2026-07-13</t>
        </is>
      </c>
      <c r="H68" t="n">
        <v>435</v>
      </c>
      <c r="J68" t="n">
        <v>24211</v>
      </c>
    </row>
    <row r="69">
      <c r="G69" s="34" t="inlineStr">
        <is>
          <t>2026-07-10</t>
        </is>
      </c>
      <c r="H69" t="n">
        <v>435</v>
      </c>
      <c r="J69" t="n">
        <v>24206.9</v>
      </c>
    </row>
    <row r="70">
      <c r="G70" s="34" t="inlineStr">
        <is>
          <t>2026-07-09</t>
        </is>
      </c>
      <c r="H70" t="n">
        <v>435</v>
      </c>
      <c r="J70" t="n">
        <v>23962.8</v>
      </c>
    </row>
    <row r="71">
      <c r="G71" s="34" t="inlineStr">
        <is>
          <t>2026-07-08</t>
        </is>
      </c>
      <c r="H71" t="n">
        <v>435</v>
      </c>
      <c r="J71" t="n">
        <v>23882.05</v>
      </c>
    </row>
    <row r="72">
      <c r="G72" s="34" t="inlineStr">
        <is>
          <t>2026-07-07</t>
        </is>
      </c>
      <c r="H72" t="n">
        <v>435</v>
      </c>
      <c r="J72" t="n">
        <v>24398.7</v>
      </c>
    </row>
    <row r="73">
      <c r="G73" s="34" t="inlineStr">
        <is>
          <t>2026-07-06</t>
        </is>
      </c>
      <c r="H73" t="n">
        <v>435</v>
      </c>
      <c r="J73" t="n">
        <v>24430.35</v>
      </c>
    </row>
    <row r="74">
      <c r="G74" s="34" t="inlineStr">
        <is>
          <t>2026-07-03</t>
        </is>
      </c>
      <c r="H74" t="n">
        <v>435</v>
      </c>
      <c r="J74" t="n">
        <v>24270.85</v>
      </c>
    </row>
    <row r="75">
      <c r="G75" s="34" t="inlineStr">
        <is>
          <t>2026-07-02</t>
        </is>
      </c>
      <c r="H75" t="n">
        <v>435</v>
      </c>
      <c r="J75" t="n">
        <v>24175.7</v>
      </c>
    </row>
    <row r="76">
      <c r="G76" s="34" t="inlineStr">
        <is>
          <t>2026-07-01</t>
        </is>
      </c>
      <c r="H76" t="n">
        <v>435</v>
      </c>
      <c r="J76" t="n">
        <v>24005.85</v>
      </c>
    </row>
    <row r="77">
      <c r="G77" s="34" t="inlineStr">
        <is>
          <t>2026-06-30</t>
        </is>
      </c>
      <c r="H77" t="n">
        <v>435</v>
      </c>
      <c r="J77" t="n">
        <v>23865.75</v>
      </c>
    </row>
    <row r="78">
      <c r="G78" s="34" t="inlineStr">
        <is>
          <t>2026-06-29</t>
        </is>
      </c>
      <c r="H78" t="n">
        <v>435</v>
      </c>
      <c r="J78" t="n">
        <v>23946.25</v>
      </c>
    </row>
    <row r="79">
      <c r="G79" s="34" t="inlineStr">
        <is>
          <t>2026-06-25</t>
        </is>
      </c>
      <c r="H79" t="n">
        <v>435</v>
      </c>
      <c r="J79" t="n">
        <v>24056</v>
      </c>
    </row>
    <row r="80">
      <c r="G80" s="34" t="inlineStr">
        <is>
          <t>2026-06-24</t>
        </is>
      </c>
      <c r="H80" t="n">
        <v>435</v>
      </c>
      <c r="J80" t="n">
        <v>24021.65</v>
      </c>
    </row>
    <row r="81">
      <c r="G81" s="34" t="inlineStr">
        <is>
          <t>2026-06-23</t>
        </is>
      </c>
      <c r="H81" t="n">
        <v>435</v>
      </c>
      <c r="J81" t="n">
        <v>23824.1</v>
      </c>
    </row>
    <row r="82">
      <c r="G82" s="34" t="inlineStr">
        <is>
          <t>2026-06-22</t>
        </is>
      </c>
      <c r="H82" t="n">
        <v>435</v>
      </c>
      <c r="J82" t="n">
        <v>24102.9</v>
      </c>
    </row>
    <row r="83">
      <c r="G83" s="34" t="inlineStr">
        <is>
          <t>2026-06-19</t>
        </is>
      </c>
      <c r="H83" t="n">
        <v>435</v>
      </c>
      <c r="J83" t="n">
        <v>24013.1</v>
      </c>
    </row>
    <row r="84">
      <c r="G84" s="34" t="inlineStr">
        <is>
          <t>2026-06-18</t>
        </is>
      </c>
      <c r="H84" t="n">
        <v>435</v>
      </c>
      <c r="J84" t="n">
        <v>24168</v>
      </c>
    </row>
    <row r="85">
      <c r="G85" s="34" t="inlineStr">
        <is>
          <t>2026-06-17</t>
        </is>
      </c>
      <c r="H85" t="n">
        <v>435</v>
      </c>
      <c r="J85" t="n">
        <v>24085.7</v>
      </c>
    </row>
    <row r="86">
      <c r="G86" s="34" t="inlineStr">
        <is>
          <t>2026-06-16</t>
        </is>
      </c>
      <c r="H86" t="n">
        <v>435</v>
      </c>
      <c r="J86" t="n">
        <v>23989.15</v>
      </c>
    </row>
    <row r="87">
      <c r="G87" s="34" t="inlineStr">
        <is>
          <t>2026-06-15</t>
        </is>
      </c>
      <c r="H87" t="n">
        <v>435</v>
      </c>
      <c r="J87" t="n">
        <v>23853.9</v>
      </c>
    </row>
    <row r="88">
      <c r="G88" s="34" t="inlineStr">
        <is>
          <t>2026-06-12</t>
        </is>
      </c>
      <c r="H88" t="n">
        <v>435</v>
      </c>
      <c r="J88" t="n">
        <v>23622.9</v>
      </c>
    </row>
    <row r="89">
      <c r="G89" s="34" t="inlineStr">
        <is>
          <t>2026-06-11</t>
        </is>
      </c>
      <c r="H89" t="n">
        <v>435</v>
      </c>
      <c r="J89" t="n">
        <v>23161.6</v>
      </c>
    </row>
    <row r="90">
      <c r="G90" s="34" t="inlineStr">
        <is>
          <t>2026-06-10</t>
        </is>
      </c>
      <c r="H90" t="n">
        <v>435</v>
      </c>
      <c r="J90" t="n">
        <v>23214.95</v>
      </c>
    </row>
    <row r="91">
      <c r="G91" s="34" t="inlineStr">
        <is>
          <t>2026-06-09</t>
        </is>
      </c>
      <c r="H91" t="n">
        <v>435</v>
      </c>
      <c r="J91" t="n">
        <v>23242.1</v>
      </c>
    </row>
    <row r="92">
      <c r="G92" s="34" t="inlineStr">
        <is>
          <t>2026-06-08</t>
        </is>
      </c>
      <c r="H92" t="n">
        <v>435</v>
      </c>
      <c r="J92" t="n">
        <v>23123</v>
      </c>
    </row>
    <row r="93">
      <c r="G93" s="34" t="inlineStr">
        <is>
          <t>2026-06-05</t>
        </is>
      </c>
      <c r="H93" t="n">
        <v>435</v>
      </c>
      <c r="J93" t="n">
        <v>23366.7</v>
      </c>
    </row>
    <row r="94">
      <c r="G94" s="34" t="inlineStr">
        <is>
          <t>2026-06-04</t>
        </is>
      </c>
      <c r="H94" t="n">
        <v>435</v>
      </c>
      <c r="J94" t="n">
        <v>23416.55</v>
      </c>
    </row>
    <row r="95">
      <c r="G95" s="34" t="inlineStr">
        <is>
          <t>2026-06-03</t>
        </is>
      </c>
      <c r="H95" t="n">
        <v>435</v>
      </c>
      <c r="J95" t="n">
        <v>23405.6</v>
      </c>
    </row>
    <row r="96">
      <c r="G96" s="34" t="inlineStr">
        <is>
          <t>2026-06-02</t>
        </is>
      </c>
      <c r="H96" t="n">
        <v>435</v>
      </c>
      <c r="J96" t="n">
        <v>23483.55</v>
      </c>
    </row>
    <row r="97">
      <c r="G97" s="34" t="inlineStr">
        <is>
          <t>2026-06-01</t>
        </is>
      </c>
      <c r="H97" t="n">
        <v>435</v>
      </c>
      <c r="J97" t="n">
        <v>23382.6</v>
      </c>
    </row>
    <row r="98">
      <c r="G98" s="34" t="inlineStr">
        <is>
          <t>2026-05-29</t>
        </is>
      </c>
      <c r="H98" t="n">
        <v>435</v>
      </c>
      <c r="J98" t="n">
        <v>23547.75</v>
      </c>
    </row>
    <row r="99">
      <c r="G99" s="34" t="inlineStr">
        <is>
          <t>2026-05-27</t>
        </is>
      </c>
      <c r="H99" t="n">
        <v>435</v>
      </c>
      <c r="J99" t="n">
        <v>23907.15</v>
      </c>
    </row>
    <row r="100">
      <c r="G100" s="34" t="inlineStr">
        <is>
          <t>2026-05-26</t>
        </is>
      </c>
      <c r="H100" t="n">
        <v>435</v>
      </c>
      <c r="J100" t="n">
        <v>23913.7</v>
      </c>
    </row>
    <row r="101">
      <c r="G101" s="34" t="inlineStr">
        <is>
          <t>2026-05-25</t>
        </is>
      </c>
      <c r="H101" t="n">
        <v>435</v>
      </c>
      <c r="J101" t="n">
        <v>24031.7</v>
      </c>
    </row>
    <row r="102">
      <c r="G102" s="34" t="inlineStr">
        <is>
          <t>2026-05-22</t>
        </is>
      </c>
      <c r="H102" t="n">
        <v>435</v>
      </c>
      <c r="J102" t="n">
        <v>23719.3</v>
      </c>
    </row>
    <row r="103">
      <c r="G103" s="34" t="inlineStr">
        <is>
          <t>2026-05-21</t>
        </is>
      </c>
      <c r="H103" t="n">
        <v>435</v>
      </c>
      <c r="J103" t="n">
        <v>23654.7</v>
      </c>
    </row>
    <row r="104">
      <c r="G104" s="34" t="inlineStr">
        <is>
          <t>2026-05-20</t>
        </is>
      </c>
      <c r="H104" t="n">
        <v>435</v>
      </c>
      <c r="J104" t="n">
        <v>23659</v>
      </c>
    </row>
    <row r="105">
      <c r="G105" s="34" t="inlineStr">
        <is>
          <t>2026-05-19</t>
        </is>
      </c>
      <c r="H105" t="n">
        <v>435</v>
      </c>
      <c r="J105" t="n">
        <v>23618</v>
      </c>
    </row>
    <row r="106">
      <c r="G106" s="34" t="inlineStr">
        <is>
          <t>2026-05-18</t>
        </is>
      </c>
      <c r="H106" t="n">
        <v>435</v>
      </c>
      <c r="J106" t="n">
        <v>23649.95</v>
      </c>
    </row>
    <row r="107">
      <c r="G107" s="34" t="inlineStr">
        <is>
          <t>2026-05-15</t>
        </is>
      </c>
      <c r="H107" t="n">
        <v>435</v>
      </c>
      <c r="J107" t="n">
        <v>23643.5</v>
      </c>
    </row>
    <row r="108">
      <c r="G108" s="34" t="inlineStr">
        <is>
          <t>2026-05-14</t>
        </is>
      </c>
      <c r="H108" t="n">
        <v>435</v>
      </c>
      <c r="J108" t="n">
        <v>23689.6</v>
      </c>
    </row>
    <row r="109">
      <c r="G109" s="34" t="inlineStr">
        <is>
          <t>2026-05-13</t>
        </is>
      </c>
      <c r="H109" t="n">
        <v>435</v>
      </c>
      <c r="J109" t="n">
        <v>23412.6</v>
      </c>
    </row>
    <row r="110">
      <c r="G110" s="34" t="inlineStr">
        <is>
          <t>2026-05-12</t>
        </is>
      </c>
      <c r="H110" t="n">
        <v>435</v>
      </c>
      <c r="J110" t="n">
        <v>23379.55</v>
      </c>
    </row>
    <row r="111">
      <c r="G111" s="34" t="inlineStr">
        <is>
          <t>2026-05-11</t>
        </is>
      </c>
      <c r="H111" t="n">
        <v>435</v>
      </c>
      <c r="J111" t="n">
        <v>23815.85</v>
      </c>
    </row>
    <row r="112">
      <c r="G112" s="34" t="inlineStr">
        <is>
          <t>2026-05-08</t>
        </is>
      </c>
      <c r="H112" t="n">
        <v>435</v>
      </c>
      <c r="J112" t="n">
        <v>24176.15</v>
      </c>
    </row>
    <row r="113">
      <c r="G113" s="34" t="inlineStr">
        <is>
          <t>2026-05-07</t>
        </is>
      </c>
      <c r="H113" t="n">
        <v>435</v>
      </c>
      <c r="J113" t="n">
        <v>24326.65</v>
      </c>
    </row>
    <row r="114">
      <c r="G114" s="34" t="inlineStr">
        <is>
          <t>2026-05-06</t>
        </is>
      </c>
      <c r="H114" t="n">
        <v>435</v>
      </c>
      <c r="J114" t="n">
        <v>24330.95</v>
      </c>
    </row>
    <row r="115">
      <c r="G115" s="34" t="inlineStr">
        <is>
          <t>2026-05-05</t>
        </is>
      </c>
      <c r="H115" t="n">
        <v>435</v>
      </c>
      <c r="J115" t="n">
        <v>24032.8</v>
      </c>
    </row>
    <row r="116">
      <c r="G116" s="34" t="inlineStr">
        <is>
          <t>2026-05-04</t>
        </is>
      </c>
      <c r="H116" t="n">
        <v>435</v>
      </c>
      <c r="J116" t="n">
        <v>24119.3</v>
      </c>
    </row>
    <row r="117">
      <c r="G117" s="34" t="inlineStr">
        <is>
          <t>2026-04-30</t>
        </is>
      </c>
      <c r="H117" t="n">
        <v>435</v>
      </c>
      <c r="J117" t="n">
        <v>23997.55</v>
      </c>
    </row>
    <row r="118">
      <c r="G118" s="34" t="inlineStr">
        <is>
          <t>2026-04-29</t>
        </is>
      </c>
      <c r="H118" t="n">
        <v>435</v>
      </c>
      <c r="J118" t="n">
        <v>24177.65</v>
      </c>
    </row>
    <row r="119">
      <c r="G119" s="34" t="inlineStr">
        <is>
          <t>2026-04-28</t>
        </is>
      </c>
      <c r="H119" t="n">
        <v>435</v>
      </c>
      <c r="J119" t="n">
        <v>23995.7</v>
      </c>
    </row>
    <row r="120">
      <c r="G120" s="34" t="inlineStr">
        <is>
          <t>2026-04-27</t>
        </is>
      </c>
      <c r="H120" t="n">
        <v>435</v>
      </c>
      <c r="J120" t="n">
        <v>24092.7</v>
      </c>
    </row>
    <row r="121">
      <c r="G121" s="34" t="inlineStr">
        <is>
          <t>2026-04-24</t>
        </is>
      </c>
      <c r="H121" t="n">
        <v>435</v>
      </c>
      <c r="J121" t="n">
        <v>23897.95</v>
      </c>
    </row>
    <row r="122">
      <c r="G122" s="34" t="inlineStr">
        <is>
          <t>2026-04-23</t>
        </is>
      </c>
      <c r="H122" t="n">
        <v>435</v>
      </c>
      <c r="J122" t="n">
        <v>24173.05</v>
      </c>
    </row>
    <row r="123">
      <c r="G123" s="34" t="inlineStr">
        <is>
          <t>2026-04-22</t>
        </is>
      </c>
      <c r="H123" t="n">
        <v>435</v>
      </c>
      <c r="J123" t="n">
        <v>24378.1</v>
      </c>
    </row>
    <row r="124">
      <c r="G124" s="34" t="inlineStr">
        <is>
          <t>2026-04-21</t>
        </is>
      </c>
      <c r="H124" t="n">
        <v>435</v>
      </c>
      <c r="J124" t="n">
        <v>24576.6</v>
      </c>
    </row>
    <row r="125">
      <c r="G125" s="34" t="inlineStr">
        <is>
          <t>2026-04-20</t>
        </is>
      </c>
      <c r="H125" t="n">
        <v>435</v>
      </c>
      <c r="J125" t="n">
        <v>24364.85</v>
      </c>
    </row>
    <row r="126">
      <c r="G126" s="34" t="inlineStr">
        <is>
          <t>2026-04-17</t>
        </is>
      </c>
      <c r="H126" t="n">
        <v>435</v>
      </c>
      <c r="J126" t="n">
        <v>24353.55</v>
      </c>
    </row>
    <row r="127">
      <c r="G127" s="34" t="inlineStr">
        <is>
          <t>2026-04-16</t>
        </is>
      </c>
      <c r="H127" t="n">
        <v>435</v>
      </c>
      <c r="J127" t="n">
        <v>24196.75</v>
      </c>
    </row>
    <row r="128">
      <c r="G128" s="34" t="inlineStr">
        <is>
          <t>2026-04-15</t>
        </is>
      </c>
      <c r="H128" t="n">
        <v>435</v>
      </c>
      <c r="J128" t="n">
        <v>24231.3</v>
      </c>
    </row>
    <row r="129">
      <c r="G129" s="34" t="inlineStr">
        <is>
          <t>2026-04-13</t>
        </is>
      </c>
      <c r="H129" t="n">
        <v>435</v>
      </c>
      <c r="J129" t="n">
        <v>23842.65</v>
      </c>
    </row>
    <row r="130">
      <c r="G130" s="34" t="inlineStr">
        <is>
          <t>2026-04-10</t>
        </is>
      </c>
      <c r="H130" t="n">
        <v>435</v>
      </c>
      <c r="J130" t="n">
        <v>24050.6</v>
      </c>
    </row>
    <row r="131">
      <c r="G131" s="34" t="inlineStr">
        <is>
          <t>2026-04-09</t>
        </is>
      </c>
      <c r="H131" t="n">
        <v>435</v>
      </c>
      <c r="J131" t="n">
        <v>23775.1</v>
      </c>
    </row>
    <row r="132">
      <c r="G132" s="34" t="inlineStr">
        <is>
          <t>2026-04-08</t>
        </is>
      </c>
      <c r="H132" t="n">
        <v>435</v>
      </c>
      <c r="J132" t="n">
        <v>23997.35</v>
      </c>
    </row>
    <row r="133">
      <c r="G133" s="34" t="inlineStr">
        <is>
          <t>2026-04-07</t>
        </is>
      </c>
      <c r="H133" t="n">
        <v>435</v>
      </c>
      <c r="J133" t="n">
        <v>23123.65</v>
      </c>
    </row>
    <row r="134">
      <c r="G134" s="34" t="inlineStr">
        <is>
          <t>2026-04-06</t>
        </is>
      </c>
      <c r="H134" t="n">
        <v>435</v>
      </c>
      <c r="J134" t="n">
        <v>22968.25</v>
      </c>
    </row>
    <row r="135">
      <c r="G135" s="34" t="inlineStr">
        <is>
          <t>2026-04-02</t>
        </is>
      </c>
      <c r="H135" t="n">
        <v>435</v>
      </c>
      <c r="J135" t="n">
        <v>22713.1</v>
      </c>
    </row>
    <row r="136">
      <c r="G136" s="34" t="inlineStr">
        <is>
          <t>2026-04-01</t>
        </is>
      </c>
      <c r="H136" t="n">
        <v>435</v>
      </c>
      <c r="J136" t="n">
        <v>22679.4</v>
      </c>
    </row>
    <row r="137">
      <c r="G137" s="34" t="inlineStr">
        <is>
          <t>2026-03-30</t>
        </is>
      </c>
      <c r="H137" t="n">
        <v>435</v>
      </c>
      <c r="J137" t="n">
        <v>22331.4</v>
      </c>
    </row>
    <row r="138">
      <c r="G138" s="34" t="inlineStr">
        <is>
          <t>2026-03-27</t>
        </is>
      </c>
      <c r="H138" t="n">
        <v>435</v>
      </c>
      <c r="J138" t="n">
        <v>22819.6</v>
      </c>
    </row>
    <row r="139">
      <c r="G139" s="34" t="inlineStr">
        <is>
          <t>2026-03-25</t>
        </is>
      </c>
      <c r="H139" t="n">
        <v>435</v>
      </c>
      <c r="J139" t="n">
        <v>23306.45</v>
      </c>
    </row>
    <row r="140">
      <c r="G140" s="34" t="inlineStr">
        <is>
          <t>2026-03-24</t>
        </is>
      </c>
      <c r="H140" t="n">
        <v>435</v>
      </c>
      <c r="J140" t="n">
        <v>22912.4</v>
      </c>
    </row>
    <row r="141">
      <c r="G141" s="34" t="inlineStr">
        <is>
          <t>2026-03-23</t>
        </is>
      </c>
      <c r="H141" t="n">
        <v>435</v>
      </c>
      <c r="J141" t="n">
        <v>22512.65</v>
      </c>
    </row>
    <row r="142">
      <c r="G142" s="34" t="inlineStr">
        <is>
          <t>2026-03-20</t>
        </is>
      </c>
      <c r="H142" t="n">
        <v>435</v>
      </c>
      <c r="J142" t="n">
        <v>23114.5</v>
      </c>
    </row>
    <row r="143">
      <c r="G143" s="34" t="inlineStr">
        <is>
          <t>2026-03-19</t>
        </is>
      </c>
      <c r="H143" t="n">
        <v>435</v>
      </c>
      <c r="J143" t="n">
        <v>23002.15</v>
      </c>
    </row>
    <row r="144">
      <c r="G144" s="34" t="inlineStr">
        <is>
          <t>2026-03-18</t>
        </is>
      </c>
      <c r="H144" t="n">
        <v>435</v>
      </c>
      <c r="J144" t="n">
        <v>23777.8</v>
      </c>
    </row>
    <row r="145">
      <c r="G145" s="34" t="inlineStr">
        <is>
          <t>2026-03-17</t>
        </is>
      </c>
      <c r="H145" t="n">
        <v>435</v>
      </c>
      <c r="J145" t="n">
        <v>23581.15</v>
      </c>
    </row>
    <row r="146">
      <c r="G146" s="34" t="inlineStr">
        <is>
          <t>2026-03-16</t>
        </is>
      </c>
      <c r="H146" t="n">
        <v>435</v>
      </c>
      <c r="J146" t="n">
        <v>23408.8</v>
      </c>
    </row>
    <row r="147">
      <c r="G147" s="34" t="inlineStr">
        <is>
          <t>2026-03-13</t>
        </is>
      </c>
      <c r="H147" t="n">
        <v>435</v>
      </c>
      <c r="J147" t="n">
        <v>23151.1</v>
      </c>
    </row>
    <row r="148">
      <c r="G148" s="34" t="inlineStr">
        <is>
          <t>2026-03-12</t>
        </is>
      </c>
      <c r="H148" t="n">
        <v>435</v>
      </c>
      <c r="J148" t="n">
        <v>23639.15</v>
      </c>
    </row>
    <row r="149">
      <c r="G149" s="34" t="inlineStr">
        <is>
          <t>2026-03-11</t>
        </is>
      </c>
      <c r="H149" t="n">
        <v>435</v>
      </c>
      <c r="J149" t="n">
        <v>23866.85</v>
      </c>
    </row>
    <row r="150">
      <c r="G150" s="34" t="inlineStr">
        <is>
          <t>2026-03-10</t>
        </is>
      </c>
      <c r="H150" t="n">
        <v>435</v>
      </c>
      <c r="J150" t="n">
        <v>24261.6</v>
      </c>
    </row>
    <row r="151">
      <c r="G151" s="34" t="inlineStr">
        <is>
          <t>2026-03-09</t>
        </is>
      </c>
      <c r="H151" t="n">
        <v>435</v>
      </c>
      <c r="J151" t="n">
        <v>24028.05</v>
      </c>
    </row>
    <row r="152">
      <c r="G152" s="34" t="inlineStr">
        <is>
          <t>2026-03-06</t>
        </is>
      </c>
      <c r="H152" t="n">
        <v>435</v>
      </c>
      <c r="J152" t="n">
        <v>24450.45</v>
      </c>
    </row>
    <row r="153">
      <c r="G153" s="34" t="inlineStr">
        <is>
          <t>2026-03-05</t>
        </is>
      </c>
      <c r="H153" t="n">
        <v>435</v>
      </c>
      <c r="J153" t="n">
        <v>24765.9</v>
      </c>
    </row>
    <row r="154">
      <c r="G154" s="34" t="inlineStr">
        <is>
          <t>2026-03-04</t>
        </is>
      </c>
      <c r="H154" t="n">
        <v>435</v>
      </c>
      <c r="J154" t="n">
        <v>24480.5</v>
      </c>
    </row>
    <row r="155">
      <c r="G155" s="34" t="inlineStr">
        <is>
          <t>2026-03-02</t>
        </is>
      </c>
      <c r="H155" t="n">
        <v>435</v>
      </c>
      <c r="J155" t="n">
        <v>24865.7</v>
      </c>
    </row>
    <row r="156">
      <c r="G156" s="34" t="inlineStr">
        <is>
          <t>2026-02-27</t>
        </is>
      </c>
      <c r="H156" t="n">
        <v>435</v>
      </c>
      <c r="J156" t="n">
        <v>25178.65</v>
      </c>
    </row>
    <row r="157">
      <c r="G157" s="34" t="inlineStr">
        <is>
          <t>2026-02-26</t>
        </is>
      </c>
      <c r="H157" t="n">
        <v>435</v>
      </c>
      <c r="J157" t="n">
        <v>25496.55</v>
      </c>
    </row>
    <row r="158">
      <c r="G158" s="34" t="inlineStr">
        <is>
          <t>2026-02-25</t>
        </is>
      </c>
      <c r="H158" t="n">
        <v>435</v>
      </c>
      <c r="J158" t="n">
        <v>25482.5</v>
      </c>
    </row>
    <row r="159">
      <c r="G159" s="34" t="inlineStr">
        <is>
          <t>2026-02-24</t>
        </is>
      </c>
      <c r="H159" t="n">
        <v>435</v>
      </c>
      <c r="J159" t="n">
        <v>25424.65</v>
      </c>
    </row>
    <row r="160">
      <c r="G160" s="34" t="inlineStr">
        <is>
          <t>2026-02-23</t>
        </is>
      </c>
      <c r="H160" t="n">
        <v>435</v>
      </c>
      <c r="J160" t="n">
        <v>25713</v>
      </c>
    </row>
    <row r="161">
      <c r="G161" s="34" t="inlineStr">
        <is>
          <t>2026-02-20</t>
        </is>
      </c>
      <c r="H161" t="n">
        <v>435</v>
      </c>
      <c r="J161" t="n">
        <v>25571.25</v>
      </c>
    </row>
    <row r="162">
      <c r="G162" s="34" t="inlineStr">
        <is>
          <t>2026-02-19</t>
        </is>
      </c>
      <c r="H162" t="n">
        <v>435</v>
      </c>
      <c r="J162" t="n">
        <v>25454.35</v>
      </c>
    </row>
    <row r="163">
      <c r="G163" s="34" t="inlineStr">
        <is>
          <t>2026-02-18</t>
        </is>
      </c>
      <c r="H163" t="n">
        <v>435</v>
      </c>
      <c r="J163" t="n">
        <v>25819.35</v>
      </c>
    </row>
    <row r="164">
      <c r="G164" s="34" t="inlineStr">
        <is>
          <t>2026-02-17</t>
        </is>
      </c>
      <c r="H164" t="n">
        <v>435</v>
      </c>
      <c r="J164" t="n">
        <v>25725.4</v>
      </c>
    </row>
    <row r="165">
      <c r="G165" s="34" t="inlineStr">
        <is>
          <t>2026-02-16</t>
        </is>
      </c>
      <c r="H165" t="n">
        <v>435</v>
      </c>
      <c r="J165" t="n">
        <v>25682.75</v>
      </c>
    </row>
    <row r="166">
      <c r="G166" s="34" t="inlineStr">
        <is>
          <t>2026-02-13</t>
        </is>
      </c>
      <c r="H166" t="n">
        <v>435</v>
      </c>
      <c r="J166" t="n">
        <v>25471.1</v>
      </c>
    </row>
    <row r="167">
      <c r="G167" s="34" t="inlineStr">
        <is>
          <t>2026-02-12</t>
        </is>
      </c>
      <c r="H167" t="n">
        <v>435</v>
      </c>
      <c r="J167" t="n">
        <v>25807.2</v>
      </c>
    </row>
    <row r="168">
      <c r="G168" s="34" t="inlineStr">
        <is>
          <t>2026-02-11</t>
        </is>
      </c>
      <c r="H168" t="n">
        <v>435</v>
      </c>
      <c r="J168" t="n">
        <v>25953.85</v>
      </c>
    </row>
    <row r="169">
      <c r="G169" s="34" t="inlineStr">
        <is>
          <t>2026-02-10</t>
        </is>
      </c>
      <c r="H169" t="n">
        <v>435</v>
      </c>
      <c r="J169" t="n">
        <v>25935.15</v>
      </c>
    </row>
    <row r="170">
      <c r="G170" s="34" t="inlineStr">
        <is>
          <t>2026-02-09</t>
        </is>
      </c>
      <c r="H170" t="n">
        <v>435</v>
      </c>
      <c r="J170" t="n">
        <v>25867.3</v>
      </c>
    </row>
    <row r="171">
      <c r="G171" s="34" t="inlineStr">
        <is>
          <t>2026-02-06</t>
        </is>
      </c>
      <c r="H171" t="n">
        <v>435</v>
      </c>
      <c r="J171" t="n">
        <v>25693.7</v>
      </c>
    </row>
    <row r="172">
      <c r="G172" s="34" t="inlineStr">
        <is>
          <t>2026-02-05</t>
        </is>
      </c>
      <c r="H172" t="n">
        <v>435</v>
      </c>
      <c r="J172" t="n">
        <v>25642.8</v>
      </c>
    </row>
    <row r="173">
      <c r="G173" s="34" t="inlineStr">
        <is>
          <t>2026-02-04</t>
        </is>
      </c>
      <c r="H173" t="n">
        <v>435</v>
      </c>
      <c r="J173" t="n">
        <v>25776</v>
      </c>
    </row>
    <row r="174">
      <c r="G174" s="34" t="inlineStr">
        <is>
          <t>2026-02-03</t>
        </is>
      </c>
      <c r="H174" t="n">
        <v>435</v>
      </c>
      <c r="J174" t="n">
        <v>25727.55</v>
      </c>
    </row>
    <row r="175">
      <c r="G175" s="34" t="inlineStr">
        <is>
          <t>2026-02-02</t>
        </is>
      </c>
      <c r="H175" t="n">
        <v>435</v>
      </c>
      <c r="J175" t="n">
        <v>25088.4</v>
      </c>
    </row>
    <row r="176">
      <c r="G176" s="34" t="inlineStr">
        <is>
          <t>2026-01-30</t>
        </is>
      </c>
      <c r="H176" t="n">
        <v>435</v>
      </c>
      <c r="J176" t="n">
        <v>25320.65</v>
      </c>
    </row>
    <row r="177">
      <c r="G177" s="34" t="inlineStr">
        <is>
          <t>2026-01-29</t>
        </is>
      </c>
      <c r="H177" t="n">
        <v>435</v>
      </c>
      <c r="J177" t="n">
        <v>25418.9</v>
      </c>
    </row>
    <row r="178">
      <c r="G178" s="34" t="inlineStr">
        <is>
          <t>2026-01-28</t>
        </is>
      </c>
      <c r="H178" t="n">
        <v>435</v>
      </c>
      <c r="J178" t="n">
        <v>25342.75</v>
      </c>
    </row>
    <row r="179">
      <c r="G179" s="34" t="inlineStr">
        <is>
          <t>2026-01-27</t>
        </is>
      </c>
      <c r="H179" t="n">
        <v>435</v>
      </c>
      <c r="J179" t="n">
        <v>25175.4</v>
      </c>
    </row>
    <row r="180">
      <c r="G180" s="34" t="inlineStr">
        <is>
          <t>2026-01-23</t>
        </is>
      </c>
      <c r="H180" t="n">
        <v>435</v>
      </c>
      <c r="J180" t="n">
        <v>25048.65</v>
      </c>
    </row>
    <row r="181">
      <c r="G181" s="34" t="inlineStr">
        <is>
          <t>2026-01-22</t>
        </is>
      </c>
      <c r="H181" t="n">
        <v>435</v>
      </c>
      <c r="J181" t="n">
        <v>25289.9</v>
      </c>
    </row>
    <row r="182">
      <c r="G182" s="34" t="inlineStr">
        <is>
          <t>2026-01-21</t>
        </is>
      </c>
      <c r="H182" t="n">
        <v>435</v>
      </c>
      <c r="J182" t="n">
        <v>25157.5</v>
      </c>
    </row>
    <row r="183">
      <c r="G183" s="34" t="inlineStr">
        <is>
          <t>2026-01-20</t>
        </is>
      </c>
      <c r="H183" t="n">
        <v>435</v>
      </c>
      <c r="J183" t="n">
        <v>25232.5</v>
      </c>
    </row>
    <row r="184">
      <c r="G184" s="34" t="inlineStr">
        <is>
          <t>2026-01-19</t>
        </is>
      </c>
      <c r="H184" t="n">
        <v>435</v>
      </c>
      <c r="J184" t="n">
        <v>25585.5</v>
      </c>
    </row>
    <row r="185">
      <c r="G185" s="34" t="inlineStr">
        <is>
          <t>2026-01-16</t>
        </is>
      </c>
      <c r="H185" t="n">
        <v>435</v>
      </c>
      <c r="J185" t="n">
        <v>25694.35</v>
      </c>
    </row>
    <row r="186">
      <c r="G186" s="34" t="inlineStr">
        <is>
          <t>2026-01-14</t>
        </is>
      </c>
      <c r="H186" t="n">
        <v>435</v>
      </c>
      <c r="J186" t="n">
        <v>25665.6</v>
      </c>
    </row>
    <row r="187">
      <c r="G187" s="34" t="inlineStr">
        <is>
          <t>2026-01-13</t>
        </is>
      </c>
      <c r="H187" t="n">
        <v>435</v>
      </c>
      <c r="J187" t="n">
        <v>25732.3</v>
      </c>
    </row>
    <row r="188">
      <c r="G188" s="34" t="inlineStr">
        <is>
          <t>2026-01-12</t>
        </is>
      </c>
      <c r="H188" t="n">
        <v>435</v>
      </c>
      <c r="J188" t="n">
        <v>25790.25</v>
      </c>
    </row>
    <row r="189">
      <c r="G189" s="34" t="inlineStr">
        <is>
          <t>2026-01-09</t>
        </is>
      </c>
      <c r="H189" t="n">
        <v>435</v>
      </c>
      <c r="J189" t="n">
        <v>25683.3</v>
      </c>
    </row>
    <row r="190">
      <c r="G190" s="34" t="inlineStr">
        <is>
          <t>2026-01-08</t>
        </is>
      </c>
      <c r="H190" t="n">
        <v>435</v>
      </c>
      <c r="J190" t="n">
        <v>25876.85</v>
      </c>
    </row>
    <row r="191">
      <c r="G191" s="34" t="inlineStr">
        <is>
          <t>2026-01-07</t>
        </is>
      </c>
      <c r="H191" t="n">
        <v>435</v>
      </c>
      <c r="J191" t="n">
        <v>26140.75</v>
      </c>
    </row>
    <row r="192">
      <c r="G192" s="34" t="inlineStr">
        <is>
          <t>2026-01-06</t>
        </is>
      </c>
      <c r="H192" t="n">
        <v>435</v>
      </c>
      <c r="J192" t="n">
        <v>26178.7</v>
      </c>
    </row>
    <row r="193">
      <c r="G193" s="34" t="inlineStr">
        <is>
          <t>2026-01-05</t>
        </is>
      </c>
      <c r="H193" t="n">
        <v>435</v>
      </c>
      <c r="J193" t="n">
        <v>26250.3</v>
      </c>
    </row>
    <row r="194">
      <c r="G194" s="34" t="inlineStr">
        <is>
          <t>2026-01-02</t>
        </is>
      </c>
      <c r="H194" t="n">
        <v>435</v>
      </c>
      <c r="J194" t="n">
        <v>26328.55</v>
      </c>
    </row>
    <row r="195">
      <c r="G195" s="34" t="inlineStr">
        <is>
          <t>2026-01-01</t>
        </is>
      </c>
      <c r="H195" t="n">
        <v>435</v>
      </c>
      <c r="J195" t="n">
        <v>26146.55</v>
      </c>
    </row>
    <row r="196">
      <c r="G196" s="34" t="inlineStr">
        <is>
          <t>2025-12-31</t>
        </is>
      </c>
      <c r="H196" t="n">
        <v>435</v>
      </c>
      <c r="J196" t="n">
        <v>26129.6</v>
      </c>
    </row>
    <row r="197">
      <c r="G197" s="34" t="inlineStr">
        <is>
          <t>2025-12-30</t>
        </is>
      </c>
      <c r="H197" t="n">
        <v>435</v>
      </c>
      <c r="J197" t="n">
        <v>25938.85</v>
      </c>
    </row>
    <row r="198">
      <c r="G198" s="34" t="inlineStr">
        <is>
          <t>2025-12-29</t>
        </is>
      </c>
      <c r="H198" t="n">
        <v>435</v>
      </c>
      <c r="J198" t="n">
        <v>25942.1</v>
      </c>
    </row>
    <row r="199">
      <c r="G199" s="34" t="inlineStr">
        <is>
          <t>2025-12-26</t>
        </is>
      </c>
      <c r="H199" t="n">
        <v>435</v>
      </c>
      <c r="J199" t="n">
        <v>26042.3</v>
      </c>
    </row>
    <row r="200">
      <c r="G200" s="34" t="inlineStr">
        <is>
          <t>2025-12-24</t>
        </is>
      </c>
      <c r="H200" t="n">
        <v>435</v>
      </c>
      <c r="J200" t="n">
        <v>26142.1</v>
      </c>
    </row>
    <row r="201">
      <c r="G201" s="34" t="inlineStr">
        <is>
          <t>2025-12-23</t>
        </is>
      </c>
      <c r="H201" t="n">
        <v>435</v>
      </c>
      <c r="J201" t="n">
        <v>26177.15</v>
      </c>
    </row>
    <row r="202">
      <c r="G202" s="34" t="inlineStr">
        <is>
          <t>2025-12-22</t>
        </is>
      </c>
      <c r="H202" t="n">
        <v>435</v>
      </c>
      <c r="J202" t="n">
        <v>26172.4</v>
      </c>
    </row>
    <row r="203">
      <c r="G203" s="34" t="inlineStr">
        <is>
          <t>2025-12-19</t>
        </is>
      </c>
      <c r="H203" t="n">
        <v>435</v>
      </c>
      <c r="J203" t="n">
        <v>25966.4</v>
      </c>
    </row>
    <row r="204">
      <c r="G204" s="34" t="inlineStr">
        <is>
          <t>2025-12-18</t>
        </is>
      </c>
      <c r="H204" t="n">
        <v>435</v>
      </c>
      <c r="J204" t="n">
        <v>25815.55</v>
      </c>
    </row>
    <row r="205">
      <c r="G205" s="34" t="inlineStr">
        <is>
          <t>2025-12-17</t>
        </is>
      </c>
      <c r="H205" t="n">
        <v>435</v>
      </c>
      <c r="J205" t="n">
        <v>25818.55</v>
      </c>
    </row>
    <row r="206">
      <c r="G206" s="34" t="inlineStr">
        <is>
          <t>2025-12-16</t>
        </is>
      </c>
      <c r="H206" t="n">
        <v>435</v>
      </c>
      <c r="J206" t="n">
        <v>25860.1</v>
      </c>
    </row>
    <row r="207">
      <c r="G207" s="34" t="inlineStr">
        <is>
          <t>2025-12-15</t>
        </is>
      </c>
      <c r="H207" t="n">
        <v>435</v>
      </c>
      <c r="J207" t="n">
        <v>26027.3</v>
      </c>
    </row>
    <row r="208">
      <c r="G208" s="34" t="inlineStr">
        <is>
          <t>2025-12-12</t>
        </is>
      </c>
      <c r="H208" t="n">
        <v>435</v>
      </c>
      <c r="J208" t="n">
        <v>26046.95</v>
      </c>
    </row>
    <row r="209">
      <c r="G209" s="34" t="inlineStr">
        <is>
          <t>2025-12-11</t>
        </is>
      </c>
      <c r="H209" t="n">
        <v>435</v>
      </c>
      <c r="J209" t="n">
        <v>25898.55</v>
      </c>
    </row>
    <row r="210">
      <c r="G210" s="34" t="inlineStr">
        <is>
          <t>2025-12-10</t>
        </is>
      </c>
      <c r="H210" t="n">
        <v>435</v>
      </c>
      <c r="J210" t="n">
        <v>25758</v>
      </c>
    </row>
    <row r="211">
      <c r="G211" s="34" t="inlineStr">
        <is>
          <t>2025-12-09</t>
        </is>
      </c>
      <c r="H211" t="n">
        <v>435</v>
      </c>
      <c r="J211" t="n">
        <v>25839.65</v>
      </c>
    </row>
    <row r="212">
      <c r="G212" s="34" t="inlineStr">
        <is>
          <t>2025-12-08</t>
        </is>
      </c>
      <c r="H212" t="n">
        <v>435</v>
      </c>
      <c r="J212" t="n">
        <v>25960.55</v>
      </c>
    </row>
    <row r="213">
      <c r="G213" s="34" t="inlineStr">
        <is>
          <t>2025-12-05</t>
        </is>
      </c>
      <c r="H213" t="n">
        <v>435</v>
      </c>
      <c r="J213" t="n">
        <v>26186.45</v>
      </c>
    </row>
    <row r="214">
      <c r="G214" s="34" t="inlineStr">
        <is>
          <t>2025-12-04</t>
        </is>
      </c>
      <c r="H214" t="n">
        <v>435</v>
      </c>
      <c r="J214" t="n">
        <v>26033.75</v>
      </c>
    </row>
    <row r="215">
      <c r="G215" s="34" t="inlineStr">
        <is>
          <t>2025-12-03</t>
        </is>
      </c>
      <c r="H215" t="n">
        <v>435</v>
      </c>
      <c r="J215" t="n">
        <v>25986</v>
      </c>
    </row>
    <row r="216">
      <c r="G216" s="34" t="inlineStr">
        <is>
          <t>2025-12-02</t>
        </is>
      </c>
      <c r="H216" t="n">
        <v>435</v>
      </c>
      <c r="J216" t="n">
        <v>26032.2</v>
      </c>
    </row>
    <row r="217">
      <c r="G217" s="34" t="inlineStr">
        <is>
          <t>2025-12-01</t>
        </is>
      </c>
      <c r="H217" t="n">
        <v>435</v>
      </c>
      <c r="J217" t="n">
        <v>26175.75</v>
      </c>
    </row>
    <row r="218">
      <c r="G218" s="34" t="inlineStr">
        <is>
          <t>2025-11-28</t>
        </is>
      </c>
      <c r="H218" t="n">
        <v>435</v>
      </c>
      <c r="J218" t="n">
        <v>26202.95</v>
      </c>
    </row>
    <row r="219">
      <c r="G219" s="34" t="inlineStr">
        <is>
          <t>2025-11-27</t>
        </is>
      </c>
      <c r="H219" t="n">
        <v>435</v>
      </c>
      <c r="J219" t="n">
        <v>26215.55</v>
      </c>
    </row>
    <row r="220">
      <c r="G220" s="34" t="inlineStr">
        <is>
          <t>2025-11-26</t>
        </is>
      </c>
      <c r="H220" t="n">
        <v>435</v>
      </c>
      <c r="J220" t="n">
        <v>26205.3</v>
      </c>
    </row>
    <row r="221">
      <c r="G221" s="34" t="inlineStr">
        <is>
          <t>2025-11-25</t>
        </is>
      </c>
      <c r="H221" t="n">
        <v>435</v>
      </c>
      <c r="J221" t="n">
        <v>25884.8</v>
      </c>
    </row>
    <row r="222">
      <c r="G222" s="34" t="inlineStr">
        <is>
          <t>2025-11-24</t>
        </is>
      </c>
      <c r="H222" t="n">
        <v>435</v>
      </c>
      <c r="J222" t="n">
        <v>25959.5</v>
      </c>
    </row>
    <row r="223">
      <c r="G223" s="34" t="inlineStr">
        <is>
          <t>2025-11-21</t>
        </is>
      </c>
      <c r="H223" t="n">
        <v>435</v>
      </c>
      <c r="J223" t="n">
        <v>26068.15</v>
      </c>
    </row>
    <row r="224">
      <c r="G224" s="34" t="inlineStr">
        <is>
          <t>2025-11-20</t>
        </is>
      </c>
      <c r="H224" t="n">
        <v>435</v>
      </c>
      <c r="J224" t="n">
        <v>26192.15</v>
      </c>
    </row>
    <row r="225">
      <c r="G225" s="34" t="inlineStr">
        <is>
          <t>2025-11-19</t>
        </is>
      </c>
      <c r="H225" t="n">
        <v>435</v>
      </c>
      <c r="J225" t="n">
        <v>26052.65</v>
      </c>
    </row>
    <row r="226">
      <c r="G226" s="34" t="inlineStr">
        <is>
          <t>2025-11-18</t>
        </is>
      </c>
      <c r="H226" t="n">
        <v>435</v>
      </c>
      <c r="J226" t="n">
        <v>25910.05</v>
      </c>
    </row>
    <row r="227">
      <c r="G227" s="34" t="inlineStr">
        <is>
          <t>2025-11-17</t>
        </is>
      </c>
      <c r="H227" t="n">
        <v>435</v>
      </c>
      <c r="J227" t="n">
        <v>26013.45</v>
      </c>
    </row>
    <row r="228">
      <c r="G228" s="34" t="inlineStr">
        <is>
          <t>2025-11-14</t>
        </is>
      </c>
      <c r="H228" t="n">
        <v>435</v>
      </c>
      <c r="J228" t="n">
        <v>25910.05</v>
      </c>
    </row>
    <row r="229">
      <c r="G229" s="34" t="inlineStr">
        <is>
          <t>2025-11-13</t>
        </is>
      </c>
      <c r="H229" t="n">
        <v>435</v>
      </c>
      <c r="J229" t="n">
        <v>25879.15</v>
      </c>
    </row>
    <row r="230">
      <c r="G230" s="34" t="inlineStr">
        <is>
          <t>2025-11-12</t>
        </is>
      </c>
      <c r="H230" t="n">
        <v>435</v>
      </c>
      <c r="J230" t="n">
        <v>25875.8</v>
      </c>
    </row>
    <row r="231">
      <c r="G231" s="34" t="inlineStr">
        <is>
          <t>2025-11-11</t>
        </is>
      </c>
      <c r="H231" t="n">
        <v>435</v>
      </c>
      <c r="J231" t="n">
        <v>25694.95</v>
      </c>
    </row>
    <row r="232">
      <c r="G232" s="34" t="inlineStr">
        <is>
          <t>2025-11-10</t>
        </is>
      </c>
      <c r="H232" t="n">
        <v>435</v>
      </c>
      <c r="J232" t="n">
        <v>25574.35</v>
      </c>
    </row>
    <row r="233">
      <c r="G233" s="34" t="inlineStr">
        <is>
          <t>2025-11-07</t>
        </is>
      </c>
      <c r="H233" t="n">
        <v>435</v>
      </c>
      <c r="J233" t="n">
        <v>25492.3</v>
      </c>
    </row>
    <row r="234">
      <c r="G234" s="34" t="inlineStr">
        <is>
          <t>2025-11-06</t>
        </is>
      </c>
      <c r="H234" t="n">
        <v>435</v>
      </c>
      <c r="J234" t="n">
        <v>25509.7</v>
      </c>
    </row>
    <row r="235">
      <c r="G235" s="34" t="inlineStr">
        <is>
          <t>2025-11-04</t>
        </is>
      </c>
      <c r="H235" t="n">
        <v>435</v>
      </c>
      <c r="J235" t="n">
        <v>25597.65</v>
      </c>
    </row>
    <row r="236">
      <c r="G236" s="34" t="inlineStr">
        <is>
          <t>2025-11-03</t>
        </is>
      </c>
      <c r="H236" t="n">
        <v>435</v>
      </c>
      <c r="J236" t="n">
        <v>25763.35</v>
      </c>
    </row>
    <row r="237">
      <c r="G237" s="34" t="inlineStr">
        <is>
          <t>2025-10-31</t>
        </is>
      </c>
      <c r="H237" t="n">
        <v>435</v>
      </c>
      <c r="J237" t="n">
        <v>25722.1</v>
      </c>
    </row>
    <row r="238">
      <c r="G238" s="34" t="inlineStr">
        <is>
          <t>2025-10-30</t>
        </is>
      </c>
      <c r="H238" t="n">
        <v>435</v>
      </c>
      <c r="J238" t="n">
        <v>25877.85</v>
      </c>
    </row>
    <row r="239">
      <c r="G239" s="34" t="inlineStr">
        <is>
          <t>2025-10-29</t>
        </is>
      </c>
      <c r="H239" t="n">
        <v>435</v>
      </c>
      <c r="J239" t="n">
        <v>26053.9</v>
      </c>
    </row>
    <row r="240">
      <c r="G240" s="34" t="inlineStr">
        <is>
          <t>2025-10-28</t>
        </is>
      </c>
      <c r="H240" t="n">
        <v>435</v>
      </c>
      <c r="J240" t="n">
        <v>25936.2</v>
      </c>
    </row>
    <row r="241">
      <c r="G241" s="34" t="inlineStr">
        <is>
          <t>2025-10-27</t>
        </is>
      </c>
      <c r="H241" t="n">
        <v>435</v>
      </c>
      <c r="J241" t="n">
        <v>25966.05</v>
      </c>
    </row>
    <row r="242">
      <c r="G242" s="34" t="inlineStr">
        <is>
          <t>2025-10-24</t>
        </is>
      </c>
      <c r="H242" t="n">
        <v>435</v>
      </c>
      <c r="J242" t="n">
        <v>25795.15</v>
      </c>
    </row>
    <row r="243">
      <c r="G243" s="34" t="inlineStr">
        <is>
          <t>2025-10-23</t>
        </is>
      </c>
      <c r="H243" t="n">
        <v>435</v>
      </c>
      <c r="J243" t="n">
        <v>25891.4</v>
      </c>
    </row>
    <row r="244">
      <c r="G244" s="34" t="inlineStr">
        <is>
          <t>2025-10-21</t>
        </is>
      </c>
      <c r="H244" t="n">
        <v>435</v>
      </c>
      <c r="J244" t="n">
        <v>25868.6</v>
      </c>
    </row>
    <row r="245">
      <c r="G245" s="34" t="inlineStr">
        <is>
          <t>2025-10-20</t>
        </is>
      </c>
      <c r="H245" t="n">
        <v>435</v>
      </c>
      <c r="J245" t="n">
        <v>25843.15</v>
      </c>
    </row>
    <row r="246">
      <c r="G246" s="34" t="inlineStr">
        <is>
          <t>2025-10-17</t>
        </is>
      </c>
      <c r="H246" t="n">
        <v>435</v>
      </c>
      <c r="J246" t="n">
        <v>25709.85</v>
      </c>
    </row>
    <row r="247">
      <c r="G247" s="34" t="inlineStr">
        <is>
          <t>2025-10-16</t>
        </is>
      </c>
      <c r="H247" t="n">
        <v>435</v>
      </c>
      <c r="J247" t="n">
        <v>25585.3</v>
      </c>
    </row>
    <row r="248">
      <c r="G248" s="34" t="inlineStr">
        <is>
          <t>2025-10-15</t>
        </is>
      </c>
      <c r="H248" t="n">
        <v>435</v>
      </c>
      <c r="J248" t="n">
        <v>25323.55</v>
      </c>
    </row>
    <row r="249">
      <c r="G249" s="161" t="inlineStr">
        <is>
          <t>2025-10-14</t>
        </is>
      </c>
      <c r="H249" t="n">
        <v>435</v>
      </c>
      <c r="J249" t="n">
        <v>25145.5</v>
      </c>
    </row>
    <row r="250">
      <c r="G250" s="161" t="inlineStr">
        <is>
          <t>2025-10-13</t>
        </is>
      </c>
      <c r="H250" t="n">
        <v>435</v>
      </c>
      <c r="J250" t="n">
        <v>25227.35</v>
      </c>
    </row>
    <row r="251">
      <c r="G251" s="161" t="inlineStr">
        <is>
          <t>2025-10-10</t>
        </is>
      </c>
      <c r="H251" t="n">
        <v>435</v>
      </c>
      <c r="J251" t="n">
        <v>25285.35</v>
      </c>
    </row>
    <row r="252">
      <c r="G252" s="161" t="inlineStr">
        <is>
          <t>2025-10-09</t>
        </is>
      </c>
      <c r="H252" t="n">
        <v>435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n"/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n"/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n"/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n"/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n"/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n"/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n"/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n"/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>
        <f>'Raw FS'!L65</f>
        <v/>
      </c>
      <c r="C20" s="201" t="n"/>
      <c r="D20" s="202">
        <f>'Raw FS'!M65</f>
        <v/>
      </c>
      <c r="E20" s="202">
        <f>'Raw FS'!N65</f>
        <v/>
      </c>
      <c r="F20" s="202">
        <f>D20*E20</f>
        <v/>
      </c>
      <c r="G20" s="202">
        <f>'Raw FS'!AS65</f>
        <v/>
      </c>
      <c r="H20" s="202">
        <f>'Raw FS'!AT65</f>
        <v/>
      </c>
      <c r="I20" s="201">
        <f>IF(OR(ISBLANK(K20), K20&lt;=0), "N/A", IFERROR($H20/K20, "N/A"))</f>
        <v/>
      </c>
      <c r="J20" s="201">
        <f>IF(OR(ISBLANK(L20), L20&lt;=0), "N/A", IFERROR($H20/L20, "N/A"))</f>
        <v/>
      </c>
      <c r="K20" s="202">
        <f>'Raw FS'!AU65</f>
        <v/>
      </c>
      <c r="L20" s="202">
        <f>'Raw FS'!AV65</f>
        <v/>
      </c>
      <c r="M20" s="202">
        <f>'Raw FS'!AW65</f>
        <v/>
      </c>
      <c r="N20" s="150" t="n"/>
      <c r="O20" s="203">
        <f>IF(OR(ISBLANK(K20), K20&lt;=0), "N/A", IFERROR($H20/K20, "N/A"))</f>
        <v/>
      </c>
      <c r="P20" s="203">
        <f>IF(OR(ISBLANK(L20), L20&lt;=0), "N/A", IFERROR($H20/L20, "N/A"))</f>
        <v/>
      </c>
      <c r="Q20" s="203">
        <f>IF(OR(ISBLANK(M20), M20&lt;=0), "N/A", IFERROR(F20/M20, "N/A"))</f>
        <v/>
      </c>
    </row>
    <row r="21">
      <c r="B21" s="201">
        <f>'Raw FS'!L66</f>
        <v/>
      </c>
      <c r="C21" s="201" t="n"/>
      <c r="D21" s="202">
        <f>'Raw FS'!M66</f>
        <v/>
      </c>
      <c r="E21" s="202">
        <f>'Raw FS'!N66</f>
        <v/>
      </c>
      <c r="F21" s="202">
        <f>D21*E21</f>
        <v/>
      </c>
      <c r="G21" s="202">
        <f>'Raw FS'!AS66</f>
        <v/>
      </c>
      <c r="H21" s="202">
        <f>'Raw FS'!AT66</f>
        <v/>
      </c>
      <c r="I21" s="201">
        <f>IF(OR(ISBLANK(K21), K21&lt;=0), "N/A", IFERROR($H21/K21, "N/A"))</f>
        <v/>
      </c>
      <c r="J21" s="201">
        <f>IF(OR(ISBLANK(L21), L21&lt;=0), "N/A", IFERROR($H21/L21, "N/A"))</f>
        <v/>
      </c>
      <c r="K21" s="202">
        <f>'Raw FS'!AU66</f>
        <v/>
      </c>
      <c r="L21" s="202">
        <f>'Raw FS'!AV66</f>
        <v/>
      </c>
      <c r="M21" s="202">
        <f>'Raw FS'!AW66</f>
        <v/>
      </c>
      <c r="N21" s="150" t="n"/>
      <c r="O21" s="203">
        <f>IF(OR(ISBLANK(K21), K21&lt;=0), "N/A", IFERROR($H21/K21, "N/A"))</f>
        <v/>
      </c>
      <c r="P21" s="203">
        <f>IF(OR(ISBLANK(L21), L21&lt;=0), "N/A", IFERROR($H21/L21, "N/A"))</f>
        <v/>
      </c>
      <c r="Q21" s="203">
        <f>IF(OR(ISBLANK(M21), M21&lt;=0), "N/A", IFERROR(F21/M21, "N/A"))</f>
        <v/>
      </c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MAX(I12:I21)</f>
        <v/>
      </c>
      <c r="J23" s="204">
        <f>MAX(J12:J21)</f>
        <v/>
      </c>
      <c r="K23" s="79" t="n"/>
      <c r="L23" s="79" t="n"/>
      <c r="M23" s="79" t="n"/>
      <c r="N23" s="79" t="n"/>
      <c r="O23" s="205">
        <f>MAX(O12:O21)</f>
        <v/>
      </c>
      <c r="P23" s="205">
        <f>MAX(P12:P21)</f>
        <v/>
      </c>
      <c r="Q23" s="205">
        <f>MAX(Q12:Q21)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_xlfn.QUARTILE.INC(I12:I21,1)</f>
        <v/>
      </c>
      <c r="J24" s="204">
        <f>_xlfn.QUARTILE.INC(J12:J21,1)</f>
        <v/>
      </c>
      <c r="K24" s="79" t="n"/>
      <c r="L24" s="79" t="n"/>
      <c r="M24" s="79" t="n"/>
      <c r="N24" s="79" t="n"/>
      <c r="O24" s="206">
        <f>_xlfn.QUARTILE.INC(O12:O21,1)</f>
        <v/>
      </c>
      <c r="P24" s="206">
        <f>_xlfn.QUARTILE.INC(P12:P21,1)</f>
        <v/>
      </c>
      <c r="Q24" s="206">
        <f>_xlfn.QUARTILE.INC(Q12:Q21,1)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MEDIAN(I12:I21)</f>
        <v/>
      </c>
      <c r="J25" s="152">
        <f>MEDIAN(J12:J21)</f>
        <v/>
      </c>
      <c r="K25" s="152" t="n"/>
      <c r="L25" s="152" t="n"/>
      <c r="M25" s="152" t="n"/>
      <c r="N25" s="152" t="n"/>
      <c r="O25" s="153">
        <f>MEDIAN(O12:O21)</f>
        <v/>
      </c>
      <c r="P25" s="153">
        <f>MEDIAN(P12:P21)</f>
        <v/>
      </c>
      <c r="Q25" s="153">
        <f>MEDIAN(Q12:Q21)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AVERAGE(I12:I21)</f>
        <v/>
      </c>
      <c r="J26" s="152">
        <f>AVERAGE(J12:J21)</f>
        <v/>
      </c>
      <c r="K26" s="152" t="n"/>
      <c r="L26" s="152" t="n"/>
      <c r="M26" s="152" t="n"/>
      <c r="N26" s="152" t="n"/>
      <c r="O26" s="153">
        <f>AVERAGE(O12:O21)</f>
        <v/>
      </c>
      <c r="P26" s="153">
        <f>AVERAGE(P12:P21)</f>
        <v/>
      </c>
      <c r="Q26" s="153">
        <f>AVERAGE(Q12:Q21)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_xlfn.QUARTILE.INC(I12:I21,3)</f>
        <v/>
      </c>
      <c r="J27" s="204">
        <f>_xlfn.QUARTILE.INC(J12:J21,3)</f>
        <v/>
      </c>
      <c r="K27" s="79" t="n"/>
      <c r="L27" s="79" t="n"/>
      <c r="M27" s="79" t="n"/>
      <c r="N27" s="79" t="n"/>
      <c r="O27" s="206">
        <f>_xlfn.QUARTILE.INC(O12:O21,3)</f>
        <v/>
      </c>
      <c r="P27" s="206">
        <f>_xlfn.QUARTILE.INC(P12:P21,3)</f>
        <v/>
      </c>
      <c r="Q27" s="206">
        <f>_xlfn.QUARTILE.INC(Q12:Q21,3)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MIN(I12:I21)</f>
        <v/>
      </c>
      <c r="J28" s="204">
        <f>MIN(J12:J21)</f>
        <v/>
      </c>
      <c r="K28" s="79" t="n"/>
      <c r="L28" s="79" t="n"/>
      <c r="M28" s="79" t="n"/>
      <c r="N28" s="79" t="n"/>
      <c r="O28" s="205">
        <f>MIN(O12:O21)</f>
        <v/>
      </c>
      <c r="P28" s="205">
        <f>MIN(P12:P21)</f>
        <v/>
      </c>
      <c r="Q28" s="205">
        <f>MIN(Q12:Q21)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TATA MOTORS LTD is a leading company operating in the Diversified sector in India.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/>
    </row>
    <row r="38"/>
    <row r="39">
      <c r="A39" t="inlineStr">
        <is>
          <t>•</t>
        </is>
      </c>
      <c r="B39" s="184" t="inlineStr"/>
    </row>
    <row r="40"/>
    <row r="41">
      <c r="A41" t="inlineStr">
        <is>
          <t>•</t>
        </is>
      </c>
      <c r="B41" s="184" t="inlineStr"/>
    </row>
    <row r="42"/>
    <row r="43">
      <c r="A43" t="inlineStr">
        <is>
          <t>•</t>
        </is>
      </c>
      <c r="B43" s="184" t="inlineStr"/>
    </row>
    <row r="44"/>
    <row r="45">
      <c r="A45" t="inlineStr">
        <is>
          <t>•</t>
        </is>
      </c>
      <c r="B45" s="184" t="inlineStr"/>
    </row>
    <row r="46"/>
    <row r="47">
      <c r="A47" t="inlineStr">
        <is>
          <t>•</t>
        </is>
      </c>
      <c r="B47" s="184" t="inlineStr"/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TATA MOTORS LTD is a leading company operating in the Diversified sector in India.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/>
    </row>
    <row r="37"/>
    <row r="38" ht="14.4" customHeight="1" s="176">
      <c r="A38" t="inlineStr">
        <is>
          <t>•</t>
        </is>
      </c>
      <c r="B38" s="184" t="inlineStr"/>
    </row>
    <row r="39"/>
    <row r="40" ht="20.4" customHeight="1" s="176">
      <c r="A40" t="inlineStr">
        <is>
          <t>•</t>
        </is>
      </c>
      <c r="B40" s="184" t="inlineStr"/>
    </row>
    <row r="41"/>
    <row r="42">
      <c r="A42" t="inlineStr">
        <is>
          <t>•</t>
        </is>
      </c>
      <c r="B42" s="184" t="inlineStr"/>
    </row>
    <row r="43"/>
    <row r="44">
      <c r="A44" t="inlineStr">
        <is>
          <t>•</t>
        </is>
      </c>
      <c r="B44" s="184" t="inlineStr"/>
    </row>
    <row r="45"/>
    <row r="46">
      <c r="A46" t="inlineStr">
        <is>
          <t>•</t>
        </is>
      </c>
      <c r="B46" s="184" t="inlineStr"/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inlineStr">
        <is>
          <t>Mar 2025</t>
        </is>
      </c>
      <c r="F3" s="40" t="inlineStr">
        <is>
          <t>Mar 2026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2025  10m</t>
        </is>
      </c>
      <c r="T3" s="35" t="inlineStr">
        <is>
          <t>Mar 2026</t>
        </is>
      </c>
      <c r="U3" s="35" t="inlineStr">
        <is>
          <t>Mar 2020</t>
        </is>
      </c>
      <c r="V3" s="35" t="inlineStr">
        <is>
          <t>Mar 2021</t>
        </is>
      </c>
      <c r="W3" s="35" t="inlineStr">
        <is>
          <t>Mar 2022</t>
        </is>
      </c>
      <c r="X3" s="35" t="inlineStr">
        <is>
          <t>Mar 2023</t>
        </is>
      </c>
      <c r="Y3" s="35" t="inlineStr">
        <is>
          <t>Mar 2024</t>
        </is>
      </c>
      <c r="Z3" s="35" t="inlineStr">
        <is>
          <t>Mar 2025</t>
        </is>
      </c>
      <c r="AA3" s="35" t="inlineStr">
        <is>
          <t>Mar 2026</t>
        </is>
      </c>
      <c r="AB3" s="35" t="inlineStr">
        <is>
          <t>Trailing</t>
        </is>
      </c>
      <c r="AC3" s="35" t="inlineStr">
        <is>
          <t>Best Case</t>
        </is>
      </c>
      <c r="AD3" s="35" t="inlineStr">
        <is>
          <t>Worst Case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58217</v>
      </c>
      <c r="T4" s="73" t="n">
        <v>2026</v>
      </c>
      <c r="U4" s="73" t="n">
        <v>49387.7</v>
      </c>
      <c r="V4" s="73" t="n">
        <v>49257.45</v>
      </c>
      <c r="W4" s="73" t="n">
        <v>60644.54</v>
      </c>
      <c r="X4" s="73" t="n">
        <v>70919.03</v>
      </c>
      <c r="Y4" s="73" t="n">
        <v>67931.94</v>
      </c>
      <c r="Z4" s="73" t="n">
        <v>75323.34</v>
      </c>
      <c r="AA4" s="73" t="n">
        <v>2026</v>
      </c>
      <c r="AB4" s="73" t="n">
        <v>76487.98</v>
      </c>
      <c r="AC4" s="73" t="n">
        <v>82580.30669590594</v>
      </c>
      <c r="AD4" s="73" t="n">
        <v>77779.28921351547</v>
      </c>
      <c r="AE4" s="73" t="n">
        <v>87197</v>
      </c>
    </row>
    <row r="5">
      <c r="B5" s="35" t="inlineStr">
        <is>
          <t>Equity Capital</t>
        </is>
      </c>
      <c r="C5" t="n">
        <v>0</v>
      </c>
      <c r="D5" s="47" t="n">
        <v>0</v>
      </c>
      <c r="E5" s="47" t="n">
        <v>2025</v>
      </c>
      <c r="F5" s="47" t="n">
        <v>2026</v>
      </c>
      <c r="G5" s="47" t="n">
        <v>1225.86</v>
      </c>
      <c r="H5" s="47" t="n">
        <v>1229.22</v>
      </c>
      <c r="I5" s="47" t="n">
        <v>1230.88</v>
      </c>
      <c r="J5" s="47" t="n">
        <v>1232.33</v>
      </c>
      <c r="K5" s="47" t="n">
        <v>1242.8</v>
      </c>
      <c r="L5" s="47" t="n">
        <v>1248.47</v>
      </c>
      <c r="M5" s="47" t="n">
        <v>2025</v>
      </c>
      <c r="N5" s="47" t="n">
        <v>2026</v>
      </c>
      <c r="R5" t="inlineStr">
        <is>
          <t>Expenses +</t>
        </is>
      </c>
      <c r="S5" s="73" t="n">
        <v>27298.09</v>
      </c>
      <c r="T5" s="73" t="n">
        <v>2026</v>
      </c>
      <c r="U5" s="73" t="n">
        <v>30044.16</v>
      </c>
      <c r="V5" s="73" t="n">
        <v>32192.67</v>
      </c>
      <c r="W5" s="73" t="n">
        <v>40021.39</v>
      </c>
      <c r="X5" s="73" t="n">
        <v>45214.77</v>
      </c>
      <c r="Y5" s="73" t="n">
        <v>42744.41</v>
      </c>
      <c r="Z5" s="73" t="n">
        <v>49491.76</v>
      </c>
      <c r="AA5" s="73" t="n">
        <v>2026</v>
      </c>
      <c r="AB5" s="73" t="n">
        <v>50805.68</v>
      </c>
      <c r="AC5" s="73" t="n">
        <v>53460.89175648765</v>
      </c>
      <c r="AD5" s="73" t="n">
        <v>51663.40748453964</v>
      </c>
      <c r="AE5" s="73" t="n">
        <v>29802.19</v>
      </c>
    </row>
    <row r="6">
      <c r="B6" t="inlineStr">
        <is>
          <t>Reserves</t>
        </is>
      </c>
      <c r="C6" s="73" t="n">
        <v>0</v>
      </c>
      <c r="D6" s="73" t="n">
        <v>0</v>
      </c>
      <c r="E6" s="73" t="n">
        <v>2025</v>
      </c>
      <c r="F6" s="73" t="n">
        <v>2026</v>
      </c>
      <c r="G6" s="73" t="n">
        <v>57915.01</v>
      </c>
      <c r="H6" s="73" t="n">
        <v>64044.04</v>
      </c>
      <c r="I6" s="73" t="n">
        <v>59116.46</v>
      </c>
      <c r="J6" s="73" t="n">
        <v>61223.24</v>
      </c>
      <c r="K6" s="73" t="n">
        <v>67912.46000000001</v>
      </c>
      <c r="L6" s="73" t="n">
        <v>73258.53</v>
      </c>
      <c r="M6" s="73" t="n">
        <v>2025</v>
      </c>
      <c r="N6" s="73" t="n">
        <v>2026</v>
      </c>
      <c r="O6" s="73" t="n"/>
      <c r="R6" t="inlineStr">
        <is>
          <t>Operating Profit</t>
        </is>
      </c>
      <c r="S6" s="73" t="n">
        <v>30918.91</v>
      </c>
      <c r="T6" s="73" t="n">
        <v>2026</v>
      </c>
      <c r="U6" s="73" t="n">
        <v>19343.54</v>
      </c>
      <c r="V6" s="73" t="n">
        <v>17064.78</v>
      </c>
      <c r="W6" s="73" t="n">
        <v>20623.15</v>
      </c>
      <c r="X6" s="73" t="n">
        <v>25704.25999999999</v>
      </c>
      <c r="Y6" s="73" t="n">
        <v>25187.53</v>
      </c>
      <c r="Z6" s="73" t="n">
        <v>25831.57999999999</v>
      </c>
      <c r="AA6" s="73" t="n">
        <v>2026</v>
      </c>
      <c r="AB6" s="73" t="n">
        <v>25682.3</v>
      </c>
      <c r="AC6" s="73" t="n">
        <v>29119.41493941829</v>
      </c>
      <c r="AD6" s="73" t="n">
        <v>26115.88172897583</v>
      </c>
      <c r="AE6" s="73" t="n">
        <v>57394.81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2025</v>
      </c>
      <c r="F7" s="73" t="n">
        <v>2026</v>
      </c>
      <c r="G7" s="73" t="n">
        <v>13.44</v>
      </c>
      <c r="H7" s="73" t="n">
        <v>277.45</v>
      </c>
      <c r="I7" s="73" t="n">
        <v>270.83</v>
      </c>
      <c r="J7" s="73" t="n">
        <v>249.44</v>
      </c>
      <c r="K7" s="73" t="n">
        <v>306.04</v>
      </c>
      <c r="L7" s="73" t="n">
        <v>303.43</v>
      </c>
      <c r="M7" s="73" t="n">
        <v>2025</v>
      </c>
      <c r="N7" s="73" t="n">
        <v>2026</v>
      </c>
      <c r="O7" s="73" t="n"/>
      <c r="R7" t="inlineStr">
        <is>
          <t>OPM %</t>
        </is>
      </c>
      <c r="S7" s="75" t="n">
        <v>0.5310976175343972</v>
      </c>
      <c r="T7" s="75" t="n">
        <v>2026</v>
      </c>
      <c r="U7" s="75" t="n">
        <v>0.3916671559922815</v>
      </c>
      <c r="V7" s="75" t="n">
        <v>0.3464405891900615</v>
      </c>
      <c r="W7" s="75" t="n">
        <v>0.3400660636555245</v>
      </c>
      <c r="X7" s="75" t="n">
        <v>0.3624451716274179</v>
      </c>
      <c r="Y7" s="75" t="n">
        <v>0.3707759560524843</v>
      </c>
      <c r="Z7" s="75" t="n">
        <v>0.3429425726474689</v>
      </c>
      <c r="AA7" s="75" t="n">
        <v>2026</v>
      </c>
      <c r="AB7" s="75" t="n">
        <v>0.3357690973143754</v>
      </c>
      <c r="AC7" s="75" t="n">
        <v>0</v>
      </c>
      <c r="AD7" s="75" t="n">
        <v>0</v>
      </c>
      <c r="AE7" s="75" t="n">
        <v>0.6582200075690677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685</v>
      </c>
      <c r="T8" s="73" t="n">
        <v>2026</v>
      </c>
      <c r="U8" s="73" t="n">
        <v>2417.32</v>
      </c>
      <c r="V8" s="73" t="n">
        <v>2576.95</v>
      </c>
      <c r="W8" s="73" t="n">
        <v>1909.72</v>
      </c>
      <c r="X8" s="73" t="n">
        <v>2097.64</v>
      </c>
      <c r="Y8" s="73" t="n">
        <v>3330.45</v>
      </c>
      <c r="Z8" s="73" t="n">
        <v>17802.75</v>
      </c>
      <c r="AA8" s="73" t="n">
        <v>2026</v>
      </c>
      <c r="AB8" s="73" t="n">
        <v>2907.71</v>
      </c>
      <c r="AC8" s="73" t="n">
        <v>0</v>
      </c>
      <c r="AD8" s="73" t="n">
        <v>0</v>
      </c>
      <c r="AE8" s="73" t="n">
        <v>-2533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1079</v>
      </c>
      <c r="T9" t="n">
        <v>2026</v>
      </c>
      <c r="U9" t="n">
        <v>81.38</v>
      </c>
      <c r="V9" t="n">
        <v>57.97</v>
      </c>
      <c r="W9" t="n">
        <v>59.99</v>
      </c>
      <c r="X9" t="n">
        <v>77.77</v>
      </c>
      <c r="Y9" t="n">
        <v>39.11</v>
      </c>
      <c r="Z9" t="n">
        <v>45.06</v>
      </c>
      <c r="AA9" t="n">
        <v>2026</v>
      </c>
      <c r="AB9" t="n">
        <v>108.48</v>
      </c>
      <c r="AC9" t="n">
        <v>108.48</v>
      </c>
      <c r="AD9" t="n">
        <v>108.48</v>
      </c>
      <c r="AE9" t="n">
        <v>755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73" t="n"/>
      <c r="R10" t="inlineStr">
        <is>
          <t>Depreciation</t>
        </is>
      </c>
      <c r="S10" s="73" t="n">
        <v>1690</v>
      </c>
      <c r="T10" s="73" t="n">
        <v>2026</v>
      </c>
      <c r="U10" s="73" t="n">
        <v>1644.91</v>
      </c>
      <c r="V10" s="73" t="n">
        <v>1645.59</v>
      </c>
      <c r="W10" s="73" t="n">
        <v>1732.41</v>
      </c>
      <c r="X10" s="73" t="n">
        <v>1809.01</v>
      </c>
      <c r="Y10" s="73" t="n">
        <v>1518.05</v>
      </c>
      <c r="Z10" s="73" t="n">
        <v>1646.32</v>
      </c>
      <c r="AA10" s="73" t="n">
        <v>2026</v>
      </c>
      <c r="AB10" s="73" t="n">
        <v>1715.3</v>
      </c>
      <c r="AC10" s="73" t="n">
        <v>1715.3</v>
      </c>
      <c r="AD10" s="73" t="n">
        <v>1715.3</v>
      </c>
      <c r="AE10" s="73" t="n">
        <v>1973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4088</v>
      </c>
      <c r="T11" s="73" t="n">
        <v>2026</v>
      </c>
      <c r="U11" s="73" t="n">
        <v>20034.57</v>
      </c>
      <c r="V11" s="73" t="n">
        <v>17938.17</v>
      </c>
      <c r="W11" s="73" t="n">
        <v>20740.47</v>
      </c>
      <c r="X11" s="73" t="n">
        <v>25915.12</v>
      </c>
      <c r="Y11" s="73" t="n">
        <v>26960.82</v>
      </c>
      <c r="Z11" s="73" t="n">
        <v>41942.95</v>
      </c>
      <c r="AA11" s="73" t="n">
        <v>2026</v>
      </c>
      <c r="AB11" s="73" t="n">
        <v>26766.23</v>
      </c>
      <c r="AC11" s="73" t="n">
        <v>27295.63493941829</v>
      </c>
      <c r="AD11" s="73" t="n">
        <v>24292.10172897583</v>
      </c>
      <c r="AE11" s="73" t="n">
        <v>5957</v>
      </c>
    </row>
    <row r="12">
      <c r="B12" s="73" t="inlineStr">
        <is>
          <t>Other Liabilities -</t>
        </is>
      </c>
      <c r="C12" s="73" t="n">
        <v>0</v>
      </c>
      <c r="D12" s="73" t="n">
        <v>0</v>
      </c>
      <c r="E12" s="73" t="n">
        <v>2025</v>
      </c>
      <c r="F12" s="73" t="n">
        <v>2026</v>
      </c>
      <c r="G12" s="73" t="n">
        <v>12584.73</v>
      </c>
      <c r="H12" s="73" t="n">
        <v>11760.04</v>
      </c>
      <c r="I12" s="73" t="n">
        <v>13142.59</v>
      </c>
      <c r="J12" s="73" t="n">
        <v>14491.01</v>
      </c>
      <c r="K12" s="73" t="n">
        <v>16369.66</v>
      </c>
      <c r="L12" s="73" t="n">
        <v>16943.54</v>
      </c>
      <c r="M12" s="73" t="n">
        <v>2025</v>
      </c>
      <c r="N12" s="73" t="n">
        <v>2026</v>
      </c>
      <c r="R12" t="inlineStr">
        <is>
          <t>Tax %</t>
        </is>
      </c>
      <c r="S12" s="75" t="n">
        <v>4088</v>
      </c>
      <c r="T12" s="75" t="n">
        <v>2026</v>
      </c>
      <c r="U12" s="75" t="n">
        <v>20034.57</v>
      </c>
      <c r="V12" s="75" t="n">
        <v>17938.17</v>
      </c>
      <c r="W12" s="75" t="n">
        <v>20740.47</v>
      </c>
      <c r="X12" s="75" t="n">
        <v>25915.12</v>
      </c>
      <c r="Y12" s="75" t="n">
        <v>26960.82</v>
      </c>
      <c r="Z12" s="75" t="n">
        <v>41942.95</v>
      </c>
      <c r="AA12" s="75" t="n">
        <v>2026</v>
      </c>
      <c r="AB12" s="75" t="n">
        <v>26766.23</v>
      </c>
      <c r="AC12" s="75" t="n">
        <v>27295.63493941829</v>
      </c>
      <c r="AD12" s="75" t="n">
        <v>24292.10172897583</v>
      </c>
      <c r="AE12" t="n">
        <v>5957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3195</v>
      </c>
      <c r="T13" s="73" t="n">
        <v>2026</v>
      </c>
      <c r="U13" s="73" t="n">
        <v>15306.23</v>
      </c>
      <c r="V13" s="73" t="n">
        <v>13161.19</v>
      </c>
      <c r="W13" s="73" t="n">
        <v>15242.66</v>
      </c>
      <c r="X13" s="73" t="n">
        <v>19191.66</v>
      </c>
      <c r="Y13" s="73" t="n">
        <v>20458.78</v>
      </c>
      <c r="Z13" s="73" t="n">
        <v>34746.63</v>
      </c>
      <c r="AA13" s="73" t="n">
        <v>2026</v>
      </c>
      <c r="AB13" s="73" t="n">
        <v>19839.4</v>
      </c>
      <c r="AC13" s="73" t="n">
        <v>20582.73677947164</v>
      </c>
      <c r="AD13" s="73" t="n">
        <v>18317.87158706458</v>
      </c>
      <c r="AE13" s="73" t="n">
        <v>4187</v>
      </c>
    </row>
    <row r="14">
      <c r="B14" s="73" t="inlineStr">
        <is>
          <t>Trade Payables</t>
        </is>
      </c>
      <c r="C14" s="73" t="n">
        <v>0</v>
      </c>
      <c r="D14" s="73" t="n">
        <v>0</v>
      </c>
      <c r="E14" s="73" t="n">
        <v>1215</v>
      </c>
      <c r="F14" s="73" t="n">
        <v>1215.6</v>
      </c>
      <c r="G14" s="73" t="n">
        <v>7550.84</v>
      </c>
      <c r="H14" s="73" t="n">
        <v>7056.02</v>
      </c>
      <c r="I14" s="73" t="n">
        <v>7885.55</v>
      </c>
      <c r="J14" s="73" t="n">
        <v>8694.610000000001</v>
      </c>
      <c r="K14" s="73" t="n">
        <v>9821.799999999999</v>
      </c>
      <c r="L14" s="73" t="n">
        <v>10166.12</v>
      </c>
      <c r="M14" s="73" t="n">
        <v>1215</v>
      </c>
      <c r="N14" s="73" t="n">
        <v>1215.6</v>
      </c>
      <c r="S14" t="n">
        <v>2.630192469170357</v>
      </c>
      <c r="T14" t="n">
        <v>2026</v>
      </c>
      <c r="U14" t="n">
        <v>12.45198581214103</v>
      </c>
      <c r="V14" t="n">
        <v>10.69250454959054</v>
      </c>
      <c r="W14" t="n">
        <v>12.36897584250972</v>
      </c>
      <c r="X14" t="n">
        <v>15.44227550691986</v>
      </c>
      <c r="Y14" t="n">
        <v>16.38708178810865</v>
      </c>
      <c r="Z14" t="n">
        <v>27.76598397008175</v>
      </c>
      <c r="AA14" t="n">
        <v>2026</v>
      </c>
      <c r="AB14" t="n">
        <v>53.92623534704692</v>
      </c>
      <c r="AC14" t="n">
        <v>55.9467276054773</v>
      </c>
      <c r="AD14" t="n">
        <v>49.79051051246651</v>
      </c>
      <c r="AE14" t="n">
        <v>3.415561320216012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202.5</v>
      </c>
      <c r="F15" t="n">
        <v>202.6</v>
      </c>
      <c r="G15" t="n">
        <v>1258.47</v>
      </c>
      <c r="H15" t="n">
        <v>1176</v>
      </c>
      <c r="I15" t="n">
        <v>1314.26</v>
      </c>
      <c r="J15" s="73" t="n">
        <v>1449.1</v>
      </c>
      <c r="K15" s="73" t="n">
        <v>1636.97</v>
      </c>
      <c r="L15" t="n">
        <v>1694.35</v>
      </c>
      <c r="M15" s="73" t="n">
        <v>202.5</v>
      </c>
      <c r="N15" s="73" t="n">
        <v>202.6</v>
      </c>
      <c r="O15" s="73" t="n"/>
      <c r="S15" t="n">
        <v>1.805953051643193</v>
      </c>
      <c r="T15" t="n">
        <v>2026</v>
      </c>
      <c r="U15" t="n">
        <v>0.8151308323473514</v>
      </c>
      <c r="V15" t="n">
        <v>1.005377173340708</v>
      </c>
      <c r="W15" t="n">
        <v>0.929745858006411</v>
      </c>
      <c r="X15" t="n">
        <v>1.00373808206273</v>
      </c>
      <c r="Y15" t="n">
        <v>0.8390754482916382</v>
      </c>
      <c r="Z15" t="n">
        <v>0.516819328953628</v>
      </c>
      <c r="AA15" t="n">
        <v>2026</v>
      </c>
      <c r="AB15" t="n">
        <v>0</v>
      </c>
      <c r="AC15" t="n">
        <v>0</v>
      </c>
      <c r="AD15" t="n">
        <v>0</v>
      </c>
      <c r="AE15" t="n">
        <v>1.683472653451158</v>
      </c>
    </row>
    <row r="16">
      <c r="B16" s="73" t="inlineStr">
        <is>
          <t>Other liability items</t>
        </is>
      </c>
      <c r="C16" s="73" t="n">
        <v>0</v>
      </c>
      <c r="D16" s="73" t="n">
        <v>0</v>
      </c>
      <c r="E16" s="73" t="n">
        <v>607.5</v>
      </c>
      <c r="F16" s="73" t="n">
        <v>607.8</v>
      </c>
      <c r="G16" s="73" t="n">
        <v>3775.42</v>
      </c>
      <c r="H16" s="73" t="n">
        <v>3528.01</v>
      </c>
      <c r="I16" s="73" t="n">
        <v>3942.78</v>
      </c>
      <c r="J16" s="73" t="n">
        <v>4347.3</v>
      </c>
      <c r="K16" s="73" t="n">
        <v>4910.9</v>
      </c>
      <c r="L16" s="73" t="n">
        <v>5083.06</v>
      </c>
      <c r="M16" s="73" t="n">
        <v>607.5</v>
      </c>
      <c r="N16" s="73" t="n">
        <v>607.8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0</v>
      </c>
      <c r="D18" s="71" t="n">
        <v>0</v>
      </c>
      <c r="E18" s="71" t="n">
        <v>2025</v>
      </c>
      <c r="F18" s="71" t="n">
        <v>2026</v>
      </c>
      <c r="G18" s="71" t="n">
        <v>71739.03999999999</v>
      </c>
      <c r="H18" s="71" t="n">
        <v>77310.75</v>
      </c>
      <c r="I18" s="71" t="n">
        <v>73760.75999999999</v>
      </c>
      <c r="J18" s="71" t="n">
        <v>77196.02</v>
      </c>
      <c r="K18" s="71" t="n">
        <v>85830.96000000001</v>
      </c>
      <c r="L18" s="71" t="n">
        <v>91753.97</v>
      </c>
      <c r="M18" s="71" t="n">
        <v>2025</v>
      </c>
      <c r="N18" s="71" t="n">
        <v>2026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0</v>
      </c>
      <c r="T19" s="73" t="n">
        <v>0</v>
      </c>
      <c r="U19" s="73" t="n">
        <v>2025</v>
      </c>
      <c r="V19" s="73" t="n">
        <v>2026</v>
      </c>
      <c r="W19" s="73" t="n">
        <v>12583.41</v>
      </c>
      <c r="X19" s="73" t="n">
        <v>14689.66</v>
      </c>
      <c r="Y19" s="73" t="n">
        <v>12526.97</v>
      </c>
      <c r="Z19" s="73" t="n">
        <v>15775.51</v>
      </c>
      <c r="AA19" s="73" t="n">
        <v>18877.55</v>
      </c>
      <c r="AB19" s="73" t="n">
        <v>17178.86</v>
      </c>
      <c r="AC19" s="73" t="n">
        <v>2025</v>
      </c>
      <c r="AD19" s="73" t="n">
        <v>2026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0</v>
      </c>
      <c r="T20" s="73" t="n">
        <v>0</v>
      </c>
      <c r="U20" s="73" t="n">
        <v>0</v>
      </c>
      <c r="V20" s="73" t="n">
        <v>0</v>
      </c>
      <c r="W20" s="73" t="n">
        <v>0</v>
      </c>
      <c r="X20" s="73" t="n">
        <v>0</v>
      </c>
      <c r="Y20" s="73" t="n">
        <v>0</v>
      </c>
      <c r="Z20" s="73" t="n">
        <v>0</v>
      </c>
      <c r="AA20" s="73" t="n">
        <v>0</v>
      </c>
      <c r="AB20" s="73" t="n">
        <v>0</v>
      </c>
      <c r="AC20" s="73" t="n">
        <v>0</v>
      </c>
      <c r="AD20" s="73" t="n">
        <v>0</v>
      </c>
      <c r="AE20" t="n">
        <v>0</v>
      </c>
    </row>
    <row r="21">
      <c r="B21" s="73" t="inlineStr">
        <is>
          <t>Fixed Assets -</t>
        </is>
      </c>
      <c r="C21" s="73" t="n">
        <v>0</v>
      </c>
      <c r="D21" s="73" t="n">
        <v>0</v>
      </c>
      <c r="E21" s="73" t="n">
        <v>0</v>
      </c>
      <c r="F21" s="73" t="n">
        <v>0</v>
      </c>
      <c r="G21" s="73" t="n">
        <v>0</v>
      </c>
      <c r="H21" s="73" t="n">
        <v>0</v>
      </c>
      <c r="I21" s="73" t="n">
        <v>0</v>
      </c>
      <c r="J21" s="73" t="n">
        <v>0</v>
      </c>
      <c r="K21" s="73" t="n">
        <v>0</v>
      </c>
      <c r="L21" s="73" t="n">
        <v>0</v>
      </c>
      <c r="M21" s="73" t="n">
        <v>0</v>
      </c>
      <c r="N21" s="73" t="n">
        <v>0</v>
      </c>
      <c r="R21" t="inlineStr">
        <is>
          <t>Receivables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0</v>
      </c>
      <c r="AD21" t="n">
        <v>0</v>
      </c>
      <c r="AE21" t="n">
        <v>0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0</v>
      </c>
      <c r="AD22" s="73" t="n">
        <v>0</v>
      </c>
      <c r="AE22" t="n">
        <v>0</v>
      </c>
    </row>
    <row r="23">
      <c r="B23" s="73" t="inlineStr">
        <is>
          <t>Building</t>
        </is>
      </c>
      <c r="C23" s="73" t="n">
        <v>0</v>
      </c>
      <c r="D23" s="73" t="n">
        <v>0</v>
      </c>
      <c r="E23" s="73" t="n">
        <v>0</v>
      </c>
      <c r="F23" s="73" t="n">
        <v>0</v>
      </c>
      <c r="G23" s="73" t="n">
        <v>0</v>
      </c>
      <c r="H23" s="73" t="n">
        <v>0</v>
      </c>
      <c r="I23" s="73" t="n">
        <v>0</v>
      </c>
      <c r="J23" s="73" t="n">
        <v>0</v>
      </c>
      <c r="K23" s="73" t="n">
        <v>0</v>
      </c>
      <c r="L23" s="73" t="n">
        <v>0</v>
      </c>
      <c r="M23" s="73" t="n">
        <v>0</v>
      </c>
      <c r="N23" s="73" t="n">
        <v>0</v>
      </c>
      <c r="O23" s="73" t="n"/>
      <c r="R23" t="inlineStr">
        <is>
          <t>Payables</t>
        </is>
      </c>
      <c r="S23" t="n">
        <v>0</v>
      </c>
      <c r="T23" t="n">
        <v>0</v>
      </c>
      <c r="U23" t="n">
        <v>0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  <c r="AE23" t="n">
        <v>0</v>
      </c>
    </row>
    <row r="24">
      <c r="B24" s="73" t="inlineStr">
        <is>
          <t>Plant Machinery</t>
        </is>
      </c>
      <c r="C24" s="73" t="n">
        <v>0</v>
      </c>
      <c r="D24" s="73" t="n">
        <v>0</v>
      </c>
      <c r="E24" s="73" t="n">
        <v>0</v>
      </c>
      <c r="F24" s="73" t="n">
        <v>0</v>
      </c>
      <c r="G24" s="73" t="n">
        <v>0</v>
      </c>
      <c r="H24" s="73" t="n">
        <v>0</v>
      </c>
      <c r="I24" s="73" t="n">
        <v>0</v>
      </c>
      <c r="J24" s="73" t="n">
        <v>0</v>
      </c>
      <c r="K24" s="73" t="n">
        <v>0</v>
      </c>
      <c r="L24" s="73" t="n">
        <v>0</v>
      </c>
      <c r="M24" s="73" t="n">
        <v>0</v>
      </c>
      <c r="N24" s="73" t="n">
        <v>0</v>
      </c>
      <c r="R24" t="inlineStr">
        <is>
          <t>Working capital changes</t>
        </is>
      </c>
      <c r="S24" t="n">
        <v>0</v>
      </c>
      <c r="T24" t="n">
        <v>0</v>
      </c>
      <c r="U24" t="n">
        <v>0</v>
      </c>
      <c r="V24" s="73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s="73" t="n">
        <v>0</v>
      </c>
      <c r="AC24" s="73" t="n">
        <v>0</v>
      </c>
      <c r="AD24" s="73" t="n">
        <v>0</v>
      </c>
      <c r="AE24" t="n">
        <v>0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R25" t="inlineStr">
        <is>
          <t>Direct taxes</t>
        </is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0</v>
      </c>
      <c r="X25" s="73" t="n">
        <v>0</v>
      </c>
      <c r="Y25" s="73" t="n">
        <v>0</v>
      </c>
      <c r="Z25" s="73" t="n">
        <v>0</v>
      </c>
      <c r="AA25" s="73" t="n">
        <v>0</v>
      </c>
      <c r="AB25" s="73" t="n">
        <v>0</v>
      </c>
      <c r="AC25" s="73" t="n">
        <v>0</v>
      </c>
      <c r="AD25" s="73" t="n">
        <v>0</v>
      </c>
      <c r="AE25" t="n">
        <v>0</v>
      </c>
    </row>
    <row r="26">
      <c r="B26" s="73" t="inlineStr">
        <is>
          <t>Furniture n fittings</t>
        </is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0</v>
      </c>
      <c r="I26" s="73" t="n">
        <v>0</v>
      </c>
      <c r="J26" s="73" t="n">
        <v>0</v>
      </c>
      <c r="K26" s="73" t="n">
        <v>0</v>
      </c>
      <c r="L26" s="73" t="n">
        <v>0</v>
      </c>
      <c r="M26" s="73" t="n">
        <v>0</v>
      </c>
      <c r="N26" s="73" t="n">
        <v>0</v>
      </c>
      <c r="R26" t="inlineStr">
        <is>
          <t>Cash from Investing Activity -</t>
        </is>
      </c>
      <c r="S26" s="73" t="n">
        <v>0</v>
      </c>
      <c r="T26" s="73" t="n">
        <v>0</v>
      </c>
      <c r="U26" s="73" t="n">
        <v>2025</v>
      </c>
      <c r="V26" s="73" t="n">
        <v>2026</v>
      </c>
      <c r="W26" s="73" t="n">
        <v>-5545.68</v>
      </c>
      <c r="X26" s="73" t="n">
        <v>-6174.02</v>
      </c>
      <c r="Y26" s="73" t="n">
        <v>5739.98</v>
      </c>
      <c r="Z26" s="73" t="n">
        <v>-2238.49</v>
      </c>
      <c r="AA26" s="73" t="n">
        <v>-5732.29</v>
      </c>
      <c r="AB26" s="73" t="n">
        <v>1562.77</v>
      </c>
      <c r="AC26" t="n">
        <v>2025</v>
      </c>
      <c r="AD26" s="73" t="n">
        <v>2026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0</v>
      </c>
      <c r="T27" s="73" t="n">
        <v>0</v>
      </c>
      <c r="U27" s="73" t="n">
        <v>0</v>
      </c>
      <c r="V27" s="73" t="n">
        <v>-1646.59</v>
      </c>
      <c r="W27" s="73" t="n">
        <v>-19080.6</v>
      </c>
      <c r="X27" s="73" t="n">
        <v>-4148.16</v>
      </c>
      <c r="Y27" s="73" t="n">
        <v>-3103.19</v>
      </c>
      <c r="Z27" s="73" t="n">
        <v>-2579.43</v>
      </c>
      <c r="AA27" s="73" t="n">
        <v>-3645.68</v>
      </c>
      <c r="AB27" s="73" t="n">
        <v>-3684.25</v>
      </c>
      <c r="AC27" s="73" t="n">
        <v>0</v>
      </c>
      <c r="AD27" s="73" t="n">
        <v>-1716.3</v>
      </c>
      <c r="AE27" t="n">
        <v>0</v>
      </c>
    </row>
    <row r="28">
      <c r="B28" t="inlineStr">
        <is>
          <t>Vehicles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</v>
      </c>
      <c r="AA28" s="73" t="n">
        <v>0</v>
      </c>
      <c r="AB28" t="n">
        <v>0</v>
      </c>
      <c r="AC28" s="73" t="n">
        <v>0</v>
      </c>
      <c r="AD28" s="73" t="n">
        <v>0</v>
      </c>
      <c r="AE28" t="n">
        <v>0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0</v>
      </c>
      <c r="V29" s="73" t="n">
        <v>0</v>
      </c>
      <c r="W29" s="73" t="n">
        <v>0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0</v>
      </c>
      <c r="AA30" s="73" t="n">
        <v>0</v>
      </c>
      <c r="AB30" s="73" t="n">
        <v>0</v>
      </c>
      <c r="AC30" s="73" t="n">
        <v>0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s="73" t="n">
        <v>0</v>
      </c>
      <c r="J31" s="73" t="n">
        <v>0</v>
      </c>
      <c r="K31" s="73" t="n">
        <v>0</v>
      </c>
      <c r="L31" s="73" t="n">
        <v>0</v>
      </c>
      <c r="M31" s="73" t="n">
        <v>0</v>
      </c>
      <c r="N31" s="73" t="n">
        <v>0</v>
      </c>
      <c r="O31" s="73" t="n"/>
      <c r="R31" t="inlineStr">
        <is>
          <t>Interest received</t>
        </is>
      </c>
      <c r="S31" t="n">
        <v>0</v>
      </c>
      <c r="T31" t="n">
        <v>0</v>
      </c>
      <c r="U31" s="73" t="n">
        <v>0</v>
      </c>
      <c r="V31" s="73" t="n">
        <v>0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</v>
      </c>
      <c r="AB31" s="73" t="n">
        <v>0</v>
      </c>
      <c r="AC31" s="73" t="n">
        <v>0</v>
      </c>
      <c r="AD31" s="73" t="n">
        <v>0</v>
      </c>
      <c r="AE31" t="n">
        <v>0</v>
      </c>
    </row>
    <row r="32">
      <c r="B32" s="73" t="inlineStr">
        <is>
          <t>Accumulated Depreciation</t>
        </is>
      </c>
      <c r="C32" s="73" t="n">
        <v>0</v>
      </c>
      <c r="D32" s="73" t="n">
        <v>0</v>
      </c>
      <c r="E32" s="73" t="n">
        <v>0</v>
      </c>
      <c r="F32" s="73" t="n">
        <v>0</v>
      </c>
      <c r="G32" s="73" t="n">
        <v>0</v>
      </c>
      <c r="H32" s="73" t="n">
        <v>0</v>
      </c>
      <c r="I32" s="73" t="n">
        <v>0</v>
      </c>
      <c r="J32" s="73" t="n">
        <v>0</v>
      </c>
      <c r="K32" s="73" t="n">
        <v>0</v>
      </c>
      <c r="L32" s="73" t="n">
        <v>0</v>
      </c>
      <c r="M32" s="73" t="n">
        <v>0</v>
      </c>
      <c r="N32" s="73" t="n">
        <v>0</v>
      </c>
      <c r="O32" s="73" t="n"/>
      <c r="R32" t="inlineStr">
        <is>
          <t>Dividends received</t>
        </is>
      </c>
      <c r="S32" t="n">
        <v>0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0</v>
      </c>
      <c r="D33" s="73" t="n">
        <v>0</v>
      </c>
      <c r="E33" s="73" t="n">
        <v>2025</v>
      </c>
      <c r="F33" s="73" t="n">
        <v>2026</v>
      </c>
      <c r="G33" s="73" t="n">
        <v>19374.19</v>
      </c>
      <c r="H33" s="73" t="n">
        <v>21713.34</v>
      </c>
      <c r="I33" s="73" t="n">
        <v>23298.48</v>
      </c>
      <c r="J33" s="73" t="n">
        <v>24231.59</v>
      </c>
      <c r="K33" s="73" t="n">
        <v>25851.27</v>
      </c>
      <c r="L33" s="73" t="n">
        <v>27820.22</v>
      </c>
      <c r="M33" s="73" t="n">
        <v>2025</v>
      </c>
      <c r="N33" s="73" t="n">
        <v>2026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0</v>
      </c>
      <c r="D35" s="73" t="n">
        <v>0</v>
      </c>
      <c r="E35" s="73" t="n">
        <v>2025</v>
      </c>
      <c r="F35" s="73" t="n">
        <v>2026</v>
      </c>
      <c r="G35" s="73" t="n">
        <v>4136.42</v>
      </c>
      <c r="H35" s="73" t="n">
        <v>3256.46</v>
      </c>
      <c r="I35" s="73" t="n">
        <v>4011.29</v>
      </c>
      <c r="J35" s="73" t="n">
        <v>3225.54</v>
      </c>
      <c r="K35" s="73" t="n">
        <v>3003.3</v>
      </c>
      <c r="L35" s="73" t="n">
        <v>2860.78</v>
      </c>
      <c r="M35" s="73" t="n">
        <v>2025</v>
      </c>
      <c r="N35" s="73" t="n">
        <v>2026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0</v>
      </c>
      <c r="D36" s="73" t="n">
        <v>0</v>
      </c>
      <c r="E36" s="73" t="n">
        <v>2025</v>
      </c>
      <c r="F36" s="73" t="n">
        <v>2026</v>
      </c>
      <c r="G36" s="73" t="n">
        <v>25043.49</v>
      </c>
      <c r="H36" s="73" t="n">
        <v>28663.35</v>
      </c>
      <c r="I36" s="73" t="n">
        <v>24870.87</v>
      </c>
      <c r="J36" s="73" t="n">
        <v>24841.01</v>
      </c>
      <c r="K36" s="73" t="n">
        <v>29415.02</v>
      </c>
      <c r="L36" s="73" t="n">
        <v>31114.02</v>
      </c>
      <c r="M36" s="73" t="n">
        <v>2025</v>
      </c>
      <c r="N36" s="73" t="n">
        <v>2026</v>
      </c>
      <c r="O36" s="73" t="n"/>
      <c r="R36" t="inlineStr">
        <is>
          <t>Other investing items</t>
        </is>
      </c>
      <c r="S36" s="73" t="n">
        <v>0</v>
      </c>
      <c r="T36" s="73" t="n">
        <v>0</v>
      </c>
      <c r="U36" s="73" t="n">
        <v>0</v>
      </c>
      <c r="V36" s="73" t="n">
        <v>0</v>
      </c>
      <c r="W36" s="73" t="n">
        <v>0</v>
      </c>
      <c r="X36" s="73" t="n">
        <v>0</v>
      </c>
      <c r="Y36" s="73" t="n">
        <v>0</v>
      </c>
      <c r="Z36" s="73" t="n">
        <v>0</v>
      </c>
      <c r="AA36" t="n">
        <v>0</v>
      </c>
      <c r="AB36" s="73" t="n">
        <v>0</v>
      </c>
      <c r="AC36" t="n">
        <v>0</v>
      </c>
      <c r="AD36" s="73" t="n">
        <v>0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2025</v>
      </c>
      <c r="V37" s="73" t="n">
        <v>2026</v>
      </c>
      <c r="W37" s="73" t="n">
        <v>-6868.64</v>
      </c>
      <c r="X37" s="73" t="n">
        <v>-8181.48</v>
      </c>
      <c r="Y37" s="73" t="n">
        <v>-18633.83</v>
      </c>
      <c r="Z37" s="73" t="n">
        <v>-13580.5</v>
      </c>
      <c r="AA37" s="73" t="n">
        <v>-13006.03</v>
      </c>
      <c r="AB37" s="73" t="n">
        <v>-18550.96</v>
      </c>
      <c r="AC37" s="73" t="n">
        <v>2025</v>
      </c>
      <c r="AD37" s="73" t="n">
        <v>2026</v>
      </c>
      <c r="AE37" t="n">
        <v>0</v>
      </c>
    </row>
    <row r="38">
      <c r="B38" t="inlineStr">
        <is>
          <t>Other Assets -</t>
        </is>
      </c>
      <c r="C38" s="73" t="n">
        <v>0</v>
      </c>
      <c r="D38" s="73" t="n">
        <v>0</v>
      </c>
      <c r="E38" s="73" t="n">
        <v>2025</v>
      </c>
      <c r="F38" s="73" t="n">
        <v>2026</v>
      </c>
      <c r="G38" s="73" t="n">
        <v>23184.94</v>
      </c>
      <c r="H38" s="73" t="n">
        <v>23677.6</v>
      </c>
      <c r="I38" s="73" t="n">
        <v>21580.12</v>
      </c>
      <c r="J38" s="73" t="n">
        <v>24897.88</v>
      </c>
      <c r="K38" s="73" t="n">
        <v>27561.37</v>
      </c>
      <c r="L38" s="73" t="n">
        <v>29958.95</v>
      </c>
      <c r="M38" s="73" t="n">
        <v>2025</v>
      </c>
      <c r="N38" s="73" t="n">
        <v>2026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0</v>
      </c>
      <c r="D39" s="73" t="n">
        <v>0</v>
      </c>
      <c r="E39" s="73" t="n">
        <v>607.5</v>
      </c>
      <c r="F39" s="73" t="n">
        <v>607.8</v>
      </c>
      <c r="G39" s="73" t="n">
        <v>6955.48</v>
      </c>
      <c r="H39" s="73" t="n">
        <v>7103.28</v>
      </c>
      <c r="I39" s="73" t="n">
        <v>6474.04</v>
      </c>
      <c r="J39" s="73" t="n">
        <v>7469.36</v>
      </c>
      <c r="K39" s="73" t="n">
        <v>8268.41</v>
      </c>
      <c r="L39" s="73" t="n">
        <v>8987.68</v>
      </c>
      <c r="M39" s="73" t="n">
        <v>607.5</v>
      </c>
      <c r="N39" s="73" t="n">
        <v>607.8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0</v>
      </c>
      <c r="D40" s="73" t="n">
        <v>0</v>
      </c>
      <c r="E40" s="73" t="n">
        <v>708.75</v>
      </c>
      <c r="F40" s="73" t="n">
        <v>709.1</v>
      </c>
      <c r="G40" s="73" t="n">
        <v>8114.73</v>
      </c>
      <c r="H40" s="73" t="n">
        <v>8287.16</v>
      </c>
      <c r="I40" s="73" t="n">
        <v>7553.04</v>
      </c>
      <c r="J40" s="73" t="n">
        <v>8714.26</v>
      </c>
      <c r="K40" s="73" t="n">
        <v>9646.48</v>
      </c>
      <c r="L40" s="73" t="n">
        <v>10485.63</v>
      </c>
      <c r="M40" s="73" t="n">
        <v>708.75</v>
      </c>
      <c r="N40" s="73" t="n">
        <v>709.1</v>
      </c>
      <c r="O40" s="73" t="n"/>
      <c r="R40" t="inlineStr">
        <is>
          <t>Repayment of borrowings</t>
        </is>
      </c>
      <c r="S40" t="n">
        <v>0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t="n">
        <v>0</v>
      </c>
    </row>
    <row r="41">
      <c r="B41" t="inlineStr">
        <is>
          <t>Cash Equivalents</t>
        </is>
      </c>
      <c r="C41" s="73" t="n">
        <v>0</v>
      </c>
      <c r="D41" s="73" t="n">
        <v>0</v>
      </c>
      <c r="E41" s="73" t="n">
        <v>303.75</v>
      </c>
      <c r="F41" s="73" t="n">
        <v>303.9</v>
      </c>
      <c r="G41" s="73" t="n">
        <v>3477.74</v>
      </c>
      <c r="H41" s="73" t="n">
        <v>3551.64</v>
      </c>
      <c r="I41" s="73" t="n">
        <v>3237.02</v>
      </c>
      <c r="J41" s="73" t="n">
        <v>3734.68</v>
      </c>
      <c r="K41" s="73" t="n">
        <v>4134.21</v>
      </c>
      <c r="L41" s="73" t="n">
        <v>4493.84</v>
      </c>
      <c r="M41" s="73" t="n">
        <v>303.75</v>
      </c>
      <c r="N41" s="73" t="n">
        <v>303.9</v>
      </c>
      <c r="O41" s="73" t="n"/>
      <c r="R41" t="inlineStr">
        <is>
          <t>Interest paid fin</t>
        </is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  <c r="AE41" t="n">
        <v>0</v>
      </c>
    </row>
    <row r="42">
      <c r="B42" t="inlineStr">
        <is>
          <t>Loans n Advances</t>
        </is>
      </c>
      <c r="C42" s="73" t="n">
        <v>0</v>
      </c>
      <c r="D42" s="73" t="n">
        <v>0</v>
      </c>
      <c r="E42" s="73" t="n">
        <v>202.5</v>
      </c>
      <c r="F42" s="73" t="n">
        <v>202.6</v>
      </c>
      <c r="G42" s="73" t="n">
        <v>2318.49</v>
      </c>
      <c r="H42" s="73" t="n">
        <v>2367.76</v>
      </c>
      <c r="I42" s="73" t="n">
        <v>2158.01</v>
      </c>
      <c r="J42" s="73" t="n">
        <v>2489.79</v>
      </c>
      <c r="K42" s="73" t="n">
        <v>2756.14</v>
      </c>
      <c r="L42" s="73" t="n">
        <v>2995.9</v>
      </c>
      <c r="M42" s="73" t="n">
        <v>202.5</v>
      </c>
      <c r="N42" s="73" t="n">
        <v>202.6</v>
      </c>
      <c r="O42" s="73" t="n"/>
      <c r="R42" t="inlineStr">
        <is>
          <t>Dividends paid</t>
        </is>
      </c>
      <c r="S42" s="73" t="n">
        <v>0</v>
      </c>
      <c r="T42" s="73" t="n">
        <v>0</v>
      </c>
      <c r="U42" s="73" t="n">
        <v>0</v>
      </c>
      <c r="V42" s="73" t="n">
        <v>0</v>
      </c>
      <c r="W42" s="73" t="n">
        <v>0</v>
      </c>
      <c r="X42" s="73" t="n">
        <v>0</v>
      </c>
      <c r="Y42" s="73" t="n">
        <v>0</v>
      </c>
      <c r="Z42" s="73" t="n">
        <v>0</v>
      </c>
      <c r="AA42" s="73" t="n">
        <v>0</v>
      </c>
      <c r="AB42" s="73" t="n">
        <v>0</v>
      </c>
      <c r="AC42" s="73" t="n">
        <v>0</v>
      </c>
      <c r="AD42" s="73" t="n">
        <v>0</v>
      </c>
      <c r="AE42" t="n">
        <v>0</v>
      </c>
    </row>
    <row r="43">
      <c r="B43" t="inlineStr">
        <is>
          <t>Other asset items</t>
        </is>
      </c>
      <c r="C43" s="73" t="n">
        <v>0</v>
      </c>
      <c r="D43" s="73" t="n">
        <v>0</v>
      </c>
      <c r="E43" s="73" t="n">
        <v>202.5</v>
      </c>
      <c r="F43" s="73" t="n">
        <v>202.6</v>
      </c>
      <c r="G43" s="73" t="n">
        <v>2318.49</v>
      </c>
      <c r="H43" s="73" t="n">
        <v>2367.76</v>
      </c>
      <c r="I43" s="73" t="n">
        <v>2158.01</v>
      </c>
      <c r="J43" s="73" t="n">
        <v>2489.79</v>
      </c>
      <c r="K43" s="73" t="n">
        <v>2756.14</v>
      </c>
      <c r="L43" s="73" t="n">
        <v>2995.9</v>
      </c>
      <c r="M43" s="73" t="n">
        <v>202.5</v>
      </c>
      <c r="N43" s="73" t="n">
        <v>202.6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B44" s="57" t="inlineStr">
        <is>
          <t>Total Assets</t>
        </is>
      </c>
      <c r="C44" s="73" t="n">
        <v>0</v>
      </c>
      <c r="D44" s="73" t="n">
        <v>0</v>
      </c>
      <c r="E44" s="73" t="n">
        <v>2025</v>
      </c>
      <c r="F44" s="73" t="n">
        <v>2026</v>
      </c>
      <c r="G44" s="73" t="n">
        <v>71739.03999999999</v>
      </c>
      <c r="H44" s="73" t="n">
        <v>77310.75</v>
      </c>
      <c r="I44" s="73" t="n">
        <v>73760.75999999999</v>
      </c>
      <c r="J44" s="73" t="n">
        <v>77196.02</v>
      </c>
      <c r="K44" s="73" t="n">
        <v>85830.96000000001</v>
      </c>
      <c r="L44" s="73" t="n">
        <v>91753.97</v>
      </c>
      <c r="M44" s="73" t="n">
        <v>2025</v>
      </c>
      <c r="N44" s="73" t="n">
        <v>2026</v>
      </c>
      <c r="R44" t="inlineStr">
        <is>
          <t>Other financing items</t>
        </is>
      </c>
      <c r="S44" t="n">
        <v>0</v>
      </c>
      <c r="T44" t="n">
        <v>0</v>
      </c>
      <c r="U44" s="73" t="n">
        <v>0</v>
      </c>
      <c r="V44" s="73" t="n">
        <v>0</v>
      </c>
      <c r="W44" s="73" t="n">
        <v>0</v>
      </c>
      <c r="X44" s="73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0</v>
      </c>
      <c r="T45" t="n">
        <v>0</v>
      </c>
      <c r="U45" t="n">
        <v>2025</v>
      </c>
      <c r="V45" t="n">
        <v>2026</v>
      </c>
      <c r="W45" t="n">
        <v>169.09</v>
      </c>
      <c r="X45" t="n">
        <v>334.16</v>
      </c>
      <c r="Y45" t="n">
        <v>-366.88</v>
      </c>
      <c r="Z45" t="n">
        <v>-43.48</v>
      </c>
      <c r="AA45" t="n">
        <v>139.23</v>
      </c>
      <c r="AB45" t="n">
        <v>190.67</v>
      </c>
      <c r="AC45" t="n">
        <v>2025</v>
      </c>
      <c r="AD45" t="n">
        <v>2026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Maruti Suzuki</t>
        </is>
      </c>
      <c r="M57" t="n">
        <v>12103</v>
      </c>
      <c r="N57" t="n">
        <v>31.44</v>
      </c>
      <c r="AR57" t="n">
        <v>379525</v>
      </c>
      <c r="AS57">
        <f>AZ57-BA57</f>
        <v/>
      </c>
      <c r="AT57">
        <f>AR57+AS57</f>
        <v/>
      </c>
      <c r="AU57" t="n">
        <v>232750.28</v>
      </c>
      <c r="AV57">
        <f>AT57/AX57</f>
        <v/>
      </c>
      <c r="AW57" t="n">
        <v>23990.24</v>
      </c>
      <c r="AX57" t="n">
        <v>15.1</v>
      </c>
      <c r="AZ57" t="n">
        <v>94881.25</v>
      </c>
      <c r="BA57" t="n">
        <v>18976.25</v>
      </c>
    </row>
    <row r="58">
      <c r="K58" t="n">
        <v>2</v>
      </c>
      <c r="L58" t="inlineStr">
        <is>
          <t>M &amp; M</t>
        </is>
      </c>
      <c r="M58" t="n">
        <v>3052</v>
      </c>
      <c r="N58" t="n">
        <v>124.35</v>
      </c>
      <c r="AR58" t="n">
        <v>313661.1</v>
      </c>
      <c r="AS58">
        <f>AZ58-BA58</f>
        <v/>
      </c>
      <c r="AT58">
        <f>AR58+AS58</f>
        <v/>
      </c>
      <c r="AU58" t="n">
        <v>86755.32000000001</v>
      </c>
      <c r="AV58">
        <f>AT58/AX58</f>
        <v/>
      </c>
      <c r="AW58" t="n">
        <v>12755</v>
      </c>
      <c r="AX58" t="n">
        <v>28.24</v>
      </c>
      <c r="AZ58" t="n">
        <v>78415.27</v>
      </c>
      <c r="BA58" t="n">
        <v>15683.06</v>
      </c>
    </row>
    <row r="59">
      <c r="K59" t="n">
        <v>3</v>
      </c>
      <c r="L59" t="inlineStr">
        <is>
          <t>Bajaj Auto</t>
        </is>
      </c>
      <c r="M59" t="n">
        <v>11414</v>
      </c>
      <c r="N59" t="n">
        <v>27.48</v>
      </c>
      <c r="AR59" t="n">
        <v>206330.52</v>
      </c>
      <c r="AS59">
        <f>AZ59-BA59</f>
        <v/>
      </c>
      <c r="AT59">
        <f>AR59+AS59</f>
        <v/>
      </c>
      <c r="AU59" t="n">
        <v>26529.68</v>
      </c>
      <c r="AV59">
        <f>AT59/AX59</f>
        <v/>
      </c>
      <c r="AW59" t="n">
        <v>5850.04</v>
      </c>
      <c r="AX59" t="n">
        <v>30.53</v>
      </c>
      <c r="AZ59" t="n">
        <v>51582.63</v>
      </c>
      <c r="BA59" t="n">
        <v>10316.53</v>
      </c>
    </row>
    <row r="60">
      <c r="K60" t="n">
        <v>4</v>
      </c>
      <c r="L60" t="inlineStr">
        <is>
          <t>Eicher Motors</t>
        </is>
      </c>
      <c r="M60" t="n">
        <v>7516</v>
      </c>
      <c r="N60" t="n">
        <v>27.45</v>
      </c>
      <c r="AR60" t="n">
        <v>198173.09</v>
      </c>
      <c r="AS60">
        <f>AZ60-BA60</f>
        <v/>
      </c>
      <c r="AT60">
        <f>AR60+AS60</f>
        <v/>
      </c>
      <c r="AU60" t="n">
        <v>65182.08</v>
      </c>
      <c r="AV60">
        <f>AT60/AX60</f>
        <v/>
      </c>
      <c r="AW60" t="n">
        <v>4230.44</v>
      </c>
      <c r="AX60" t="n">
        <v>17.37</v>
      </c>
      <c r="AZ60" t="n">
        <v>49543.27</v>
      </c>
      <c r="BA60" t="n">
        <v>9908.65</v>
      </c>
    </row>
    <row r="61">
      <c r="K61" t="n">
        <v>5</v>
      </c>
      <c r="L61" t="inlineStr">
        <is>
          <t>TVS Motor Co.</t>
        </is>
      </c>
      <c r="M61" t="n">
        <v>4171.3</v>
      </c>
      <c r="N61" t="n">
        <v>47.51</v>
      </c>
      <c r="AR61" t="n">
        <v>179474.08</v>
      </c>
      <c r="AS61">
        <f>AZ61-BA61</f>
        <v/>
      </c>
      <c r="AT61">
        <f>AR61+AS61</f>
        <v/>
      </c>
      <c r="AU61" t="n">
        <v>65338.52</v>
      </c>
      <c r="AV61">
        <f>AT61/AX61</f>
        <v/>
      </c>
      <c r="AW61" t="n">
        <v>3554.48</v>
      </c>
      <c r="AX61" t="n">
        <v>38.4</v>
      </c>
      <c r="AZ61" t="n">
        <v>44868.52</v>
      </c>
      <c r="BA61" t="n">
        <v>8973.700000000001</v>
      </c>
    </row>
    <row r="62">
      <c r="K62" t="n">
        <v>6</v>
      </c>
      <c r="L62" t="inlineStr">
        <is>
          <t>Hyundai Motor I</t>
        </is>
      </c>
      <c r="M62" t="n">
        <v>2208.8</v>
      </c>
      <c r="N62" t="n">
        <v>81.25</v>
      </c>
      <c r="AR62" t="n">
        <v>171583.57</v>
      </c>
      <c r="AS62">
        <f>AZ62-BA62</f>
        <v/>
      </c>
      <c r="AT62">
        <f>AR62+AS62</f>
        <v/>
      </c>
      <c r="AU62" t="n">
        <v>140975.08</v>
      </c>
      <c r="AV62">
        <f>AT62/AX62</f>
        <v/>
      </c>
      <c r="AW62" t="n">
        <v>4302.64</v>
      </c>
      <c r="AX62" t="n">
        <v>13.43</v>
      </c>
      <c r="AZ62" t="n">
        <v>42895.89</v>
      </c>
      <c r="BA62" t="n">
        <v>8579.18</v>
      </c>
    </row>
    <row r="63">
      <c r="K63" t="n">
        <v>7</v>
      </c>
      <c r="L63" t="inlineStr">
        <is>
          <t>Samvardh. Mothe.</t>
        </is>
      </c>
      <c r="M63" t="n">
        <v>162.57</v>
      </c>
      <c r="N63" t="n">
        <v>1055.44</v>
      </c>
      <c r="AR63" t="n">
        <v>138631.67</v>
      </c>
      <c r="AS63">
        <f>AZ63-BA63</f>
        <v/>
      </c>
      <c r="AT63">
        <f>AR63+AS63</f>
        <v/>
      </c>
      <c r="AU63" t="n">
        <v>23367.6</v>
      </c>
      <c r="AV63">
        <f>AT63/AX63</f>
        <v/>
      </c>
      <c r="AW63" t="n">
        <v>2824.4</v>
      </c>
      <c r="AX63" t="n">
        <v>21.54</v>
      </c>
      <c r="AZ63" t="n">
        <v>34657.92</v>
      </c>
      <c r="BA63" t="n">
        <v>6931.58</v>
      </c>
    </row>
    <row r="64">
      <c r="K64" t="n">
        <v>8</v>
      </c>
      <c r="L64" t="inlineStr">
        <is>
          <t>Bosch</t>
        </is>
      </c>
      <c r="M64" t="n">
        <v>47000</v>
      </c>
      <c r="N64" t="n">
        <v>2.95</v>
      </c>
      <c r="AR64" t="n">
        <v>111886.25</v>
      </c>
      <c r="AS64">
        <f>AZ64-BA64</f>
        <v/>
      </c>
      <c r="AT64">
        <f>AR64+AS64</f>
        <v/>
      </c>
      <c r="AU64" t="n">
        <v>383196</v>
      </c>
      <c r="AV64">
        <f>AT64/AX64</f>
        <v/>
      </c>
      <c r="AW64" t="n">
        <v>3436</v>
      </c>
      <c r="AX64" t="n">
        <v>2.73</v>
      </c>
      <c r="AZ64" t="n">
        <v>27971.56</v>
      </c>
      <c r="BA64" t="n">
        <v>5594.31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2026-10-10T22:33:08Z</dcterms:modified>
  <cp:lastModifiedBy>Loveish</cp:lastModifiedBy>
  <cp:lastPrinted>2012-12-06T18:14:13Z</cp:lastPrinted>
</cp:coreProperties>
</file>