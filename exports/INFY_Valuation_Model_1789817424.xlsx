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73D38416-A89F-4244-8D96-DA3EEDC7CF6C}"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11" i="14"/>
  <c r="B12" i="19" l="1"/>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10" i="14"/>
  <c r="H11" i="14" s="1"/>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10"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164" i="14"/>
  <c r="B165" i="14"/>
  <c r="B166" i="14"/>
  <c r="B167" i="14"/>
  <c r="B168" i="14"/>
  <c r="B169" i="14"/>
  <c r="B170" i="14"/>
  <c r="B171" i="14"/>
  <c r="B172" i="14"/>
  <c r="B173" i="14"/>
  <c r="B174" i="14"/>
  <c r="B158" i="14"/>
  <c r="B159" i="14"/>
  <c r="B160" i="14"/>
  <c r="B161" i="14"/>
  <c r="B162" i="14"/>
  <c r="B163"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 i="14"/>
  <c r="Q33" i="19" l="1"/>
  <c r="P33" i="19"/>
  <c r="O33" i="19"/>
  <c r="Q28" i="19"/>
  <c r="Q27" i="19"/>
  <c r="Q26" i="19"/>
  <c r="Q25" i="19"/>
  <c r="Q24" i="19"/>
  <c r="Q23" i="19"/>
  <c r="Q35" i="19"/>
  <c r="P35" i="19"/>
  <c r="O35" i="19"/>
  <c r="Q32" i="19"/>
  <c r="Q34" i="19" s="1"/>
  <c r="Q37" i="19" s="1"/>
  <c r="Q39" i="19" s="1"/>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O12" i="14"/>
  <c r="O11" i="14"/>
  <c r="L9" i="14" s="1"/>
  <c r="L15" i="14" s="1"/>
  <c r="J15" i="15" l="1"/>
  <c r="K15" i="15" s="1"/>
  <c r="C15" i="23"/>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B7" i="14"/>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<sst xmlns="http://schemas.openxmlformats.org/spreadsheetml/2006/main" count="16988" uniqueCount="8671">
  <si>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</si>
  <si>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</si>
  <si>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</si>
  <si>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</si>
  <si>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</si>
  <si>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</si>
  <si>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</si>
  <si>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</si>
  <si>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</si>
  <si>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</si>
  <si>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</si>
  <si>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</si>
  <si>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</si>
  <si>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</si>
  <si>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</si>
  <si>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</si>
  <si>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</si>
  <si>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</si>
  <si>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</si>
  <si>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</si>
  <si>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</si>
  <si>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</si>
  <si>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</si>
  <si>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</si>
  <si>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</si>
  <si>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</si>
  <si>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</si>
  <si>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</si>
  <si>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</si>
  <si>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</si>
  <si>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</si>
  <si>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</si>
  <si>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</si>
  <si>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</si>
  <si>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</si>
  <si>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</si>
  <si>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</si>
  <si>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</si>
  <si>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</si>
  <si>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</si>
  <si>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</si>
  <si>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</si>
  <si>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</si>
  <si>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</si>
  <si>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</si>
  <si>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</si>
  <si>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</si>
  <si>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</si>
  <si>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</si>
  <si>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</si>
  <si>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</si>
  <si>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</si>
  <si>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</si>
  <si>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</si>
  <si>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</si>
  <si>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</si>
  <si>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</si>
  <si>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</si>
  <si>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</si>
  <si>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</si>
  <si>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</si>
  <si>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</si>
  <si>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</si>
  <si>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</si>
  <si>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</si>
  <si>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</si>
  <si>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</si>
  <si>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</si>
  <si>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</si>
  <si>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</si>
  <si>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</si>
  <si>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</si>
  <si>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</si>
  <si>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</si>
  <si>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</si>
  <si>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</si>
  <si>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</si>
  <si>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</si>
  <si>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</si>
  <si>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</si>
  <si>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</si>
  <si>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</si>
  <si>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</si>
  <si>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</si>
  <si>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</si>
  <si>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</si>
  <si>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</si>
  <si>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</si>
  <si>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</si>
  <si>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</si>
  <si>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</si>
  <si>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</si>
  <si>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</si>
  <si>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</si>
  <si>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</si>
  <si>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</si>
  <si>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</si>
  <si>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</si>
  <si>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</si>
  <si>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</si>
  <si>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</si>
  <si>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</si>
  <si>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</si>
  <si>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</si>
  <si>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</si>
  <si>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</si>
  <si>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</si>
  <si>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</si>
  <si>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</si>
  <si>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</si>
  <si>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</si>
  <si>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</si>
  <si>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</si>
  <si>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</si>
  <si>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</si>
  <si>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</si>
  <si>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</si>
  <si>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</si>
  <si>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</si>
  <si>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</si>
  <si>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</si>
  <si>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</si>
  <si>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</si>
  <si>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</si>
  <si>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</si>
  <si>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</si>
  <si>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</si>
  <si>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</si>
  <si>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</si>
  <si>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</si>
  <si>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</si>
  <si>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</si>
  <si>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</si>
  <si>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</si>
  <si>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</si>
  <si>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</si>
  <si>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</si>
  <si>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</si>
  <si>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</si>
  <si>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</si>
  <si>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</si>
  <si>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</si>
  <si>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</si>
  <si>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</si>
  <si>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</si>
  <si>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</si>
  <si>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</si>
  <si>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</si>
  <si>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</si>
  <si>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</si>
  <si>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</si>
  <si>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</si>
  <si>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</si>
  <si>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</si>
  <si>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</si>
  <si>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</si>
  <si>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</si>
  <si>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</si>
  <si>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</si>
  <si>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</si>
  <si>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</si>
  <si>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</si>
  <si>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</si>
  <si>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</si>
  <si>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</si>
  <si>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</si>
  <si>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</si>
  <si>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</si>
  <si>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</si>
  <si>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</si>
  <si>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</si>
  <si>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</si>
  <si>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</si>
  <si>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</si>
  <si>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</si>
  <si>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</si>
  <si>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</si>
  <si>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</si>
  <si>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</si>
  <si>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</si>
  <si>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</si>
  <si>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</si>
  <si>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</si>
  <si>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</si>
  <si>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</si>
  <si>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</si>
  <si>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</si>
  <si>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</si>
  <si>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</si>
  <si>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</si>
  <si>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</si>
  <si>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</si>
  <si>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</si>
  <si>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</si>
  <si>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</si>
  <si>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</si>
  <si>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</si>
  <si>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</si>
  <si>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</si>
  <si>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</si>
  <si>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</si>
  <si>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</si>
  <si>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</si>
  <si>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</si>
  <si>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</si>
  <si>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</si>
  <si>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</si>
  <si>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</si>
  <si>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</si>
  <si>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</si>
  <si>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</si>
  <si>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</si>
  <si>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</si>
  <si>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</si>
  <si>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</si>
  <si>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</si>
  <si>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</si>
  <si>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</si>
  <si>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</si>
  <si>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</si>
  <si>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</si>
  <si>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</si>
  <si>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</si>
  <si>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</si>
  <si>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</si>
  <si>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</si>
  <si>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</si>
  <si>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</si>
  <si>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</si>
  <si>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</si>
  <si>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</si>
  <si>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</si>
  <si>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</si>
  <si>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</si>
  <si>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</si>
  <si>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</si>
  <si>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</si>
  <si>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</si>
  <si>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</si>
  <si>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</si>
  <si>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</si>
  <si>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</si>
  <si>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</si>
  <si>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</si>
  <si>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</si>
  <si>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</si>
  <si>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</si>
  <si>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</si>
  <si>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</si>
  <si>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</si>
  <si>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</si>
  <si>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</si>
  <si>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</si>
  <si>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</si>
  <si>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</si>
  <si>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</si>
  <si>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</si>
  <si>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</si>
  <si>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</si>
  <si>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</si>
  <si>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</si>
  <si>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</si>
  <si>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</si>
  <si>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</si>
  <si>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</si>
  <si>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</si>
  <si>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</si>
  <si>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</si>
  <si>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</si>
  <si>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</si>
  <si>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</si>
  <si>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</si>
  <si>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</si>
  <si>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</si>
  <si>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</si>
  <si>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</si>
  <si>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</si>
  <si>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</si>
  <si>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</si>
  <si>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</si>
  <si>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</si>
  <si>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</si>
  <si>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</si>
  <si>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</si>
  <si>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</si>
  <si>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</si>
  <si>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</si>
  <si>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</si>
  <si>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</si>
  <si>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</si>
  <si>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</si>
  <si>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</si>
  <si>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</si>
  <si>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</si>
  <si>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</si>
  <si>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</si>
  <si>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</si>
  <si>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</si>
  <si>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</si>
  <si>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</si>
  <si>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</si>
  <si>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</si>
  <si>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</si>
  <si>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</si>
  <si>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</si>
  <si>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</si>
  <si>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</si>
  <si>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</si>
  <si>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</si>
  <si>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</si>
  <si>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</si>
  <si>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</si>
  <si>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</si>
  <si>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</si>
  <si>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</si>
  <si>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</si>
  <si>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</si>
  <si>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</si>
  <si>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</si>
  <si>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</si>
  <si>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</si>
  <si>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</si>
  <si>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</si>
  <si>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</si>
  <si>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</si>
  <si>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</si>
  <si>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</si>
  <si>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</si>
  <si>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</si>
  <si>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</si>
  <si>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</si>
  <si>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</si>
  <si>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</si>
  <si>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</si>
  <si>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</si>
  <si>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</si>
  <si>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</si>
  <si>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</si>
  <si>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</si>
  <si>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</si>
  <si>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</si>
  <si>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</si>
  <si>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</si>
  <si>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</si>
  <si>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</si>
  <si>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</si>
  <si>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</si>
  <si>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</si>
  <si>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</si>
  <si>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</si>
  <si>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</si>
  <si>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</si>
  <si>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</si>
  <si>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</si>
  <si>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</si>
  <si>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</si>
  <si>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</si>
  <si>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</si>
  <si>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</si>
  <si>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</si>
  <si>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</si>
  <si>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</si>
  <si>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</si>
  <si>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</si>
  <si>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</si>
  <si>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</si>
  <si>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</si>
  <si>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</si>
  <si>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</si>
  <si>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</si>
  <si>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</si>
  <si>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</si>
  <si>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</si>
  <si>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</si>
  <si>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</si>
  <si>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</si>
  <si>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</si>
  <si>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</si>
  <si>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</si>
  <si>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</si>
  <si>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</si>
  <si>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</si>
  <si>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</si>
  <si>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</si>
  <si>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</si>
  <si>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</si>
  <si>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</si>
  <si>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</si>
  <si>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</si>
  <si>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</si>
  <si>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</si>
  <si>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</si>
  <si>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</si>
  <si>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</si>
  <si>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</si>
  <si>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</si>
  <si>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</si>
  <si>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</si>
  <si>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</si>
  <si>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</si>
  <si>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</si>
  <si>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</si>
  <si>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</si>
  <si>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</si>
  <si>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</si>
  <si>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</si>
  <si>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</si>
  <si>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</si>
  <si>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</si>
  <si>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</si>
  <si>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</si>
  <si>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</si>
  <si>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</si>
  <si>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</si>
  <si>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</si>
  <si>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</si>
  <si>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</si>
  <si>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</si>
  <si>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</si>
  <si>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</si>
  <si>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</si>
  <si>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</si>
  <si>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</si>
  <si>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</si>
  <si>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</si>
  <si>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</si>
  <si>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</si>
  <si>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</si>
  <si>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</si>
  <si>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</si>
  <si>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</si>
  <si>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</si>
  <si>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</si>
  <si>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</si>
  <si>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</si>
  <si>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</si>
  <si>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</si>
  <si>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</si>
  <si>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</si>
  <si>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</si>
  <si>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</si>
  <si>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</si>
  <si>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</si>
  <si>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</si>
  <si>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</si>
  <si>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</si>
  <si>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</si>
  <si>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</si>
  <si>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</si>
  <si>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</si>
  <si>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</si>
  <si>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</si>
  <si>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</si>
  <si>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</si>
  <si>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</si>
  <si>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</si>
  <si>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</si>
  <si>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</si>
  <si>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</si>
  <si>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</si>
  <si>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</si>
  <si>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</si>
  <si>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</si>
  <si>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</si>
  <si>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</si>
  <si>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</si>
  <si>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</si>
  <si>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</si>
  <si>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</si>
  <si>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</si>
  <si>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</si>
  <si>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</si>
  <si>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</si>
  <si>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</si>
  <si>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</si>
  <si>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</si>
  <si>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</si>
  <si>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</si>
  <si>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</si>
  <si>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</si>
  <si>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</si>
  <si>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</si>
  <si>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</si>
  <si>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</si>
  <si>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</si>
  <si>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</si>
  <si>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</si>
  <si>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</si>
  <si>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</si>
  <si>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</si>
  <si>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</si>
  <si>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</si>
  <si>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</si>
  <si>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</si>
  <si>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</si>
  <si>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</si>
  <si>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</si>
  <si>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</si>
  <si>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</si>
  <si>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</si>
  <si>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</si>
  <si>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</si>
  <si>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</si>
  <si>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</si>
  <si>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</si>
  <si>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</si>
  <si>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</si>
  <si>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</si>
  <si>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</si>
  <si>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</si>
  <si>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</si>
  <si>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</si>
  <si>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</si>
  <si>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</si>
  <si>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</si>
  <si>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</si>
  <si>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</si>
  <si>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</si>
  <si>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</si>
  <si>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</si>
  <si>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</si>
  <si>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</si>
  <si>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</si>
  <si>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</si>
  <si>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</si>
  <si>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</si>
  <si>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</si>
  <si>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</si>
  <si>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</si>
  <si>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</si>
  <si>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</si>
  <si>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</si>
  <si>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</si>
  <si>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</si>
  <si>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</si>
  <si>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</si>
  <si>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</si>
  <si>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</si>
  <si>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</si>
  <si>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</si>
  <si>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</si>
  <si>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</si>
  <si>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</si>
  <si>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</si>
  <si>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</si>
  <si>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</si>
  <si>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</si>
  <si>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</si>
  <si>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</si>
  <si>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</si>
  <si>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</si>
  <si>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</si>
  <si>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</si>
  <si>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</si>
  <si>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</si>
  <si>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</si>
  <si>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</si>
  <si>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</si>
  <si>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</si>
  <si>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</si>
  <si>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</si>
  <si>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</si>
  <si>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</si>
  <si>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</si>
  <si>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</si>
  <si>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</si>
  <si>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</si>
  <si>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</si>
  <si>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</si>
  <si>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</si>
  <si>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</si>
  <si>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</si>
  <si>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</si>
  <si>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</si>
  <si>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</si>
  <si>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</si>
  <si>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</si>
  <si>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</si>
  <si>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</si>
  <si>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</si>
  <si>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</si>
  <si>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</si>
  <si>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</si>
  <si>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</si>
  <si>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</si>
  <si>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</si>
  <si>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</si>
  <si>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</si>
  <si>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</si>
  <si>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</si>
  <si>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</si>
  <si>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</si>
  <si>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</si>
  <si>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</si>
  <si>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</si>
  <si>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</si>
  <si>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</si>
  <si>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</si>
  <si>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</si>
  <si>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</si>
  <si>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</si>
  <si>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</si>
  <si>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</si>
  <si>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</si>
  <si>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</si>
  <si>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</si>
  <si>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</si>
  <si>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</si>
  <si>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</si>
  <si>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</si>
  <si>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</si>
  <si>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</si>
  <si>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</si>
  <si>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</si>
  <si>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</si>
  <si>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</si>
  <si>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</si>
  <si>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</si>
  <si>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</si>
  <si>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</si>
  <si>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</si>
  <si>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</si>
  <si>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</si>
  <si>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</si>
  <si>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</si>
  <si>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</si>
  <si>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</si>
  <si>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</si>
  <si>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</si>
  <si>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</si>
  <si>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</si>
  <si>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</si>
  <si>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</si>
  <si>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</si>
  <si>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</si>
  <si>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</si>
  <si>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</si>
  <si>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</si>
  <si>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</si>
  <si>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</si>
  <si>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</si>
  <si>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</si>
  <si>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</si>
  <si>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</si>
  <si>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</si>
  <si>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</si>
  <si>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</si>
  <si>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</si>
  <si>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</si>
  <si>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</si>
  <si>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</si>
  <si>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</si>
  <si>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</si>
  <si>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</si>
  <si>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</si>
  <si>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</si>
  <si>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</si>
  <si>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</si>
  <si>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</si>
  <si>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</si>
  <si>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</si>
  <si>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</si>
  <si>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</si>
  <si>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</si>
  <si>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</si>
  <si>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</si>
  <si>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</si>
  <si>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</si>
  <si>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</si>
  <si>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</si>
  <si>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</si>
  <si>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</si>
  <si>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</si>
  <si>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</si>
  <si>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</si>
  <si>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</si>
  <si>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</si>
  <si>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</si>
  <si>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</si>
  <si>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</si>
  <si>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</si>
  <si>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</si>
  <si>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</si>
  <si>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</si>
  <si>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</si>
  <si>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</si>
  <si>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</si>
  <si>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</si>
  <si>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</si>
  <si>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</si>
  <si>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</si>
  <si>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</si>
  <si>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</si>
  <si>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</si>
  <si>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</si>
  <si>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</si>
  <si>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</si>
  <si>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</si>
  <si>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</si>
  <si>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</si>
  <si>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</si>
  <si>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</si>
  <si>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</si>
  <si>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</si>
  <si>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</si>
  <si>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</si>
  <si>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</si>
  <si>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</si>
  <si>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</si>
  <si>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</si>
  <si>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</si>
  <si>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</si>
  <si>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</si>
  <si>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</si>
  <si>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</si>
  <si>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</si>
  <si>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</si>
  <si>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</si>
  <si>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</si>
  <si>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</si>
  <si>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</si>
  <si>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</si>
  <si>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</si>
  <si>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</si>
  <si>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</si>
  <si>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</si>
  <si>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</si>
  <si>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</si>
  <si>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</si>
  <si>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</si>
  <si>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</si>
  <si>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</si>
  <si>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</si>
  <si>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</si>
  <si>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</si>
  <si>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</si>
  <si>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</si>
  <si>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</si>
  <si>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</si>
  <si>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</si>
  <si>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</si>
  <si>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</si>
  <si>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</si>
  <si>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</si>
  <si>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</si>
  <si>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</si>
  <si>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</si>
  <si>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</si>
  <si>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</si>
  <si>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</si>
  <si>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</si>
  <si>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</si>
  <si>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</si>
  <si>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</si>
  <si>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</si>
  <si>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</si>
  <si>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</si>
  <si>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</si>
  <si>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</si>
  <si>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</si>
  <si>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</si>
  <si>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</si>
  <si>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</si>
  <si>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</si>
  <si>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</si>
  <si>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</si>
  <si>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</si>
  <si>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</si>
  <si>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</si>
  <si>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</si>
  <si>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</si>
  <si>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</si>
  <si>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</si>
  <si>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</si>
  <si>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</si>
  <si>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</si>
  <si>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</si>
  <si>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</si>
  <si>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</si>
  <si>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</si>
  <si>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</si>
  <si>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</si>
  <si>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</si>
  <si>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</si>
  <si>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</si>
  <si>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</si>
  <si>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</si>
  <si>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</si>
  <si>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</si>
  <si>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</si>
  <si>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</si>
  <si>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</si>
  <si>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</si>
  <si>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</si>
  <si>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</si>
  <si>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</si>
  <si>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</si>
  <si>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</si>
  <si>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</si>
  <si>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</si>
  <si>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</si>
  <si>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</si>
  <si>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</si>
  <si>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</si>
  <si>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</si>
  <si>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</si>
  <si>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</si>
  <si>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</si>
  <si>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</si>
  <si>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</si>
  <si>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</si>
  <si>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</si>
  <si>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</si>
  <si>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</si>
  <si>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</si>
  <si>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</si>
  <si>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</si>
  <si>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</si>
  <si>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</si>
  <si>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</si>
  <si>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</si>
  <si>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</si>
  <si>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</si>
  <si>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</si>
  <si>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</si>
  <si>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</si>
  <si>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</si>
  <si>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</si>
  <si>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</si>
  <si>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</si>
  <si>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</si>
  <si>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</si>
  <si>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</si>
  <si>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</si>
  <si>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</si>
  <si>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</si>
  <si>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</si>
  <si>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</si>
  <si>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</si>
  <si>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</si>
  <si>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</si>
  <si>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</si>
  <si>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</si>
  <si>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</si>
  <si>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</si>
  <si>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</si>
  <si>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</si>
  <si>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</si>
  <si>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</si>
  <si>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</si>
  <si>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</si>
  <si>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</si>
  <si>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</si>
  <si>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</si>
  <si>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</si>
  <si>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</si>
  <si>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</si>
  <si>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</si>
  <si>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</si>
  <si>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</si>
  <si>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</si>
  <si>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</si>
  <si>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</si>
  <si>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</si>
  <si>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</si>
  <si>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</si>
  <si>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</si>
  <si>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</si>
  <si>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</si>
  <si>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</si>
  <si>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</si>
  <si>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</si>
  <si>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</si>
  <si>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</si>
  <si>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</si>
  <si>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</si>
  <si>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</si>
  <si>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</si>
  <si>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</si>
  <si>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</si>
  <si>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</si>
  <si>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</si>
  <si>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</si>
  <si>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</si>
  <si>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</si>
  <si>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</si>
  <si>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</si>
  <si>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</si>
  <si>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</si>
  <si>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</si>
  <si>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</si>
  <si>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</si>
  <si>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</si>
  <si>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</si>
  <si>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</si>
  <si>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</si>
  <si>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</si>
  <si>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</si>
  <si>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</si>
  <si>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</si>
  <si>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</si>
  <si>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</si>
  <si>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</si>
  <si>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</si>
  <si>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</si>
  <si>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</si>
  <si>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</si>
  <si>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</si>
  <si>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</si>
  <si>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</si>
  <si>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</si>
  <si>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</si>
  <si>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</si>
  <si>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</si>
  <si>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</si>
  <si>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</si>
  <si>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</si>
  <si>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</si>
  <si>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</si>
  <si>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</si>
  <si>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</si>
  <si>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</si>
  <si>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</si>
  <si>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</si>
  <si>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</si>
  <si>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</si>
  <si>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</si>
  <si>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</si>
  <si>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</si>
  <si>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</si>
  <si>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</si>
  <si>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</si>
  <si>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</si>
  <si>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</si>
  <si>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</si>
  <si>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</si>
  <si>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</si>
  <si>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</si>
  <si>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</si>
  <si>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</si>
  <si>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</si>
  <si>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</si>
  <si>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</si>
  <si>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</si>
  <si>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</si>
  <si>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</si>
  <si>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</si>
  <si>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</si>
  <si>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</si>
  <si>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</si>
  <si>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</si>
  <si>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</si>
  <si>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</si>
  <si>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</si>
  <si>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</si>
  <si>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</si>
  <si>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</si>
  <si>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</si>
  <si>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</si>
  <si>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</si>
  <si>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</si>
  <si>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</si>
  <si>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</si>
  <si>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</si>
  <si>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</si>
  <si>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</si>
  <si>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</si>
  <si>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</si>
  <si>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</si>
  <si>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</si>
  <si>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</si>
  <si>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</si>
  <si>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</si>
  <si>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</si>
  <si>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</si>
  <si>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</si>
  <si>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</si>
  <si>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</si>
  <si>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</si>
  <si>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</si>
  <si>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</si>
  <si>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</si>
  <si>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</si>
  <si>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</si>
  <si>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</si>
  <si>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</si>
  <si>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</si>
  <si>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</si>
  <si>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</si>
  <si>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</si>
  <si>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</si>
  <si>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</si>
  <si>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</si>
  <si>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</si>
  <si>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</si>
  <si>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</si>
  <si>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</si>
  <si>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</si>
  <si>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</si>
  <si>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</si>
  <si>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</si>
  <si>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</si>
  <si>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</si>
  <si>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</si>
  <si>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</si>
  <si>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</si>
  <si>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</si>
  <si>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</si>
  <si>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</si>
  <si>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</si>
  <si>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</si>
  <si>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</si>
  <si>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</si>
  <si>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</si>
  <si>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</si>
  <si>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</si>
  <si>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</si>
  <si>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</si>
  <si>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</si>
  <si>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</si>
  <si>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</si>
  <si>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</si>
  <si>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</si>
  <si>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</si>
  <si>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</si>
  <si>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</si>
  <si>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</si>
  <si>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</si>
  <si>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</si>
  <si>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</si>
  <si>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</si>
  <si>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</si>
  <si>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</si>
  <si>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</si>
  <si>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</si>
  <si>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</si>
  <si>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</si>
  <si>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</si>
  <si>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</si>
  <si>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</si>
  <si>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</si>
  <si>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</si>
  <si>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</si>
  <si>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</si>
  <si>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</si>
  <si>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</si>
  <si>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</si>
  <si>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</si>
  <si>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</si>
  <si>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</si>
  <si>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</si>
  <si>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</si>
  <si>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</si>
  <si>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</si>
  <si>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</si>
  <si>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</si>
  <si>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</si>
  <si>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</si>
  <si>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</si>
  <si>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</si>
  <si>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</si>
  <si>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</si>
  <si>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</si>
  <si>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</si>
  <si>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</si>
  <si>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</si>
  <si>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</si>
  <si>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</si>
  <si>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</si>
  <si>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</si>
  <si>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</si>
  <si>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</si>
  <si>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</si>
  <si>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</si>
  <si>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</si>
  <si>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</si>
  <si>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</si>
  <si>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</si>
  <si>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</si>
  <si>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</si>
  <si>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</si>
  <si>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</si>
  <si>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</si>
  <si>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</si>
  <si>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</si>
  <si>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</si>
  <si>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</si>
  <si>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</si>
  <si>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</si>
  <si>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</si>
  <si>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</si>
  <si>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</si>
  <si>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</si>
  <si>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</si>
  <si>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</si>
  <si>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</si>
  <si>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</si>
  <si>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</si>
  <si>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</si>
  <si>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</si>
  <si>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</si>
  <si>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</si>
  <si>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</si>
  <si>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</si>
  <si>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</si>
  <si>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</si>
  <si>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</si>
  <si>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</si>
  <si>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</si>
  <si>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</si>
  <si>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</si>
  <si>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</si>
  <si>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</si>
  <si>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</si>
  <si>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</si>
  <si>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</si>
  <si>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</si>
  <si>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</si>
  <si>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</si>
  <si>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</si>
  <si>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</si>
  <si>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</si>
  <si>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</si>
  <si>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</si>
  <si>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</si>
  <si>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</si>
  <si>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</si>
  <si>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</si>
  <si>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</si>
  <si>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</si>
  <si>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</si>
  <si>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</si>
  <si>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</si>
  <si>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</si>
  <si>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</si>
  <si>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</si>
  <si>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</si>
  <si>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</si>
  <si>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</si>
  <si>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</si>
  <si>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</si>
  <si>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</si>
  <si>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</si>
  <si>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</si>
  <si>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</si>
  <si>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</si>
  <si>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</si>
  <si>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</si>
  <si>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</si>
  <si>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</si>
  <si>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</si>
  <si>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</si>
  <si>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</si>
  <si>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</si>
  <si>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</si>
  <si>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</si>
  <si>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</si>
  <si>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</si>
  <si>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</si>
  <si>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</si>
  <si>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</si>
  <si>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</si>
  <si>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</si>
  <si>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</si>
  <si>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</si>
  <si>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</si>
  <si>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</si>
  <si>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</si>
  <si>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</si>
  <si>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</si>
  <si>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</si>
  <si>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</si>
  <si>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</si>
  <si>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</si>
  <si>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</si>
  <si>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</si>
  <si>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</si>
  <si>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</si>
  <si>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</si>
  <si>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</si>
  <si>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</si>
  <si>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</si>
  <si>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</si>
  <si>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</si>
  <si>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</si>
  <si>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</si>
  <si>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</si>
  <si>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</si>
  <si>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</si>
  <si>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</si>
  <si>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</si>
  <si>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</si>
  <si>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</si>
  <si>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</si>
  <si>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</si>
  <si>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</si>
  <si>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</si>
  <si>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</si>
  <si>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</si>
  <si>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</si>
  <si>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</si>
  <si>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</si>
  <si>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</si>
  <si>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</si>
  <si>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</si>
  <si>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</si>
  <si>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</si>
  <si>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</si>
  <si>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</si>
  <si>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</si>
  <si>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</si>
  <si>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</si>
  <si>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</si>
  <si>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</si>
  <si>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</si>
  <si>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</si>
  <si>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</si>
  <si>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</si>
  <si>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</si>
  <si>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</si>
  <si>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</si>
  <si>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</si>
  <si>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</si>
  <si>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</si>
  <si>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</si>
  <si>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</si>
  <si>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</si>
  <si>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</si>
  <si>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</si>
  <si>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</si>
  <si>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</si>
  <si>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</si>
  <si>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</si>
  <si>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</si>
  <si>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</si>
  <si>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</si>
  <si>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</si>
  <si>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</si>
  <si>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</si>
  <si>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</si>
  <si>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</si>
  <si>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</si>
  <si>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</si>
  <si>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</si>
  <si>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</si>
  <si>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</si>
  <si>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</si>
  <si>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</si>
  <si>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</si>
  <si>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</si>
  <si>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</si>
  <si>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</si>
  <si>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</si>
  <si>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</si>
  <si>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</si>
  <si>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</si>
  <si>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</si>
  <si>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</si>
  <si>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</si>
  <si>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</si>
  <si>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</si>
  <si>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</si>
  <si>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</si>
  <si>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</si>
  <si>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</si>
  <si>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</si>
  <si>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</si>
  <si>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</si>
  <si>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</si>
  <si>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</si>
  <si>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</si>
  <si>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</si>
  <si>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</si>
  <si>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</si>
  <si>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</si>
  <si>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</si>
  <si>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</si>
  <si>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</si>
  <si>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</si>
  <si>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</si>
  <si>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</si>
  <si>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</si>
  <si>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</si>
  <si>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</si>
  <si>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</si>
  <si>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</si>
  <si>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</si>
  <si>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</si>
  <si>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</si>
  <si>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</si>
  <si>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</si>
  <si>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</si>
  <si>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</si>
  <si>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</si>
  <si>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</si>
  <si>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</si>
  <si>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</si>
  <si>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</si>
  <si>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</si>
  <si>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</si>
  <si>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</si>
  <si>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</si>
  <si>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</si>
  <si>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</si>
  <si>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</si>
  <si>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</si>
  <si>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</si>
  <si>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</si>
  <si>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</si>
  <si>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</si>
  <si>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</si>
  <si>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</si>
  <si>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</si>
  <si>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</si>
  <si>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</si>
  <si>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</si>
  <si>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</si>
  <si>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</si>
  <si>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</si>
  <si>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</si>
  <si>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</si>
  <si>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</si>
  <si>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</si>
  <si>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</si>
  <si>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</si>
  <si>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</si>
  <si>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</si>
  <si>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</si>
  <si>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</si>
  <si>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</si>
  <si>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</si>
  <si>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</si>
  <si>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</si>
  <si>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</si>
  <si>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</si>
  <si>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</si>
  <si>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</si>
  <si>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</si>
  <si>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</si>
  <si>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</si>
  <si>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</si>
  <si>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</si>
  <si>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</si>
  <si>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</si>
  <si>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</si>
  <si>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</si>
  <si>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</si>
  <si>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</si>
  <si>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</si>
  <si>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</si>
  <si>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</si>
  <si>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</si>
  <si>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</si>
  <si>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</si>
  <si>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</si>
  <si>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</si>
  <si>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</si>
  <si>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</si>
  <si>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</si>
  <si>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</si>
  <si>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</si>
  <si>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</si>
  <si>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</si>
  <si>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</si>
  <si>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</si>
  <si>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</si>
  <si>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</si>
  <si>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</si>
  <si>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</si>
  <si>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</si>
  <si>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</si>
  <si>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</si>
  <si>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</si>
  <si>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</si>
  <si>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</si>
  <si>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</si>
  <si>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</si>
  <si>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</si>
  <si>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</si>
  <si>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</si>
  <si>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</si>
  <si>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</si>
  <si>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</si>
  <si>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</si>
  <si>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</si>
  <si>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</si>
  <si>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</si>
  <si>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</si>
  <si>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</si>
  <si>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</si>
  <si>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</si>
  <si>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</si>
  <si>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</si>
  <si>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</si>
  <si>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</si>
  <si>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</si>
  <si>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</si>
  <si>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</si>
  <si>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</si>
  <si>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</si>
  <si>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</si>
  <si>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</si>
  <si>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</si>
  <si>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</si>
  <si>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</si>
  <si>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</si>
  <si>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</si>
  <si>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</si>
  <si>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</si>
  <si>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</si>
  <si>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</si>
  <si>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</si>
  <si>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</si>
  <si>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</si>
  <si>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</si>
  <si>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</si>
  <si>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</si>
  <si>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</si>
  <si>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</si>
  <si>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</si>
  <si>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</si>
  <si>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</si>
  <si>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</si>
  <si>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</si>
  <si>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</si>
  <si>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</si>
  <si>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</si>
  <si>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</si>
  <si>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</si>
  <si>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</si>
  <si>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</si>
  <si>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</si>
  <si>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</si>
  <si>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</si>
  <si>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</si>
  <si>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</si>
  <si>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</si>
  <si>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</si>
  <si>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</si>
  <si>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</si>
  <si>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</si>
  <si>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</si>
  <si>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</si>
  <si>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</si>
  <si>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</si>
  <si>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</si>
  <si>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</si>
  <si>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</si>
  <si>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</si>
  <si>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</si>
  <si>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</si>
  <si>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</si>
  <si>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</si>
  <si>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</si>
  <si>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</si>
  <si>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</si>
  <si>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</si>
  <si>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</si>
  <si>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</si>
  <si>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</si>
  <si>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</si>
  <si>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</si>
  <si>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</si>
  <si>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</si>
  <si>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</si>
  <si>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</si>
  <si>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</si>
  <si>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</si>
  <si>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</si>
  <si>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</si>
  <si>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</si>
  <si>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</si>
  <si>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</si>
  <si>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</si>
  <si>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</si>
  <si>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</si>
  <si>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</si>
  <si>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</si>
  <si>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</si>
  <si>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</si>
  <si>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</si>
  <si>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</si>
  <si>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</si>
  <si>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</si>
  <si>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</si>
  <si>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</si>
  <si>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</si>
  <si>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</si>
  <si>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</si>
  <si>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</si>
  <si>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</si>
  <si>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</si>
  <si>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</si>
  <si>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</si>
  <si>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</si>
  <si>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</si>
  <si>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</si>
  <si>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</si>
  <si>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</si>
  <si>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</si>
  <si>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</si>
  <si>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</si>
  <si>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</si>
  <si>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</si>
  <si>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</si>
  <si>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</si>
  <si>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</si>
  <si>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</si>
  <si>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</si>
  <si>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</si>
  <si>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</si>
  <si>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</si>
  <si>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</si>
  <si>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</si>
  <si>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</si>
  <si>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</si>
  <si>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</si>
  <si>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</si>
  <si>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</si>
  <si>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</si>
  <si>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</si>
  <si>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</si>
  <si>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</si>
  <si>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</si>
  <si>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</si>
  <si>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</si>
  <si>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</si>
  <si>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</si>
  <si>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</si>
  <si>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</si>
  <si>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</si>
  <si>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</si>
  <si>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</si>
  <si>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</si>
  <si>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</si>
  <si>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</si>
  <si>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</si>
  <si>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</si>
  <si>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</si>
  <si>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</si>
  <si>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</si>
  <si>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</si>
  <si>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</si>
  <si>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</si>
  <si>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</si>
  <si>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</si>
  <si>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</si>
  <si>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</si>
  <si>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</si>
  <si>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</si>
  <si>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</si>
  <si>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</si>
  <si>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</si>
  <si>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</si>
  <si>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</si>
  <si>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</si>
  <si>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</si>
  <si>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</si>
  <si>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</si>
  <si>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</si>
  <si>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</si>
  <si>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</si>
  <si>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</si>
  <si>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</si>
  <si>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</si>
  <si>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</si>
  <si>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</si>
  <si>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</si>
  <si>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</si>
  <si>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</si>
  <si>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</si>
  <si>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</si>
  <si>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</si>
  <si>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</si>
  <si>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</si>
  <si>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</si>
  <si>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</si>
  <si>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</si>
  <si>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</si>
  <si>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</si>
  <si>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</si>
  <si>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</si>
  <si>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</si>
  <si>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</si>
  <si>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</si>
  <si>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</si>
  <si>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</si>
  <si>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</si>
  <si>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</si>
  <si>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</si>
  <si>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</si>
  <si>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</si>
  <si>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</si>
  <si>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</si>
  <si>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</si>
  <si>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</si>
  <si>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</si>
  <si>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</si>
  <si>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</si>
  <si>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</si>
  <si>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</si>
  <si>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</si>
  <si>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</si>
  <si>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</si>
  <si>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</si>
  <si>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</si>
  <si>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</si>
  <si>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</si>
  <si>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</si>
  <si>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</si>
  <si>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</si>
  <si>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</si>
  <si>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</si>
  <si>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</si>
  <si>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</si>
  <si>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</si>
  <si>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</si>
  <si>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</si>
  <si>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</si>
  <si>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</si>
  <si>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</si>
  <si>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</si>
  <si>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</si>
  <si>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</si>
  <si>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</si>
  <si>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</si>
  <si>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</si>
  <si>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</si>
  <si>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</si>
  <si>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</si>
  <si>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</si>
  <si>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</si>
  <si>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</si>
  <si>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</si>
  <si>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</si>
  <si>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</si>
  <si>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</si>
  <si>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</si>
  <si>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</si>
  <si>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</si>
  <si>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</si>
  <si>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</si>
  <si>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</si>
  <si>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</si>
  <si>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</si>
  <si>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</si>
  <si>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</si>
  <si>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</si>
  <si>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</si>
  <si>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</si>
  <si>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</si>
  <si>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</si>
  <si>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</si>
  <si>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</si>
  <si>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</si>
  <si>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</si>
  <si>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</si>
  <si>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</si>
  <si>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</si>
  <si>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</si>
  <si>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</si>
  <si>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</si>
  <si>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</si>
  <si>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</si>
  <si>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</si>
  <si>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</si>
  <si>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</si>
  <si>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</si>
  <si>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</si>
  <si>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</si>
  <si>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</si>
  <si>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</si>
  <si>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</si>
  <si>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</si>
  <si>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</si>
  <si>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</si>
  <si>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</si>
  <si>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</si>
  <si>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</si>
  <si>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</si>
  <si>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</si>
  <si>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</si>
  <si>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</si>
  <si>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</si>
  <si>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</si>
  <si>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</si>
  <si>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</si>
  <si>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</si>
  <si>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</si>
  <si>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</si>
  <si>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</si>
  <si>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</si>
  <si>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</si>
  <si>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</si>
  <si>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</si>
  <si>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</si>
  <si>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</si>
  <si>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</si>
  <si>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</si>
  <si>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</si>
  <si>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</si>
  <si>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</si>
  <si>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</si>
  <si>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</si>
  <si>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</si>
  <si>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</si>
  <si>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</si>
  <si>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</si>
  <si>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</si>
  <si>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</si>
  <si>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</si>
  <si>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</si>
  <si>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</si>
  <si>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</si>
  <si>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</si>
  <si>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</si>
  <si>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</si>
  <si>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</si>
  <si>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</si>
  <si>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</si>
  <si>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</si>
  <si>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</si>
  <si>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</si>
  <si>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</si>
  <si>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</si>
  <si>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</si>
  <si>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</si>
  <si>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</si>
  <si>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</si>
  <si>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</si>
  <si>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</si>
  <si>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</si>
  <si>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</si>
  <si>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</si>
  <si>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</si>
  <si>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</si>
  <si>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</si>
  <si>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</si>
  <si>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</si>
  <si>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</si>
  <si>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</si>
  <si>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</si>
  <si>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</si>
  <si>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</si>
  <si>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</si>
  <si>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</si>
  <si>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</si>
  <si>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</si>
  <si>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</si>
  <si>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</si>
  <si>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</si>
  <si>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</si>
  <si>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</si>
  <si>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</si>
  <si>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</si>
  <si>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</si>
  <si>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</si>
  <si>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</si>
  <si>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</si>
  <si>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</si>
  <si>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</si>
  <si>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</si>
  <si>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</si>
  <si>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</si>
  <si>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</si>
  <si>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</si>
  <si>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</si>
  <si>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</si>
  <si>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</si>
  <si>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</si>
  <si>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</si>
  <si>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</si>
  <si>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</si>
  <si>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</si>
  <si>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</si>
  <si>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</si>
  <si>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</si>
  <si>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</si>
  <si>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</si>
  <si>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</si>
  <si>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</si>
  <si>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</si>
  <si>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</si>
  <si>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</si>
  <si>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</si>
  <si>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</si>
  <si>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</si>
  <si>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</si>
  <si>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</si>
  <si>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</si>
  <si>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</si>
  <si>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</si>
  <si>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</si>
  <si>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</si>
  <si>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</si>
  <si>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</si>
  <si>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</si>
  <si>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</si>
  <si>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</si>
  <si>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</si>
  <si>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</si>
  <si>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</si>
  <si>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</si>
  <si>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</si>
  <si>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</si>
  <si>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</si>
  <si>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</si>
  <si>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</si>
  <si>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</si>
  <si>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</si>
  <si>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</si>
  <si>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</si>
  <si>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</si>
  <si>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</si>
  <si>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</si>
  <si>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</si>
  <si>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</si>
  <si>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</si>
  <si>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</si>
  <si>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</si>
  <si>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</si>
  <si>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</si>
  <si>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</si>
  <si>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</si>
  <si>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</si>
  <si>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</si>
  <si>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</si>
  <si>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</si>
  <si>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</si>
  <si>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</si>
  <si>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</si>
  <si>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</si>
  <si>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</si>
  <si>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</si>
  <si>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</si>
  <si>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</si>
  <si>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</si>
  <si>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</si>
  <si>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</si>
  <si>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</si>
  <si>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</si>
  <si>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</si>
  <si>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</si>
  <si>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</si>
  <si>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</si>
  <si>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</si>
  <si>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</si>
  <si>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</si>
  <si>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</si>
  <si>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</si>
  <si>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</si>
  <si>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</si>
  <si>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</si>
  <si>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</si>
  <si>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</si>
  <si>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</si>
  <si>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</si>
  <si>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</si>
  <si>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</si>
  <si>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</si>
  <si>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</si>
  <si>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</si>
  <si>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</si>
  <si>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</si>
  <si>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</si>
  <si>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</si>
  <si>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</si>
  <si>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</si>
  <si>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</si>
  <si>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</si>
  <si>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</si>
  <si>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</si>
  <si>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</si>
  <si>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</si>
  <si>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</si>
  <si>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</si>
  <si>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</si>
  <si>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</si>
  <si>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</si>
  <si>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</si>
  <si>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</si>
  <si>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</si>
  <si>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</si>
  <si>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</si>
  <si>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</si>
  <si>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</si>
  <si>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</si>
  <si>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</si>
  <si>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</si>
  <si>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</si>
  <si>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</si>
  <si>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</si>
  <si>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</si>
  <si>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</si>
  <si>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</si>
  <si>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</si>
  <si>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</si>
  <si>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</si>
  <si>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</si>
  <si>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</si>
  <si>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</si>
  <si>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</si>
  <si>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</si>
  <si>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</si>
  <si>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</si>
  <si>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</si>
  <si>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</si>
  <si>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</si>
  <si>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</si>
  <si>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</si>
  <si>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</si>
  <si>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</si>
  <si>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</si>
  <si>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</si>
  <si>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</si>
  <si>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</si>
  <si>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</si>
  <si>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</si>
  <si>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</si>
  <si>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</si>
  <si>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</si>
  <si>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</si>
  <si>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</si>
  <si>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</si>
  <si>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</si>
  <si>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</si>
  <si>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</si>
  <si>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</si>
  <si>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</si>
  <si>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</si>
  <si>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</si>
  <si>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</si>
  <si>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</si>
  <si>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</si>
  <si>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</si>
  <si>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</si>
  <si>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</si>
  <si>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</si>
  <si>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</si>
  <si>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</si>
  <si>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</si>
  <si>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</si>
  <si>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</si>
  <si>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</si>
  <si>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</si>
  <si>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</si>
  <si>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</si>
  <si>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</si>
  <si>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</si>
  <si>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</si>
  <si>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</si>
  <si>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</si>
  <si>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</si>
  <si>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</si>
  <si>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</si>
  <si>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</si>
  <si>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</si>
  <si>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</si>
  <si>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</si>
  <si>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</si>
  <si>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</si>
  <si>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</si>
  <si>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</si>
  <si>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</si>
  <si>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</si>
  <si>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</si>
  <si>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</si>
  <si>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</si>
  <si>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</si>
  <si>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</si>
  <si>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</si>
  <si>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</si>
  <si>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</si>
  <si>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</si>
  <si>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</si>
  <si>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</si>
  <si>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</si>
  <si>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</si>
  <si>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</si>
  <si>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</si>
  <si>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</si>
  <si>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</si>
  <si>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</si>
  <si>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</si>
  <si>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</si>
  <si>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</si>
  <si>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</si>
  <si>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</si>
  <si>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</si>
  <si>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</si>
  <si>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</si>
  <si>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</si>
  <si>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</si>
  <si>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</si>
  <si>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</si>
  <si>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</si>
  <si>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</si>
  <si>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</si>
  <si>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</si>
  <si>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</si>
  <si>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</si>
  <si>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</si>
  <si>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</si>
  <si>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</si>
  <si>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</si>
  <si>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</si>
  <si>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</si>
  <si>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</si>
  <si>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</si>
  <si>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</si>
  <si>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</si>
  <si>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</si>
  <si>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</si>
  <si>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</si>
  <si>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</si>
  <si>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</si>
  <si>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</si>
  <si>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</si>
  <si>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</si>
  <si>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</si>
  <si>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</si>
  <si>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</si>
  <si>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</si>
  <si>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</si>
  <si>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</si>
  <si>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</si>
  <si>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</si>
  <si>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</si>
  <si>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</si>
  <si>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</si>
  <si>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</si>
  <si>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</si>
  <si>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</si>
  <si>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</si>
  <si>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</si>
  <si>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</si>
  <si>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</si>
  <si>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</si>
  <si>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</si>
  <si>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</si>
  <si>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</si>
  <si>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</si>
  <si>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</si>
  <si>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</si>
  <si>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</si>
  <si>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</si>
  <si>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</si>
  <si>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</si>
  <si>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</si>
  <si>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</si>
  <si>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</si>
  <si>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</si>
  <si>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</si>
  <si>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</si>
  <si>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</si>
  <si>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</si>
  <si>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</si>
  <si>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</si>
  <si>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</si>
  <si>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</si>
  <si>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</si>
  <si>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</si>
  <si>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</si>
  <si>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</si>
  <si>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</si>
  <si>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</si>
  <si>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</si>
  <si>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</si>
  <si>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</si>
  <si>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</si>
  <si>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</si>
  <si>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</si>
  <si>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</si>
  <si>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</si>
  <si>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</si>
  <si>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</si>
  <si>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</si>
  <si>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</si>
  <si>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</si>
  <si>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</si>
  <si>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</si>
  <si>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</si>
  <si>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</si>
  <si>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</si>
  <si>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</si>
  <si>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</si>
  <si>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</si>
  <si>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</si>
  <si>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</si>
  <si>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</si>
  <si>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</si>
  <si>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</si>
  <si>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</si>
  <si>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</si>
  <si>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</si>
  <si>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</si>
  <si>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</si>
  <si>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</si>
  <si>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</si>
  <si>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</si>
  <si>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</si>
  <si>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</si>
  <si>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</si>
  <si>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</si>
  <si>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</si>
  <si>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</si>
  <si>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</si>
  <si>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</si>
  <si>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</si>
  <si>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</si>
  <si>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</si>
  <si>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</si>
  <si>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</si>
  <si>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</si>
  <si>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</si>
  <si>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</si>
  <si>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</si>
  <si>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</si>
  <si>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</si>
  <si>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</si>
  <si>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</si>
  <si>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</si>
  <si>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</si>
  <si>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</si>
  <si>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</si>
  <si>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</si>
  <si>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</si>
  <si>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</si>
  <si>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</si>
  <si>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</si>
  <si>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</si>
  <si>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</si>
  <si>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</si>
  <si>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</si>
  <si>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</si>
  <si>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</si>
  <si>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</si>
  <si>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</si>
  <si>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</si>
  <si>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</si>
  <si>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</si>
  <si>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</si>
  <si>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</si>
  <si>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</si>
  <si>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</si>
  <si>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</si>
  <si>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</si>
  <si>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</si>
  <si>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</si>
  <si>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</si>
  <si>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</si>
  <si>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</si>
  <si>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</si>
  <si>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</si>
  <si>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</si>
  <si>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</si>
  <si>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</si>
  <si>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</si>
  <si>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</si>
  <si>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</si>
  <si>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</si>
  <si>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</si>
  <si>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</si>
  <si>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</si>
  <si>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</si>
  <si>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</si>
  <si>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</si>
  <si>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</si>
  <si>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</si>
  <si>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</si>
  <si>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</si>
  <si>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</si>
  <si>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</si>
  <si>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</si>
  <si>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</si>
  <si>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</si>
  <si>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</si>
  <si>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</si>
  <si>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</si>
  <si>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</si>
  <si>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</si>
  <si>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</si>
  <si>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</si>
  <si>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</si>
  <si>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</si>
  <si>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</si>
  <si>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</si>
  <si>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</si>
  <si>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</si>
  <si>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</si>
  <si>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</si>
  <si>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</si>
  <si>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</si>
  <si>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</si>
  <si>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</si>
  <si>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</si>
  <si>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</si>
  <si>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</si>
  <si>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</si>
  <si>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</si>
  <si>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</si>
  <si>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</si>
  <si>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</si>
  <si>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</si>
  <si>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</si>
  <si>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</si>
  <si>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</si>
  <si>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</si>
  <si>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</si>
  <si>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</si>
  <si>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</si>
  <si>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</si>
  <si>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</si>
  <si>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</si>
  <si>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</si>
  <si>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</si>
  <si>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</si>
  <si>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</si>
  <si>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</si>
  <si>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</si>
  <si>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</si>
  <si>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</si>
  <si>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</si>
  <si>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</si>
  <si>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</si>
  <si>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</si>
  <si>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</si>
  <si>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</si>
  <si>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</si>
  <si>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</si>
  <si>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</si>
  <si>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</si>
  <si>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</si>
  <si>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</si>
  <si>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</si>
  <si>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</si>
  <si>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</si>
  <si>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</si>
  <si>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</si>
  <si>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</si>
  <si>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</si>
  <si>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</si>
  <si>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</si>
  <si>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</si>
  <si>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</si>
  <si>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</si>
  <si>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</si>
  <si>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</si>
  <si>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</si>
  <si>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</si>
  <si>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</si>
  <si>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</si>
  <si>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</si>
  <si>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</si>
  <si>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</si>
  <si>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</si>
  <si>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</si>
  <si>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</si>
  <si>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</si>
  <si>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</si>
  <si>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</si>
  <si>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</si>
  <si>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</si>
  <si>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</si>
  <si>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</si>
  <si>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</si>
  <si>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</si>
  <si>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</si>
  <si>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</si>
  <si>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</si>
  <si>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</si>
  <si>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</si>
  <si>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</si>
  <si>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</si>
  <si>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</si>
  <si>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</si>
  <si>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</si>
  <si>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</si>
  <si>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</si>
  <si>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</si>
  <si>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</si>
  <si>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</si>
  <si>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</si>
  <si>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</si>
  <si>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</si>
  <si>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</si>
  <si>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</si>
  <si>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</si>
  <si>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</si>
  <si>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</si>
  <si>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</si>
  <si>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</si>
  <si>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</si>
  <si>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</si>
  <si>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</si>
  <si>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</si>
  <si>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</si>
  <si>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</si>
  <si>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</si>
  <si>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</si>
  <si>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</si>
  <si>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</si>
  <si>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</si>
  <si>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</si>
  <si>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</si>
  <si>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</si>
  <si>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</si>
  <si>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</si>
  <si>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</si>
  <si>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</si>
  <si>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</si>
  <si>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</si>
  <si>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</si>
  <si>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</si>
  <si>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</si>
  <si>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</si>
  <si>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</si>
  <si>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</si>
  <si>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</si>
  <si>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</si>
  <si>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</si>
  <si>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</si>
  <si>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</si>
  <si>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</si>
  <si>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</si>
  <si>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</si>
  <si>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</si>
  <si>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</si>
  <si>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</si>
  <si>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</si>
  <si>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</si>
  <si>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</si>
  <si>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</si>
  <si>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</si>
  <si>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</si>
  <si>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</si>
  <si>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</si>
  <si>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</si>
  <si>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</si>
  <si>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</si>
  <si>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</si>
  <si>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</si>
  <si>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</si>
  <si>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</si>
  <si>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</si>
  <si>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</si>
  <si>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</si>
  <si>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</si>
  <si>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</si>
  <si>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</si>
  <si>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</si>
  <si>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</si>
  <si>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</si>
  <si>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</si>
  <si>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</si>
  <si>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</si>
  <si>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</si>
  <si>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</si>
  <si>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</si>
  <si>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</si>
  <si>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</si>
  <si>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</si>
  <si>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</si>
  <si>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</si>
  <si>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</si>
  <si>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</si>
  <si>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</si>
  <si>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</si>
  <si>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</si>
  <si>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</si>
  <si>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</si>
  <si>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</si>
  <si>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</si>
  <si>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</si>
  <si>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</si>
  <si>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</si>
  <si>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</si>
  <si>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</si>
  <si>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</si>
  <si>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</si>
  <si>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</si>
  <si>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</si>
  <si>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</si>
  <si>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</si>
  <si>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</si>
  <si>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</si>
  <si>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</si>
  <si>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</si>
  <si>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</si>
  <si>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</si>
  <si>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</si>
  <si>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</si>
  <si>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</si>
  <si>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</si>
  <si>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</si>
  <si>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</si>
  <si>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</si>
  <si>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</si>
  <si>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</si>
  <si>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</si>
  <si>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</si>
  <si>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</si>
  <si>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</si>
  <si>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</si>
  <si>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</si>
  <si>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</si>
  <si>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</si>
  <si>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</si>
  <si>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</si>
  <si>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</si>
  <si>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</si>
  <si>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</si>
  <si>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</si>
  <si>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</si>
  <si>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</si>
  <si>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</si>
  <si>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</si>
  <si>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</si>
  <si>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</si>
  <si>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</si>
  <si>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</si>
  <si>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</si>
  <si>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</si>
  <si>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</si>
  <si>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</si>
  <si>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</si>
  <si>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</si>
  <si>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</si>
  <si>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</si>
  <si>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</si>
  <si>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</si>
  <si>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</si>
  <si>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</si>
  <si>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</si>
  <si>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</si>
  <si>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</si>
  <si>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</si>
  <si>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</si>
  <si>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</si>
  <si>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</si>
  <si>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</si>
  <si>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</si>
  <si>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</si>
  <si>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</si>
  <si>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</si>
  <si>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</si>
  <si>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</si>
  <si>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</si>
  <si>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</si>
  <si>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</si>
  <si>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</si>
  <si>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</si>
  <si>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</si>
  <si>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</si>
  <si>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</si>
  <si>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</si>
  <si>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</si>
  <si>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</si>
  <si>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</si>
  <si>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</si>
  <si>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</si>
  <si>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</si>
  <si>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</si>
  <si>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</si>
  <si>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</si>
  <si>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</si>
  <si>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</si>
  <si>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</si>
  <si>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</si>
  <si>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</si>
  <si>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</si>
  <si>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</si>
  <si>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</si>
  <si>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</si>
  <si>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</si>
  <si>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</si>
  <si>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</si>
  <si>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</si>
  <si>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</si>
  <si>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</si>
  <si>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</si>
  <si>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</si>
  <si>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</si>
  <si>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</si>
  <si>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</si>
  <si>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</si>
  <si>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</si>
  <si>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</si>
  <si>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</si>
  <si>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</si>
  <si>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</si>
  <si>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</si>
  <si>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</si>
  <si>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</si>
  <si>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</si>
  <si>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</si>
  <si>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</si>
  <si>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</si>
  <si>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</si>
  <si>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</si>
  <si>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</si>
  <si>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</si>
  <si>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</si>
  <si>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</si>
  <si>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</si>
  <si>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</si>
  <si>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</si>
  <si>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</si>
  <si>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</si>
  <si>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</si>
  <si>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</si>
  <si>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</si>
  <si>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</si>
  <si>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</si>
  <si>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</si>
  <si>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</si>
  <si>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</si>
  <si>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</si>
  <si>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</si>
  <si>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</si>
  <si>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</si>
  <si>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</si>
  <si>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</si>
  <si>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</si>
  <si>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</si>
  <si>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</si>
  <si>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</si>
  <si>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</si>
  <si>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</si>
  <si>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</si>
  <si>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</si>
  <si>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</si>
  <si>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</si>
  <si>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</si>
  <si>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</si>
  <si>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</si>
  <si>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</si>
  <si>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</si>
  <si>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</si>
  <si>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</si>
  <si>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</si>
  <si>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</si>
  <si>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</si>
  <si>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</si>
  <si>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</si>
  <si>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</si>
  <si>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</si>
  <si>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</si>
  <si>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</si>
  <si>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</si>
  <si>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</si>
  <si>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</si>
  <si>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</si>
  <si>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</si>
  <si>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</si>
  <si>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</si>
  <si>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</si>
  <si>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</si>
  <si>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</si>
  <si>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</si>
  <si>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</si>
  <si>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</si>
  <si>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</si>
  <si>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</si>
  <si>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</si>
  <si>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</si>
  <si>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</si>
  <si>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</si>
  <si>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</si>
  <si>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</si>
  <si>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</si>
  <si>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</si>
  <si>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</si>
  <si>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</si>
  <si>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</si>
  <si>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</si>
  <si>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</si>
  <si>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</si>
  <si>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</si>
  <si>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</si>
  <si>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</si>
  <si>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</si>
  <si>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</si>
  <si>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</si>
  <si>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</si>
  <si>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</si>
  <si>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</si>
  <si>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</si>
  <si>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</si>
  <si>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</si>
  <si>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</si>
  <si>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</si>
  <si>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</si>
  <si>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</si>
  <si>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</si>
  <si>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</si>
  <si>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</si>
  <si>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</si>
  <si>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</si>
  <si>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</si>
  <si>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</si>
  <si>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</si>
  <si>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</si>
  <si>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</si>
  <si>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</si>
  <si>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</si>
  <si>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</si>
  <si>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</si>
  <si>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</si>
  <si>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</si>
  <si>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</si>
  <si>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</si>
  <si>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</si>
  <si>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</si>
  <si>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</si>
  <si>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</si>
  <si>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</si>
  <si>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</si>
  <si>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</si>
  <si>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</si>
  <si>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</si>
  <si>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</si>
  <si>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</si>
  <si>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</si>
  <si>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</si>
  <si>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</si>
  <si>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</si>
  <si>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</si>
  <si>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</si>
  <si>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</si>
  <si>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</si>
  <si>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</si>
  <si>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</si>
  <si>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</si>
  <si>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</si>
  <si>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</si>
  <si>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</si>
  <si>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</si>
  <si>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</si>
  <si>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</si>
  <si>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</si>
  <si>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</si>
  <si>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</si>
  <si>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</si>
  <si>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</si>
  <si>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</si>
  <si>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</si>
  <si>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</si>
  <si>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</si>
  <si>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</si>
  <si>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</si>
  <si>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</si>
  <si>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</si>
  <si>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</si>
  <si>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</si>
  <si>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</si>
  <si>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</si>
  <si>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</si>
  <si>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</si>
  <si>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</si>
  <si>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</si>
  <si>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</si>
  <si>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</si>
  <si>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</si>
  <si>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</si>
  <si>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</si>
  <si>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</si>
  <si>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</si>
  <si>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</si>
  <si>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</si>
  <si>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</si>
  <si>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</si>
  <si>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</si>
  <si>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</si>
  <si>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</si>
  <si>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</si>
  <si>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</si>
  <si>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</si>
  <si>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</si>
  <si>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</si>
  <si>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</si>
  <si>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</si>
  <si>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</si>
  <si>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</si>
  <si>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</si>
  <si>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</si>
  <si>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</si>
  <si>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</si>
  <si>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</si>
  <si>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</si>
  <si>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</si>
  <si>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</si>
  <si>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</si>
  <si>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</si>
  <si>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</si>
  <si>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</si>
  <si>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</si>
  <si>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</si>
  <si>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</si>
  <si>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</si>
  <si>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</si>
  <si>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</si>
  <si>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</si>
  <si>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</si>
  <si>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</si>
  <si>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</si>
  <si>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</si>
  <si>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</si>
  <si>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</si>
  <si>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</si>
  <si>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</si>
  <si>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</si>
  <si>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</si>
  <si>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</si>
  <si>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</si>
  <si>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</si>
  <si>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</si>
  <si>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</si>
  <si>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</si>
  <si>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</si>
  <si>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</si>
  <si>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</si>
  <si>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</si>
  <si>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</si>
  <si>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</si>
  <si>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</si>
  <si>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</si>
  <si>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</si>
  <si>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</si>
  <si>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</si>
  <si>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</si>
  <si>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</si>
  <si>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</si>
  <si>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</si>
  <si>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</si>
  <si>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</si>
  <si>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</si>
  <si>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</si>
  <si>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</si>
  <si>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</si>
  <si>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</si>
  <si>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</si>
  <si>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</si>
  <si>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</si>
  <si>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</si>
  <si>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</si>
  <si>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</si>
  <si>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</si>
  <si>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</si>
  <si>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</si>
  <si>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</si>
  <si>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</si>
  <si>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</si>
  <si>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</si>
  <si>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</si>
  <si>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</si>
  <si>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</si>
  <si>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</si>
  <si>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</si>
  <si>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</si>
  <si>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</si>
  <si>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</si>
  <si>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</si>
  <si>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</si>
  <si>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</si>
  <si>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</si>
  <si>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</si>
  <si>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</si>
  <si>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</si>
  <si>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</si>
  <si>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</si>
  <si>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</si>
  <si>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</si>
  <si>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</si>
  <si>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</si>
  <si>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</si>
  <si>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</si>
  <si>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</si>
  <si>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</si>
  <si>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</si>
  <si>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</si>
  <si>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</si>
  <si>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</si>
  <si>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</si>
  <si>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</si>
  <si>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</si>
  <si>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</si>
  <si>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</si>
  <si>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</si>
  <si>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</si>
  <si>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</si>
  <si>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</si>
  <si>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</si>
  <si>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</si>
  <si>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</si>
  <si>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</si>
  <si>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</si>
  <si>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</si>
  <si>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</si>
  <si>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</si>
  <si>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</si>
  <si>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</si>
  <si>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</si>
  <si>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</si>
  <si>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</si>
  <si>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</si>
  <si>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</si>
  <si>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</si>
  <si>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</si>
  <si>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</si>
  <si>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</si>
  <si>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</si>
  <si>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</si>
  <si>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</si>
  <si>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</si>
  <si>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</si>
  <si>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</si>
  <si>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</si>
  <si>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</si>
  <si>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</si>
  <si>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</si>
  <si>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</si>
  <si>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</si>
  <si>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</si>
  <si>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</si>
  <si>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</si>
  <si>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</si>
  <si>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</si>
  <si>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</si>
  <si>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</si>
  <si>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</si>
  <si>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</si>
  <si>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</si>
  <si>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</si>
  <si>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</si>
  <si>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</si>
  <si>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</si>
  <si>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</si>
  <si>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</si>
  <si>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</si>
  <si>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</si>
  <si>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</si>
  <si>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</si>
  <si>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</si>
  <si>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</si>
  <si>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</si>
  <si>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</si>
  <si>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</si>
  <si>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</si>
  <si>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</si>
  <si>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</si>
  <si>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</si>
  <si>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</si>
  <si>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</si>
  <si>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</si>
  <si>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</si>
  <si>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</si>
  <si>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</si>
  <si>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</si>
  <si>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</si>
  <si>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</si>
  <si>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</si>
  <si>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</si>
  <si>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</si>
  <si>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</si>
  <si>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</si>
  <si>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</si>
  <si>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</si>
  <si>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</si>
  <si>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</si>
  <si>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</si>
  <si>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</si>
  <si>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</si>
  <si>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</si>
  <si>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</si>
  <si>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</si>
  <si>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</si>
  <si>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</si>
  <si>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</si>
  <si>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</si>
  <si>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</si>
  <si>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</si>
  <si>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</si>
  <si>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</si>
  <si>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</si>
  <si>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</si>
  <si>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</si>
  <si>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</si>
  <si>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</si>
  <si>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</si>
  <si>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</si>
  <si>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</si>
  <si>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</si>
  <si>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</si>
  <si>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</si>
  <si>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</si>
  <si>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</si>
  <si>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</si>
  <si>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</si>
  <si>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</si>
  <si>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</si>
  <si>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</si>
  <si>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</si>
  <si>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</si>
  <si>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</si>
  <si>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</si>
  <si>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</si>
  <si>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</si>
  <si>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</si>
  <si>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</si>
  <si>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</si>
  <si>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</si>
  <si>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</si>
  <si>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</si>
  <si>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</si>
  <si>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</si>
  <si>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</si>
  <si>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</si>
  <si>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</si>
  <si>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</si>
  <si>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</si>
  <si>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</si>
  <si>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</si>
  <si>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</si>
  <si>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</si>
  <si>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</si>
  <si>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</si>
  <si>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</si>
  <si>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</si>
  <si>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</si>
  <si>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</si>
  <si>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</si>
  <si>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</si>
  <si>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</si>
  <si>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</si>
  <si>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</si>
  <si>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</si>
  <si>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</si>
  <si>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</si>
  <si>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</si>
  <si>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</si>
  <si>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</si>
  <si>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</si>
  <si>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</si>
  <si>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</si>
  <si>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</si>
  <si>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</si>
  <si>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</si>
  <si>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</si>
  <si>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</si>
  <si>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</si>
  <si>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</si>
  <si>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</si>
  <si>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</si>
  <si>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</si>
  <si>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</si>
  <si>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</si>
  <si>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</si>
  <si>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</si>
  <si>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</si>
  <si>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</si>
  <si>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</si>
  <si>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</si>
  <si>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</si>
  <si>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</si>
  <si>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</si>
  <si>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</si>
  <si>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</si>
  <si>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</si>
  <si>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</si>
  <si>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</si>
  <si>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</si>
  <si>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</si>
  <si>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</si>
  <si>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</si>
  <si>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</si>
  <si>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</si>
  <si>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</si>
  <si>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</si>
  <si>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</si>
  <si>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</si>
  <si>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</si>
  <si>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</si>
  <si>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</si>
  <si>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</si>
  <si>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</si>
  <si>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</si>
  <si>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</si>
  <si>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</si>
  <si>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</si>
  <si>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</si>
  <si>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</si>
  <si>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</si>
  <si>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</si>
  <si>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</si>
  <si>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</si>
  <si>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</si>
  <si>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</si>
  <si>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</si>
  <si>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</si>
  <si>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</si>
  <si>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</si>
  <si>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</si>
  <si>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</si>
  <si>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</si>
  <si>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</si>
  <si>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</si>
  <si>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</si>
  <si>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</si>
  <si>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</si>
  <si>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</si>
  <si>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</si>
  <si>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</si>
  <si>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</si>
  <si>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</si>
  <si>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</si>
  <si>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</si>
  <si>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</si>
  <si>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</si>
  <si>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</si>
  <si>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</si>
  <si>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</si>
  <si>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</si>
  <si>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</si>
  <si>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</si>
  <si>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</si>
  <si>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</si>
  <si>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</si>
  <si>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</si>
  <si>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</si>
  <si>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</si>
  <si>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</si>
  <si>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</si>
  <si>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</si>
  <si>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</si>
  <si>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</si>
  <si>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</si>
  <si>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</si>
  <si>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</si>
  <si>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</si>
  <si>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</si>
  <si>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</si>
  <si>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</si>
  <si>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</si>
  <si>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</si>
  <si>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</si>
  <si>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</si>
  <si>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</si>
  <si>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</si>
  <si>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</si>
  <si>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</si>
  <si>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</si>
  <si>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</si>
  <si>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</si>
  <si>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</si>
  <si>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</si>
  <si>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</si>
  <si>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</si>
  <si>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</si>
  <si>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</si>
  <si>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</si>
  <si>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</si>
  <si>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</si>
  <si>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</si>
  <si>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</si>
  <si>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</si>
  <si>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</si>
  <si>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</si>
  <si>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</si>
  <si>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</si>
  <si>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</si>
  <si>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</si>
  <si>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</si>
  <si>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</si>
  <si>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</si>
  <si>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</si>
  <si>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</si>
  <si>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</si>
  <si>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</si>
  <si>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</si>
  <si>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</si>
  <si>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</si>
  <si>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</si>
  <si>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</si>
  <si>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</si>
  <si>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</si>
  <si>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</si>
  <si>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</si>
  <si>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</si>
  <si>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</si>
  <si>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</si>
  <si>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</si>
  <si>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</si>
  <si>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</si>
  <si>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</si>
  <si>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</si>
  <si>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</si>
  <si>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</si>
  <si>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</si>
  <si>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</si>
  <si>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</si>
  <si>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</si>
  <si>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</si>
  <si>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</si>
  <si>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</si>
  <si>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</si>
  <si>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</si>
  <si>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</si>
  <si>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</si>
  <si>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</si>
  <si>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</si>
  <si>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</si>
  <si>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</si>
  <si>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</si>
  <si>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</si>
  <si>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</si>
  <si>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</si>
  <si>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</si>
  <si>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</si>
  <si>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</si>
  <si>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</si>
  <si>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</si>
  <si>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</si>
  <si>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</si>
  <si>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</si>
  <si>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</si>
  <si>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</si>
  <si>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</si>
  <si>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</si>
  <si>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</si>
  <si>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</si>
  <si>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</si>
  <si>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</si>
  <si>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</si>
  <si>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</si>
  <si>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</si>
  <si>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</si>
  <si>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</si>
  <si>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</si>
  <si>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</si>
  <si>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</si>
  <si>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</si>
  <si>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</si>
  <si>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</si>
  <si>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</si>
  <si>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</si>
  <si>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</si>
  <si>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</si>
  <si>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</si>
  <si>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</si>
  <si>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</si>
  <si>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</si>
  <si>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</si>
  <si>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</si>
  <si>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</si>
  <si>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</si>
  <si>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</si>
  <si>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</si>
  <si>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</si>
  <si>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</si>
  <si>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</si>
  <si>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</si>
  <si>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</si>
  <si>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</si>
  <si>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</si>
  <si>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</si>
  <si>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</si>
  <si>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</si>
  <si>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</si>
  <si>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</si>
  <si>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</si>
  <si>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</si>
  <si>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</si>
  <si>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</si>
  <si>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</si>
  <si>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</si>
  <si>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</si>
  <si>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</si>
  <si>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</si>
  <si>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</si>
  <si>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</si>
  <si>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</si>
  <si>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</si>
  <si>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</si>
  <si>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</si>
  <si>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</si>
  <si>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</si>
  <si>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</si>
  <si>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</si>
  <si>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</si>
  <si>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</si>
  <si>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</si>
  <si>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</si>
  <si>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</si>
  <si>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</si>
  <si>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</si>
  <si>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</si>
  <si>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</si>
  <si>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</si>
  <si>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</si>
  <si>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</si>
  <si>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</si>
  <si>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</si>
  <si>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</si>
  <si>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</si>
  <si>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</si>
  <si>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</si>
  <si>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</si>
  <si>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</si>
  <si>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</si>
  <si>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</si>
  <si>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</si>
  <si>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</si>
  <si>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</si>
  <si>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</si>
  <si>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</si>
  <si>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</si>
  <si>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</si>
  <si>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</si>
  <si>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</si>
  <si>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</si>
  <si>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</si>
  <si>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</si>
  <si>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</si>
  <si>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</si>
  <si>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</si>
  <si>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</si>
  <si>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</si>
  <si>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</si>
  <si>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</si>
  <si>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</si>
  <si>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</si>
  <si>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</si>
  <si>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</si>
  <si>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</si>
  <si>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</si>
  <si>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</si>
  <si>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</si>
  <si>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</si>
  <si>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</si>
  <si>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</si>
  <si>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</si>
  <si>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</si>
  <si>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</si>
  <si>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</si>
  <si>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</si>
  <si>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</si>
  <si>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</si>
  <si>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</si>
  <si>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</si>
  <si>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</si>
  <si>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</si>
  <si>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</si>
  <si>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</si>
  <si>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</si>
  <si>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</si>
  <si>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</si>
  <si>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</si>
  <si>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</si>
  <si>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</si>
  <si>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</si>
  <si>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</si>
  <si>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</si>
  <si>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</si>
  <si>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</si>
  <si>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</si>
  <si>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</si>
  <si>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</si>
  <si>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</si>
  <si>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</si>
  <si>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</si>
  <si>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</si>
  <si>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</si>
  <si>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</si>
  <si>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</si>
  <si>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</si>
  <si>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</si>
  <si>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</si>
  <si>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</si>
  <si>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</si>
  <si>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</si>
  <si>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</si>
  <si>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</si>
  <si>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</si>
  <si>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</si>
  <si>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</si>
  <si>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</si>
  <si>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</si>
  <si>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</si>
  <si>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</si>
  <si>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</si>
  <si>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</si>
  <si>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</si>
  <si>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</si>
  <si>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</si>
  <si>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</si>
  <si>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</si>
  <si>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</si>
  <si>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</si>
  <si>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</si>
  <si>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</si>
  <si>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</si>
  <si>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</si>
  <si>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</si>
  <si>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</si>
  <si>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</si>
  <si>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</si>
  <si>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</si>
  <si>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</si>
  <si>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</si>
  <si>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</si>
  <si>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</si>
  <si>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</si>
  <si>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</si>
  <si>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</si>
  <si>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</si>
  <si>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</si>
  <si>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</si>
  <si>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</si>
  <si>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</si>
  <si>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</si>
  <si>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</si>
  <si>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</si>
  <si>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</si>
  <si>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</si>
  <si>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</si>
  <si>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</si>
  <si>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</si>
  <si>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</si>
  <si>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</si>
  <si>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</si>
  <si>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</si>
  <si>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</si>
  <si>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</si>
  <si>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</si>
  <si>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</si>
  <si>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</si>
  <si>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</si>
  <si>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</si>
  <si>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</si>
  <si>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</si>
  <si>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</si>
  <si>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</si>
  <si>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</si>
  <si>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</si>
  <si>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</si>
  <si>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</si>
  <si>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</si>
  <si>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</si>
  <si>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</si>
  <si>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</si>
  <si>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</si>
  <si>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</si>
  <si>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</si>
  <si>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</si>
  <si>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</si>
  <si>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</si>
  <si>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</si>
  <si>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</si>
  <si>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</si>
  <si>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</si>
  <si>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</si>
  <si>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</si>
  <si>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</si>
  <si>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</si>
  <si>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</si>
  <si>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</si>
  <si>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</si>
  <si>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</si>
  <si>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</si>
  <si>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</si>
  <si>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</si>
  <si>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</si>
  <si>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</si>
  <si>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</si>
  <si>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</si>
  <si>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</si>
  <si>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</si>
  <si>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</si>
  <si>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</si>
  <si>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</si>
  <si>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</si>
  <si>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</si>
  <si>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</si>
  <si>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</si>
  <si>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</si>
  <si>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</si>
  <si>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</si>
  <si>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</si>
  <si>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</si>
  <si>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</si>
  <si>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</si>
  <si>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</si>
  <si>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</si>
  <si>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</si>
  <si>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</si>
  <si>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</si>
  <si>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</si>
  <si>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</si>
  <si>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</si>
  <si>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</si>
  <si>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</si>
  <si>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</si>
  <si>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</si>
  <si>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</si>
  <si>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</si>
  <si>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</si>
  <si>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</si>
  <si>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</si>
  <si>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</si>
  <si>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</si>
  <si>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</si>
  <si>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</si>
  <si>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</si>
  <si>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</si>
  <si>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</si>
  <si>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</si>
  <si>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</si>
  <si>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</si>
  <si>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</si>
  <si>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</si>
  <si>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</si>
  <si>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</si>
  <si>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</si>
  <si>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</si>
  <si>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</si>
  <si>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</si>
  <si>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</si>
  <si>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</si>
  <si>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</si>
  <si>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</si>
  <si>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</si>
  <si>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</si>
  <si>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</si>
  <si>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</si>
  <si>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</si>
  <si>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</si>
  <si>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</si>
  <si>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</si>
  <si>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</si>
  <si>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</si>
  <si>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</si>
  <si>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</si>
  <si>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</si>
  <si>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</si>
  <si>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</si>
  <si>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</si>
  <si>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</si>
  <si>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</si>
  <si>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</si>
  <si>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</si>
  <si>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</si>
  <si>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</si>
  <si>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</si>
  <si>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</si>
  <si>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</si>
  <si>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</si>
  <si>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</si>
  <si>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</si>
  <si>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</si>
  <si>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</si>
  <si>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</si>
  <si>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</si>
  <si>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</si>
  <si>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</si>
  <si>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</si>
  <si>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</si>
  <si>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</si>
  <si>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</si>
  <si>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</si>
  <si>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</si>
  <si>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</si>
  <si>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</si>
  <si>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</si>
  <si>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</si>
  <si>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</si>
  <si>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</si>
  <si>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</si>
  <si>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</si>
  <si>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</si>
  <si>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</si>
  <si>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</si>
  <si>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</si>
  <si>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</si>
  <si>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</si>
  <si>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</si>
  <si>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</si>
  <si>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</si>
  <si>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</si>
  <si>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</si>
  <si>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</si>
  <si>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</si>
  <si>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</si>
  <si>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</si>
  <si>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</si>
  <si>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</si>
  <si>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</si>
  <si>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</si>
  <si>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</si>
  <si>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</si>
  <si>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</si>
  <si>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</si>
  <si>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</si>
  <si>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</si>
  <si>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</si>
  <si>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</si>
  <si>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</si>
  <si>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</si>
  <si>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</si>
  <si>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</si>
  <si>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</si>
  <si>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</si>
  <si>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</si>
  <si>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</si>
  <si>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</si>
  <si>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</si>
  <si>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</si>
  <si>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</si>
  <si>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</si>
  <si>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</si>
  <si>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</si>
  <si>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</si>
  <si>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</si>
  <si>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</si>
  <si>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</si>
  <si>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</si>
  <si>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</si>
  <si>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</si>
  <si>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</si>
  <si>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</si>
  <si>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</si>
  <si>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</si>
  <si>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</si>
  <si>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</si>
  <si>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</si>
  <si>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</si>
  <si>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</si>
  <si>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</si>
  <si>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</si>
  <si>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</si>
  <si>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</si>
  <si>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</si>
  <si>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</si>
  <si>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</si>
  <si>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</si>
  <si>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</si>
  <si>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</si>
  <si>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</si>
  <si>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</si>
  <si>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</si>
  <si>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</si>
  <si>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</si>
  <si>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</si>
  <si>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</si>
  <si>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</si>
  <si>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</si>
  <si>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</si>
  <si>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</si>
  <si>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</si>
  <si>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</si>
  <si>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</si>
  <si>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</si>
  <si>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</si>
  <si>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</si>
  <si>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</si>
  <si>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</si>
  <si>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</si>
  <si>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</si>
  <si>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</si>
  <si>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</si>
  <si>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</si>
  <si>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</si>
  <si>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</si>
  <si>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</si>
  <si>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</si>
  <si>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</si>
  <si>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</si>
  <si>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</si>
  <si>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</si>
  <si>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</si>
  <si>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</si>
  <si>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</si>
  <si>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</si>
  <si>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</si>
  <si>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</si>
  <si>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</si>
  <si>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</si>
  <si>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</si>
  <si>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</si>
  <si>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</si>
  <si>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</si>
  <si>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</si>
  <si>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</si>
  <si>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</si>
  <si>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</si>
  <si>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</si>
  <si>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</si>
  <si>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</si>
  <si>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</si>
  <si>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</si>
  <si>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</si>
  <si>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</si>
  <si>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</si>
  <si>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</si>
  <si>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</si>
  <si>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</si>
  <si>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</si>
  <si>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</si>
  <si>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</si>
  <si>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</si>
  <si>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</si>
  <si>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</si>
  <si>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</si>
  <si>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</si>
  <si>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</si>
  <si>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</si>
  <si>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</si>
  <si>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</si>
  <si>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</si>
  <si>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</si>
  <si>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</si>
  <si>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</si>
  <si>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</si>
  <si>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</si>
  <si>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</si>
  <si>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</si>
  <si>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</si>
  <si>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</si>
  <si>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</si>
  <si>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</si>
  <si>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</si>
  <si>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</si>
  <si>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</si>
  <si>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</si>
  <si>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</si>
  <si>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</si>
  <si>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</si>
  <si>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</si>
  <si>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</si>
  <si>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</si>
  <si>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</si>
  <si>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</si>
  <si>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</si>
  <si>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</si>
  <si>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</si>
  <si>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</si>
  <si>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</si>
  <si>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</si>
  <si>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</si>
  <si>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</si>
  <si>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</si>
  <si>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</si>
  <si>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</si>
  <si>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</si>
  <si>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</si>
  <si>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</si>
  <si>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</si>
  <si>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</si>
  <si>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</si>
  <si>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</si>
  <si>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</si>
  <si>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</si>
  <si>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</si>
  <si>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</si>
  <si>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</si>
  <si>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</si>
  <si>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</si>
  <si>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</si>
  <si>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</si>
  <si>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</si>
  <si>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</si>
  <si>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</si>
  <si>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</si>
  <si>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</si>
  <si>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</si>
  <si>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</si>
  <si>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</si>
  <si>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</si>
  <si>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</si>
  <si>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</si>
  <si>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</si>
  <si>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</si>
  <si>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</si>
  <si>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</si>
  <si>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</si>
  <si>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</si>
  <si>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</si>
  <si>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</si>
  <si>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</si>
  <si>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</si>
  <si>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</si>
  <si>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</si>
  <si>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</si>
  <si>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</si>
  <si>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</si>
  <si>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</si>
  <si>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</si>
  <si>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</si>
  <si>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</si>
  <si>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</si>
  <si>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</si>
  <si>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</si>
  <si>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</si>
  <si>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</si>
  <si>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</si>
  <si>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</si>
  <si>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</si>
  <si>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</si>
  <si>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</si>
  <si>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</si>
  <si>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</si>
  <si>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</si>
  <si>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</si>
  <si>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</si>
  <si>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</si>
  <si>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</si>
  <si>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</si>
  <si>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</si>
  <si>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</si>
  <si>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</si>
  <si>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</si>
  <si>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</si>
  <si>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</si>
  <si>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</si>
  <si>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</si>
  <si>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</si>
  <si>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</si>
  <si>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</si>
  <si>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</si>
  <si>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</si>
  <si>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</si>
  <si>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</si>
  <si>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</si>
  <si>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</si>
  <si>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</si>
  <si>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</si>
  <si>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</si>
  <si>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</si>
  <si>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</si>
  <si>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</si>
  <si>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</si>
  <si>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</si>
  <si>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</si>
  <si>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</si>
  <si>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</si>
  <si>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</si>
  <si>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</si>
  <si>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</si>
  <si>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</si>
  <si>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</si>
  <si>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</si>
  <si>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</si>
  <si>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</si>
  <si>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</si>
  <si>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</si>
  <si>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</si>
  <si>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</si>
  <si>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</si>
  <si>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</si>
  <si>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</si>
  <si>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</si>
  <si>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</si>
  <si>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</si>
  <si>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</si>
  <si>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</si>
  <si>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</si>
  <si>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</si>
  <si>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</si>
  <si>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</si>
  <si>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</si>
  <si>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</si>
  <si>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</si>
  <si>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</si>
  <si>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</si>
  <si>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</si>
  <si>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</si>
  <si>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</si>
  <si>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</si>
  <si>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</si>
  <si>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</si>
  <si>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</si>
  <si>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</si>
  <si>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</si>
  <si>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</si>
  <si>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</si>
  <si>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</si>
  <si>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</si>
  <si>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</si>
  <si>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</si>
  <si>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</si>
  <si>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</si>
  <si>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</si>
  <si>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</si>
  <si>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</si>
  <si>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</si>
  <si>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</si>
  <si>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</si>
  <si>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</si>
  <si>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</si>
  <si>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</si>
  <si>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</si>
  <si>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</si>
  <si>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</si>
  <si>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</si>
  <si>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</si>
  <si>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</si>
  <si>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</si>
  <si>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</si>
  <si>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</si>
  <si>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</si>
  <si>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</si>
  <si>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</si>
  <si>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</si>
  <si>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</si>
  <si>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</si>
  <si>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</si>
  <si>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</si>
  <si>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</si>
  <si>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</si>
  <si>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</si>
  <si>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</si>
  <si>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</si>
  <si>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</si>
  <si>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</si>
  <si>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</si>
  <si>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</si>
  <si>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</si>
  <si>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</si>
  <si>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</si>
  <si>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</si>
  <si>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</si>
  <si>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</si>
  <si>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</si>
  <si>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</si>
  <si>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</si>
  <si>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</si>
  <si>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</si>
  <si>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</si>
  <si>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</si>
  <si>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</si>
  <si>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</si>
  <si>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</si>
  <si>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</si>
  <si>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</si>
  <si>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</si>
  <si>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</si>
  <si>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</si>
  <si>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</si>
  <si>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</si>
  <si>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</si>
  <si>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</si>
  <si>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</si>
  <si>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</si>
  <si>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</si>
  <si>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</si>
  <si>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</si>
  <si>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</si>
  <si>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</si>
  <si>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</si>
  <si>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</si>
  <si>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</si>
  <si>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</si>
  <si>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</si>
  <si>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</si>
  <si>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</si>
  <si>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</si>
  <si>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</si>
  <si>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</si>
  <si>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</si>
  <si>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</si>
  <si>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</si>
  <si>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</si>
  <si>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</si>
  <si>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</si>
  <si>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</si>
  <si>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</si>
  <si>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</si>
  <si>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</si>
  <si>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</si>
  <si>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</si>
  <si>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</si>
  <si>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</si>
  <si>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</si>
  <si>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</si>
  <si>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</si>
  <si>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</si>
  <si>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</si>
  <si>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</si>
  <si>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</si>
  <si>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</si>
  <si>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</si>
  <si>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</si>
  <si>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</si>
  <si>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</si>
  <si>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</si>
  <si>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</si>
  <si>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</si>
  <si>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</si>
  <si>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</si>
  <si>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</si>
  <si>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</si>
  <si>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</si>
  <si>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</si>
  <si>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</si>
  <si>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</si>
  <si>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</si>
  <si>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</si>
  <si>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</si>
  <si>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</si>
  <si>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</si>
  <si>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</si>
  <si>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</si>
  <si>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</si>
  <si>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</si>
  <si>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</si>
  <si>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</si>
  <si>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</si>
  <si>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</si>
  <si>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</si>
  <si>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</si>
  <si>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</si>
  <si>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</si>
  <si>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</si>
  <si>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</si>
  <si>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</si>
  <si>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</si>
  <si>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</si>
  <si>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</si>
  <si>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</si>
  <si>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</si>
  <si>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</si>
  <si>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</si>
  <si>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</si>
  <si>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</si>
  <si>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</si>
  <si>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</si>
  <si>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</si>
  <si>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</si>
  <si>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</si>
  <si>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</si>
  <si>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</si>
  <si>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</si>
  <si>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</si>
  <si>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</si>
  <si>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</si>
  <si>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</si>
  <si>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</si>
  <si>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</si>
  <si>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</si>
  <si>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</si>
  <si>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</si>
  <si>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</si>
  <si>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</si>
  <si>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</si>
  <si>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</si>
  <si>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</si>
  <si>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</si>
  <si>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</si>
  <si>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</si>
  <si>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</si>
  <si>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</si>
  <si>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</si>
  <si>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</si>
  <si>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</si>
  <si>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</si>
  <si>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</si>
  <si>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</si>
  <si>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</si>
  <si>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</si>
  <si>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</si>
  <si>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</si>
  <si>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</si>
  <si>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</si>
  <si>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</si>
  <si>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</si>
  <si>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</si>
  <si>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</si>
  <si>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</si>
  <si>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</si>
  <si>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</si>
  <si>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</si>
  <si>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</si>
  <si>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</si>
  <si>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</si>
  <si>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</si>
  <si>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</si>
  <si>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</si>
  <si>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</si>
  <si>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</si>
  <si>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</si>
  <si>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</si>
  <si>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</si>
  <si>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</si>
  <si>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</si>
  <si>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</si>
  <si>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</si>
  <si>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</si>
  <si>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</si>
  <si>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</si>
  <si>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</si>
  <si>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</si>
  <si>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</si>
  <si>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</si>
  <si>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</si>
  <si>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</si>
  <si>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</si>
  <si>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</si>
  <si>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</si>
  <si>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</si>
  <si>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</si>
  <si>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</si>
  <si>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</si>
  <si>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</si>
  <si>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</si>
  <si>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</si>
  <si>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</si>
  <si>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</si>
  <si>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</si>
  <si>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</si>
  <si>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</si>
  <si>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</si>
  <si>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</si>
  <si>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</si>
  <si>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</si>
  <si>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</si>
  <si>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</si>
  <si>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</si>
  <si>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</si>
  <si>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</si>
  <si>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</si>
  <si>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</si>
  <si>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</si>
  <si>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</si>
  <si>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</si>
  <si>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</si>
  <si>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</si>
  <si>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</si>
  <si>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</si>
  <si>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</si>
  <si>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</si>
  <si>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</si>
  <si>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</si>
  <si>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</si>
  <si>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</si>
  <si>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</si>
  <si>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</si>
  <si>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</si>
  <si>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</si>
  <si>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</si>
  <si>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</si>
  <si>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</si>
  <si>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</si>
  <si>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</si>
  <si>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</si>
  <si>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</si>
  <si>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</si>
  <si>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</si>
  <si>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</si>
  <si>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</si>
  <si>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</si>
  <si>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</si>
  <si>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</si>
  <si>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</si>
  <si>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</si>
  <si>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</si>
  <si>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</si>
  <si>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</si>
  <si>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</si>
  <si>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</si>
  <si>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</si>
  <si>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</si>
  <si>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</si>
  <si>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</si>
  <si>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</si>
  <si>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</si>
  <si>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</si>
  <si>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</si>
  <si>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</si>
  <si>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</si>
  <si>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</si>
  <si>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</si>
  <si>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</si>
  <si>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</si>
  <si>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</si>
  <si>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</si>
  <si>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</si>
  <si>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</si>
  <si>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</si>
  <si>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</si>
  <si>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</si>
  <si>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</si>
  <si>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</si>
  <si>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</si>
  <si>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</si>
  <si>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</si>
  <si>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</si>
  <si>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</si>
  <si>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</si>
  <si>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</si>
  <si>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</si>
  <si>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</si>
  <si>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</si>
  <si>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</si>
  <si>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</si>
  <si>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</si>
  <si>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</si>
  <si>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</si>
  <si>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</si>
  <si>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</si>
  <si>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</si>
  <si>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</si>
  <si>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</si>
  <si>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</si>
  <si>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</si>
  <si>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</si>
  <si>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</si>
  <si>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</si>
  <si>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</si>
  <si>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</si>
  <si>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</si>
  <si>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</si>
  <si>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</si>
  <si>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</si>
  <si>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</si>
  <si>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</si>
  <si>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</si>
  <si>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</si>
  <si>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</si>
  <si>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</si>
  <si>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</si>
  <si>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</si>
  <si>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</si>
  <si>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</si>
  <si>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</si>
  <si>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</si>
  <si>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</si>
  <si>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</si>
  <si>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</si>
  <si>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</si>
  <si>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</si>
  <si>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</si>
  <si>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</si>
  <si>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</si>
  <si>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</si>
  <si>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</si>
  <si>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</si>
  <si>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</si>
  <si>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</si>
  <si>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</si>
  <si>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</si>
  <si>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</si>
  <si>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</si>
  <si>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</si>
  <si>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</si>
  <si>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</si>
  <si>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</si>
  <si>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</si>
  <si>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</si>
  <si>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</si>
  <si>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</si>
  <si>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</si>
  <si>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</si>
  <si>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</si>
  <si>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</si>
  <si>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</si>
  <si>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</si>
  <si>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</si>
  <si>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</si>
  <si>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</si>
  <si>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</si>
  <si>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</si>
  <si>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</si>
  <si>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</si>
  <si>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</si>
  <si>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</si>
  <si>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</si>
  <si>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</si>
  <si>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</si>
  <si>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</si>
  <si>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</si>
  <si>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</si>
  <si>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</si>
  <si>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</si>
  <si>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</si>
  <si>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</si>
  <si>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</si>
  <si>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</si>
  <si>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</si>
  <si>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</si>
  <si>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</si>
  <si>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</si>
  <si>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</si>
  <si>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</si>
  <si>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</si>
  <si>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</si>
  <si>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</si>
  <si>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</si>
  <si>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</si>
  <si>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</si>
  <si>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</si>
  <si>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</si>
  <si>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</si>
  <si>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</si>
  <si>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</si>
  <si>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</si>
  <si>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</si>
  <si>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</si>
  <si>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</si>
  <si>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</si>
  <si>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</si>
  <si>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</si>
  <si>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</si>
  <si>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</si>
  <si>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</si>
  <si>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</si>
  <si>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</si>
  <si>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</si>
  <si>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</si>
  <si>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</si>
  <si>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</si>
  <si>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</si>
  <si>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</si>
  <si>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</si>
  <si>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</si>
  <si>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</si>
  <si>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</si>
  <si>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</si>
  <si>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</si>
  <si>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</si>
  <si>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</si>
  <si>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</si>
  <si>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</si>
  <si>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</si>
  <si>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</si>
  <si>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</si>
  <si>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</si>
  <si>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</si>
  <si>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</si>
  <si>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</si>
  <si>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</si>
  <si>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</si>
  <si>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</si>
  <si>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</si>
  <si>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</si>
  <si>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</si>
  <si>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</si>
  <si>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</si>
  <si>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</si>
  <si>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</si>
  <si>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</si>
  <si>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</si>
  <si>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</si>
  <si>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</si>
  <si>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</si>
  <si>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</si>
  <si>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</si>
  <si>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</si>
  <si>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</si>
  <si>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</si>
  <si>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</si>
  <si>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</si>
  <si>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</si>
  <si>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</si>
  <si>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</si>
  <si>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</si>
  <si>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</si>
  <si>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</si>
  <si>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</si>
  <si>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</si>
  <si>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</si>
  <si>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</si>
  <si>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</si>
  <si>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</si>
  <si>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</si>
  <si>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</si>
  <si>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</si>
  <si>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</si>
  <si>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</si>
  <si>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</si>
  <si>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</si>
  <si>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</si>
  <si>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</si>
  <si>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</si>
  <si>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</si>
  <si>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</si>
  <si>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</si>
  <si>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</si>
  <si>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</si>
  <si>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</si>
  <si>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</si>
  <si>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</si>
  <si>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</si>
  <si>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</si>
  <si>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</si>
  <si>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</si>
  <si>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</si>
  <si>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</si>
  <si>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</si>
  <si>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</si>
  <si>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</si>
  <si>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</si>
  <si>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</si>
  <si>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</si>
  <si>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</si>
  <si>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</si>
  <si>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</si>
  <si>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</si>
  <si>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</si>
  <si>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</si>
  <si>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</si>
  <si>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</si>
  <si>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</si>
  <si>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</si>
  <si>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</si>
  <si>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</si>
  <si>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</si>
  <si>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</si>
  <si>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</si>
  <si>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</si>
  <si>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</si>
  <si>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</si>
  <si>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</si>
  <si>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</si>
  <si>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</si>
  <si>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</si>
  <si>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</si>
  <si>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</si>
  <si>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</si>
  <si>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</si>
  <si>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</si>
  <si>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</si>
  <si>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</si>
  <si>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</si>
  <si>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</si>
  <si>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</si>
  <si>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</si>
  <si>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</si>
  <si>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</si>
  <si>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</si>
  <si>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</si>
  <si>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</si>
  <si>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</si>
  <si>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</si>
  <si>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</si>
  <si>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</si>
  <si>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</si>
  <si>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</si>
  <si>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</si>
  <si>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</si>
  <si>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</si>
  <si>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</si>
  <si>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</si>
  <si>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</si>
  <si>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</si>
  <si>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</si>
  <si>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</si>
  <si>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</si>
  <si>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</si>
  <si>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</si>
  <si>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</si>
  <si>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</si>
  <si>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</si>
  <si>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</si>
  <si>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</si>
  <si>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</si>
  <si>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</si>
  <si>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</si>
  <si>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</si>
  <si>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</si>
  <si>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</si>
  <si>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</si>
  <si>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</si>
  <si>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</si>
  <si>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</si>
  <si>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</si>
  <si>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</si>
  <si>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</si>
  <si>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</si>
  <si>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</si>
  <si>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</si>
  <si>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</si>
  <si>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</si>
  <si>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</si>
  <si>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</si>
  <si>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</si>
  <si>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</si>
  <si>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</si>
  <si>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</si>
  <si>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</si>
  <si>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</si>
  <si>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</si>
  <si>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</si>
  <si>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</si>
  <si>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</si>
  <si>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</si>
  <si>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</si>
  <si>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</si>
  <si>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</si>
  <si>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</si>
  <si>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</si>
  <si>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</si>
  <si>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</si>
  <si>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</si>
  <si>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</si>
  <si>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</si>
  <si>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</si>
  <si>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</si>
  <si>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</si>
  <si>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</si>
  <si>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</si>
  <si>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</si>
  <si>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</si>
  <si>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</si>
  <si>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</si>
  <si>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</si>
  <si>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</si>
  <si>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</si>
  <si>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</si>
  <si>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</si>
  <si>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</si>
  <si>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</si>
  <si>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</si>
  <si>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</si>
  <si>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</si>
  <si>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</si>
  <si>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</si>
  <si>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</si>
  <si>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</si>
  <si>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</si>
  <si>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</si>
  <si>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</si>
  <si>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</si>
  <si>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</si>
  <si>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</si>
  <si>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</si>
  <si>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</si>
  <si>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</si>
  <si>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</si>
  <si>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</si>
  <si>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</si>
  <si>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</si>
  <si>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</si>
  <si>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</si>
  <si>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</si>
  <si>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</si>
  <si>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</si>
  <si>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</si>
  <si>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</si>
  <si>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</si>
  <si>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</si>
  <si>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</si>
  <si>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</si>
  <si>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</si>
  <si>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</si>
  <si>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</si>
  <si>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</si>
  <si>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</si>
  <si>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</si>
  <si>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</si>
  <si>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</si>
  <si>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</si>
  <si>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</si>
  <si>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</si>
  <si>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</si>
  <si>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</si>
  <si>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</si>
  <si>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</si>
  <si>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</si>
  <si>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</si>
  <si>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</si>
  <si>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</si>
  <si>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</si>
  <si>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</si>
  <si>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</si>
  <si>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</si>
  <si>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</si>
  <si>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</si>
  <si>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</si>
  <si>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</si>
  <si>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</si>
  <si>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</si>
  <si>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</si>
  <si>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</si>
  <si>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</si>
  <si>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</si>
  <si>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</si>
  <si>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</si>
  <si>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</si>
  <si>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</si>
  <si>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</si>
  <si>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</si>
  <si>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</si>
  <si>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</si>
  <si>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</si>
  <si>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</si>
  <si>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</si>
  <si>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</si>
  <si>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</si>
  <si>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</si>
  <si>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</si>
  <si>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</si>
  <si>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</si>
  <si>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</si>
  <si>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</si>
  <si>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</si>
  <si>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</si>
  <si>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</si>
  <si>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</si>
  <si>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</si>
  <si>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</si>
  <si>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</si>
  <si>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</si>
  <si>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</si>
  <si>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</si>
  <si>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</si>
  <si>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</si>
  <si>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</si>
  <si>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</si>
  <si>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</si>
  <si>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</si>
  <si>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</si>
  <si>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</si>
  <si>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</si>
  <si>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</si>
  <si>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</si>
  <si>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</si>
  <si>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</si>
  <si>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</si>
  <si>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</si>
  <si>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</si>
  <si>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</si>
  <si>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</si>
  <si>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</si>
  <si>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</si>
  <si>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</si>
  <si>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</si>
  <si>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</si>
  <si>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</si>
  <si>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</si>
  <si>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</si>
  <si>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</si>
  <si>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</si>
  <si>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</si>
  <si>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</si>
  <si>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</si>
  <si>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</si>
  <si>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</si>
  <si>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</si>
  <si>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</si>
  <si>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</si>
  <si>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</si>
  <si>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</si>
  <si>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</si>
  <si>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</si>
  <si>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</si>
  <si>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</si>
  <si>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</si>
  <si>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</si>
  <si>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</si>
  <si>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</si>
  <si>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</si>
  <si>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</si>
  <si>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</si>
  <si>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</si>
  <si>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</si>
  <si>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</si>
  <si>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</si>
  <si>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</si>
  <si>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</si>
  <si>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</si>
  <si>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</si>
  <si>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</si>
  <si>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</si>
  <si>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</si>
  <si>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</si>
  <si>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</si>
  <si>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</si>
  <si>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</si>
  <si>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</si>
  <si>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</si>
  <si>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</si>
  <si>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</si>
  <si>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</si>
  <si>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</si>
  <si>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</si>
  <si>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</si>
  <si>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</si>
  <si>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</si>
  <si>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</si>
  <si>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</si>
  <si>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</si>
  <si>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</si>
  <si>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</si>
  <si>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</si>
  <si>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</si>
  <si>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</si>
  <si>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</si>
  <si>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</si>
  <si>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</si>
  <si>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</si>
  <si>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</si>
  <si>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</si>
  <si>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</si>
  <si>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</si>
  <si>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</si>
  <si>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</si>
  <si>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</si>
  <si>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</si>
  <si>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</si>
  <si>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</si>
  <si>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</si>
  <si>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</si>
  <si>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</si>
  <si>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</si>
  <si>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</si>
  <si>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</si>
  <si>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</si>
  <si>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</si>
  <si>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</si>
  <si>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</si>
  <si>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</si>
  <si>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</si>
  <si>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</si>
  <si>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</si>
  <si>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</si>
  <si>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</si>
  <si>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</si>
  <si>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</si>
  <si>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</si>
  <si>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</si>
  <si>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</si>
  <si>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</si>
  <si>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</si>
  <si>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</si>
  <si>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</si>
  <si>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</si>
  <si>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</si>
  <si>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</si>
  <si>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</si>
  <si>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</si>
  <si>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</si>
  <si>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</si>
  <si>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</si>
  <si>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</si>
  <si>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</si>
  <si>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</si>
  <si>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</si>
  <si>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</si>
  <si>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</si>
  <si>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</si>
  <si>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</si>
  <si>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</si>
  <si>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</si>
  <si>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</si>
  <si>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</si>
  <si>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</si>
  <si>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</si>
  <si>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</si>
  <si>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</si>
  <si>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</si>
  <si>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</si>
  <si>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</si>
  <si>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</si>
  <si>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</si>
  <si>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</si>
  <si>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</si>
  <si>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</si>
  <si>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</si>
  <si>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</si>
  <si>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</si>
  <si>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</si>
  <si>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</si>
  <si>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</si>
  <si>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</si>
  <si>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</si>
  <si>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</si>
  <si>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</si>
  <si>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</si>
  <si>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</si>
  <si>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</si>
  <si>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</si>
  <si>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</si>
  <si>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</si>
  <si>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</si>
  <si>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</si>
  <si>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</si>
  <si>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</si>
  <si>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</si>
  <si>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</si>
  <si>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</si>
  <si>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</si>
  <si>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</si>
  <si>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</si>
  <si>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</si>
  <si>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</si>
  <si>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</si>
  <si>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</si>
  <si>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</si>
  <si>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</si>
  <si>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</si>
  <si>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</si>
  <si>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</si>
  <si>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</si>
  <si>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</si>
  <si>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</si>
  <si>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</si>
  <si>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</si>
  <si>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</si>
  <si>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</si>
  <si>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</si>
  <si>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</si>
  <si>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</si>
  <si>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</si>
  <si>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</si>
  <si>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</si>
  <si>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</si>
  <si>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</si>
  <si>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</si>
  <si>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</si>
  <si>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</si>
  <si>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</si>
  <si>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</si>
  <si>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</si>
  <si>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</si>
  <si>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</si>
  <si>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</si>
  <si>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</si>
  <si>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</si>
  <si>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</si>
  <si>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</si>
  <si>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</si>
  <si>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</si>
  <si>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</si>
  <si>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</si>
  <si>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</si>
  <si>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</si>
  <si>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</si>
  <si>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</si>
  <si>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</si>
  <si>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</si>
  <si>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</si>
  <si>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</si>
  <si>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</si>
  <si>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</si>
  <si>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</si>
  <si>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</si>
  <si>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</si>
  <si>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</si>
  <si>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</si>
  <si>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</si>
  <si>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</si>
  <si>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</si>
  <si>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</si>
  <si>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</si>
  <si>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</si>
  <si>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</si>
  <si>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</si>
  <si>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</si>
  <si>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</si>
  <si>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</si>
  <si>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</si>
  <si>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</si>
  <si>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</si>
  <si>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</si>
  <si>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</si>
  <si>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</si>
  <si>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</si>
  <si>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</si>
  <si>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</si>
  <si>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</si>
  <si>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</si>
  <si>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</si>
  <si>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</si>
  <si>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</si>
  <si>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</si>
  <si>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</si>
  <si>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</si>
  <si>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</si>
  <si>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</si>
  <si>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</si>
  <si>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</si>
  <si>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</si>
  <si>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</si>
  <si>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</si>
  <si>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</si>
  <si>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</si>
  <si>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</si>
  <si>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</si>
  <si>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</si>
  <si>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</si>
  <si>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</si>
  <si>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</si>
  <si>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</si>
  <si>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</si>
  <si>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</si>
  <si>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</si>
  <si>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</si>
  <si>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</si>
  <si>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</si>
  <si>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</si>
  <si>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</si>
  <si>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</si>
  <si>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</si>
  <si>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</si>
  <si>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</si>
  <si>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</si>
  <si>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</si>
  <si>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</si>
  <si>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</si>
  <si>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</si>
  <si>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</si>
  <si>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</si>
  <si>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</si>
  <si>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</si>
  <si>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</si>
  <si>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</si>
  <si>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</si>
  <si>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</si>
  <si>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</si>
  <si>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</si>
  <si>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</si>
  <si>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</si>
  <si>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</si>
  <si>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</si>
  <si>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</si>
  <si>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</si>
  <si>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</si>
  <si>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</si>
  <si>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</si>
  <si>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</si>
  <si>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</si>
  <si>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</si>
  <si>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</si>
  <si>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</si>
  <si>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</si>
  <si>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</si>
  <si>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</si>
  <si>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</si>
  <si>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</si>
  <si>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</si>
  <si>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</si>
  <si>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</si>
  <si>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</si>
  <si>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</si>
  <si>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</si>
  <si>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</si>
  <si>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</si>
  <si>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</si>
  <si>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</si>
  <si>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</si>
  <si>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</si>
  <si>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</si>
  <si>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</si>
  <si>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</si>
  <si>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</si>
  <si>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</si>
  <si>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</si>
  <si>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</si>
  <si>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</si>
  <si>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</si>
  <si>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</si>
  <si>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</si>
  <si>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</si>
  <si>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</si>
  <si>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</si>
  <si>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</si>
  <si>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</si>
  <si>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</si>
  <si>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</si>
  <si>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</si>
  <si>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</si>
  <si>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</si>
  <si>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</si>
  <si>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</si>
  <si>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</si>
  <si>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</si>
  <si>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</si>
  <si>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</si>
  <si>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</si>
  <si>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</si>
  <si>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</si>
  <si>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</si>
  <si>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</si>
  <si>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</si>
  <si>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</si>
  <si>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</si>
  <si>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</si>
  <si>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</si>
  <si>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</si>
  <si>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</si>
  <si>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</si>
  <si>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</si>
  <si>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</si>
  <si>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</si>
  <si>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</si>
  <si>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</si>
  <si>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</si>
  <si>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</si>
  <si>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</si>
  <si>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</si>
  <si>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</si>
  <si>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</si>
  <si>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</si>
  <si>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</si>
  <si>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</si>
  <si>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</si>
  <si>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</si>
  <si>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</si>
  <si>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</si>
  <si>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</si>
  <si>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</si>
  <si>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</si>
  <si>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</si>
  <si>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</si>
  <si>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</si>
  <si>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</si>
  <si>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</si>
  <si>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</si>
  <si>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</si>
  <si>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</si>
  <si>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</si>
  <si>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</si>
  <si>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</si>
  <si>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</si>
  <si>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</si>
  <si>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</si>
  <si>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</si>
  <si>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</si>
  <si>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</si>
  <si>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</si>
  <si>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</si>
  <si>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</si>
  <si>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</si>
  <si>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</si>
  <si>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</si>
  <si>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</si>
  <si>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</si>
  <si>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</si>
  <si>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</si>
  <si>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</si>
  <si>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</si>
  <si>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</si>
  <si>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</si>
  <si>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</si>
  <si>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</si>
  <si>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</si>
  <si>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</si>
  <si>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</si>
  <si>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</si>
  <si>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</si>
  <si>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</si>
  <si>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</si>
  <si>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</si>
  <si>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</si>
  <si>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</si>
  <si>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</si>
  <si>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</si>
  <si>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</si>
  <si>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</si>
  <si>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</si>
  <si>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</si>
  <si>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</si>
  <si>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</si>
  <si>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</si>
  <si>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</si>
  <si>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</si>
  <si>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</si>
  <si>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</si>
  <si>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</si>
  <si>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</si>
  <si>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</si>
  <si>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</si>
  <si>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</si>
  <si>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</si>
  <si>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</si>
  <si>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</si>
  <si>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</si>
  <si>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</si>
  <si>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</si>
  <si>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</si>
  <si>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</si>
  <si>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</si>
  <si>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</si>
  <si>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</si>
  <si>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</si>
  <si>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</si>
  <si>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</si>
  <si>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</si>
  <si>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</si>
  <si>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</si>
  <si>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</si>
  <si>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</si>
  <si>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</si>
  <si>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</si>
  <si>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</si>
  <si>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</si>
  <si>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</si>
  <si>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</si>
  <si>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</si>
  <si>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</si>
  <si>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</si>
  <si>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</si>
  <si>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</si>
  <si>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</si>
  <si>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</si>
  <si>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</si>
  <si>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</si>
  <si>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</si>
  <si>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</si>
  <si>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</si>
  <si>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</si>
  <si>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</si>
  <si>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</si>
  <si>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</si>
  <si>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</si>
  <si>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</si>
  <si>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</si>
  <si>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</si>
  <si>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</si>
  <si>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</si>
  <si>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</si>
  <si>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</si>
  <si>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</si>
  <si>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</si>
  <si>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</si>
  <si>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</si>
  <si>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</si>
  <si>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</si>
  <si>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</si>
  <si>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</si>
  <si>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</si>
  <si>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</si>
  <si>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</si>
  <si>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</si>
  <si>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</si>
  <si>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</si>
  <si>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</si>
  <si>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</si>
  <si>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</si>
  <si>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</si>
  <si>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</si>
  <si>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</si>
  <si>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</si>
  <si>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</si>
  <si>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</si>
  <si>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</si>
  <si>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</si>
  <si>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</si>
  <si>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</si>
  <si>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</si>
  <si>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</si>
  <si>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</si>
  <si>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</si>
  <si>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</si>
  <si>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</si>
  <si>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</si>
  <si>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</si>
  <si>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</si>
  <si>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</si>
  <si>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</si>
  <si>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</si>
  <si>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</si>
  <si>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</si>
  <si>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</si>
  <si>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</si>
  <si>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</si>
  <si>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</si>
  <si>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</si>
  <si>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</si>
  <si>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</si>
  <si>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</si>
  <si>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</si>
  <si>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</si>
  <si>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</si>
  <si>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</si>
  <si>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</si>
  <si>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</si>
  <si>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</si>
  <si>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</si>
  <si>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</si>
  <si>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</si>
  <si>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</si>
  <si>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</si>
  <si>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</si>
  <si>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</si>
  <si>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</si>
  <si>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</si>
  <si>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</si>
  <si>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</si>
  <si>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</si>
  <si>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</si>
  <si>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</si>
  <si>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</si>
  <si>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</si>
  <si>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</si>
  <si>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</si>
  <si>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</si>
  <si>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</si>
  <si>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</si>
  <si>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</si>
  <si>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</si>
  <si>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</si>
  <si>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</si>
  <si>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</si>
  <si>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</si>
  <si>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</si>
  <si>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</si>
  <si>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</si>
  <si>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</si>
  <si>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</si>
  <si>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</si>
  <si>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</si>
  <si>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</si>
  <si>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</si>
  <si>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</si>
  <si>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</si>
  <si>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</si>
  <si>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</si>
  <si>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</si>
  <si>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</si>
  <si>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</si>
  <si>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</si>
  <si>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</si>
  <si>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</si>
  <si>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</si>
  <si>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</si>
  <si>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</si>
  <si>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</si>
  <si>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</si>
  <si>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</si>
  <si>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</si>
  <si>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</si>
  <si>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</si>
  <si>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</si>
  <si>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</si>
  <si>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</si>
  <si>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</si>
  <si>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</si>
  <si>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</si>
  <si>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</si>
  <si>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</si>
  <si>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</si>
  <si>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</si>
  <si>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</si>
  <si>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</si>
  <si>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</si>
  <si>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</si>
  <si>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</si>
  <si>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</si>
  <si>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</si>
  <si>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</si>
  <si>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</si>
  <si>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</si>
  <si>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</si>
  <si>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</si>
  <si>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</si>
  <si>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</si>
  <si>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</si>
  <si>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</si>
  <si>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</si>
  <si>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</si>
  <si>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</si>
  <si>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</si>
  <si>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</si>
  <si>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</si>
  <si>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</si>
  <si>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</si>
  <si>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</si>
  <si>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</si>
  <si>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</si>
  <si>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</si>
  <si>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</si>
  <si>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</si>
  <si>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</si>
  <si>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</si>
  <si>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</si>
  <si>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</si>
  <si>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</si>
  <si>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</si>
  <si>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</si>
  <si>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</si>
  <si>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</si>
  <si>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</si>
  <si>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</si>
  <si>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</si>
  <si>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</si>
  <si>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</si>
  <si>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</si>
  <si>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</si>
  <si>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</si>
  <si>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</si>
  <si>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</si>
  <si>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</si>
  <si>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</si>
  <si>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</si>
  <si>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</si>
  <si>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</si>
  <si>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</si>
  <si>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</si>
  <si>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</si>
  <si>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</si>
  <si>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</si>
  <si>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</si>
  <si>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</si>
  <si>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</si>
  <si>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</si>
  <si>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</si>
  <si>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</si>
  <si>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</si>
  <si>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</si>
  <si>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</si>
  <si>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</si>
  <si>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</si>
  <si>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</si>
  <si>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</si>
  <si>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</si>
  <si>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</si>
  <si>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</si>
  <si>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</si>
  <si>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</si>
  <si>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</si>
  <si>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</si>
  <si>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</si>
  <si>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</si>
  <si>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</si>
  <si>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</si>
  <si>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</si>
  <si>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</si>
  <si>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</si>
  <si>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</si>
  <si>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</si>
  <si>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</si>
  <si>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</si>
  <si>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</si>
  <si>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</si>
  <si>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</si>
  <si>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</si>
  <si>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</si>
  <si>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</si>
  <si>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</si>
  <si>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</si>
  <si>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</si>
  <si>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</si>
  <si>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</si>
  <si>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</si>
  <si>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</si>
  <si>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</si>
  <si>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</si>
  <si>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</si>
  <si>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</si>
  <si>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</si>
  <si>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</si>
  <si>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</si>
  <si>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</si>
  <si>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</si>
  <si>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</si>
  <si>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</si>
  <si>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</si>
  <si>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</si>
  <si>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</si>
  <si>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</si>
  <si>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</si>
  <si>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</si>
  <si>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</si>
  <si>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</si>
  <si>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</si>
  <si>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</si>
  <si>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</si>
  <si>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</si>
  <si>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</si>
  <si>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</si>
  <si>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</si>
  <si>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</si>
  <si>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</si>
  <si>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</si>
  <si>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</si>
  <si>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</si>
  <si>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</si>
  <si>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</si>
  <si>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</si>
  <si>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</si>
  <si>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</si>
  <si>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</si>
  <si>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</si>
  <si>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</si>
  <si>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</si>
  <si>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</si>
  <si>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</si>
  <si>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</si>
  <si>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</si>
  <si>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</si>
  <si>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</si>
  <si>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</si>
  <si>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</si>
  <si>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</si>
  <si>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</si>
  <si>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</si>
  <si>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</si>
  <si>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</si>
  <si>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</si>
  <si>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</si>
  <si>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</si>
  <si>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</si>
  <si>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</si>
  <si>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</si>
  <si>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</si>
  <si>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</si>
  <si>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</si>
  <si>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</si>
  <si>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</si>
  <si>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</si>
  <si>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</si>
  <si>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</si>
  <si>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</si>
  <si>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</si>
  <si>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</si>
  <si>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</si>
  <si>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</si>
  <si>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</si>
  <si>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</si>
  <si>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</si>
  <si>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</si>
  <si>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</si>
  <si>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</si>
  <si>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</si>
  <si>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</si>
  <si>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</si>
  <si>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</si>
  <si>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</si>
  <si>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</si>
  <si>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</si>
  <si>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</si>
  <si>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</si>
  <si>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</si>
  <si>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</si>
  <si>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</si>
  <si>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</si>
  <si>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</si>
  <si>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</si>
  <si>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</si>
  <si>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</si>
  <si>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</si>
  <si>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</si>
  <si>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</si>
  <si>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</si>
  <si>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</si>
  <si>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</si>
  <si>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</si>
  <si>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</si>
  <si>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</si>
  <si>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</si>
  <si>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</si>
  <si>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</si>
  <si>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</si>
  <si>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</si>
  <si>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</si>
  <si>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</si>
  <si>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</si>
  <si>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</si>
  <si>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</si>
  <si>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</si>
  <si>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</si>
  <si>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</si>
  <si>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</si>
  <si>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</si>
  <si>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</si>
  <si>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</si>
  <si>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</si>
  <si>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</si>
  <si>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</si>
  <si>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</si>
  <si>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</si>
  <si>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</si>
  <si>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</si>
  <si>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</si>
  <si>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</si>
  <si>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</si>
  <si>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</si>
  <si>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</si>
  <si>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</si>
  <si>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</si>
  <si>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</si>
  <si>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</si>
  <si>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</si>
  <si>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</si>
  <si>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</si>
  <si>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</si>
  <si>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</si>
  <si>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</si>
  <si>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</si>
  <si>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</si>
  <si>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</si>
  <si>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</si>
  <si>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</si>
  <si>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</si>
  <si>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</si>
  <si>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</si>
  <si>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</si>
  <si>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</si>
  <si>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</si>
  <si>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</si>
  <si>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</si>
  <si>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</si>
  <si>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</si>
  <si>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</si>
  <si>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</si>
  <si>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</si>
  <si>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</si>
  <si>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</si>
  <si>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</si>
  <si>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</si>
  <si>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</si>
  <si>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</si>
  <si>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</si>
  <si>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</si>
  <si>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</si>
  <si>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</si>
  <si>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</si>
  <si>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</si>
  <si>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</si>
  <si>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</si>
  <si>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</si>
  <si>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</si>
  <si>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</si>
  <si>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</si>
  <si>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</si>
  <si>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</si>
  <si>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</si>
  <si>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</si>
  <si>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</si>
  <si>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</si>
  <si>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</si>
  <si>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</si>
  <si>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</si>
  <si>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</si>
  <si>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</si>
  <si>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</si>
  <si>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</si>
  <si>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</si>
  <si>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</si>
  <si>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</si>
  <si>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</si>
  <si>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</si>
  <si>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</si>
  <si>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</si>
  <si>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</si>
  <si>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</si>
  <si>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</si>
  <si>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</si>
  <si>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</si>
  <si>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</si>
  <si>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</si>
  <si>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</si>
  <si>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</si>
  <si>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</si>
  <si>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</si>
  <si>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</si>
  <si>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</si>
  <si>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</si>
  <si>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</si>
  <si>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</si>
  <si>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</si>
  <si>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</si>
  <si>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</si>
  <si>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</si>
  <si>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</si>
  <si>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</si>
  <si>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</si>
  <si>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</si>
  <si>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</si>
  <si>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</si>
  <si>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</si>
  <si>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</si>
  <si>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</si>
  <si>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</si>
  <si>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</si>
  <si>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</si>
  <si>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</si>
  <si>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</si>
  <si>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</si>
  <si>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</si>
  <si>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</si>
  <si>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</si>
  <si>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</si>
  <si>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</si>
  <si>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</si>
  <si>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</si>
  <si>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</si>
  <si>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</si>
  <si>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</si>
  <si>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</si>
  <si>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</si>
  <si>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</si>
  <si>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</si>
  <si>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</si>
  <si>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</si>
  <si>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</si>
  <si>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</si>
  <si>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</si>
  <si>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</si>
  <si>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</si>
  <si>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</si>
  <si>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</si>
  <si>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</si>
  <si>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</si>
  <si>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</si>
  <si>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</si>
  <si>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</si>
  <si>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</si>
  <si>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</si>
  <si>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</si>
  <si>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</si>
  <si>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</si>
  <si>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</si>
  <si>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</si>
  <si>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</si>
  <si>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</si>
  <si>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</si>
  <si>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</si>
  <si>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</si>
  <si>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</si>
  <si>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</si>
  <si>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</si>
  <si>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</si>
  <si>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</si>
  <si>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</si>
  <si>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</si>
  <si>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</si>
  <si>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</si>
  <si>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</si>
  <si>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</si>
  <si>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</si>
  <si>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</si>
  <si>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</si>
  <si>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</si>
  <si>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</si>
  <si>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</si>
  <si>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</si>
  <si>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</si>
  <si>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</si>
  <si>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</si>
  <si>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</si>
  <si>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</si>
  <si>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</si>
  <si>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</si>
  <si>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</si>
  <si>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</si>
  <si>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</si>
  <si>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</si>
  <si>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</si>
  <si>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</si>
  <si>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</si>
  <si>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</si>
  <si>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</si>
  <si>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</si>
  <si>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</si>
  <si>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</si>
  <si>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</si>
  <si>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</si>
  <si>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</si>
  <si>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</si>
  <si>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</si>
  <si>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</si>
  <si>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</si>
  <si>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</si>
  <si>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</si>
  <si>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</si>
  <si>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</si>
  <si>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</si>
  <si>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</si>
  <si>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</si>
  <si>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</si>
  <si>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</si>
  <si>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</si>
  <si>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</si>
  <si>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</si>
  <si>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</si>
  <si>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</si>
  <si>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</si>
  <si>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</si>
  <si>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</si>
  <si>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</si>
  <si>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</si>
  <si>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</si>
  <si>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</si>
  <si>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</si>
  <si>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</si>
  <si>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</si>
  <si>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</si>
  <si>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</si>
  <si>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</si>
  <si>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</si>
  <si>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</si>
  <si>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</si>
  <si>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</si>
  <si>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</si>
  <si>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</si>
  <si>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</si>
  <si>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</si>
  <si>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</si>
  <si>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</si>
  <si>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</si>
  <si>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</si>
  <si>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</si>
  <si>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</si>
  <si>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</si>
  <si>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</si>
  <si>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</si>
  <si>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</si>
  <si>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</si>
  <si>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</si>
  <si>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</si>
  <si>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</si>
  <si>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</si>
  <si>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</si>
  <si>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</si>
  <si>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</si>
  <si>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</si>
  <si>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</si>
  <si>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</si>
  <si>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</si>
  <si>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</si>
  <si>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</si>
  <si>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</si>
  <si>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</si>
  <si>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</si>
  <si>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</si>
  <si>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</si>
  <si>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</si>
  <si>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</si>
  <si>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</si>
  <si>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</si>
  <si>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</si>
  <si>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</si>
  <si>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</si>
  <si>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</si>
  <si>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</si>
  <si>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</si>
  <si>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</si>
  <si>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</si>
  <si>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</si>
  <si>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</si>
  <si>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</si>
  <si>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</si>
  <si>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</si>
  <si>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</si>
  <si>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</si>
  <si>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</si>
  <si>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</si>
  <si>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</si>
  <si>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</si>
  <si>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</si>
  <si>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</si>
  <si>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</si>
  <si>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</si>
  <si>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</si>
  <si>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</si>
  <si>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</si>
  <si>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</si>
  <si>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</si>
  <si>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</si>
  <si>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</si>
  <si>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</si>
  <si>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</si>
  <si>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</si>
  <si>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</si>
  <si>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</si>
  <si>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</si>
  <si>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</si>
  <si>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</si>
  <si>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</si>
  <si>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</si>
  <si>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</si>
  <si>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</si>
  <si>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</si>
  <si>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</si>
  <si>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</si>
  <si>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</si>
  <si>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</si>
  <si>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</si>
  <si>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</si>
  <si>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</si>
  <si>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</si>
  <si>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</si>
  <si>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</si>
  <si>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</si>
  <si>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</si>
  <si>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</si>
  <si>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</si>
  <si>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</si>
  <si>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</si>
  <si>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</si>
  <si>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</si>
  <si>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</si>
  <si>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</si>
  <si>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</si>
  <si>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</si>
  <si>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</si>
  <si>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</si>
  <si>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</si>
  <si>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</si>
  <si>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</si>
  <si>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</si>
  <si>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</si>
  <si>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</si>
  <si>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</si>
  <si>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</si>
  <si>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</si>
  <si>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</si>
  <si>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</si>
  <si>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</si>
  <si>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</si>
  <si>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</si>
  <si>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</si>
  <si>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</si>
  <si>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</si>
  <si>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</si>
  <si>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</si>
  <si>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</si>
  <si>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</si>
  <si>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</si>
  <si>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</si>
  <si>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</si>
  <si>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</si>
  <si>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</si>
  <si>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</si>
  <si>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</si>
  <si>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</si>
  <si>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</si>
  <si>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</si>
  <si>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</si>
  <si>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</si>
  <si>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</si>
  <si>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</si>
  <si>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</si>
  <si>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</si>
  <si>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</si>
  <si>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</si>
  <si>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</si>
  <si>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</si>
  <si>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</si>
  <si>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</si>
  <si>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</si>
  <si>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</si>
  <si>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</si>
  <si>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</si>
  <si>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</si>
  <si>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</si>
  <si>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</si>
  <si>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</si>
  <si>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</si>
  <si>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</si>
  <si>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</si>
  <si>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</si>
  <si>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</si>
  <si>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</si>
  <si>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</si>
  <si>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</si>
  <si>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</si>
  <si>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</si>
  <si>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</si>
  <si>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</si>
  <si>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</si>
  <si>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</si>
  <si>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</si>
  <si>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</si>
  <si>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</si>
  <si>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</si>
  <si>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</si>
  <si>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</si>
  <si>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</si>
  <si>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</si>
  <si>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</si>
  <si>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</si>
  <si>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</si>
  <si>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</si>
  <si>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</si>
  <si>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</si>
  <si>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</si>
  <si>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</si>
  <si>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</si>
  <si>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</si>
  <si>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</si>
  <si>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</si>
  <si>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</si>
  <si>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</si>
  <si>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</si>
  <si>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</si>
  <si>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</si>
  <si>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</si>
  <si>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</si>
  <si>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</si>
  <si>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</si>
  <si>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</si>
  <si>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</si>
  <si>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</si>
  <si>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</si>
  <si>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</si>
  <si>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</si>
  <si>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</si>
  <si>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</si>
  <si>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</si>
  <si>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</si>
  <si>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</si>
  <si>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</si>
  <si>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</si>
  <si>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</si>
  <si>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</si>
  <si>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</si>
  <si>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</si>
  <si>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</si>
  <si>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</si>
  <si>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</si>
  <si>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</si>
  <si>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</si>
  <si>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</si>
  <si>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</si>
  <si>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</si>
  <si>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</si>
  <si>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</si>
  <si>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</si>
  <si>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</si>
  <si>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</si>
  <si>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</si>
  <si>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</si>
  <si>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</si>
  <si>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</si>
  <si>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</si>
  <si>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</si>
  <si>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</si>
  <si>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</si>
  <si>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</si>
  <si>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</si>
  <si>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</si>
  <si>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</si>
  <si>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</si>
  <si>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</si>
  <si>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</si>
  <si>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</si>
  <si>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</si>
  <si>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</si>
  <si>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</si>
  <si>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</si>
  <si>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</si>
  <si>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</si>
  <si>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</si>
  <si>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</si>
  <si>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</si>
  <si>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</si>
  <si>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</si>
  <si>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</si>
  <si>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</si>
  <si>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</si>
  <si>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</si>
  <si>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</si>
  <si>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</si>
  <si>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</si>
  <si>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</si>
  <si>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</si>
  <si>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</si>
  <si>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</si>
  <si>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</si>
  <si>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</si>
  <si>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</si>
  <si>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</si>
  <si>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</si>
  <si>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</si>
  <si>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</si>
  <si>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</si>
  <si>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</si>
  <si>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</si>
  <si>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</si>
  <si>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</si>
  <si>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</si>
  <si>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</si>
  <si>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</si>
  <si>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</si>
  <si>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</si>
  <si>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</si>
  <si>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</si>
  <si>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</si>
  <si>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</si>
  <si>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</si>
  <si>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</si>
  <si>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</si>
  <si>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</si>
  <si>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</si>
  <si>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</si>
  <si>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</si>
  <si>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</si>
  <si>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</si>
  <si>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</si>
  <si>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</si>
  <si>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</si>
  <si>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</si>
  <si>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</si>
  <si>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</si>
  <si>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</si>
  <si>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</si>
  <si>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</si>
  <si>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</si>
  <si>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</si>
  <si>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</si>
  <si>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</si>
  <si>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</si>
  <si>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</si>
  <si>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</si>
  <si>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</si>
  <si>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</si>
  <si>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</si>
  <si>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</si>
  <si>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</si>
  <si>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</si>
  <si>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</si>
  <si>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</si>
  <si>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</si>
  <si>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</si>
  <si>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</si>
  <si>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</si>
  <si>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</si>
  <si>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</si>
  <si>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</si>
  <si>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</si>
  <si>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</si>
  <si>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</si>
  <si>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</si>
  <si>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</si>
  <si>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</si>
  <si>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</si>
  <si>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</si>
  <si>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</si>
  <si>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</si>
  <si>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</si>
  <si>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</si>
  <si>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</si>
  <si>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</si>
  <si>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</si>
  <si>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</si>
  <si>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</si>
  <si>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</si>
  <si>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</si>
  <si>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</si>
  <si>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</si>
  <si>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</si>
  <si>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</si>
  <si>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</si>
  <si>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</si>
  <si>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</si>
  <si>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</si>
  <si>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</si>
  <si>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</si>
  <si>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</si>
  <si>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</si>
  <si>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</si>
  <si>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</si>
  <si>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</si>
  <si>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</si>
  <si>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</si>
  <si>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</si>
  <si>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</si>
  <si>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</si>
  <si>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</si>
  <si>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</si>
  <si>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</si>
  <si>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</si>
  <si>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</si>
  <si>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</si>
  <si>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</si>
  <si>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</si>
  <si>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</si>
  <si>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</si>
  <si>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</si>
  <si>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</si>
  <si>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</si>
  <si>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</si>
  <si>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</si>
  <si>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</si>
  <si>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</si>
  <si>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</si>
  <si>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</si>
  <si>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</si>
  <si>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</si>
  <si>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</si>
  <si>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</si>
  <si>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</si>
  <si>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</si>
  <si>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</si>
  <si>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</si>
  <si>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</si>
  <si>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</si>
  <si>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</si>
  <si>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</si>
  <si>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</si>
  <si>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</si>
  <si>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</si>
  <si>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</si>
  <si>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</si>
  <si>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</si>
  <si>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</si>
  <si>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</si>
  <si>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</si>
  <si>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</si>
  <si>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</si>
  <si>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</si>
  <si>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</si>
  <si>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</si>
  <si>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</si>
  <si>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</si>
  <si>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</si>
  <si>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</si>
  <si>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</si>
  <si>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</si>
  <si>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</si>
  <si>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</si>
  <si>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</si>
  <si>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</si>
  <si>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</si>
  <si>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</si>
  <si>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</si>
  <si>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</si>
  <si>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</si>
  <si>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</si>
  <si>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</si>
  <si>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</si>
  <si>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</si>
  <si>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</si>
  <si>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</si>
  <si>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</si>
  <si>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</si>
  <si>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</si>
  <si>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</si>
  <si>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</si>
  <si>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</si>
  <si>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</si>
  <si>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</si>
  <si>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</si>
  <si>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</si>
  <si>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</si>
  <si>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</si>
  <si>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</si>
  <si>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</si>
  <si>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</si>
  <si>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</si>
  <si>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</si>
  <si>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</si>
  <si>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</si>
  <si>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</si>
  <si>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</si>
  <si>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</si>
  <si>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</si>
  <si>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</si>
  <si>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</si>
  <si>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</si>
  <si>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</si>
  <si>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</si>
  <si>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</si>
  <si>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</si>
  <si>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</si>
  <si>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</si>
  <si>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</si>
  <si>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</si>
  <si>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</si>
  <si>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</si>
  <si>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</si>
  <si>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</si>
  <si>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</si>
  <si>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</si>
  <si>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</si>
  <si>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</si>
  <si>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</si>
  <si>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</si>
  <si>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</si>
  <si>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</si>
  <si>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</si>
  <si>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</si>
  <si>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</si>
  <si>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</si>
  <si>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</si>
  <si>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</si>
  <si>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</si>
  <si>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</si>
  <si>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</si>
  <si>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</si>
  <si>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</si>
  <si>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</si>
  <si>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</si>
  <si>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</si>
  <si>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</si>
  <si>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</si>
  <si>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</si>
  <si>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</si>
  <si>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</si>
  <si>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</si>
  <si>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</si>
  <si>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</si>
  <si>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</si>
  <si>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</si>
  <si>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</si>
  <si>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</si>
  <si>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</si>
  <si>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</si>
  <si>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</si>
  <si>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</si>
  <si>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</si>
  <si>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</si>
  <si>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</si>
  <si>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</si>
  <si>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</si>
  <si>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</si>
  <si>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</si>
  <si>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</si>
  <si>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</si>
  <si>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</si>
  <si>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</si>
  <si>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</si>
  <si>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</si>
  <si>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</si>
  <si>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</si>
  <si>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</si>
  <si>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</si>
  <si>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</si>
  <si>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</si>
  <si>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</si>
  <si>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</si>
  <si>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</si>
  <si>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</si>
  <si>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</si>
  <si>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</si>
  <si>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</si>
  <si>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</si>
  <si>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</si>
  <si>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</si>
  <si>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</si>
  <si>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</si>
  <si>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</si>
  <si>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</si>
  <si>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</si>
  <si>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</si>
  <si>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</si>
  <si>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</si>
  <si>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</si>
  <si>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</si>
  <si>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</si>
  <si>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</si>
  <si>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</si>
  <si>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</si>
  <si>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</si>
  <si>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</si>
  <si>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</si>
  <si>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</si>
  <si>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</si>
  <si>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</si>
  <si>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</si>
  <si>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</si>
  <si>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</si>
  <si>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</si>
  <si>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</si>
  <si>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</si>
  <si>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</si>
  <si>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</si>
  <si>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</si>
  <si>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</si>
  <si>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</si>
  <si>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</si>
  <si>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</si>
  <si>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</si>
  <si>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</si>
  <si>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</si>
  <si>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</si>
  <si>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</si>
  <si>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</si>
  <si>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</si>
  <si>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</si>
  <si>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</si>
  <si>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</si>
  <si>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</si>
  <si>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</si>
  <si>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</si>
  <si>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</si>
  <si>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</si>
  <si>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</si>
  <si>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</si>
  <si>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</si>
  <si>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</si>
  <si>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</si>
  <si>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</si>
  <si>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</si>
  <si>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</si>
  <si>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</si>
  <si>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</si>
  <si>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</si>
  <si>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</si>
  <si>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</si>
  <si>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</si>
  <si>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</si>
  <si>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</si>
  <si>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</si>
  <si>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</si>
  <si>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</si>
  <si>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</si>
  <si>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</si>
  <si>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</si>
  <si>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</si>
  <si>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</si>
  <si>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</si>
  <si>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</si>
  <si>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</si>
  <si>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</si>
  <si>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</si>
  <si>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</si>
  <si>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</si>
  <si>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</si>
  <si>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</si>
  <si>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</si>
  <si>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</si>
  <si>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</si>
  <si>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</si>
  <si>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</si>
  <si>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</si>
  <si>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</si>
  <si>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</si>
  <si>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</si>
  <si>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</si>
  <si>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</si>
  <si>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</si>
  <si>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</si>
  <si>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</si>
  <si>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</si>
  <si>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</si>
  <si>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</si>
  <si>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</si>
  <si>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</si>
  <si>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</si>
  <si>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</si>
  <si>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</si>
  <si>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</si>
  <si>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</si>
  <si>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</si>
  <si>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</si>
  <si>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</si>
  <si>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</si>
  <si>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</si>
  <si>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</si>
  <si>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</si>
  <si>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</si>
  <si>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</si>
  <si>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</si>
  <si>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</si>
  <si>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</si>
  <si>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</si>
  <si>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</si>
  <si>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</si>
  <si>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</si>
  <si>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</si>
  <si>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</si>
  <si>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</si>
  <si>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</si>
  <si>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</si>
  <si>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</si>
  <si>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</si>
  <si>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</si>
  <si>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</si>
  <si>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</si>
  <si>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</si>
  <si>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</si>
  <si>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</si>
  <si>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</si>
  <si>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</si>
  <si>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</si>
  <si>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</si>
  <si>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</si>
  <si>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</si>
  <si>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</si>
  <si>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</si>
  <si>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</si>
  <si>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</si>
  <si>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</si>
  <si>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</si>
  <si>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</si>
  <si>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</si>
  <si>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</si>
  <si>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</si>
  <si>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</si>
  <si>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</si>
  <si>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</si>
  <si>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</si>
  <si>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</si>
  <si>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</si>
  <si>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</si>
  <si>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</si>
  <si>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</si>
  <si>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</si>
  <si>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</si>
  <si>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</si>
  <si>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</si>
  <si>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</si>
  <si>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</si>
  <si>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</si>
  <si>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</si>
  <si>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</si>
  <si>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</si>
  <si>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</si>
  <si>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</si>
  <si>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</si>
  <si>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</si>
  <si>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</si>
  <si>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</si>
  <si>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</si>
  <si>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</si>
  <si>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</si>
  <si>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</si>
  <si>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</si>
  <si>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</si>
  <si>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</si>
  <si>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</si>
  <si>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</si>
  <si>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</si>
  <si>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</si>
  <si>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</si>
  <si>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</si>
  <si>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</si>
  <si>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</si>
  <si>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</si>
  <si>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</si>
  <si>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</si>
  <si>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</si>
  <si>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</si>
  <si>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</si>
  <si>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</si>
  <si>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</si>
  <si>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</si>
  <si>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</si>
  <si>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</si>
  <si>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</si>
  <si>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</si>
  <si>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</si>
  <si>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</si>
  <si>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</si>
  <si>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</si>
  <si>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</si>
  <si>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</si>
  <si>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</si>
  <si>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</si>
  <si>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</si>
  <si>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</si>
  <si>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</si>
  <si>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</si>
  <si>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</si>
  <si>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</si>
  <si>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</si>
  <si>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</si>
  <si>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</si>
  <si>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</si>
  <si>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</si>
  <si>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</si>
  <si>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</si>
  <si>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</si>
  <si>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</si>
  <si>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</si>
  <si>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</si>
  <si>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</si>
  <si>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</si>
  <si>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</si>
  <si>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</si>
  <si>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</si>
  <si>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</si>
  <si>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</si>
  <si>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</si>
  <si>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</si>
  <si>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</si>
  <si>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</si>
  <si>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</si>
  <si>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</si>
  <si>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</si>
  <si>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</si>
  <si>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</si>
  <si>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</si>
  <si>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</si>
  <si>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</si>
  <si>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</si>
  <si>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</si>
  <si>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</si>
  <si>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</si>
  <si>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</si>
  <si>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</si>
  <si>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</si>
  <si>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</si>
  <si>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</si>
  <si>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</si>
  <si>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</si>
  <si>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</si>
  <si>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</si>
  <si>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</si>
  <si>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</si>
  <si>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</si>
  <si>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</si>
  <si>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</si>
  <si>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</si>
  <si>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</si>
  <si>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</si>
  <si>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</si>
  <si>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</si>
  <si>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</si>
  <si>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</si>
  <si>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</si>
  <si>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</si>
  <si>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</si>
  <si>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</si>
  <si>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</si>
  <si>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</si>
  <si>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</si>
  <si>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</si>
  <si>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</si>
  <si>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</si>
  <si>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</si>
  <si>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</si>
  <si>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</si>
  <si>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</si>
  <si>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</si>
  <si>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</si>
  <si>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</si>
  <si>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</si>
  <si>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</si>
  <si>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</si>
  <si>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</si>
  <si>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</si>
  <si>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</si>
  <si>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</si>
  <si>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</si>
  <si>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</si>
  <si>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</si>
  <si>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</si>
  <si>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</si>
  <si>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</si>
  <si>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</si>
  <si>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</si>
  <si>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</si>
  <si>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</si>
  <si>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</si>
  <si>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</si>
  <si>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</si>
  <si>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</si>
  <si>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</si>
  <si>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</si>
  <si>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</si>
  <si>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</si>
  <si>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</si>
  <si>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</si>
  <si>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</si>
  <si>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</si>
  <si>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</si>
  <si>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</si>
  <si>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</si>
  <si>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</si>
  <si>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</si>
  <si>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</si>
  <si>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</si>
  <si>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</si>
  <si>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</si>
  <si>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</si>
  <si>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</si>
  <si>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</si>
  <si>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</si>
  <si>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</si>
  <si>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</si>
  <si>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</si>
  <si>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</si>
  <si>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</si>
  <si>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</si>
  <si>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</si>
  <si>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</si>
  <si>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</si>
  <si>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</si>
  <si>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</si>
  <si>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</si>
  <si>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</si>
  <si>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</si>
  <si>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</si>
  <si>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</si>
  <si>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</si>
  <si>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</si>
  <si>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</si>
  <si>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</si>
  <si>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</si>
  <si>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</si>
  <si>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</si>
  <si>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</si>
  <si>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</si>
  <si>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</si>
  <si>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</si>
  <si>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</si>
  <si>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</si>
  <si>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</si>
  <si>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</si>
  <si>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</si>
  <si>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</si>
  <si>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</si>
  <si>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</si>
  <si>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</si>
  <si>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</si>
  <si>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</si>
  <si>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</si>
  <si>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</si>
  <si>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</si>
  <si>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</si>
  <si>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</si>
  <si>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</si>
  <si>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</si>
  <si>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</si>
  <si>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</si>
  <si>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</si>
  <si>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</si>
  <si>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</si>
  <si>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</si>
  <si>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</si>
  <si>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</si>
  <si>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</si>
  <si>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</si>
  <si>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</si>
  <si>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</si>
  <si>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</si>
  <si>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</si>
  <si>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</si>
  <si>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</si>
  <si>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</si>
  <si>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</si>
  <si>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</si>
  <si>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</si>
  <si>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</si>
  <si>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</si>
  <si>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</si>
  <si>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</si>
  <si>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</si>
  <si>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</si>
  <si>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</si>
  <si>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</si>
  <si>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</si>
  <si>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</si>
  <si>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</si>
  <si>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</si>
  <si>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</si>
  <si>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</si>
  <si>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</si>
  <si>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</si>
  <si>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</si>
  <si>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</si>
  <si>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</si>
  <si>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</si>
  <si>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</si>
  <si>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</si>
  <si>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</si>
  <si>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</si>
  <si>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</si>
  <si>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</si>
  <si>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</si>
  <si>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</si>
  <si>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</si>
  <si>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</si>
  <si>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</si>
  <si>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</si>
  <si>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</si>
  <si>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</si>
  <si>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</si>
  <si>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</si>
  <si>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</si>
  <si>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</si>
  <si>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</si>
  <si>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</si>
  <si>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</si>
  <si>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</si>
  <si>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</si>
  <si>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</si>
  <si>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</si>
  <si>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</si>
  <si>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</si>
  <si>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</si>
  <si>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</si>
  <si>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</si>
  <si>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</si>
  <si>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</si>
  <si>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</si>
  <si>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</si>
  <si>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</si>
  <si>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</si>
  <si>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</si>
  <si>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</si>
  <si>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</si>
  <si>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</si>
  <si>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</si>
  <si>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</si>
  <si>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</si>
  <si>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</si>
  <si>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</si>
  <si>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</si>
  <si>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</si>
  <si>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</si>
  <si>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</si>
  <si>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</si>
  <si>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</si>
  <si>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</si>
  <si>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</si>
  <si>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</si>
  <si>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</si>
  <si>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</si>
  <si>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</si>
  <si>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</si>
  <si>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</si>
  <si>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</si>
  <si>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</si>
  <si>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</si>
  <si>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</si>
  <si>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</si>
  <si>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</si>
  <si>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</si>
  <si>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</si>
  <si>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</si>
  <si>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</si>
  <si>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</si>
  <si>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</si>
  <si>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</si>
  <si>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</si>
  <si>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</si>
  <si>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</si>
  <si>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</si>
  <si>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</si>
  <si>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</si>
  <si>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</si>
  <si>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</si>
  <si>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</si>
  <si>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</si>
  <si>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</si>
  <si>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</si>
  <si>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</si>
  <si>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</si>
  <si>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</si>
  <si>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</si>
  <si>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</si>
  <si>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</si>
  <si>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</si>
  <si>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</si>
  <si>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</si>
  <si>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</si>
  <si>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</si>
  <si>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</si>
  <si>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</si>
  <si>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</si>
  <si>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</si>
  <si>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</si>
  <si>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</si>
  <si>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</si>
  <si>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</si>
  <si>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</si>
  <si>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</si>
  <si>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</si>
  <si>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</si>
  <si>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</si>
  <si>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</si>
  <si>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</si>
  <si>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</si>
  <si>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</si>
  <si>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</si>
  <si>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</si>
  <si>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</si>
  <si>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</si>
  <si>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</si>
  <si>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</si>
  <si>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</si>
  <si>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</si>
  <si>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</si>
  <si>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</si>
  <si>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</si>
  <si>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</si>
  <si>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</si>
  <si>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</si>
  <si>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</si>
  <si>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</si>
  <si>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</si>
  <si>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</si>
  <si>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</si>
  <si>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</si>
  <si>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</si>
  <si>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</si>
  <si>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</si>
  <si>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</si>
  <si>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</si>
  <si>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</si>
  <si>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</si>
  <si>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</si>
  <si>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</si>
  <si>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</si>
  <si>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</si>
  <si>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</si>
  <si>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</si>
  <si>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</si>
  <si>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</si>
  <si>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</si>
  <si>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</si>
  <si>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</si>
  <si>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</si>
  <si>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</si>
  <si>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</si>
  <si>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</si>
  <si>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</si>
  <si>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</si>
  <si>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</si>
  <si>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</si>
  <si>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</si>
  <si>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</si>
  <si>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</si>
  <si>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</si>
  <si>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</si>
  <si>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</si>
  <si>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</si>
  <si>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</si>
  <si>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</si>
  <si>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</si>
  <si>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</si>
  <si>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</si>
  <si>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</si>
  <si>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</si>
  <si>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</si>
  <si>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</si>
  <si>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</si>
  <si>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</si>
  <si>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</si>
  <si>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</si>
  <si>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</si>
  <si>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</si>
  <si>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</si>
  <si>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</si>
  <si>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</si>
  <si>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</si>
  <si>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</si>
  <si>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</si>
  <si>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</si>
  <si>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</si>
  <si>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</si>
  <si>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</si>
  <si>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</si>
  <si>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</si>
  <si>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</si>
  <si>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</si>
  <si>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</si>
  <si>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</si>
  <si>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</si>
  <si>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</si>
  <si>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</si>
  <si>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</si>
  <si>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</si>
  <si>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</si>
  <si>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</si>
  <si>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</si>
  <si>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</si>
  <si>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</si>
  <si>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</si>
  <si>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</si>
  <si>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</si>
  <si>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</si>
  <si>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</si>
  <si>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</si>
  <si>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</si>
  <si>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</si>
  <si>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</si>
  <si>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</si>
  <si>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</si>
  <si>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</si>
  <si>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</si>
  <si>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</si>
  <si>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</si>
  <si>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</si>
  <si>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</si>
  <si>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</si>
  <si>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</si>
  <si>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</si>
  <si>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</si>
  <si>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</si>
  <si>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</si>
  <si>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</si>
  <si>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</si>
  <si>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</si>
  <si>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</si>
  <si>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</si>
  <si>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</si>
  <si>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</si>
  <si>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</si>
  <si>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</si>
  <si>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</si>
  <si>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</si>
  <si>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</si>
  <si>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</si>
  <si>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</si>
  <si>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</si>
  <si>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</si>
  <si>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</si>
  <si>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</si>
  <si>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</si>
  <si>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</si>
  <si>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</si>
  <si>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</si>
  <si>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</si>
  <si>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</si>
  <si>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</si>
  <si>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</si>
  <si>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</si>
  <si>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</si>
  <si>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</si>
  <si>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</si>
  <si>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</si>
  <si>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</si>
  <si>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</si>
  <si>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</si>
  <si>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</si>
  <si>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</si>
  <si>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</si>
  <si>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</si>
  <si>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</si>
  <si>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</si>
  <si>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</si>
  <si>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</si>
  <si>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</si>
  <si>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</si>
  <si>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</si>
  <si>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</si>
  <si>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</si>
  <si>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</si>
  <si>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</si>
  <si>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</si>
  <si>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</si>
  <si>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</si>
  <si>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</si>
  <si>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</si>
  <si>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</si>
  <si>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</si>
  <si>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</si>
  <si>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</si>
  <si>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</si>
  <si>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</si>
  <si>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</si>
  <si>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</si>
  <si>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</si>
  <si>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</si>
  <si>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</si>
  <si>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</si>
  <si>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</si>
  <si>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</si>
  <si>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</si>
  <si>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</si>
  <si>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</si>
  <si>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</si>
  <si>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</si>
  <si>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</si>
  <si>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</si>
  <si>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</si>
  <si>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</si>
  <si>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</si>
  <si>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</si>
  <si>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</si>
  <si>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</si>
  <si>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</si>
  <si>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</si>
  <si>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</si>
  <si>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</si>
  <si>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</si>
  <si>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</si>
  <si>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</si>
  <si>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</si>
  <si>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</si>
  <si>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</si>
  <si>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</si>
  <si>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</si>
  <si>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</si>
  <si>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</si>
  <si>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</si>
  <si>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</si>
  <si>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</si>
  <si>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</si>
  <si>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</si>
  <si>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</si>
  <si>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</si>
  <si>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</si>
  <si>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</si>
  <si>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</si>
  <si>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</si>
  <si>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</si>
  <si>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</si>
  <si>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</si>
  <si>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</si>
  <si>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</si>
  <si>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</si>
  <si>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</si>
  <si>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</si>
  <si>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</si>
  <si>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</si>
  <si>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</si>
  <si>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</si>
  <si>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</si>
  <si>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</si>
  <si>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</si>
  <si>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</si>
  <si>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</si>
  <si>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</si>
  <si>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</si>
  <si>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</si>
  <si>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</si>
  <si>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</si>
  <si>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</si>
  <si>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</si>
  <si>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</si>
  <si>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</si>
  <si>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</si>
  <si>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</si>
  <si>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</si>
  <si>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</si>
  <si>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</si>
  <si>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</si>
  <si>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</si>
  <si>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</si>
  <si>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</si>
  <si>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</si>
  <si>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</si>
  <si>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</si>
  <si>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</si>
  <si>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</si>
  <si>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</si>
  <si>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</si>
  <si>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</si>
  <si>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</si>
  <si>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</si>
  <si>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</si>
  <si>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</si>
  <si>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</si>
  <si>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</si>
  <si>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</si>
  <si>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</si>
  <si>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</si>
  <si>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</si>
  <si>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</si>
  <si>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</si>
  <si>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</si>
  <si>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</si>
  <si>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</si>
  <si>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</si>
  <si>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</si>
  <si>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</si>
  <si>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</si>
  <si>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</si>
  <si>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</si>
  <si>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</si>
  <si>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</si>
  <si>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</si>
  <si>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</si>
  <si>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</si>
  <si>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</si>
  <si>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</si>
  <si>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</si>
  <si>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</si>
  <si>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</si>
  <si>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</si>
  <si>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</si>
  <si>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</si>
  <si>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</si>
  <si>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</si>
  <si>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</si>
  <si>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</si>
  <si>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</si>
  <si>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</si>
  <si>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</si>
  <si>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</si>
  <si>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</si>
  <si>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</si>
  <si>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</si>
  <si>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</si>
  <si>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</si>
  <si>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</si>
  <si>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</si>
  <si>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</si>
  <si>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</si>
  <si>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</si>
  <si>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</si>
  <si>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</si>
  <si>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</si>
  <si>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</si>
  <si>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</si>
  <si>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</si>
  <si>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</si>
  <si>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</si>
  <si>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</si>
  <si>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</si>
  <si>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</si>
  <si>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</si>
  <si>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</si>
  <si>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</si>
  <si>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</si>
  <si>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</si>
  <si>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</si>
  <si>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</si>
  <si>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</si>
  <si>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</si>
  <si>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</si>
  <si>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</si>
  <si>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</si>
  <si>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</si>
  <si>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</si>
  <si>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</si>
  <si>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</si>
  <si>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</si>
  <si>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</si>
  <si>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</si>
  <si>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</si>
  <si>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</si>
  <si>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</si>
  <si>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</si>
  <si>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</si>
  <si>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</si>
  <si>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</si>
  <si>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</si>
  <si>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</si>
  <si>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</si>
  <si>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</si>
  <si>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</si>
  <si>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</si>
  <si>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</si>
  <si>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</si>
  <si>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</si>
  <si>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</si>
  <si>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</si>
  <si>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</si>
  <si>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</si>
  <si>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</si>
  <si>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</si>
  <si>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</si>
  <si>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</si>
  <si>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</si>
  <si>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</si>
  <si>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</si>
  <si>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</si>
  <si>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</si>
  <si>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</si>
  <si>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</si>
  <si>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</si>
  <si>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</si>
  <si>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</si>
  <si>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</si>
  <si>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</si>
  <si>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</si>
  <si>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</si>
  <si>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</si>
  <si>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</si>
  <si>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</si>
  <si>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</si>
  <si>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</si>
  <si>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</si>
  <si>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</si>
  <si>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</si>
  <si>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</si>
  <si>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</si>
  <si>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</si>
  <si>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</si>
  <si>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</si>
  <si>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</si>
  <si>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</si>
  <si>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</si>
  <si>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</si>
  <si>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</si>
  <si>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</si>
  <si>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</si>
  <si>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</si>
  <si>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</si>
  <si>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</si>
  <si>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</si>
  <si>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</si>
  <si>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</si>
  <si>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</si>
  <si>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</si>
  <si>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</si>
  <si>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</si>
  <si>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</si>
  <si>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</si>
  <si>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</si>
  <si>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</si>
  <si>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</si>
  <si>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</si>
  <si>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</si>
  <si>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</si>
  <si>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</si>
  <si>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</si>
  <si>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</si>
  <si>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</si>
  <si>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</si>
  <si>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</si>
  <si>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</si>
  <si>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</si>
  <si>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</si>
  <si>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</si>
  <si>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</si>
  <si>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</si>
  <si>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</si>
  <si>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</si>
  <si>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</si>
  <si>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</si>
  <si>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</si>
  <si>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</si>
  <si>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</si>
  <si>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</si>
  <si>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</si>
  <si>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</si>
  <si>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</si>
  <si>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</si>
  <si>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</si>
  <si>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</si>
  <si>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</si>
  <si>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</si>
  <si>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</si>
  <si>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</si>
  <si>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</si>
  <si>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</si>
  <si>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</si>
  <si>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</si>
  <si>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</si>
  <si>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</si>
  <si>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</si>
  <si>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</si>
  <si>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</si>
  <si>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</si>
  <si>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</si>
  <si>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</si>
  <si>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</si>
  <si>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</si>
  <si>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</si>
  <si>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</si>
  <si>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</si>
  <si>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</si>
  <si>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</si>
  <si>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</si>
  <si>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</si>
  <si>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</si>
  <si>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</si>
  <si>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</si>
  <si>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</si>
  <si>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</si>
  <si>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</si>
  <si>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</si>
  <si>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</si>
  <si>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</si>
  <si>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</si>
  <si>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</si>
  <si>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</si>
  <si>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</si>
  <si>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</si>
  <si>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</si>
  <si>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</si>
  <si>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</si>
  <si>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</si>
  <si>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</si>
  <si>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</si>
  <si>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</si>
  <si>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</si>
  <si>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</si>
  <si>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</si>
  <si>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</si>
  <si>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</si>
  <si>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</si>
  <si>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</si>
  <si>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</si>
  <si>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</si>
  <si>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</si>
  <si>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</si>
  <si>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</si>
  <si>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</si>
  <si>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</si>
  <si>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</si>
  <si>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</si>
  <si>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</si>
  <si>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</si>
  <si>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</si>
  <si>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</si>
  <si>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</si>
  <si>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</si>
  <si>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</si>
  <si>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</si>
  <si>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</si>
  <si>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</si>
  <si>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</si>
  <si>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</si>
  <si>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</si>
  <si>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</si>
  <si>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</si>
  <si>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</si>
  <si>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</si>
  <si>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</si>
  <si>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</si>
  <si>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</si>
  <si>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</si>
  <si>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</si>
  <si>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</si>
  <si>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</si>
  <si>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</si>
  <si>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</si>
  <si>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</si>
  <si>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</si>
  <si>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</si>
  <si>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</si>
  <si>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</si>
  <si>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</si>
  <si>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</si>
  <si>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</si>
  <si>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</si>
  <si>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</si>
  <si>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</si>
  <si>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</si>
  <si>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</si>
  <si>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</si>
  <si>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</si>
  <si>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</si>
  <si>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</si>
  <si>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</si>
  <si>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</si>
  <si>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</si>
  <si>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</si>
  <si>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</si>
  <si>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</si>
  <si>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</si>
  <si>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</si>
  <si>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</si>
  <si>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</si>
  <si>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</si>
  <si>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</si>
  <si>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</si>
  <si>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</si>
  <si>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</si>
  <si>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</si>
  <si>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</si>
  <si>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</si>
  <si>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</si>
  <si>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</si>
  <si>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</si>
  <si>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</si>
  <si>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</si>
  <si>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</si>
  <si>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</si>
  <si>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</si>
  <si>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</si>
  <si>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</si>
  <si>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</si>
  <si>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</si>
  <si>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</si>
  <si>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</si>
  <si>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</si>
  <si>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</si>
  <si>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</si>
  <si>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</si>
  <si>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</si>
  <si>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</si>
  <si>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</si>
  <si>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</si>
  <si>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</si>
  <si>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</si>
  <si>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</si>
  <si>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</si>
  <si>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</si>
  <si>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</si>
  <si>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</si>
  <si>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</si>
  <si>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</si>
  <si>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</si>
  <si>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</si>
  <si>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</si>
  <si>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</si>
  <si>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</si>
  <si>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</si>
  <si>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</si>
  <si>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</si>
  <si>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</si>
  <si>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</si>
  <si>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</si>
  <si>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</si>
  <si>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</si>
  <si>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</si>
  <si>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</si>
  <si>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</si>
  <si>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</si>
  <si>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</si>
  <si>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</si>
  <si>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</si>
  <si>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</si>
  <si>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</si>
  <si>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</si>
  <si>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</si>
  <si>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</si>
  <si>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</si>
  <si>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</si>
  <si>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</si>
  <si>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</si>
  <si>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</si>
  <si>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</si>
  <si>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</si>
  <si>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</si>
  <si>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</si>
  <si>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</si>
  <si>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</si>
  <si>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</si>
  <si>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</si>
  <si>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</si>
  <si>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</si>
  <si>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</si>
  <si>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</si>
  <si>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</si>
  <si>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</si>
  <si>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</si>
  <si>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</si>
  <si>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</si>
  <si>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</si>
  <si>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</si>
  <si>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</si>
  <si>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</si>
  <si>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</si>
  <si>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</si>
  <si>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</si>
  <si>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</si>
  <si>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</si>
  <si>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</si>
  <si>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</si>
  <si>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</si>
  <si>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</si>
  <si>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</si>
  <si>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</si>
  <si>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</si>
  <si>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</si>
  <si>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</si>
  <si>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</si>
  <si>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</si>
  <si>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</si>
  <si>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</si>
  <si>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</si>
  <si>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</si>
  <si>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</si>
  <si>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</si>
  <si>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</si>
  <si>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</si>
  <si>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</si>
  <si>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</si>
  <si>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</si>
  <si>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</si>
  <si>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</si>
  <si>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</si>
  <si>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</si>
  <si>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</si>
  <si>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</si>
  <si>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</si>
  <si>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</si>
  <si>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</si>
  <si>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</si>
  <si>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</si>
  <si>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</si>
  <si>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</si>
  <si>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</si>
  <si>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</si>
  <si>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</si>
  <si>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</si>
  <si>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</si>
  <si>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</si>
  <si>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</si>
  <si>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</si>
  <si>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</si>
  <si>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</si>
  <si>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</si>
  <si>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</si>
  <si>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</si>
  <si>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</si>
  <si>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</si>
  <si>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</si>
  <si>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</si>
  <si>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</si>
  <si>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</si>
  <si>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</si>
  <si>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</si>
  <si>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</si>
  <si>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</si>
  <si>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</si>
  <si>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</si>
  <si>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</si>
  <si>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</si>
  <si>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</si>
  <si>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</si>
  <si>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</si>
  <si>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</si>
  <si>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</si>
  <si>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</si>
  <si>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</si>
  <si>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</si>
  <si>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</si>
  <si>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</si>
  <si>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</si>
  <si>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</si>
  <si>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</si>
  <si>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</si>
  <si>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</si>
  <si>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</si>
  <si>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</si>
  <si>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</si>
  <si>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</si>
  <si>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</si>
  <si>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</si>
  <si>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</si>
  <si>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</si>
  <si>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</si>
  <si>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</si>
  <si>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</si>
  <si>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</si>
  <si>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</si>
  <si>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</si>
  <si>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</si>
  <si>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</si>
  <si>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</si>
  <si>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</si>
  <si>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</si>
  <si>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</si>
  <si>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</si>
  <si>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</si>
  <si>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</si>
  <si>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</si>
  <si>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</si>
  <si>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</si>
  <si>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</si>
  <si>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</si>
  <si>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</si>
  <si>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</si>
  <si>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</si>
  <si>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</si>
  <si>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</si>
  <si>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</si>
  <si>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</si>
  <si>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</si>
  <si>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</si>
  <si>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</si>
  <si>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</si>
  <si>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</si>
  <si>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</si>
  <si>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</si>
  <si>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</si>
  <si>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</si>
  <si>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</si>
  <si>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</si>
  <si>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</si>
  <si>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</si>
  <si>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</si>
  <si>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</si>
  <si>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</si>
  <si>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</si>
  <si>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</si>
  <si>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</si>
  <si>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</si>
  <si>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</si>
  <si>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</si>
  <si>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</si>
  <si>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</si>
  <si>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</si>
  <si>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</si>
  <si>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</si>
  <si>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</si>
  <si>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</si>
  <si>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</si>
  <si>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</si>
  <si>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</si>
  <si>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</si>
  <si>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</si>
  <si>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</si>
  <si>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</si>
  <si>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</si>
  <si>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</si>
  <si>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</si>
  <si>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</si>
  <si>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</si>
  <si>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</si>
  <si>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</si>
  <si>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</si>
  <si>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</si>
  <si>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</si>
  <si>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</si>
  <si>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</si>
  <si>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</si>
  <si>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</si>
  <si>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</si>
  <si>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</si>
  <si>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</si>
  <si>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</si>
  <si>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</si>
  <si>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</si>
  <si>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</si>
  <si>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</si>
  <si>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</si>
  <si>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</si>
  <si>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</si>
  <si>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</si>
  <si>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</si>
  <si>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</si>
  <si>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</si>
  <si>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</si>
  <si>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</si>
  <si>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</si>
  <si>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</si>
  <si>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</si>
  <si>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</si>
  <si>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</si>
  <si>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</si>
  <si>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</si>
  <si>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</si>
  <si>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</si>
  <si>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</si>
  <si>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</si>
  <si>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</si>
  <si>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</si>
  <si>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</si>
  <si>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</si>
  <si>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</si>
  <si>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</si>
  <si>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</si>
  <si>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</si>
  <si>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</si>
  <si>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</si>
  <si>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</si>
  <si>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</si>
  <si>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</si>
  <si>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</si>
  <si>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</si>
  <si>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</si>
  <si>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</si>
  <si>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</si>
  <si>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</si>
  <si>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</si>
  <si>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</si>
  <si>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</si>
  <si>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</si>
  <si>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</si>
  <si>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</si>
  <si>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</si>
  <si>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</si>
  <si>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</si>
  <si>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</si>
  <si>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</si>
  <si>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</si>
  <si>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</si>
  <si>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</si>
  <si>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</si>
  <si>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</si>
  <si>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</si>
  <si>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</si>
  <si>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</si>
  <si>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</si>
  <si>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</si>
  <si>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</si>
  <si>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</si>
  <si>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</si>
  <si>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</si>
  <si>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</si>
  <si>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</si>
  <si>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</si>
  <si>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</si>
  <si>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</si>
  <si>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</si>
  <si>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</si>
  <si>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</si>
  <si>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</si>
  <si>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</si>
  <si>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</si>
  <si>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</si>
  <si>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</si>
  <si>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</si>
  <si>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</si>
  <si>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</si>
  <si>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</si>
  <si>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</si>
  <si>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</si>
  <si>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</si>
  <si>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</si>
  <si>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</si>
  <si>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</si>
  <si>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</si>
  <si>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</si>
  <si>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</si>
  <si>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</si>
  <si>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</si>
  <si>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</si>
  <si>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</si>
  <si>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</si>
  <si>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</si>
  <si>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</si>
  <si>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</si>
  <si>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</si>
  <si>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</si>
  <si>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</si>
  <si>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</si>
  <si>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</si>
  <si>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</si>
  <si>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</si>
  <si>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</si>
  <si>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</si>
  <si>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</si>
  <si>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</si>
  <si>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</si>
  <si>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</si>
  <si>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</si>
  <si>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</si>
  <si>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</si>
  <si>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</si>
  <si>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</si>
  <si>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</si>
  <si>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</si>
  <si>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</si>
  <si>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</si>
  <si>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</si>
  <si>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</si>
  <si>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</si>
  <si>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</si>
  <si>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</si>
  <si>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</si>
  <si>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</si>
  <si>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</si>
  <si>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</si>
  <si>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</si>
  <si>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</si>
  <si>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</si>
  <si>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</si>
  <si>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</si>
  <si>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</si>
  <si>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</si>
  <si>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</si>
  <si>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</si>
  <si>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</si>
  <si>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</si>
  <si>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</si>
  <si>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</si>
  <si>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</si>
  <si>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</si>
  <si>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</si>
  <si>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</si>
  <si>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</si>
  <si>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</si>
  <si>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</si>
  <si>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</si>
  <si>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</si>
  <si>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</si>
  <si>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</si>
  <si>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</si>
  <si>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</si>
  <si>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</si>
  <si>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</si>
  <si>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</si>
  <si>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</si>
  <si>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</si>
  <si>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</si>
  <si>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</si>
  <si>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</si>
  <si>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</si>
  <si>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</si>
  <si>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</si>
  <si>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</si>
  <si>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</si>
  <si>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</si>
  <si>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</si>
  <si>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</si>
  <si>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</si>
  <si>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</si>
  <si>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</si>
  <si>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</si>
  <si>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</si>
  <si>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</si>
  <si>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</si>
  <si>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</si>
  <si>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</si>
  <si>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</si>
  <si>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</si>
  <si>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</si>
  <si>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</si>
  <si>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</si>
  <si>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</si>
  <si>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</si>
  <si>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</si>
  <si>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</si>
  <si>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</si>
  <si>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</si>
  <si>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</si>
  <si>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</si>
  <si>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</si>
  <si>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</si>
  <si>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</si>
  <si>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</si>
  <si>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</si>
  <si>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</si>
  <si>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</si>
  <si>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</si>
  <si>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</si>
  <si>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</si>
  <si>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</si>
  <si>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</si>
  <si>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</si>
  <si>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</si>
  <si>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</si>
  <si>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</si>
  <si>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</si>
  <si>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</si>
  <si>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</si>
  <si>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</si>
  <si>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</si>
  <si>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</si>
  <si>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</si>
  <si>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</si>
  <si>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</si>
  <si>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</si>
  <si>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</si>
  <si>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</si>
  <si>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</si>
  <si>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</si>
  <si>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</si>
  <si>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</si>
  <si>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</si>
  <si>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</si>
  <si>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</si>
  <si>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</si>
  <si>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</si>
  <si>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</si>
  <si>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</si>
  <si>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</si>
  <si>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</si>
  <si>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</si>
  <si>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</si>
  <si>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</si>
  <si>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</si>
  <si>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</si>
  <si>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</si>
  <si>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</si>
  <si>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</si>
  <si>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</si>
  <si>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</si>
  <si>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</si>
  <si>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</si>
  <si>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</si>
  <si>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</si>
  <si>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</si>
  <si>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</si>
  <si>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</si>
  <si>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</si>
  <si>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</si>
  <si>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</si>
  <si>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</si>
  <si>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</si>
  <si>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</si>
  <si>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</si>
  <si>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</si>
  <si>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</si>
  <si>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</si>
  <si>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</si>
  <si>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</si>
  <si>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</si>
  <si>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</si>
  <si>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</si>
  <si>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</si>
  <si>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</si>
  <si>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</si>
  <si>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</si>
  <si>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</si>
  <si>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</si>
  <si>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</si>
  <si>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</si>
  <si>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</si>
  <si>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</si>
  <si>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</si>
  <si>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</si>
  <si>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</si>
  <si>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</si>
  <si>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</si>
  <si>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</si>
  <si>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</si>
  <si>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</si>
  <si>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</si>
  <si>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</si>
  <si>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</si>
  <si>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</si>
  <si>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</si>
  <si>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</si>
  <si>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</si>
  <si>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</si>
  <si>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</si>
  <si>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</si>
  <si>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</si>
  <si>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</si>
  <si>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</si>
  <si>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</si>
  <si>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</si>
  <si>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</si>
  <si>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</si>
  <si>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</si>
  <si>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</si>
  <si>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</si>
  <si>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</si>
  <si>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</si>
  <si>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</si>
  <si>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</si>
  <si>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</si>
  <si>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</si>
  <si>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</si>
  <si>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</si>
  <si>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</si>
  <si>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</si>
  <si>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</si>
  <si>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</si>
  <si>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</si>
  <si>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</si>
  <si>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</si>
  <si>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</si>
  <si>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</si>
  <si>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</si>
  <si>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</si>
  <si>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</si>
  <si>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</si>
  <si>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</si>
  <si>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</si>
  <si>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</si>
  <si>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</si>
  <si>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</si>
  <si>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</si>
  <si>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</si>
  <si>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</si>
  <si>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</si>
  <si>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</si>
  <si>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</si>
  <si>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</si>
  <si>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</si>
  <si>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</si>
  <si>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</si>
  <si>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</si>
  <si>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</si>
  <si>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</si>
  <si>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</si>
  <si>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</si>
  <si>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</si>
  <si>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</si>
  <si>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</si>
  <si>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</si>
  <si>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</si>
  <si>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</si>
  <si>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</si>
  <si>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</si>
  <si>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</si>
  <si>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</si>
  <si>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</si>
  <si>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</si>
  <si>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</si>
  <si>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</si>
  <si>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</si>
  <si>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</si>
  <si>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</si>
  <si>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</si>
  <si>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</si>
  <si>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</si>
  <si>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</si>
  <si>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</si>
  <si>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</si>
  <si>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</si>
  <si>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</si>
  <si>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</si>
  <si>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</si>
  <si>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</si>
  <si>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</si>
  <si>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</si>
  <si>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</si>
  <si>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</si>
  <si>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</si>
  <si>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</si>
  <si>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</si>
  <si>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</si>
  <si>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</si>
  <si>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</si>
  <si>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</si>
  <si>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</si>
  <si>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</si>
  <si>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</si>
  <si>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</si>
  <si>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</si>
  <si>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</si>
  <si>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</si>
  <si>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</si>
  <si>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</si>
  <si>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</si>
  <si>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</si>
  <si>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</si>
  <si>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</si>
  <si>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</si>
  <si>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</si>
  <si>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</si>
  <si>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</si>
  <si>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</si>
  <si>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</si>
  <si>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</si>
  <si>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</si>
  <si>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</si>
  <si>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</si>
  <si>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</si>
  <si>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</si>
  <si>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</si>
  <si>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</si>
  <si>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</si>
  <si>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</si>
  <si>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</si>
  <si>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</si>
  <si>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</si>
  <si>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</si>
  <si>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</si>
  <si>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</si>
  <si>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</si>
  <si>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</si>
  <si>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</si>
  <si>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</si>
  <si>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</si>
  <si>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</si>
  <si>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</si>
  <si>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</si>
  <si>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</si>
  <si>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</si>
  <si>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</si>
  <si>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</si>
  <si>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</si>
  <si>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</si>
  <si>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</si>
  <si>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</si>
  <si>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</si>
  <si>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</si>
  <si>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</si>
  <si>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</si>
  <si>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</si>
  <si>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</si>
  <si>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</si>
  <si>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</si>
  <si>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</si>
  <si>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</si>
  <si>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</si>
  <si>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</si>
  <si>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</si>
  <si>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</si>
  <si>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</si>
  <si>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</si>
  <si>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</si>
  <si>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</si>
  <si>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</si>
  <si>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</si>
  <si>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</si>
  <si>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</si>
  <si>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</si>
  <si>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</si>
  <si>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</si>
  <si>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</si>
  <si>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</si>
  <si>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</si>
  <si>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</si>
  <si>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</si>
  <si>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</si>
  <si>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</si>
  <si>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</si>
  <si>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</si>
  <si>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</si>
  <si>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</si>
  <si>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</si>
  <si>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</si>
  <si>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</si>
  <si>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</si>
  <si>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</si>
  <si>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</si>
  <si>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</si>
  <si>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</si>
  <si>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</si>
  <si>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</si>
  <si>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</si>
  <si>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</si>
  <si>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</si>
  <si>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</si>
  <si>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</si>
  <si>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</si>
  <si>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</si>
  <si>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</si>
  <si>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</si>
  <si>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</si>
  <si>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</si>
  <si>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</si>
  <si>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</si>
  <si>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</si>
  <si>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</si>
  <si>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</si>
  <si>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</si>
  <si>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</si>
  <si>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</si>
  <si>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</si>
  <si>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</si>
  <si>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</si>
  <si>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</si>
  <si>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</si>
  <si>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</si>
  <si>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</si>
  <si>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</si>
  <si>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</si>
  <si>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</si>
  <si>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</si>
  <si>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</si>
  <si>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</si>
  <si>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</si>
  <si>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</si>
  <si>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</si>
  <si>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</si>
  <si>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</si>
  <si>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</si>
  <si>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</si>
  <si>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</si>
  <si>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</si>
  <si>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</si>
  <si>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</si>
  <si>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</si>
  <si>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</si>
  <si>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</si>
  <si>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</si>
  <si>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</si>
  <si>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</si>
  <si>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</si>
  <si>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</si>
  <si>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</si>
  <si>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</si>
  <si>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</si>
  <si>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</si>
  <si>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</si>
  <si>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</si>
  <si>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</si>
  <si>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</si>
  <si>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</si>
  <si>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</si>
  <si>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</si>
  <si>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</si>
  <si>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</si>
  <si>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</si>
  <si>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</si>
  <si>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</si>
  <si>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</si>
  <si>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</si>
  <si>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</si>
  <si>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</si>
  <si>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</si>
  <si>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</si>
  <si>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</si>
  <si>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</si>
  <si>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</si>
  <si>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</si>
  <si>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</si>
  <si>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</si>
  <si>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</si>
  <si>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</si>
  <si>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</si>
  <si>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</si>
  <si>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</si>
  <si>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</si>
  <si>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</si>
  <si>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</si>
  <si>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</si>
  <si>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</si>
  <si>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</si>
  <si>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</si>
  <si>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</si>
  <si>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</si>
  <si>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</si>
  <si>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</si>
  <si>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</si>
  <si>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</si>
  <si>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</si>
  <si>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</si>
  <si>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</si>
  <si>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</si>
  <si>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</si>
  <si>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</si>
  <si>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</si>
  <si>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</si>
  <si>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</si>
  <si>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</si>
  <si>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</si>
  <si>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</si>
  <si>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</si>
  <si>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</si>
  <si>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</si>
  <si>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</si>
  <si>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</si>
  <si>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</si>
  <si>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</si>
  <si>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</si>
  <si>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</si>
  <si>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</si>
  <si>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</si>
  <si>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</si>
  <si>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</si>
  <si>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</si>
  <si>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</si>
  <si>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</si>
  <si>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</si>
  <si>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</si>
  <si>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</si>
  <si>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</si>
  <si>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</si>
  <si>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</si>
  <si>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</si>
  <si>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</si>
  <si>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</si>
  <si>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</si>
  <si>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</si>
  <si>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</si>
  <si>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</si>
  <si>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</si>
  <si>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</si>
  <si>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</si>
  <si>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</si>
  <si>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</si>
  <si>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</si>
  <si>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</si>
  <si>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</si>
  <si>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</si>
  <si>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</si>
  <si>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</si>
  <si>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</si>
  <si>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</si>
  <si>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</si>
  <si>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</si>
  <si>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</si>
  <si>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</si>
  <si>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</si>
  <si>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</si>
  <si>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</si>
  <si>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</si>
  <si>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</si>
  <si>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</si>
  <si>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</si>
  <si>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</si>
  <si>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</si>
  <si>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</si>
  <si>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</si>
  <si>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</si>
  <si>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</si>
  <si>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</si>
  <si>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</si>
  <si>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</si>
  <si>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</si>
  <si>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</si>
  <si>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</si>
  <si>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</si>
  <si>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</si>
  <si>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</si>
  <si>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</si>
  <si>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</si>
  <si>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</si>
  <si>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</si>
  <si>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</si>
  <si>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</si>
  <si>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</si>
  <si>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</si>
  <si>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</si>
  <si>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</si>
  <si>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</si>
  <si>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</si>
  <si>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</si>
  <si>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</si>
  <si>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</si>
  <si>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</si>
  <si>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</si>
  <si>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</si>
  <si>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</si>
  <si>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</si>
  <si>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</si>
  <si>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</si>
  <si>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</si>
  <si>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</si>
  <si>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</si>
  <si>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</si>
  <si>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</si>
  <si>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</si>
  <si>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</si>
  <si>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</si>
  <si>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</si>
  <si>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</si>
  <si>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</si>
  <si>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</si>
  <si>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</si>
  <si>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</si>
  <si>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</si>
  <si>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</si>
  <si>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</si>
  <si>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</si>
  <si>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</si>
  <si>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</si>
  <si>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</si>
  <si>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</si>
  <si>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</si>
  <si>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</si>
  <si>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</si>
  <si>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</si>
  <si>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</si>
  <si>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</si>
  <si>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</si>
  <si>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</si>
  <si>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</si>
  <si>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</si>
  <si>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</si>
  <si>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</si>
  <si>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</si>
  <si>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</si>
  <si>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</si>
  <si>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</si>
  <si>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</si>
  <si>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</si>
  <si>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</si>
  <si>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</si>
  <si>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</si>
  <si>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</si>
  <si>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</si>
  <si>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</si>
  <si>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</si>
  <si>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</si>
  <si>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</si>
  <si>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</si>
  <si>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</si>
  <si>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</si>
  <si>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</si>
  <si>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</si>
  <si>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</si>
  <si>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</si>
  <si>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</si>
  <si>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</si>
  <si>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</si>
  <si>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</si>
  <si>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</si>
  <si>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</si>
  <si>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</si>
  <si>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</si>
  <si>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</si>
  <si>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</si>
  <si>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</si>
  <si>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</si>
  <si>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</si>
  <si>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</si>
  <si>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</si>
  <si>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</si>
  <si>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</si>
  <si>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</si>
  <si>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</si>
  <si>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</si>
  <si>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</si>
  <si>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</si>
  <si>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</si>
  <si>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</si>
  <si>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</si>
  <si>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</si>
  <si>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</si>
  <si>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</si>
  <si>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</si>
  <si>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</si>
  <si>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</si>
  <si>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</si>
  <si>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</si>
  <si>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</si>
  <si>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</si>
  <si>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</si>
  <si>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</si>
  <si>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</si>
  <si>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</si>
  <si>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</si>
  <si>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</si>
  <si>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</si>
  <si>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</si>
  <si>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</si>
  <si>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</si>
  <si>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</si>
  <si>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</si>
  <si>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</si>
  <si>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</si>
  <si>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</si>
  <si>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</si>
  <si>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</si>
  <si>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</si>
  <si>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</si>
  <si>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</si>
  <si>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</si>
  <si>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</si>
  <si>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</si>
  <si>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</si>
  <si>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</si>
  <si>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</si>
  <si>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</si>
  <si>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</si>
  <si>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</si>
  <si>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</si>
  <si>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</si>
  <si>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</si>
  <si>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</si>
  <si>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</si>
  <si>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</si>
  <si>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</si>
  <si>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</si>
  <si>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</si>
  <si>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</si>
  <si>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</si>
  <si>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</si>
  <si>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</si>
  <si>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</si>
  <si>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</si>
  <si>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</si>
  <si>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</si>
  <si>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</si>
  <si>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</si>
  <si>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</si>
  <si>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</si>
  <si>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</si>
  <si>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</si>
  <si>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</si>
  <si>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</si>
  <si>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</si>
  <si>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</si>
  <si>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</si>
  <si>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</si>
  <si>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</si>
  <si>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</si>
  <si>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</si>
  <si>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</si>
  <si>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</si>
  <si>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</si>
  <si>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</si>
  <si>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</si>
  <si>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</si>
  <si>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</si>
  <si>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</si>
  <si>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</si>
  <si>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</si>
  <si>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</si>
  <si>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</si>
  <si>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</si>
  <si>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</si>
  <si>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</si>
  <si>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</si>
  <si>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</si>
  <si>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</si>
  <si>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</si>
  <si>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</si>
  <si>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</si>
  <si>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</si>
  <si>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</si>
  <si>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</si>
  <si>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</si>
  <si>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</si>
  <si>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</si>
  <si>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</si>
  <si>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</si>
  <si>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</si>
  <si>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</si>
  <si>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</si>
  <si>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</si>
  <si>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</si>
  <si>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</si>
  <si>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</si>
  <si>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</si>
  <si>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</si>
  <si>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</si>
  <si>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</si>
  <si>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</si>
  <si>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</si>
  <si>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</si>
  <si>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</si>
  <si>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</si>
  <si>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</si>
  <si>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</si>
  <si>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</si>
  <si>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</si>
  <si>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</si>
  <si>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</si>
  <si>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</si>
  <si>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</si>
  <si>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</si>
  <si>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</si>
  <si>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</si>
  <si>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</si>
  <si>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</si>
  <si>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</si>
  <si>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</si>
  <si>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</si>
  <si>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</si>
  <si>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</si>
  <si>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</si>
  <si>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</si>
  <si>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</si>
  <si>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</si>
  <si>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</si>
  <si>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</si>
  <si>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</si>
  <si>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</si>
  <si>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</si>
  <si>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</si>
  <si>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</si>
  <si>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</si>
  <si>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</si>
  <si>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</si>
  <si>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</si>
  <si>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</si>
  <si>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</si>
  <si>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</si>
  <si>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</si>
  <si>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</si>
  <si>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</si>
  <si>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</si>
  <si>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</si>
  <si>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</si>
  <si>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</si>
  <si>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</si>
  <si>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</si>
  <si>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</si>
  <si>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</si>
  <si>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</si>
  <si>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</si>
  <si>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</si>
  <si>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</si>
  <si>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</si>
  <si>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</si>
  <si>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</si>
  <si>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</si>
  <si>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</si>
  <si>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</si>
  <si>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</si>
  <si>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</si>
  <si>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</si>
  <si>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</si>
  <si>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</si>
  <si>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</si>
  <si>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</si>
  <si>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</si>
  <si>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</si>
  <si>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</si>
  <si>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</si>
  <si>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</si>
  <si>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</si>
  <si>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</si>
  <si>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</si>
  <si>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</si>
  <si>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</si>
  <si>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</si>
  <si>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</si>
  <si>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</si>
  <si>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</si>
  <si>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</si>
  <si>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</si>
  <si>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</si>
  <si>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</si>
  <si>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</si>
  <si>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</si>
  <si>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</si>
  <si>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</si>
  <si>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</si>
  <si>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</si>
  <si>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</si>
  <si>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</si>
  <si>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</si>
  <si>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</si>
  <si>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</si>
  <si>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</si>
  <si>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</si>
  <si>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</si>
  <si>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</si>
  <si>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</si>
  <si>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</si>
  <si>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</si>
  <si>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</si>
  <si>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</si>
  <si>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</si>
  <si>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</si>
  <si>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</si>
  <si>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</si>
  <si>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</si>
  <si>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</si>
  <si>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</si>
  <si>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</si>
  <si>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</si>
  <si>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</si>
  <si>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</si>
  <si>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</si>
  <si>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</si>
  <si>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</si>
  <si>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</si>
  <si>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</si>
  <si>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</si>
  <si>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</si>
  <si>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</si>
  <si>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</si>
  <si>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</si>
  <si>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</si>
  <si>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</si>
  <si>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</si>
  <si>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</si>
  <si>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</si>
  <si>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</si>
  <si>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</si>
  <si>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</si>
  <si>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</si>
  <si>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</si>
  <si>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</si>
  <si>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</si>
  <si>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</si>
  <si>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</si>
  <si>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</si>
  <si>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</si>
  <si>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</si>
  <si>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</si>
  <si>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</si>
  <si>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</si>
  <si>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</si>
  <si>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</si>
  <si>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</si>
  <si>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</si>
  <si>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</si>
  <si>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</si>
  <si>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</si>
  <si>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</si>
  <si>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</si>
  <si>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</si>
  <si>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</si>
  <si>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</si>
  <si>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</si>
  <si>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</si>
  <si>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</si>
  <si>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</si>
  <si>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</si>
  <si>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</si>
  <si>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</si>
  <si>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</si>
  <si>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</si>
  <si>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</si>
  <si>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</si>
  <si>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</si>
  <si>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</si>
  <si>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</si>
  <si>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</si>
  <si>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</si>
  <si>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</si>
  <si>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</si>
  <si>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</si>
  <si>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</si>
  <si>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</si>
  <si>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</si>
  <si>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</si>
  <si>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</si>
  <si>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</si>
  <si>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</si>
  <si>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</si>
  <si>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</si>
  <si>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</si>
  <si>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</si>
  <si>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</si>
  <si>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</si>
  <si>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</si>
  <si>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</si>
  <si>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</si>
  <si>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</si>
  <si>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</si>
  <si>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</si>
  <si>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</si>
  <si>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</si>
  <si>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</si>
  <si>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</si>
  <si>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</si>
  <si>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</si>
  <si>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</si>
  <si>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</si>
  <si>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</si>
  <si>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</si>
  <si>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</si>
  <si>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</si>
  <si>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</si>
  <si>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</si>
  <si>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</si>
  <si>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</si>
  <si>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</si>
  <si>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</si>
  <si>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</si>
  <si>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</si>
  <si>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</si>
  <si>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</si>
  <si>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</si>
  <si>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</si>
  <si>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</si>
  <si>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</si>
  <si>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</si>
  <si>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</si>
  <si>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</si>
  <si>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</si>
  <si>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</si>
  <si>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</si>
  <si>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</si>
  <si>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</si>
  <si>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</si>
  <si>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</si>
  <si>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</si>
  <si>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</si>
  <si>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</si>
  <si>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</si>
  <si>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</si>
  <si>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</si>
  <si>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</si>
  <si>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</si>
  <si>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</si>
  <si>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</si>
  <si>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</si>
  <si>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</si>
  <si>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</si>
  <si>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</si>
  <si>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</si>
  <si>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</si>
  <si>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</si>
  <si>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</si>
  <si>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</si>
  <si>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</si>
  <si>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</si>
  <si>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</si>
  <si>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</si>
  <si>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</si>
  <si>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</si>
  <si>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</si>
  <si>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</si>
  <si>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</si>
  <si>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</si>
  <si>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</si>
  <si>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</si>
  <si>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</si>
  <si>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</si>
  <si>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</si>
  <si>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</si>
  <si>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</si>
  <si>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</si>
  <si>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</si>
  <si>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</si>
  <si>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</si>
  <si>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</si>
  <si>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</si>
  <si>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</si>
  <si>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</si>
  <si>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</si>
  <si>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</si>
  <si>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</si>
  <si>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</si>
  <si>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</si>
  <si>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</si>
  <si>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11.52% | Ke 13.66% | Beta 1.02 | ERP 6.5% | Rf 7.0%</t>
  </si>
  <si>
    <t>Pillar 4: Relative Multiples</t>
  </si>
  <si>
    <t>P/E 13.7x | P/B 4.67x | EV/EBITDA 5.2x | EV/Sales 1.24x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</si>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</sst>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11.668718673723387</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9.8160139462074856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10.079323438543755</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9.2894916982511493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7.8592341623803641</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10.346446189370544</c:v>
                </c:pt>
                <c:pt idx="1">
                  <c:v>9.1714231932405585</c:v>
                </c:pt>
                <c:pt idx="2">
                  <c:v>9.4036358216911697</c:v>
                </c:pt>
                <c:pt idx="3">
                  <c:v>8.9151274084090613</c:v>
                </c:pt>
                <c:pt idx="4">
                  <c:v>7.9570103460230541</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3484-641A-4B59-B754-EABD06A3FB9C}">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2" t="s">
        <v>8634</v>
      </c>
      <c r="B1" s="173"/>
      <c r="C1" s="173"/>
      <c r="D1" s="173"/>
      <c r="E1" s="173"/>
      <c r="F1" s="173"/>
      <c r="G1" s="173"/>
    </row>
    <row r="2" spans="1:7" x14ac:dyDescent="0.3">
      <c r="A2" s="173"/>
      <c r="B2" s="173"/>
      <c r="C2" s="173"/>
      <c r="D2" s="173"/>
      <c r="E2" s="173"/>
      <c r="F2" s="173"/>
      <c r="G2" s="173"/>
    </row>
    <row r="4" spans="1:7" x14ac:dyDescent="0.3">
      <c r="A4" s="174" t="s">
        <v>43</v>
      </c>
      <c r="B4" s="174" t="s">
        <v>8635</v>
      </c>
      <c r="C4" s="174" t="s">
        <v>8636</v>
      </c>
      <c r="D4" s="174" t="s">
        <v>8637</v>
      </c>
      <c r="E4" s="174" t="s">
        <v>242</v>
      </c>
      <c r="F4" s="174" t="s">
        <v>8638</v>
      </c>
      <c r="G4" s="174" t="s">
        <v>8639</v>
      </c>
    </row>
    <row r="5" spans="1:7" ht="15.6" x14ac:dyDescent="0.3">
      <c r="A5" s="176">
        <f>DCF!D44</f>
        <v>1051</v>
      </c>
      <c r="B5" s="176">
        <f>DCF!D42</f>
        <v>622.89494000791888</v>
      </c>
      <c r="C5" s="178">
        <f>(B5-A5)/A5</f>
        <v>-0.40733117030645205</v>
      </c>
      <c r="D5" s="180" t="str">
        <f>IF(C5&gt;0.15,"UNDERVALUED / BUY",IF(C5&lt;-0.15,"OVERVALUED / SELL","FAIRLY VALUED / HOLD"))</f>
        <v>OVERVALUED / SELL</v>
      </c>
      <c r="E5" s="181">
        <f>DCF!D20</f>
        <v>0.13325993984921872</v>
      </c>
      <c r="F5" s="182">
        <f>'Altman''s Z Score'!I89</f>
        <v>7.9570103460230541</v>
      </c>
      <c r="G5" s="181">
        <f>'Dupont Analysis'!I78</f>
        <v>0.3214607515768273</v>
      </c>
    </row>
    <row r="7" spans="1:7" ht="15.6" x14ac:dyDescent="0.3">
      <c r="A7" s="179" t="s">
        <v>8640</v>
      </c>
    </row>
    <row r="8" spans="1:7" x14ac:dyDescent="0.3">
      <c r="A8" s="37" t="s">
        <v>8641</v>
      </c>
      <c r="B8" s="171" t="s">
        <v>8642</v>
      </c>
      <c r="C8" s="171"/>
      <c r="D8" s="171"/>
      <c r="E8" s="171"/>
      <c r="F8" s="171"/>
      <c r="G8" s="171"/>
    </row>
    <row r="9" spans="1:7" x14ac:dyDescent="0.3">
      <c r="A9" s="37" t="s">
        <v>8643</v>
      </c>
      <c r="B9" s="171" t="s">
        <v>8644</v>
      </c>
      <c r="C9" s="171"/>
      <c r="D9" s="171"/>
      <c r="E9" s="171"/>
      <c r="F9" s="171"/>
      <c r="G9" s="171"/>
    </row>
    <row r="10" spans="1:7" x14ac:dyDescent="0.3">
      <c r="A10" s="37" t="s">
        <v>8645</v>
      </c>
      <c r="B10" s="171" t="s">
        <v>8646</v>
      </c>
      <c r="C10" s="171"/>
      <c r="D10" s="171"/>
      <c r="E10" s="171"/>
      <c r="F10" s="171"/>
      <c r="G10" s="171"/>
    </row>
    <row r="11" spans="1:7" x14ac:dyDescent="0.3">
      <c r="A11" s="37" t="s">
        <v>8647</v>
      </c>
      <c r="B11" s="171" t="s">
        <v>8648</v>
      </c>
      <c r="C11" s="171"/>
      <c r="D11" s="171"/>
      <c r="E11" s="171"/>
      <c r="F11" s="171"/>
      <c r="G11" s="171"/>
    </row>
    <row r="13" spans="1:7" x14ac:dyDescent="0.3">
      <c r="A13" s="37" t="s">
        <v>8649</v>
      </c>
    </row>
    <row r="14" spans="1:7" x14ac:dyDescent="0.3">
      <c r="A14" s="183" t="s">
        <v>188</v>
      </c>
      <c r="B14" s="183" t="s">
        <v>106</v>
      </c>
      <c r="C14" s="183" t="s">
        <v>8650</v>
      </c>
      <c r="D14" s="183" t="s">
        <v>8651</v>
      </c>
      <c r="E14" s="183" t="s">
        <v>8652</v>
      </c>
      <c r="F14" s="183" t="s">
        <v>8653</v>
      </c>
      <c r="G14" s="183" t="s">
        <v>306</v>
      </c>
    </row>
    <row r="15" spans="1:7" x14ac:dyDescent="0.3">
      <c r="A15" s="160" t="s">
        <v>8654</v>
      </c>
      <c r="B15" s="184">
        <f>DCF!I8</f>
        <v>42512.372000000003</v>
      </c>
      <c r="C15" s="184">
        <f>DCF!I10</f>
        <v>29758.660400000001</v>
      </c>
      <c r="D15" s="46">
        <f>DCF!I11</f>
        <v>0.41762677620541422</v>
      </c>
      <c r="E15" s="184">
        <f>DCF!I12</f>
        <v>17330.646992956277</v>
      </c>
      <c r="F15" s="185">
        <f>DCF!I14</f>
        <v>0.93936685332880054</v>
      </c>
      <c r="G15" s="184">
        <f>DCF!I16</f>
        <v>16279.835331925577</v>
      </c>
    </row>
    <row r="16" spans="1:7" x14ac:dyDescent="0.3">
      <c r="A16" s="160" t="s">
        <v>8655</v>
      </c>
      <c r="B16" s="184">
        <f>DCF!J8</f>
        <v>44723.015344000007</v>
      </c>
      <c r="C16" s="184">
        <f>DCF!J10</f>
        <v>31306.110740800003</v>
      </c>
      <c r="D16" s="46">
        <f>DCF!J11</f>
        <v>0.38826138872612442</v>
      </c>
      <c r="E16" s="184">
        <f>DCF!J12</f>
        <v>19151.156708963157</v>
      </c>
      <c r="F16" s="185">
        <f>DCF!J14</f>
        <v>0.82890678501684634</v>
      </c>
      <c r="G16" s="184">
        <f>DCF!J16</f>
        <v>15874.523736980458</v>
      </c>
    </row>
    <row r="17" spans="1:7" x14ac:dyDescent="0.3">
      <c r="A17" s="160" t="s">
        <v>8656</v>
      </c>
      <c r="B17" s="184">
        <f>DCF!K8</f>
        <v>47048.612141888007</v>
      </c>
      <c r="C17" s="184">
        <f>DCF!K10</f>
        <v>32934.028499321605</v>
      </c>
      <c r="D17" s="46">
        <f>DCF!K11</f>
        <v>0.35889600124683463</v>
      </c>
      <c r="E17" s="184">
        <f>DCF!K12</f>
        <v>21114.137365965791</v>
      </c>
      <c r="F17" s="185">
        <f>DCF!K14</f>
        <v>0.73143570673391411</v>
      </c>
      <c r="G17" s="184">
        <f>DCF!K16</f>
        <v>15443.633986352132</v>
      </c>
    </row>
    <row r="18" spans="1:7" x14ac:dyDescent="0.3">
      <c r="A18" s="160" t="s">
        <v>8657</v>
      </c>
      <c r="B18" s="184">
        <f>DCF!L8</f>
        <v>49495.139973266188</v>
      </c>
      <c r="C18" s="184">
        <f>DCF!L10</f>
        <v>34646.59798128633</v>
      </c>
      <c r="D18" s="46">
        <f>DCF!L11</f>
        <v>0.32953061376754489</v>
      </c>
      <c r="E18" s="184">
        <f>DCF!L12</f>
        <v>23229.483283555663</v>
      </c>
      <c r="F18" s="185">
        <f>DCF!L14</f>
        <v>0.6454262442482811</v>
      </c>
      <c r="G18" s="184">
        <f>DCF!L16</f>
        <v>14992.91815153356</v>
      </c>
    </row>
    <row r="19" spans="1:7" x14ac:dyDescent="0.3">
      <c r="A19" s="160" t="s">
        <v>8658</v>
      </c>
      <c r="B19" s="184">
        <f>DCF!M8</f>
        <v>52068.887251876033</v>
      </c>
      <c r="C19" s="184">
        <f>DCF!M10</f>
        <v>36448.221076313217</v>
      </c>
      <c r="D19" s="46">
        <f>DCF!M11</f>
        <v>0.30016522628825509</v>
      </c>
      <c r="E19" s="184">
        <f>DCF!M12</f>
        <v>25507.732549137312</v>
      </c>
      <c r="F19" s="185">
        <f>DCF!M14</f>
        <v>0.56953062713410274</v>
      </c>
      <c r="G19" s="184">
        <f>DCF!M16</f>
        <v>14527.434915479138</v>
      </c>
    </row>
    <row r="21" spans="1:7" x14ac:dyDescent="0.3">
      <c r="A21" s="37" t="s">
        <v>8659</v>
      </c>
    </row>
    <row r="22" spans="1:7" x14ac:dyDescent="0.3">
      <c r="A22" s="37" t="s">
        <v>8660</v>
      </c>
      <c r="B22" s="184">
        <f>DCF!D33</f>
        <v>77118.346122270857</v>
      </c>
    </row>
    <row r="23" spans="1:7" x14ac:dyDescent="0.3">
      <c r="A23" s="37" t="s">
        <v>8661</v>
      </c>
      <c r="B23" s="184">
        <f>DCF!D29</f>
        <v>284452.7017065736</v>
      </c>
    </row>
    <row r="24" spans="1:7" x14ac:dyDescent="0.3">
      <c r="A24" s="37" t="s">
        <v>8662</v>
      </c>
      <c r="B24" s="184">
        <f>DCF!D34</f>
        <v>162004.52559293472</v>
      </c>
    </row>
    <row r="25" spans="1:7" x14ac:dyDescent="0.3">
      <c r="A25" s="37" t="s">
        <v>8663</v>
      </c>
      <c r="B25" s="184">
        <f>DCF!D35</f>
        <v>239122.87171520558</v>
      </c>
    </row>
    <row r="26" spans="1:7" x14ac:dyDescent="0.3">
      <c r="A26" s="37" t="s">
        <v>8664</v>
      </c>
      <c r="B26" s="184">
        <f>DCF!D37</f>
        <v>22201</v>
      </c>
    </row>
    <row r="27" spans="1:7" x14ac:dyDescent="0.3">
      <c r="A27" s="37" t="s">
        <v>8665</v>
      </c>
      <c r="B27" s="184">
        <f>DCF!D38</f>
        <v>9176</v>
      </c>
    </row>
    <row r="28" spans="1:7" x14ac:dyDescent="0.3">
      <c r="A28" s="37" t="s">
        <v>8666</v>
      </c>
      <c r="B28" s="184">
        <f>DCF!D39</f>
        <v>252147.87171520558</v>
      </c>
    </row>
    <row r="29" spans="1:7" x14ac:dyDescent="0.3">
      <c r="A29" s="37" t="s">
        <v>8667</v>
      </c>
      <c r="B29" s="184">
        <f>DCF!D40</f>
        <v>404.8</v>
      </c>
    </row>
    <row r="30" spans="1:7" x14ac:dyDescent="0.3">
      <c r="A30" s="37" t="s">
        <v>8668</v>
      </c>
      <c r="B30" s="175">
        <f>DCF!D42</f>
        <v>622.89494000791888</v>
      </c>
    </row>
    <row r="31" spans="1:7" x14ac:dyDescent="0.3">
      <c r="A31" s="37" t="s">
        <v>8669</v>
      </c>
      <c r="B31" s="175">
        <f>DCF!D44</f>
        <v>1051</v>
      </c>
    </row>
    <row r="32" spans="1:7" x14ac:dyDescent="0.3">
      <c r="A32" s="37" t="s">
        <v>8670</v>
      </c>
      <c r="B32" s="177">
        <f>(B5-A5)/A5</f>
        <v>-0.40733117030645205</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51700</v>
      </c>
      <c r="C5" s="9">
        <f>SUM('Data Sheet'!C18,'Data Sheet'!C20:C24, -1*'Data Sheet'!C19)</f>
        <v>62505</v>
      </c>
      <c r="D5" s="9">
        <f>SUM('Data Sheet'!D18,'Data Sheet'!D20:D24, -1*'Data Sheet'!D19)</f>
        <v>68524</v>
      </c>
      <c r="E5" s="9">
        <f>SUM('Data Sheet'!E18,'Data Sheet'!E20:E24, -1*'Data Sheet'!E19)</f>
        <v>72583</v>
      </c>
      <c r="F5" s="9">
        <f>SUM('Data Sheet'!F18,'Data Sheet'!F20:F24, -1*'Data Sheet'!F19)</f>
        <v>90150</v>
      </c>
      <c r="G5" s="9">
        <f>SUM('Data Sheet'!G18,'Data Sheet'!G20:G24, -1*'Data Sheet'!G19)</f>
        <v>111637</v>
      </c>
      <c r="H5" s="9">
        <f>SUM('Data Sheet'!H18,'Data Sheet'!H20:H24, -1*'Data Sheet'!H19)</f>
        <v>117245</v>
      </c>
      <c r="I5" s="9">
        <f>SUM('Data Sheet'!I18,'Data Sheet'!I20:I24, -1*'Data Sheet'!I19)</f>
        <v>123754</v>
      </c>
      <c r="J5" s="9">
        <f>SUM('Data Sheet'!J18,'Data Sheet'!J20:J24, -1*'Data Sheet'!J19)</f>
        <v>136370</v>
      </c>
      <c r="K5" s="9">
        <f>SUM('Data Sheet'!K18,'Data Sheet'!K20:K24, -1*'Data Sheet'!K19)</f>
        <v>140837</v>
      </c>
      <c r="L5" s="9">
        <f>SUM(Quarters!H5:K5)</f>
        <v>140837</v>
      </c>
      <c r="M5" s="9">
        <f t="shared" ref="M5:N5" si="0">M4-M6</f>
        <v>149505.06208404395</v>
      </c>
      <c r="N5" s="9">
        <f t="shared" si="0"/>
        <v>145513.4348390708</v>
      </c>
    </row>
    <row r="6" spans="1:14" s="8" customFormat="1" x14ac:dyDescent="0.3">
      <c r="A6" s="8" t="s">
        <v>8</v>
      </c>
      <c r="B6" s="1">
        <f>B4-B5</f>
        <v>18822</v>
      </c>
      <c r="C6" s="1">
        <f t="shared" ref="C6:K6" si="1">C4-C5</f>
        <v>20170</v>
      </c>
      <c r="D6" s="1">
        <f t="shared" si="1"/>
        <v>22267</v>
      </c>
      <c r="E6" s="1">
        <f t="shared" si="1"/>
        <v>27889</v>
      </c>
      <c r="F6" s="1">
        <f t="shared" si="1"/>
        <v>31491</v>
      </c>
      <c r="G6" s="1">
        <f t="shared" si="1"/>
        <v>35130</v>
      </c>
      <c r="H6" s="1">
        <f t="shared" si="1"/>
        <v>36425</v>
      </c>
      <c r="I6" s="1">
        <f t="shared" si="1"/>
        <v>39236</v>
      </c>
      <c r="J6" s="1">
        <f t="shared" si="1"/>
        <v>42280</v>
      </c>
      <c r="K6" s="1">
        <f t="shared" si="1"/>
        <v>43745</v>
      </c>
      <c r="L6" s="1">
        <f>SUM(Quarters!H6:K6)</f>
        <v>43745</v>
      </c>
      <c r="M6" s="1">
        <f>M4*M24</f>
        <v>46705.673573513217</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41268.673573513217</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30.122896624867426</v>
      </c>
      <c r="C14" s="9">
        <f t="shared" ref="C14:K14" si="2">IF(C15&gt;0,C15/C13,"")</f>
        <v>31.332894873458795</v>
      </c>
      <c r="D14" s="9">
        <f t="shared" si="2"/>
        <v>29.018565418594868</v>
      </c>
      <c r="E14" s="9">
        <f t="shared" si="2"/>
        <v>24.859182927457137</v>
      </c>
      <c r="F14" s="9">
        <f t="shared" si="2"/>
        <v>21.80257879526777</v>
      </c>
      <c r="G14" s="9">
        <f t="shared" si="2"/>
        <v>20.028202671312428</v>
      </c>
      <c r="H14" s="9">
        <f t="shared" si="2"/>
        <v>18.395302880219447</v>
      </c>
      <c r="I14" s="9">
        <f t="shared" si="2"/>
        <v>18.050090093457946</v>
      </c>
      <c r="J14" s="9">
        <f t="shared" si="2"/>
        <v>16.381892854719418</v>
      </c>
      <c r="K14" s="9">
        <f t="shared" si="2"/>
        <v>15.922173454245673</v>
      </c>
      <c r="L14" s="9">
        <f t="shared" ref="L14" si="3">IF(L13&gt;0,L15/L13,0)</f>
        <v>14.070338004946416</v>
      </c>
      <c r="M14" s="9">
        <f>M25</f>
        <v>16.106123601842363</v>
      </c>
      <c r="N14" s="9">
        <f>N25</f>
        <v>14.070338004946416</v>
      </c>
    </row>
    <row r="15" spans="1:14" s="8" customFormat="1" x14ac:dyDescent="0.3">
      <c r="A15" s="8" t="s">
        <v>58</v>
      </c>
      <c r="B15" s="1">
        <f>'Data Sheet'!B90</f>
        <v>1051</v>
      </c>
      <c r="C15" s="1">
        <f>'Data Sheet'!C90</f>
        <v>1051</v>
      </c>
      <c r="D15" s="1">
        <f>'Data Sheet'!D90</f>
        <v>1051</v>
      </c>
      <c r="E15" s="1">
        <f>'Data Sheet'!E90</f>
        <v>1051</v>
      </c>
      <c r="F15" s="1">
        <f>'Data Sheet'!F90</f>
        <v>1051</v>
      </c>
      <c r="G15" s="1">
        <f>'Data Sheet'!G90</f>
        <v>1051</v>
      </c>
      <c r="H15" s="1">
        <f>'Data Sheet'!H90</f>
        <v>1051</v>
      </c>
      <c r="I15" s="1">
        <f>'Data Sheet'!I90</f>
        <v>1051</v>
      </c>
      <c r="J15" s="1">
        <f>'Data Sheet'!J90</f>
        <v>1051</v>
      </c>
      <c r="K15" s="1">
        <f>'Data Sheet'!K90</f>
        <v>1051</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2.1610882110469909</v>
      </c>
    </row>
    <row r="19" spans="1:14" x14ac:dyDescent="0.3">
      <c r="A19" s="6" t="s">
        <v>18</v>
      </c>
      <c r="B19" s="7">
        <f t="shared" ref="B19:L19" si="4">IF(B6&gt;0,B6/B4,0)</f>
        <v>0.26689543688494372</v>
      </c>
      <c r="C19" s="7">
        <f t="shared" ref="C19:K19" si="5">IF(C6&gt;0,C6/C4,0)</f>
        <v>0.24396734200181433</v>
      </c>
      <c r="D19" s="7">
        <f t="shared" si="5"/>
        <v>0.24525558700752279</v>
      </c>
      <c r="E19" s="7">
        <f t="shared" si="5"/>
        <v>0.27757982323433394</v>
      </c>
      <c r="F19" s="7">
        <f t="shared" si="5"/>
        <v>0.25888475102966929</v>
      </c>
      <c r="G19" s="7">
        <f t="shared" si="5"/>
        <v>0.23935898396778568</v>
      </c>
      <c r="H19" s="7">
        <f t="shared" si="5"/>
        <v>0.23703390381987374</v>
      </c>
      <c r="I19" s="7">
        <f t="shared" si="5"/>
        <v>0.24072642493404503</v>
      </c>
      <c r="J19" s="7">
        <f t="shared" si="5"/>
        <v>0.23666386789812482</v>
      </c>
      <c r="K19" s="7">
        <f t="shared" si="5"/>
        <v>0.23699493991830189</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0.24556375506667905</v>
      </c>
      <c r="I24" s="7">
        <f>IF(SUM(E4:$K$4)=0,"",SUMPRODUCT(E19:$K$19,E4:$K$4)/SUM(E4:$K$4))</f>
        <v>0.24428188395571201</v>
      </c>
      <c r="J24" s="7">
        <f>IF(SUM(G4:$K$4)=0,"",SUMPRODUCT(G19:$K$19,G4:$K$4)/SUM(G4:$K$4))</f>
        <v>0.23808607902411999</v>
      </c>
      <c r="K24" s="7">
        <f>IF(SUM(I4:$K$4)=0, "", SUMPRODUCT(I19:$K$19,I4:$K$4)/SUM(I4:$K$4))</f>
        <v>0.23803831842834394</v>
      </c>
      <c r="L24" s="7">
        <f>L19</f>
        <v>0.23699493991830189</v>
      </c>
      <c r="M24" s="22">
        <f>MAX(K24:L24)</f>
        <v>0.23803831842834394</v>
      </c>
      <c r="N24" s="22">
        <f>MIN(H24:L24)</f>
        <v>0.23699493991830189</v>
      </c>
    </row>
    <row r="25" spans="1:14" x14ac:dyDescent="0.3">
      <c r="G25" s="6" t="s">
        <v>23</v>
      </c>
      <c r="H25" s="9">
        <f>IF(ISERROR(AVERAGEIF(B14:$L14,"&gt;0")),"",AVERAGEIF(B14:$L14,"&gt;0"))</f>
        <v>21.816738054413392</v>
      </c>
      <c r="I25" s="9">
        <f>IF(ISERROR(AVERAGEIF(E14:$L14,"&gt;0")),"",AVERAGEIF(E14:$L14,"&gt;0"))</f>
        <v>18.688720210203279</v>
      </c>
      <c r="J25" s="9">
        <f>IF(ISERROR(AVERAGEIF(G14:$L14,"&gt;0")),"",AVERAGEIF(G14:$L14,"&gt;0"))</f>
        <v>17.141333326483558</v>
      </c>
      <c r="K25" s="9">
        <f>IF(ISERROR(AVERAGEIF(I14:$L14,"&gt;0")),"",AVERAGEIF(I14:$L14,"&gt;0"))</f>
        <v>16.106123601842363</v>
      </c>
      <c r="L25" s="9">
        <f>L14</f>
        <v>14.070338004946416</v>
      </c>
      <c r="M25" s="1">
        <f>MAX(K25:L25)</f>
        <v>16.106123601842363</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v>
      </c>
      <c r="D10" s="36">
        <f>'Data Sheet'!C21/'Data Sheet'!C$17</f>
        <v>0</v>
      </c>
      <c r="E10" s="36">
        <f>'Data Sheet'!D21/'Data Sheet'!D$17</f>
        <v>0</v>
      </c>
      <c r="F10" s="36">
        <f>'Data Sheet'!E21/'Data Sheet'!E$17</f>
        <v>0</v>
      </c>
      <c r="G10" s="36">
        <f>'Data Sheet'!F21/'Data Sheet'!F$17</f>
        <v>0</v>
      </c>
      <c r="H10" s="36">
        <f>'Data Sheet'!G21/'Data Sheet'!G$17</f>
        <v>0</v>
      </c>
      <c r="I10" s="36">
        <f>'Data Sheet'!H21/'Data Sheet'!H$17</f>
        <v>0</v>
      </c>
      <c r="J10" s="36">
        <f>'Data Sheet'!I21/'Data Sheet'!I$17</f>
        <v>0</v>
      </c>
      <c r="K10" s="36">
        <f>'Data Sheet'!J21/'Data Sheet'!J$17</f>
        <v>0</v>
      </c>
      <c r="L10" s="36">
        <f>'Data Sheet'!K21/'Data Sheet'!K$17</f>
        <v>0</v>
      </c>
    </row>
    <row r="11" spans="2:12" x14ac:dyDescent="0.3">
      <c r="B11" s="33" t="str">
        <f>'Data Sheet'!A22</f>
        <v>Employee Cost</v>
      </c>
      <c r="C11" s="36">
        <f>'Data Sheet'!B22/'Data Sheet'!B$17</f>
        <v>0</v>
      </c>
      <c r="D11" s="36">
        <f>'Data Sheet'!C22/'Data Sheet'!C$17</f>
        <v>0</v>
      </c>
      <c r="E11" s="36">
        <f>'Data Sheet'!D22/'Data Sheet'!D$17</f>
        <v>0</v>
      </c>
      <c r="F11" s="36">
        <f>'Data Sheet'!E22/'Data Sheet'!E$17</f>
        <v>0</v>
      </c>
      <c r="G11" s="36">
        <f>'Data Sheet'!F22/'Data Sheet'!F$17</f>
        <v>0</v>
      </c>
      <c r="H11" s="36">
        <f>'Data Sheet'!G22/'Data Sheet'!G$17</f>
        <v>0</v>
      </c>
      <c r="I11" s="36">
        <f>'Data Sheet'!H22/'Data Sheet'!H$17</f>
        <v>0</v>
      </c>
      <c r="J11" s="36">
        <f>'Data Sheet'!I22/'Data Sheet'!I$17</f>
        <v>0</v>
      </c>
      <c r="K11" s="36">
        <f>'Data Sheet'!J22/'Data Sheet'!J$17</f>
        <v>0</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0.73310456311505634</v>
      </c>
      <c r="D13" s="36">
        <f>'Data Sheet'!C24/'Data Sheet'!C$17</f>
        <v>0.75603265799818564</v>
      </c>
      <c r="E13" s="36">
        <f>'Data Sheet'!D24/'Data Sheet'!D$17</f>
        <v>0.75474441299247719</v>
      </c>
      <c r="F13" s="36">
        <f>'Data Sheet'!E24/'Data Sheet'!E$17</f>
        <v>0.72242017676566606</v>
      </c>
      <c r="G13" s="36">
        <f>'Data Sheet'!F24/'Data Sheet'!F$17</f>
        <v>0.74111524897033076</v>
      </c>
      <c r="H13" s="36">
        <f>'Data Sheet'!G24/'Data Sheet'!G$17</f>
        <v>0.76064101603221435</v>
      </c>
      <c r="I13" s="36">
        <f>'Data Sheet'!H24/'Data Sheet'!H$17</f>
        <v>0.76296609618012623</v>
      </c>
      <c r="J13" s="36">
        <f>'Data Sheet'!I24/'Data Sheet'!I$17</f>
        <v>0.75927357506595494</v>
      </c>
      <c r="K13" s="36">
        <f>'Data Sheet'!J24/'Data Sheet'!J$17</f>
        <v>0.76333613210187512</v>
      </c>
      <c r="L13" s="36">
        <f>'Data Sheet'!K24/'Data Sheet'!K$17</f>
        <v>0.76300506008169811</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0.35504545405294125</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0</v>
      </c>
      <c r="E21">
        <v>0</v>
      </c>
      <c r="F21">
        <v>0</v>
      </c>
      <c r="G21">
        <v>0</v>
      </c>
      <c r="H21">
        <v>0</v>
      </c>
      <c r="I21">
        <v>0</v>
      </c>
      <c r="J21">
        <v>0</v>
      </c>
      <c r="K21">
        <v>0</v>
      </c>
    </row>
    <row r="22" spans="1:11" s="9" customFormat="1" x14ac:dyDescent="0.3">
      <c r="A22" s="5" t="s">
        <v>84</v>
      </c>
      <c r="B22">
        <v>0</v>
      </c>
      <c r="C22">
        <v>0</v>
      </c>
      <c r="D22">
        <v>0</v>
      </c>
      <c r="E22">
        <v>0</v>
      </c>
      <c r="F22">
        <v>0</v>
      </c>
      <c r="G22">
        <v>0</v>
      </c>
      <c r="H22">
        <v>0</v>
      </c>
      <c r="I22">
        <v>0</v>
      </c>
      <c r="J22">
        <v>0</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51700</v>
      </c>
      <c r="C24">
        <v>62505</v>
      </c>
      <c r="D24">
        <v>68524</v>
      </c>
      <c r="E24">
        <v>72583</v>
      </c>
      <c r="F24">
        <v>90150</v>
      </c>
      <c r="G24">
        <v>111637</v>
      </c>
      <c r="H24">
        <v>117245</v>
      </c>
      <c r="I24">
        <v>123754</v>
      </c>
      <c r="J24">
        <v>136370</v>
      </c>
      <c r="K24">
        <v>140837</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65535</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1051</v>
      </c>
      <c r="C90">
        <v>1051</v>
      </c>
      <c r="D90">
        <v>1051</v>
      </c>
      <c r="E90">
        <v>1051</v>
      </c>
      <c r="F90">
        <v>1051</v>
      </c>
      <c r="G90">
        <v>1051</v>
      </c>
      <c r="H90">
        <v>1051</v>
      </c>
      <c r="I90">
        <v>1051</v>
      </c>
      <c r="J90">
        <v>1051</v>
      </c>
      <c r="K90">
        <v>1051</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8625</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0</v>
      </c>
      <c r="D7" s="48">
        <v>0</v>
      </c>
      <c r="E7" s="48">
        <v>0</v>
      </c>
      <c r="F7" s="48">
        <v>0</v>
      </c>
      <c r="G7" s="48">
        <v>0</v>
      </c>
      <c r="H7" s="48">
        <v>0</v>
      </c>
      <c r="I7" s="48">
        <v>0</v>
      </c>
      <c r="J7" s="48">
        <v>0</v>
      </c>
      <c r="K7" s="48">
        <v>0</v>
      </c>
      <c r="L7" s="48">
        <v>0</v>
      </c>
      <c r="M7" s="48">
        <v>0</v>
      </c>
      <c r="N7" s="48">
        <v>0</v>
      </c>
    </row>
    <row r="8" spans="2:28" x14ac:dyDescent="0.3">
      <c r="B8" t="s">
        <v>78</v>
      </c>
      <c r="C8">
        <v>0</v>
      </c>
      <c r="D8">
        <v>0</v>
      </c>
      <c r="E8">
        <v>0</v>
      </c>
      <c r="F8">
        <v>0</v>
      </c>
      <c r="G8">
        <v>0</v>
      </c>
      <c r="H8" s="48">
        <v>0</v>
      </c>
      <c r="I8">
        <v>0</v>
      </c>
      <c r="J8">
        <v>0</v>
      </c>
      <c r="K8">
        <v>0</v>
      </c>
      <c r="L8">
        <v>0</v>
      </c>
      <c r="M8" s="48">
        <v>0</v>
      </c>
      <c r="N8">
        <v>0</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0</v>
      </c>
      <c r="E10">
        <v>0</v>
      </c>
      <c r="F10" s="48">
        <v>0</v>
      </c>
      <c r="G10">
        <v>0</v>
      </c>
      <c r="H10">
        <v>0</v>
      </c>
      <c r="I10" s="48">
        <v>0</v>
      </c>
      <c r="J10" s="48">
        <v>0</v>
      </c>
      <c r="K10" s="48">
        <v>0</v>
      </c>
      <c r="L10">
        <v>0</v>
      </c>
      <c r="M10" s="48">
        <v>0</v>
      </c>
      <c r="N10">
        <v>0</v>
      </c>
    </row>
    <row r="11" spans="2:28" x14ac:dyDescent="0.3">
      <c r="B11" t="s">
        <v>132</v>
      </c>
      <c r="C11">
        <v>0</v>
      </c>
      <c r="D11">
        <v>0</v>
      </c>
      <c r="E11">
        <v>0</v>
      </c>
      <c r="F11" s="48">
        <v>0</v>
      </c>
      <c r="G11">
        <v>0</v>
      </c>
      <c r="H11">
        <v>0</v>
      </c>
      <c r="I11">
        <v>0</v>
      </c>
      <c r="J11">
        <v>0</v>
      </c>
      <c r="K11">
        <v>0</v>
      </c>
      <c r="L11" s="48">
        <v>0</v>
      </c>
      <c r="M11" s="48">
        <v>0</v>
      </c>
      <c r="N11" s="48">
        <v>0</v>
      </c>
    </row>
    <row r="12" spans="2:28" x14ac:dyDescent="0.3">
      <c r="B12" t="s">
        <v>133</v>
      </c>
      <c r="C12" s="48">
        <v>0</v>
      </c>
      <c r="D12" s="48">
        <v>0</v>
      </c>
      <c r="E12" s="48">
        <v>0</v>
      </c>
      <c r="F12" s="48">
        <v>0</v>
      </c>
      <c r="G12" s="48">
        <v>0</v>
      </c>
      <c r="H12" s="48">
        <v>0</v>
      </c>
      <c r="I12" s="48">
        <v>0</v>
      </c>
      <c r="J12" s="48">
        <v>0</v>
      </c>
      <c r="K12" s="48">
        <v>0</v>
      </c>
      <c r="L12" s="48">
        <v>0</v>
      </c>
      <c r="M12" s="48">
        <v>0</v>
      </c>
      <c r="N12" s="48">
        <v>0</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0</v>
      </c>
      <c r="D14" s="48">
        <v>0</v>
      </c>
      <c r="E14" s="48">
        <v>0</v>
      </c>
      <c r="F14" s="48">
        <v>0</v>
      </c>
      <c r="G14" s="48">
        <v>0</v>
      </c>
      <c r="H14" s="48">
        <v>0</v>
      </c>
      <c r="I14" s="48">
        <v>0</v>
      </c>
      <c r="J14" s="48">
        <v>0</v>
      </c>
      <c r="K14" s="48">
        <v>0</v>
      </c>
      <c r="L14" s="48">
        <v>0</v>
      </c>
      <c r="M14" s="48">
        <v>0</v>
      </c>
      <c r="N14" s="48">
        <v>0</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0</v>
      </c>
      <c r="D16" s="48">
        <v>0</v>
      </c>
      <c r="E16" s="48">
        <v>0</v>
      </c>
      <c r="F16" s="48">
        <v>0</v>
      </c>
      <c r="G16" s="48">
        <v>0</v>
      </c>
      <c r="H16" s="48">
        <v>0</v>
      </c>
      <c r="I16" s="48">
        <v>0</v>
      </c>
      <c r="J16" s="48">
        <v>0</v>
      </c>
      <c r="K16" s="48">
        <v>0</v>
      </c>
      <c r="L16" s="48">
        <v>0</v>
      </c>
      <c r="M16" s="48">
        <v>0</v>
      </c>
      <c r="N16" s="48">
        <v>0</v>
      </c>
    </row>
    <row r="17" spans="2:14" x14ac:dyDescent="0.3">
      <c r="B17" t="s">
        <v>138</v>
      </c>
      <c r="C17" s="48">
        <v>0</v>
      </c>
      <c r="D17" s="48">
        <v>0</v>
      </c>
      <c r="E17" s="48">
        <v>0</v>
      </c>
      <c r="F17" s="48">
        <v>0</v>
      </c>
      <c r="G17" s="48">
        <v>0</v>
      </c>
      <c r="H17" s="48">
        <v>0</v>
      </c>
      <c r="I17" s="48">
        <v>0</v>
      </c>
      <c r="J17" s="48">
        <v>0</v>
      </c>
      <c r="K17" s="48">
        <v>0</v>
      </c>
      <c r="L17" s="48">
        <v>0</v>
      </c>
      <c r="M17" s="48">
        <v>0</v>
      </c>
      <c r="N17" s="48">
        <v>0</v>
      </c>
    </row>
    <row r="18" spans="2:14" x14ac:dyDescent="0.3">
      <c r="B18" t="s">
        <v>139</v>
      </c>
      <c r="C18">
        <v>0</v>
      </c>
      <c r="D18">
        <v>0</v>
      </c>
      <c r="E18">
        <v>0</v>
      </c>
      <c r="F18">
        <v>0</v>
      </c>
      <c r="G18" s="48">
        <v>0</v>
      </c>
      <c r="H18" s="48">
        <v>0</v>
      </c>
      <c r="I18" s="48">
        <v>0</v>
      </c>
      <c r="J18" s="48">
        <v>0</v>
      </c>
      <c r="K18" s="48">
        <v>0</v>
      </c>
      <c r="L18" s="48">
        <v>0</v>
      </c>
      <c r="M18" s="48">
        <v>0</v>
      </c>
      <c r="N18">
        <v>0</v>
      </c>
    </row>
    <row r="19" spans="2:14" x14ac:dyDescent="0.3">
      <c r="B19" t="s">
        <v>140</v>
      </c>
      <c r="C19">
        <v>0</v>
      </c>
      <c r="D19">
        <v>0</v>
      </c>
      <c r="E19">
        <v>0</v>
      </c>
      <c r="F19">
        <v>0</v>
      </c>
      <c r="G19">
        <v>0</v>
      </c>
      <c r="H19">
        <v>0</v>
      </c>
      <c r="I19">
        <v>0</v>
      </c>
      <c r="J19">
        <v>0</v>
      </c>
      <c r="K19">
        <v>0</v>
      </c>
      <c r="L19">
        <v>0</v>
      </c>
      <c r="M19">
        <v>0</v>
      </c>
      <c r="N19">
        <v>0</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0</v>
      </c>
      <c r="D23" s="48">
        <v>0</v>
      </c>
      <c r="E23" s="48">
        <v>0</v>
      </c>
      <c r="F23" s="48">
        <v>0</v>
      </c>
      <c r="G23" s="48">
        <v>0</v>
      </c>
      <c r="H23" s="48">
        <v>0</v>
      </c>
      <c r="I23" s="48">
        <v>0</v>
      </c>
      <c r="J23" s="48">
        <v>0</v>
      </c>
      <c r="K23">
        <v>0</v>
      </c>
      <c r="L23" s="48">
        <v>0</v>
      </c>
      <c r="M23">
        <v>0</v>
      </c>
      <c r="N23" s="48">
        <v>0</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0</v>
      </c>
      <c r="G25">
        <v>0</v>
      </c>
      <c r="H25">
        <v>0</v>
      </c>
      <c r="I25">
        <v>0</v>
      </c>
      <c r="J25">
        <v>0</v>
      </c>
      <c r="K25" s="48">
        <v>0</v>
      </c>
      <c r="L25" s="48">
        <v>0</v>
      </c>
      <c r="M25">
        <v>0</v>
      </c>
      <c r="N25">
        <v>0</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0</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0</v>
      </c>
      <c r="D29" s="48">
        <v>0</v>
      </c>
      <c r="E29" s="48">
        <v>0</v>
      </c>
      <c r="F29" s="48">
        <v>0</v>
      </c>
      <c r="G29" s="48">
        <v>0</v>
      </c>
      <c r="H29" s="48">
        <v>0</v>
      </c>
      <c r="I29" s="48">
        <v>0</v>
      </c>
      <c r="J29" s="48">
        <v>0</v>
      </c>
      <c r="K29" s="48">
        <v>0</v>
      </c>
      <c r="L29" s="48">
        <v>0</v>
      </c>
      <c r="M29" s="48">
        <v>0</v>
      </c>
      <c r="N29" s="48">
        <v>0</v>
      </c>
    </row>
    <row r="30" spans="2:14" x14ac:dyDescent="0.3">
      <c r="B30" t="s">
        <v>149</v>
      </c>
      <c r="C30">
        <v>0</v>
      </c>
      <c r="D30">
        <v>0</v>
      </c>
      <c r="E30">
        <v>0</v>
      </c>
      <c r="F30">
        <v>0</v>
      </c>
      <c r="G30">
        <v>0</v>
      </c>
      <c r="H30">
        <v>0</v>
      </c>
      <c r="I30">
        <v>0</v>
      </c>
      <c r="J30">
        <v>0</v>
      </c>
      <c r="K30">
        <v>0</v>
      </c>
      <c r="L30">
        <v>0</v>
      </c>
      <c r="M30">
        <v>0</v>
      </c>
      <c r="N30">
        <v>0</v>
      </c>
    </row>
    <row r="31" spans="2:14" x14ac:dyDescent="0.3">
      <c r="B31" t="s">
        <v>150</v>
      </c>
      <c r="C31">
        <v>0</v>
      </c>
      <c r="D31">
        <v>0</v>
      </c>
      <c r="E31" s="48">
        <v>0</v>
      </c>
      <c r="F31" s="48">
        <v>0</v>
      </c>
      <c r="G31" s="48">
        <v>0</v>
      </c>
      <c r="H31" s="48">
        <v>0</v>
      </c>
      <c r="I31">
        <v>0</v>
      </c>
      <c r="J31">
        <v>0</v>
      </c>
      <c r="K31">
        <v>0</v>
      </c>
      <c r="L31">
        <v>0</v>
      </c>
      <c r="M31">
        <v>0</v>
      </c>
      <c r="N31">
        <v>0</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0</v>
      </c>
      <c r="D10" s="106">
        <f>SUM('Data Sheet'!C18,'Data Sheet'!C20:C22)-'Data Sheet'!C19</f>
        <v>0</v>
      </c>
      <c r="E10" s="106">
        <f>SUM('Data Sheet'!D18,'Data Sheet'!D20:D22)-'Data Sheet'!D19</f>
        <v>0</v>
      </c>
      <c r="F10" s="106">
        <f>SUM('Data Sheet'!E18,'Data Sheet'!E20:E22)-'Data Sheet'!E19</f>
        <v>0</v>
      </c>
      <c r="G10" s="106">
        <f>SUM('Data Sheet'!F18,'Data Sheet'!F20:F22)-'Data Sheet'!F19</f>
        <v>0</v>
      </c>
      <c r="H10" s="106">
        <f>SUM('Data Sheet'!G18,'Data Sheet'!G20:G22)-'Data Sheet'!G19</f>
        <v>0</v>
      </c>
      <c r="I10" s="106">
        <f>SUM('Data Sheet'!H18,'Data Sheet'!H20:H22)-'Data Sheet'!H19</f>
        <v>0</v>
      </c>
      <c r="J10" s="106">
        <f>SUM('Data Sheet'!I18,'Data Sheet'!I20:I22)-'Data Sheet'!I19</f>
        <v>0</v>
      </c>
      <c r="K10" s="106">
        <f>SUM('Data Sheet'!J18,'Data Sheet'!J20:J22)-'Data Sheet'!J19</f>
        <v>0</v>
      </c>
      <c r="L10" s="106">
        <f>SUM('Data Sheet'!K18,'Data Sheet'!K20:K22)-'Data Sheet'!K19</f>
        <v>0</v>
      </c>
    </row>
    <row r="11" spans="1:14" x14ac:dyDescent="0.3">
      <c r="B11" t="s">
        <v>98</v>
      </c>
      <c r="C11" s="112">
        <f>C10/C7</f>
        <v>0</v>
      </c>
      <c r="D11" s="112">
        <f t="shared" ref="D11:L11" si="1">D10/D7</f>
        <v>0</v>
      </c>
      <c r="E11" s="112">
        <f t="shared" si="1"/>
        <v>0</v>
      </c>
      <c r="F11" s="112">
        <f t="shared" si="1"/>
        <v>0</v>
      </c>
      <c r="G11" s="112">
        <f t="shared" si="1"/>
        <v>0</v>
      </c>
      <c r="H11" s="112">
        <f t="shared" si="1"/>
        <v>0</v>
      </c>
      <c r="I11" s="112">
        <f t="shared" si="1"/>
        <v>0</v>
      </c>
      <c r="J11" s="112">
        <f t="shared" si="1"/>
        <v>0</v>
      </c>
      <c r="K11" s="112">
        <f t="shared" si="1"/>
        <v>0</v>
      </c>
      <c r="L11" s="112">
        <f t="shared" si="1"/>
        <v>0</v>
      </c>
    </row>
    <row r="13" spans="1:14" x14ac:dyDescent="0.3">
      <c r="B13" t="s">
        <v>100</v>
      </c>
      <c r="C13" s="106">
        <f>C7-C10</f>
        <v>70522</v>
      </c>
      <c r="D13" s="106">
        <f t="shared" ref="D13:L13" si="2">D7-D10</f>
        <v>82675</v>
      </c>
      <c r="E13" s="106">
        <f t="shared" si="2"/>
        <v>90791</v>
      </c>
      <c r="F13" s="106">
        <f t="shared" si="2"/>
        <v>100472</v>
      </c>
      <c r="G13" s="106">
        <f t="shared" si="2"/>
        <v>121641</v>
      </c>
      <c r="H13" s="106">
        <f t="shared" si="2"/>
        <v>146767</v>
      </c>
      <c r="I13" s="106">
        <f t="shared" si="2"/>
        <v>153670</v>
      </c>
      <c r="J13" s="106">
        <f t="shared" si="2"/>
        <v>162990</v>
      </c>
      <c r="K13" s="106">
        <f t="shared" si="2"/>
        <v>178650</v>
      </c>
      <c r="L13" s="106">
        <f t="shared" si="2"/>
        <v>184582</v>
      </c>
    </row>
    <row r="14" spans="1:14" x14ac:dyDescent="0.3">
      <c r="B14" t="s">
        <v>101</v>
      </c>
      <c r="C14" s="112">
        <f>C13/C7</f>
        <v>1</v>
      </c>
      <c r="D14" s="112">
        <f t="shared" ref="D14:L14" si="3">D13/D7</f>
        <v>1</v>
      </c>
      <c r="E14" s="112">
        <f t="shared" si="3"/>
        <v>1</v>
      </c>
      <c r="F14" s="112">
        <f t="shared" si="3"/>
        <v>1</v>
      </c>
      <c r="G14" s="112">
        <f t="shared" si="3"/>
        <v>1</v>
      </c>
      <c r="H14" s="112">
        <f t="shared" si="3"/>
        <v>1</v>
      </c>
      <c r="I14" s="112">
        <f t="shared" si="3"/>
        <v>1</v>
      </c>
      <c r="J14" s="112">
        <f t="shared" si="3"/>
        <v>1</v>
      </c>
      <c r="K14" s="112">
        <f t="shared" si="3"/>
        <v>1</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70522</v>
      </c>
      <c r="D19" s="106">
        <f t="shared" ref="D19:L19" si="5">D13-D16</f>
        <v>82675</v>
      </c>
      <c r="E19" s="106">
        <f t="shared" si="5"/>
        <v>90791</v>
      </c>
      <c r="F19" s="106">
        <f t="shared" si="5"/>
        <v>100472</v>
      </c>
      <c r="G19" s="106">
        <f t="shared" si="5"/>
        <v>121641</v>
      </c>
      <c r="H19" s="106">
        <f t="shared" si="5"/>
        <v>146767</v>
      </c>
      <c r="I19" s="106">
        <f t="shared" si="5"/>
        <v>153670</v>
      </c>
      <c r="J19" s="106">
        <f t="shared" si="5"/>
        <v>162990</v>
      </c>
      <c r="K19" s="106">
        <f t="shared" si="5"/>
        <v>178650</v>
      </c>
      <c r="L19" s="106">
        <f t="shared" si="5"/>
        <v>184582</v>
      </c>
    </row>
    <row r="20" spans="2:12" x14ac:dyDescent="0.3">
      <c r="B20" t="s">
        <v>104</v>
      </c>
      <c r="C20" s="112">
        <f>C19/C7</f>
        <v>1</v>
      </c>
      <c r="D20" s="112">
        <f t="shared" ref="D20:L20" si="6">D19/D7</f>
        <v>1</v>
      </c>
      <c r="E20" s="112">
        <f t="shared" si="6"/>
        <v>1</v>
      </c>
      <c r="F20" s="112">
        <f t="shared" si="6"/>
        <v>1</v>
      </c>
      <c r="G20" s="112">
        <f t="shared" si="6"/>
        <v>1</v>
      </c>
      <c r="H20" s="112">
        <f t="shared" si="6"/>
        <v>1</v>
      </c>
      <c r="I20" s="112">
        <f t="shared" si="6"/>
        <v>1</v>
      </c>
      <c r="J20" s="112">
        <f t="shared" si="6"/>
        <v>1</v>
      </c>
      <c r="K20" s="112">
        <f t="shared" si="6"/>
        <v>1</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68659</v>
      </c>
      <c r="D25" s="106">
        <f t="shared" ref="D25:L25" si="8">D19-D22</f>
        <v>80664</v>
      </c>
      <c r="E25" s="106">
        <f t="shared" si="8"/>
        <v>87898</v>
      </c>
      <c r="F25" s="106">
        <f t="shared" si="8"/>
        <v>97205</v>
      </c>
      <c r="G25" s="106">
        <f t="shared" si="8"/>
        <v>118165</v>
      </c>
      <c r="H25" s="106">
        <f t="shared" si="8"/>
        <v>142542</v>
      </c>
      <c r="I25" s="106">
        <f t="shared" si="8"/>
        <v>148992</v>
      </c>
      <c r="J25" s="106">
        <f t="shared" si="8"/>
        <v>158178</v>
      </c>
      <c r="K25" s="106">
        <f t="shared" si="8"/>
        <v>173748</v>
      </c>
      <c r="L25" s="106">
        <f t="shared" si="8"/>
        <v>179575</v>
      </c>
    </row>
    <row r="26" spans="2:12" x14ac:dyDescent="0.3">
      <c r="B26" t="s">
        <v>107</v>
      </c>
      <c r="C26" s="112">
        <f>C25/C7</f>
        <v>0.97358271177788491</v>
      </c>
      <c r="D26" s="112">
        <f t="shared" ref="D26:L26" si="9">D25/D7</f>
        <v>0.97567583912912004</v>
      </c>
      <c r="E26" s="112">
        <f t="shared" si="9"/>
        <v>0.96813560815499333</v>
      </c>
      <c r="F26" s="112">
        <f t="shared" si="9"/>
        <v>0.96748347798391587</v>
      </c>
      <c r="G26" s="112">
        <f t="shared" si="9"/>
        <v>0.97142410864757767</v>
      </c>
      <c r="H26" s="112">
        <f t="shared" si="9"/>
        <v>0.97121287482881025</v>
      </c>
      <c r="I26" s="112">
        <f t="shared" si="9"/>
        <v>0.96955814407496588</v>
      </c>
      <c r="J26" s="112">
        <f t="shared" si="9"/>
        <v>0.97047671636296706</v>
      </c>
      <c r="K26" s="112">
        <f t="shared" si="9"/>
        <v>0.9725608732157851</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68659</v>
      </c>
      <c r="D31" s="106">
        <f t="shared" ref="D31:L31" si="11">D25-D28</f>
        <v>80664</v>
      </c>
      <c r="E31" s="106">
        <f t="shared" si="11"/>
        <v>87728</v>
      </c>
      <c r="F31" s="106">
        <f t="shared" si="11"/>
        <v>97010</v>
      </c>
      <c r="G31" s="106">
        <f t="shared" si="11"/>
        <v>117965</v>
      </c>
      <c r="H31" s="106">
        <f t="shared" si="11"/>
        <v>142258</v>
      </c>
      <c r="I31" s="106">
        <f t="shared" si="11"/>
        <v>148522</v>
      </c>
      <c r="J31" s="106">
        <f t="shared" si="11"/>
        <v>157762</v>
      </c>
      <c r="K31" s="106">
        <f t="shared" si="11"/>
        <v>173332</v>
      </c>
      <c r="L31" s="106">
        <f t="shared" si="11"/>
        <v>179145</v>
      </c>
    </row>
    <row r="32" spans="2:12" x14ac:dyDescent="0.3">
      <c r="B32" t="s">
        <v>110</v>
      </c>
      <c r="C32" s="112">
        <f>C31/C7</f>
        <v>0.97358271177788491</v>
      </c>
      <c r="D32" s="112">
        <f t="shared" ref="D32:L32" si="12">D31/D7</f>
        <v>0.97567583912912004</v>
      </c>
      <c r="E32" s="112">
        <f t="shared" si="12"/>
        <v>0.96626317586544919</v>
      </c>
      <c r="F32" s="112">
        <f t="shared" si="12"/>
        <v>0.96554263874512303</v>
      </c>
      <c r="G32" s="112">
        <f t="shared" si="12"/>
        <v>0.96977992617620701</v>
      </c>
      <c r="H32" s="112">
        <f t="shared" si="12"/>
        <v>0.96927783493564634</v>
      </c>
      <c r="I32" s="112">
        <f t="shared" si="12"/>
        <v>0.96649964209019323</v>
      </c>
      <c r="J32" s="112">
        <f t="shared" si="12"/>
        <v>0.96792441254064665</v>
      </c>
      <c r="K32" s="112">
        <f t="shared" si="12"/>
        <v>0.9702322977889728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0.2952271370104429</v>
      </c>
      <c r="D35" s="112">
        <f t="shared" ref="D35:L35" si="13">D34/D31</f>
        <v>0.26084746603193493</v>
      </c>
      <c r="E35" s="112">
        <f t="shared" si="13"/>
        <v>0.25085491519241293</v>
      </c>
      <c r="F35" s="112">
        <f t="shared" si="13"/>
        <v>0.27448716627151842</v>
      </c>
      <c r="G35" s="112">
        <f t="shared" si="13"/>
        <v>0.25524519984741234</v>
      </c>
      <c r="H35" s="112">
        <f t="shared" si="13"/>
        <v>0.23423638740879246</v>
      </c>
      <c r="I35" s="112">
        <f t="shared" si="13"/>
        <v>0.24230753693055573</v>
      </c>
      <c r="J35" s="112">
        <f t="shared" si="13"/>
        <v>0.23838440182046375</v>
      </c>
      <c r="K35" s="112">
        <f t="shared" si="13"/>
        <v>0.23074215955507349</v>
      </c>
      <c r="L35" s="112">
        <f t="shared" si="13"/>
        <v>0.23044461190655613</v>
      </c>
    </row>
    <row r="37" spans="2:12" x14ac:dyDescent="0.3">
      <c r="B37" t="s">
        <v>123</v>
      </c>
      <c r="C37" s="106">
        <f>C31-C34</f>
        <v>48389</v>
      </c>
      <c r="D37" s="106">
        <f t="shared" ref="D37:L37" si="14">D31-D34</f>
        <v>59623</v>
      </c>
      <c r="E37" s="106">
        <f t="shared" si="14"/>
        <v>65721</v>
      </c>
      <c r="F37" s="106">
        <f t="shared" si="14"/>
        <v>70382</v>
      </c>
      <c r="G37" s="106">
        <f t="shared" si="14"/>
        <v>87855</v>
      </c>
      <c r="H37" s="106">
        <f t="shared" si="14"/>
        <v>108936</v>
      </c>
      <c r="I37" s="106">
        <f t="shared" si="14"/>
        <v>112534</v>
      </c>
      <c r="J37" s="106">
        <f t="shared" si="14"/>
        <v>120154</v>
      </c>
      <c r="K37" s="106">
        <f t="shared" si="14"/>
        <v>133337</v>
      </c>
      <c r="L37" s="106">
        <f t="shared" si="14"/>
        <v>137862</v>
      </c>
    </row>
    <row r="38" spans="2:12" x14ac:dyDescent="0.3">
      <c r="B38" t="s">
        <v>124</v>
      </c>
      <c r="C38" s="112">
        <f>C37/C7</f>
        <v>0.6861546751368367</v>
      </c>
      <c r="D38" s="112">
        <f t="shared" ref="D38:L38" si="15">D37/D7</f>
        <v>0.72117326882370725</v>
      </c>
      <c r="E38" s="112">
        <f t="shared" si="15"/>
        <v>0.72387130883017037</v>
      </c>
      <c r="F38" s="112">
        <f t="shared" si="15"/>
        <v>0.70051357592164987</v>
      </c>
      <c r="G38" s="112">
        <f t="shared" si="15"/>
        <v>0.72224825511135227</v>
      </c>
      <c r="H38" s="112">
        <f t="shared" si="15"/>
        <v>0.74223769648490467</v>
      </c>
      <c r="I38" s="112">
        <f t="shared" si="15"/>
        <v>0.73230949437105486</v>
      </c>
      <c r="J38" s="112">
        <f t="shared" si="15"/>
        <v>0.73718633044972082</v>
      </c>
      <c r="K38" s="112">
        <f t="shared" si="15"/>
        <v>0.74635880212706407</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105.32857360527633</v>
      </c>
      <c r="D42" s="106">
        <f t="shared" ref="D42:L42" si="16">D37/D40</f>
        <v>129.78167649811715</v>
      </c>
      <c r="E42" s="106">
        <f t="shared" si="16"/>
        <v>143.05522300341741</v>
      </c>
      <c r="F42" s="106">
        <f t="shared" si="16"/>
        <v>153.20084456150278</v>
      </c>
      <c r="G42" s="106">
        <f t="shared" si="16"/>
        <v>191.23440935112427</v>
      </c>
      <c r="H42" s="106">
        <f t="shared" si="16"/>
        <v>237.12152543479678</v>
      </c>
      <c r="I42" s="106">
        <f t="shared" si="16"/>
        <v>244.95330967980669</v>
      </c>
      <c r="J42" s="106">
        <f t="shared" si="16"/>
        <v>261.53980104917173</v>
      </c>
      <c r="K42" s="106">
        <f t="shared" si="16"/>
        <v>290.23530180013495</v>
      </c>
      <c r="L42" s="106">
        <f t="shared" si="16"/>
        <v>300.08489149126052</v>
      </c>
    </row>
    <row r="43" spans="2:12" x14ac:dyDescent="0.3">
      <c r="B43" t="s">
        <v>114</v>
      </c>
      <c r="C43" s="111" t="s">
        <v>120</v>
      </c>
      <c r="D43" s="111">
        <f>D42/C42-1</f>
        <v>0.23216020169873319</v>
      </c>
      <c r="E43" s="111">
        <f t="shared" ref="E43:L43" si="17">E42/D42-1</f>
        <v>0.10227596732804445</v>
      </c>
      <c r="F43" s="111">
        <f t="shared" si="17"/>
        <v>7.0921014591987408E-2</v>
      </c>
      <c r="G43" s="111">
        <f t="shared" si="17"/>
        <v>0.2482594981671451</v>
      </c>
      <c r="H43" s="111">
        <f t="shared" si="17"/>
        <v>0.23995219395594991</v>
      </c>
      <c r="I43" s="111">
        <f t="shared" si="17"/>
        <v>3.302856723213643E-2</v>
      </c>
      <c r="J43" s="111">
        <f t="shared" si="17"/>
        <v>6.7712868999591169E-2</v>
      </c>
      <c r="K43" s="111">
        <f t="shared" si="17"/>
        <v>0.10971752917089739</v>
      </c>
      <c r="L43" s="111">
        <f t="shared" si="17"/>
        <v>3.3936566744414476E-2</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142.65035589125182</v>
      </c>
    </row>
    <row r="46" spans="2:12" x14ac:dyDescent="0.3">
      <c r="B46" t="s">
        <v>116</v>
      </c>
      <c r="C46" s="112">
        <f>C45/C42</f>
        <v>0.19543925272272625</v>
      </c>
      <c r="D46" s="112">
        <f t="shared" ref="D46:L46" si="18">D45/D42</f>
        <v>0.15507438404642504</v>
      </c>
      <c r="E46" s="112">
        <f t="shared" si="18"/>
        <v>0.11392933765463095</v>
      </c>
      <c r="F46" s="112">
        <f t="shared" si="18"/>
        <v>0.16281961296922509</v>
      </c>
      <c r="G46" s="112">
        <f t="shared" si="18"/>
        <v>0.14872392009561208</v>
      </c>
      <c r="H46" s="112">
        <f t="shared" si="18"/>
        <v>0.12835646618197841</v>
      </c>
      <c r="I46" s="112">
        <f t="shared" si="18"/>
        <v>0.17026889651127658</v>
      </c>
      <c r="J46" s="112">
        <f t="shared" si="18"/>
        <v>0.14916274114885897</v>
      </c>
      <c r="K46" s="112">
        <f t="shared" si="18"/>
        <v>0.14589228796208104</v>
      </c>
      <c r="L46" s="112">
        <f t="shared" si="18"/>
        <v>0.47536667101884494</v>
      </c>
    </row>
    <row r="48" spans="2:12" x14ac:dyDescent="0.3">
      <c r="B48" t="s">
        <v>117</v>
      </c>
      <c r="C48" s="36">
        <f>(1-C46)</f>
        <v>0.80456074727727378</v>
      </c>
      <c r="D48" s="36">
        <f t="shared" ref="D48:L48" si="19">(1-D46)</f>
        <v>0.84492561595357496</v>
      </c>
      <c r="E48" s="36">
        <f t="shared" si="19"/>
        <v>0.88607066234536902</v>
      </c>
      <c r="F48" s="36">
        <f t="shared" si="19"/>
        <v>0.83718038703077491</v>
      </c>
      <c r="G48" s="36">
        <f t="shared" si="19"/>
        <v>0.85127607990438792</v>
      </c>
      <c r="H48" s="36">
        <f t="shared" si="19"/>
        <v>0.87164353381802162</v>
      </c>
      <c r="I48" s="36">
        <f t="shared" si="19"/>
        <v>0.82973110348872336</v>
      </c>
      <c r="J48" s="36">
        <f t="shared" si="19"/>
        <v>0.85083725885114103</v>
      </c>
      <c r="K48" s="36">
        <f t="shared" si="19"/>
        <v>0.85410771203791902</v>
      </c>
      <c r="L48" s="36">
        <f t="shared" si="19"/>
        <v>0.52463332898115511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302</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0</v>
      </c>
      <c r="D74" s="106">
        <f>'Cash Flow Statement'!F7</f>
        <v>0</v>
      </c>
      <c r="E74" s="106">
        <f>'Cash Flow Statement'!G7</f>
        <v>0</v>
      </c>
      <c r="F74" s="106">
        <f>'Cash Flow Statement'!H7</f>
        <v>0</v>
      </c>
      <c r="G74" s="106">
        <f>'Cash Flow Statement'!I7</f>
        <v>0</v>
      </c>
      <c r="H74" s="106">
        <f>'Cash Flow Statement'!J7</f>
        <v>0</v>
      </c>
      <c r="I74" s="106">
        <f>'Cash Flow Statement'!K7</f>
        <v>0</v>
      </c>
      <c r="J74" s="106">
        <f>'Cash Flow Statement'!L7</f>
        <v>0</v>
      </c>
      <c r="K74" s="106">
        <f>'Cash Flow Statement'!M7</f>
        <v>0</v>
      </c>
      <c r="L74" s="106">
        <f>'Cash Flow Statement'!N7</f>
        <v>0</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0</v>
      </c>
      <c r="D78" s="106">
        <f>'Cash Flow Statement'!F11</f>
        <v>0</v>
      </c>
      <c r="E78" s="106">
        <f>'Cash Flow Statement'!G11</f>
        <v>0</v>
      </c>
      <c r="F78" s="106">
        <f>'Cash Flow Statement'!H11</f>
        <v>0</v>
      </c>
      <c r="G78" s="106">
        <f>'Cash Flow Statement'!I11</f>
        <v>0</v>
      </c>
      <c r="H78" s="106">
        <f>'Cash Flow Statement'!J11</f>
        <v>0</v>
      </c>
      <c r="I78" s="106">
        <f>'Cash Flow Statement'!K11</f>
        <v>0</v>
      </c>
      <c r="J78" s="106">
        <f>'Cash Flow Statement'!L11</f>
        <v>0</v>
      </c>
      <c r="K78" s="106">
        <f>'Cash Flow Statement'!M11</f>
        <v>0</v>
      </c>
      <c r="L78" s="106">
        <f>'Cash Flow Statement'!N11</f>
        <v>0</v>
      </c>
    </row>
    <row r="79" spans="2:13" x14ac:dyDescent="0.3">
      <c r="B79" t="str">
        <f>'Cash Flow Statement'!B12</f>
        <v>Direct taxes</v>
      </c>
      <c r="C79" s="106">
        <f>'Cash Flow Statement'!E12</f>
        <v>0</v>
      </c>
      <c r="D79" s="106">
        <f>'Cash Flow Statement'!F12</f>
        <v>0</v>
      </c>
      <c r="E79" s="106">
        <f>'Cash Flow Statement'!G12</f>
        <v>0</v>
      </c>
      <c r="F79" s="106">
        <f>'Cash Flow Statement'!H12</f>
        <v>0</v>
      </c>
      <c r="G79" s="106">
        <f>'Cash Flow Statement'!I12</f>
        <v>0</v>
      </c>
      <c r="H79" s="106">
        <f>'Cash Flow Statement'!J12</f>
        <v>0</v>
      </c>
      <c r="I79" s="106">
        <f>'Cash Flow Statement'!K12</f>
        <v>0</v>
      </c>
      <c r="J79" s="106">
        <f>'Cash Flow Statement'!L12</f>
        <v>0</v>
      </c>
      <c r="K79" s="106">
        <f>'Cash Flow Statement'!M12</f>
        <v>0</v>
      </c>
      <c r="L79" s="106">
        <f>'Cash Flow Statement'!N12</f>
        <v>0</v>
      </c>
    </row>
    <row r="80" spans="2:13" x14ac:dyDescent="0.3">
      <c r="B80" t="s">
        <v>152</v>
      </c>
      <c r="C80" s="106">
        <f t="shared" ref="C80:L80" si="25">SUM(C74:C79)</f>
        <v>0</v>
      </c>
      <c r="D80" s="106">
        <f t="shared" si="25"/>
        <v>0</v>
      </c>
      <c r="E80" s="106">
        <f t="shared" si="25"/>
        <v>0</v>
      </c>
      <c r="F80" s="106">
        <f>SUM(F74:F79)</f>
        <v>0</v>
      </c>
      <c r="G80" s="106">
        <f t="shared" si="25"/>
        <v>0</v>
      </c>
      <c r="H80" s="106">
        <f t="shared" si="25"/>
        <v>0</v>
      </c>
      <c r="I80" s="106">
        <f t="shared" si="25"/>
        <v>0</v>
      </c>
      <c r="J80" s="106">
        <f t="shared" si="25"/>
        <v>0</v>
      </c>
      <c r="K80" s="106">
        <f t="shared" si="25"/>
        <v>0</v>
      </c>
      <c r="L80" s="106">
        <f t="shared" si="25"/>
        <v>0</v>
      </c>
    </row>
    <row r="82" spans="2:12" x14ac:dyDescent="0.3">
      <c r="B82" t="s">
        <v>153</v>
      </c>
    </row>
    <row r="83" spans="2:12" x14ac:dyDescent="0.3">
      <c r="B83" t="str">
        <f>'Cash Flow Statement'!B14</f>
        <v>Fixed assets purchased</v>
      </c>
      <c r="C83" s="106">
        <f>'Cash Flow Statement'!E14</f>
        <v>0</v>
      </c>
      <c r="D83" s="106">
        <f>'Cash Flow Statement'!F14</f>
        <v>0</v>
      </c>
      <c r="E83" s="106">
        <f>'Cash Flow Statement'!G14</f>
        <v>0</v>
      </c>
      <c r="F83" s="106">
        <f>'Cash Flow Statement'!H14</f>
        <v>0</v>
      </c>
      <c r="G83" s="106">
        <f>'Cash Flow Statement'!I14</f>
        <v>0</v>
      </c>
      <c r="H83" s="106">
        <f>'Cash Flow Statement'!J14</f>
        <v>0</v>
      </c>
      <c r="I83" s="106">
        <f>'Cash Flow Statement'!K14</f>
        <v>0</v>
      </c>
      <c r="J83" s="106">
        <f>'Cash Flow Statement'!L14</f>
        <v>0</v>
      </c>
      <c r="K83" s="106">
        <f>'Cash Flow Statement'!M14</f>
        <v>0</v>
      </c>
      <c r="L83" s="106">
        <f>'Cash Flow Statement'!N14</f>
        <v>0</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0</v>
      </c>
      <c r="D85" s="106">
        <f>'Cash Flow Statement'!F16</f>
        <v>0</v>
      </c>
      <c r="E85" s="106">
        <f>'Cash Flow Statement'!G16</f>
        <v>0</v>
      </c>
      <c r="F85" s="106">
        <f>'Cash Flow Statement'!H16</f>
        <v>0</v>
      </c>
      <c r="G85" s="106">
        <f>'Cash Flow Statement'!I16</f>
        <v>0</v>
      </c>
      <c r="H85" s="106">
        <f>'Cash Flow Statement'!J16</f>
        <v>0</v>
      </c>
      <c r="I85" s="106">
        <f>'Cash Flow Statement'!K16</f>
        <v>0</v>
      </c>
      <c r="J85" s="106">
        <f>'Cash Flow Statement'!L16</f>
        <v>0</v>
      </c>
      <c r="K85" s="106">
        <f>'Cash Flow Statement'!M16</f>
        <v>0</v>
      </c>
      <c r="L85" s="106">
        <f>'Cash Flow Statement'!N16</f>
        <v>0</v>
      </c>
    </row>
    <row r="86" spans="2:12" x14ac:dyDescent="0.3">
      <c r="B86" t="str">
        <f>'Cash Flow Statement'!B17</f>
        <v>Investments sold</v>
      </c>
      <c r="C86" s="106">
        <f>'Cash Flow Statement'!E17</f>
        <v>0</v>
      </c>
      <c r="D86" s="106">
        <f>'Cash Flow Statement'!F17</f>
        <v>0</v>
      </c>
      <c r="E86" s="106">
        <f>'Cash Flow Statement'!G17</f>
        <v>0</v>
      </c>
      <c r="F86" s="106">
        <f>'Cash Flow Statement'!H17</f>
        <v>0</v>
      </c>
      <c r="G86" s="106">
        <f>'Cash Flow Statement'!I17</f>
        <v>0</v>
      </c>
      <c r="H86" s="106">
        <f>'Cash Flow Statement'!J17</f>
        <v>0</v>
      </c>
      <c r="I86" s="106">
        <f>'Cash Flow Statement'!K17</f>
        <v>0</v>
      </c>
      <c r="J86" s="106">
        <f>'Cash Flow Statement'!L17</f>
        <v>0</v>
      </c>
      <c r="K86" s="106">
        <f>'Cash Flow Statement'!M17</f>
        <v>0</v>
      </c>
      <c r="L86" s="106">
        <f>'Cash Flow Statement'!N17</f>
        <v>0</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0</v>
      </c>
      <c r="D88" s="106">
        <f>'Cash Flow Statement'!F19</f>
        <v>0</v>
      </c>
      <c r="E88" s="106">
        <f>'Cash Flow Statement'!G19</f>
        <v>0</v>
      </c>
      <c r="F88" s="106">
        <f>'Cash Flow Statement'!H19</f>
        <v>0</v>
      </c>
      <c r="G88" s="106">
        <f>'Cash Flow Statement'!I19</f>
        <v>0</v>
      </c>
      <c r="H88" s="106">
        <f>'Cash Flow Statement'!J19</f>
        <v>0</v>
      </c>
      <c r="I88" s="106">
        <f>'Cash Flow Statement'!K19</f>
        <v>0</v>
      </c>
      <c r="J88" s="106">
        <f>'Cash Flow Statement'!L19</f>
        <v>0</v>
      </c>
      <c r="K88" s="106">
        <f>'Cash Flow Statement'!M19</f>
        <v>0</v>
      </c>
      <c r="L88" s="106">
        <f>'Cash Flow Statement'!N19</f>
        <v>0</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0</v>
      </c>
      <c r="D92" s="106">
        <f>'Cash Flow Statement'!F23</f>
        <v>0</v>
      </c>
      <c r="E92" s="106">
        <f>'Cash Flow Statement'!G23</f>
        <v>0</v>
      </c>
      <c r="F92" s="106">
        <f>'Cash Flow Statement'!H23</f>
        <v>0</v>
      </c>
      <c r="G92" s="106">
        <f>'Cash Flow Statement'!I23</f>
        <v>0</v>
      </c>
      <c r="H92" s="106">
        <f>'Cash Flow Statement'!J23</f>
        <v>0</v>
      </c>
      <c r="I92" s="106">
        <f>'Cash Flow Statement'!K23</f>
        <v>0</v>
      </c>
      <c r="J92" s="106">
        <f>'Cash Flow Statement'!L23</f>
        <v>0</v>
      </c>
      <c r="K92" s="106">
        <f>'Cash Flow Statement'!M23</f>
        <v>0</v>
      </c>
      <c r="L92" s="106">
        <f>'Cash Flow Statement'!N23</f>
        <v>0</v>
      </c>
    </row>
    <row r="93" spans="2:12" x14ac:dyDescent="0.3">
      <c r="B93" t="s">
        <v>154</v>
      </c>
      <c r="C93" s="106">
        <f>SUM(C83:C92)</f>
        <v>0</v>
      </c>
      <c r="D93" s="106">
        <f t="shared" ref="D93:K93" si="26">SUM(D83:D92)</f>
        <v>0</v>
      </c>
      <c r="E93" s="106">
        <f t="shared" si="26"/>
        <v>0</v>
      </c>
      <c r="F93" s="106">
        <f t="shared" si="26"/>
        <v>0</v>
      </c>
      <c r="G93" s="106">
        <f t="shared" si="26"/>
        <v>0</v>
      </c>
      <c r="H93" s="106">
        <f t="shared" si="26"/>
        <v>0</v>
      </c>
      <c r="I93" s="106">
        <f t="shared" si="26"/>
        <v>0</v>
      </c>
      <c r="J93" s="106">
        <f t="shared" si="26"/>
        <v>0</v>
      </c>
      <c r="K93" s="106">
        <f t="shared" si="26"/>
        <v>0</v>
      </c>
      <c r="L93" s="106">
        <f>SUM(L83:L92)</f>
        <v>0</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0</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0</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0</v>
      </c>
      <c r="D100" s="106">
        <f>'Cash Flow Statement'!F29</f>
        <v>0</v>
      </c>
      <c r="E100" s="106">
        <f>'Cash Flow Statement'!G29</f>
        <v>0</v>
      </c>
      <c r="F100" s="106">
        <f>'Cash Flow Statement'!H29</f>
        <v>0</v>
      </c>
      <c r="G100" s="106">
        <f>'Cash Flow Statement'!I29</f>
        <v>0</v>
      </c>
      <c r="H100" s="106">
        <f>'Cash Flow Statement'!J29</f>
        <v>0</v>
      </c>
      <c r="I100" s="106">
        <f>'Cash Flow Statement'!K29</f>
        <v>0</v>
      </c>
      <c r="J100" s="106">
        <f>'Cash Flow Statement'!L29</f>
        <v>0</v>
      </c>
      <c r="K100" s="106">
        <f>'Cash Flow Statement'!M29</f>
        <v>0</v>
      </c>
      <c r="L100" s="106">
        <f>'Cash Flow Statement'!N29</f>
        <v>0</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0</v>
      </c>
      <c r="J101" s="106">
        <f>'Cash Flow Statement'!L30</f>
        <v>0</v>
      </c>
      <c r="K101" s="106">
        <f>'Cash Flow Statement'!M30</f>
        <v>0</v>
      </c>
      <c r="L101" s="106">
        <f>'Cash Flow Statement'!N30</f>
        <v>0</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0</v>
      </c>
      <c r="H102" s="106">
        <f>'Cash Flow Statement'!J31</f>
        <v>0</v>
      </c>
      <c r="I102" s="106">
        <f>'Cash Flow Statement'!K31</f>
        <v>0</v>
      </c>
      <c r="J102" s="106">
        <f>'Cash Flow Statement'!L31</f>
        <v>0</v>
      </c>
      <c r="K102" s="106">
        <f>'Cash Flow Statement'!M31</f>
        <v>0</v>
      </c>
      <c r="L102" s="106">
        <f>'Cash Flow Statement'!N31</f>
        <v>0</v>
      </c>
    </row>
    <row r="103" spans="2:12" x14ac:dyDescent="0.3">
      <c r="B103" t="s">
        <v>156</v>
      </c>
      <c r="C103" s="106">
        <f>SUM(C96:C102)</f>
        <v>0</v>
      </c>
      <c r="D103" s="106">
        <f t="shared" ref="D103:L103" si="27">SUM(D96:D102)</f>
        <v>0</v>
      </c>
      <c r="E103" s="106">
        <f t="shared" si="27"/>
        <v>0</v>
      </c>
      <c r="F103" s="106">
        <f t="shared" si="27"/>
        <v>0</v>
      </c>
      <c r="G103" s="106">
        <f t="shared" si="27"/>
        <v>0</v>
      </c>
      <c r="H103" s="106">
        <f t="shared" si="27"/>
        <v>0</v>
      </c>
      <c r="I103" s="106">
        <f t="shared" si="27"/>
        <v>0</v>
      </c>
      <c r="J103" s="106">
        <f t="shared" si="27"/>
        <v>0</v>
      </c>
      <c r="K103" s="106">
        <f t="shared" si="27"/>
        <v>0</v>
      </c>
      <c r="L103" s="106">
        <f t="shared" si="27"/>
        <v>0</v>
      </c>
    </row>
    <row r="105" spans="2:12" x14ac:dyDescent="0.3">
      <c r="B105" t="s">
        <v>35</v>
      </c>
      <c r="C105" s="106">
        <f>C80+C93+C103</f>
        <v>0</v>
      </c>
      <c r="D105" s="106">
        <f t="shared" ref="D105:L105" si="28">D80+D93+D103</f>
        <v>0</v>
      </c>
      <c r="E105" s="106">
        <f t="shared" si="28"/>
        <v>0</v>
      </c>
      <c r="F105" s="106">
        <f t="shared" si="28"/>
        <v>0</v>
      </c>
      <c r="G105" s="106">
        <f t="shared" si="28"/>
        <v>0</v>
      </c>
      <c r="H105" s="106">
        <f t="shared" si="28"/>
        <v>0</v>
      </c>
      <c r="I105" s="106">
        <f t="shared" si="28"/>
        <v>0</v>
      </c>
      <c r="J105" s="106">
        <f t="shared" si="28"/>
        <v>0</v>
      </c>
      <c r="K105" s="106">
        <f t="shared" si="28"/>
        <v>0</v>
      </c>
      <c r="L105" s="106">
        <f t="shared" si="28"/>
        <v>0</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0.17232920223476356</v>
      </c>
      <c r="E6" s="36">
        <f>IFERROR(('Historical FS'!E19/'Historical FS'!D19-1),0)</f>
        <v>9.8167523435137571E-2</v>
      </c>
      <c r="F6" s="36">
        <f>IFERROR(('Historical FS'!F19/'Historical FS'!E19-1),0)</f>
        <v>0.10662951173574475</v>
      </c>
      <c r="G6" s="36">
        <f>IFERROR(('Historical FS'!G19/'Historical FS'!F19-1),0)</f>
        <v>0.21069551715900947</v>
      </c>
      <c r="H6" s="36">
        <f>IFERROR(('Historical FS'!H19/'Historical FS'!G19-1),0)</f>
        <v>0.20655864387829759</v>
      </c>
      <c r="I6" s="36">
        <f>IFERROR(('Historical FS'!I19/'Historical FS'!H19-1),0)</f>
        <v>4.7033733741236095E-2</v>
      </c>
      <c r="J6" s="36">
        <f>IFERROR(('Historical FS'!J19/'Historical FS'!I19-1),0)</f>
        <v>6.0649443612936782E-2</v>
      </c>
      <c r="K6" s="36">
        <f>IFERROR(('Historical FS'!K19/'Historical FS'!J19-1),0)</f>
        <v>9.6079514080618544E-2</v>
      </c>
      <c r="L6" s="36">
        <f>IFERROR(('Historical FS'!L19/'Historical FS'!K19-1),0)</f>
        <v>3.3204589980408539E-2</v>
      </c>
      <c r="N6" s="46">
        <f>IFERROR(AVERAGE(D6:L6),0)</f>
        <v>0.11459418665090587</v>
      </c>
      <c r="O6" s="46">
        <f>IFERROR(MEDIAN(D6:L6),0)</f>
        <v>9.8167523435137571E-2</v>
      </c>
    </row>
    <row r="7" spans="2:15" x14ac:dyDescent="0.3">
      <c r="B7" t="s">
        <v>165</v>
      </c>
      <c r="C7" s="36"/>
      <c r="D7" s="36">
        <f>IFERROR(('Historical FS'!D25/'Historical FS'!C25-1),0)</f>
        <v>0.17484961913223329</v>
      </c>
      <c r="E7" s="36">
        <f>IFERROR(('Historical FS'!E25/'Historical FS'!D25-1),0)</f>
        <v>8.968065060001984E-2</v>
      </c>
      <c r="F7" s="36">
        <f>IFERROR(('Historical FS'!F25/'Historical FS'!E25-1),0)</f>
        <v>0.10588409292589129</v>
      </c>
      <c r="G7" s="36">
        <f>IFERROR(('Historical FS'!G25/'Historical FS'!F25-1),0)</f>
        <v>0.21562676817036164</v>
      </c>
      <c r="H7" s="36">
        <f>IFERROR(('Historical FS'!H25/'Historical FS'!G25-1),0)</f>
        <v>0.20629628062455052</v>
      </c>
      <c r="I7" s="36">
        <f>IFERROR(('Historical FS'!I25/'Historical FS'!H25-1),0)</f>
        <v>4.5249821105358468E-2</v>
      </c>
      <c r="J7" s="36">
        <f>IFERROR(('Historical FS'!J25/'Historical FS'!I25-1),0)</f>
        <v>6.1654317010309212E-2</v>
      </c>
      <c r="K7" s="36">
        <f>IFERROR(('Historical FS'!K25/'Historical FS'!J25-1),0)</f>
        <v>9.8433410461631787E-2</v>
      </c>
      <c r="L7" s="36">
        <f>IFERROR(('Historical FS'!L25/'Historical FS'!K25-1),0)</f>
        <v>3.3537076685774769E-2</v>
      </c>
      <c r="N7" s="46">
        <f>IFERROR(AVERAGE(D7:L7),0)</f>
        <v>0.1145791151906812</v>
      </c>
      <c r="O7" s="46">
        <f>IFERROR(MEDIAN(D7:L7),0)</f>
        <v>9.8433410461631787E-2</v>
      </c>
    </row>
    <row r="8" spans="2:15" x14ac:dyDescent="0.3">
      <c r="B8" t="s">
        <v>189</v>
      </c>
      <c r="C8" s="36"/>
      <c r="D8" s="36">
        <f>IFERROR(('Historical FS'!D37/'Historical FS'!C37-1),0)</f>
        <v>0.23216020169873319</v>
      </c>
      <c r="E8" s="36">
        <f>IFERROR(('Historical FS'!E37/'Historical FS'!D37-1),0)</f>
        <v>0.10227596732804445</v>
      </c>
      <c r="F8" s="36">
        <f>IFERROR(('Historical FS'!F37/'Historical FS'!E37-1),0)</f>
        <v>7.0921014591987408E-2</v>
      </c>
      <c r="G8" s="36">
        <f>IFERROR(('Historical FS'!G37/'Historical FS'!F37-1),0)</f>
        <v>0.2482594981671451</v>
      </c>
      <c r="H8" s="36">
        <f>IFERROR(('Historical FS'!H37/'Historical FS'!G37-1),0)</f>
        <v>0.23995219395595013</v>
      </c>
      <c r="I8" s="36">
        <f>IFERROR(('Historical FS'!I37/'Historical FS'!H37-1),0)</f>
        <v>3.3028567232136208E-2</v>
      </c>
      <c r="J8" s="36">
        <f>IFERROR(('Historical FS'!J37/'Historical FS'!I37-1),0)</f>
        <v>6.7712868999591169E-2</v>
      </c>
      <c r="K8" s="36">
        <f>IFERROR(('Historical FS'!K37/'Historical FS'!J37-1),0)</f>
        <v>0.10971752917089739</v>
      </c>
      <c r="L8" s="36">
        <f>IFERROR(('Historical FS'!L37/'Historical FS'!K37-1),0)</f>
        <v>3.3936566744414476E-2</v>
      </c>
      <c r="N8" s="46">
        <f>IFERROR(AVERAGE(D8:L8),0)</f>
        <v>0.12644048976543329</v>
      </c>
      <c r="O8" s="46">
        <f>IFERROR(MEDIAN(D8:L8),0)</f>
        <v>0.10227596732804445</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2.3689168265404952</v>
      </c>
      <c r="N9" s="46">
        <f>IFERROR(AVERAGE(D9:L9),0)</f>
        <v>0.36536922497653396</v>
      </c>
      <c r="O9" s="46">
        <f>IFERROR(MEDIAN(D9:L9),0)</f>
        <v>8.538652531733848E-2</v>
      </c>
    </row>
    <row r="11" spans="2:15" x14ac:dyDescent="0.3">
      <c r="B11" t="s">
        <v>157</v>
      </c>
      <c r="C11" s="36">
        <f>IFERROR('Historical FS'!C14,0)</f>
        <v>1</v>
      </c>
      <c r="D11" s="36">
        <f>IFERROR('Historical FS'!D14,0)</f>
        <v>1</v>
      </c>
      <c r="E11" s="36">
        <f>IFERROR('Historical FS'!E14,0)</f>
        <v>1</v>
      </c>
      <c r="F11" s="36">
        <f>IFERROR('Historical FS'!F14,0)</f>
        <v>1</v>
      </c>
      <c r="G11" s="36">
        <f>IFERROR('Historical FS'!G14,0)</f>
        <v>1</v>
      </c>
      <c r="H11" s="36">
        <f>IFERROR('Historical FS'!H14,0)</f>
        <v>1</v>
      </c>
      <c r="I11" s="36">
        <f>IFERROR('Historical FS'!I14,0)</f>
        <v>1</v>
      </c>
      <c r="J11" s="36">
        <f>IFERROR('Historical FS'!J14,0)</f>
        <v>1</v>
      </c>
      <c r="K11" s="36">
        <f>IFERROR('Historical FS'!K14,0)</f>
        <v>1</v>
      </c>
      <c r="L11" s="36">
        <f>IFERROR('Historical FS'!L14,0)</f>
        <v>1</v>
      </c>
      <c r="N11" s="46">
        <f>IFERROR(AVERAGE(C11:L11),0)</f>
        <v>1</v>
      </c>
      <c r="O11" s="46">
        <f>IFERROR(MEDIAN(C11:L11),0)</f>
        <v>1</v>
      </c>
    </row>
    <row r="12" spans="2:15" x14ac:dyDescent="0.3">
      <c r="B12" t="s">
        <v>161</v>
      </c>
      <c r="C12" s="36">
        <f>IFERROR('Historical FS'!C20,0)</f>
        <v>1</v>
      </c>
      <c r="D12" s="36">
        <f>IFERROR('Historical FS'!D20,0)</f>
        <v>1</v>
      </c>
      <c r="E12" s="36">
        <f>IFERROR('Historical FS'!E20,0)</f>
        <v>1</v>
      </c>
      <c r="F12" s="36">
        <f>IFERROR('Historical FS'!F20,0)</f>
        <v>1</v>
      </c>
      <c r="G12" s="36">
        <f>IFERROR('Historical FS'!G20,0)</f>
        <v>1</v>
      </c>
      <c r="H12" s="36">
        <f>IFERROR('Historical FS'!H20,0)</f>
        <v>1</v>
      </c>
      <c r="I12" s="36">
        <f>IFERROR('Historical FS'!I20,0)</f>
        <v>1</v>
      </c>
      <c r="J12" s="36">
        <f>IFERROR('Historical FS'!J20,0)</f>
        <v>1</v>
      </c>
      <c r="K12" s="36">
        <f>IFERROR('Historical FS'!K20,0)</f>
        <v>1</v>
      </c>
      <c r="L12" s="36">
        <f>IFERROR('Historical FS'!L20,0)</f>
        <v>1</v>
      </c>
      <c r="N12" s="46">
        <f>IFERROR(AVERAGE(C12:L12),0)</f>
        <v>1</v>
      </c>
      <c r="O12" s="46">
        <f>IFERROR(MEDIAN(C12:L12),0)</f>
        <v>1</v>
      </c>
    </row>
    <row r="13" spans="2:15" x14ac:dyDescent="0.3">
      <c r="B13" t="s">
        <v>162</v>
      </c>
      <c r="C13" s="36">
        <f>IFERROR('Historical FS'!C26,0)</f>
        <v>0.97358271177788491</v>
      </c>
      <c r="D13" s="36">
        <f>IFERROR('Historical FS'!D26,0)</f>
        <v>0.97567583912912004</v>
      </c>
      <c r="E13" s="36">
        <f>IFERROR('Historical FS'!E26,0)</f>
        <v>0.96813560815499333</v>
      </c>
      <c r="F13" s="36">
        <f>IFERROR('Historical FS'!F26,0)</f>
        <v>0.96748347798391587</v>
      </c>
      <c r="G13" s="36">
        <f>IFERROR('Historical FS'!G26,0)</f>
        <v>0.97142410864757767</v>
      </c>
      <c r="H13" s="36">
        <f>IFERROR('Historical FS'!H26,0)</f>
        <v>0.97121287482881025</v>
      </c>
      <c r="I13" s="36">
        <f>IFERROR('Historical FS'!I26,0)</f>
        <v>0.96955814407496588</v>
      </c>
      <c r="J13" s="36">
        <f>IFERROR('Historical FS'!J26,0)</f>
        <v>0.97047671636296706</v>
      </c>
      <c r="K13" s="36">
        <f>IFERROR('Historical FS'!K26,0)</f>
        <v>0.9725608732157851</v>
      </c>
      <c r="L13" s="36">
        <f>IFERROR('Historical FS'!L26,0)</f>
        <v>0.97287384468691418</v>
      </c>
      <c r="N13" s="46">
        <f>IFERROR(AVERAGE(C13:L13),0)</f>
        <v>0.97129841988629351</v>
      </c>
      <c r="O13" s="46">
        <f>IFERROR(MEDIAN(C13:L13),0)</f>
        <v>0.97131849173819396</v>
      </c>
    </row>
    <row r="14" spans="2:15" x14ac:dyDescent="0.3">
      <c r="B14" t="s">
        <v>167</v>
      </c>
      <c r="C14" s="36">
        <f>IFERROR('Historical FS'!C32,0)</f>
        <v>0.97358271177788491</v>
      </c>
      <c r="D14" s="36">
        <f>IFERROR('Historical FS'!D32,0)</f>
        <v>0.97567583912912004</v>
      </c>
      <c r="E14" s="36">
        <f>IFERROR('Historical FS'!E32,0)</f>
        <v>0.96626317586544919</v>
      </c>
      <c r="F14" s="36">
        <f>IFERROR('Historical FS'!F32,0)</f>
        <v>0.96554263874512303</v>
      </c>
      <c r="G14" s="36">
        <f>IFERROR('Historical FS'!G32,0)</f>
        <v>0.96977992617620701</v>
      </c>
      <c r="H14" s="36">
        <f>IFERROR('Historical FS'!H32,0)</f>
        <v>0.96927783493564634</v>
      </c>
      <c r="I14" s="36">
        <f>IFERROR('Historical FS'!I32,0)</f>
        <v>0.96649964209019323</v>
      </c>
      <c r="J14" s="36">
        <f>IFERROR('Historical FS'!J32,0)</f>
        <v>0.96792441254064665</v>
      </c>
      <c r="K14" s="36">
        <f>IFERROR('Historical FS'!K32,0)</f>
        <v>0.9702322977889728</v>
      </c>
      <c r="L14" s="36">
        <f>IFERROR('Historical FS'!L32,0)</f>
        <v>0.97054425675309619</v>
      </c>
      <c r="N14" s="46">
        <f>IFERROR(AVERAGE(C14:L14),0)</f>
        <v>0.96953227358023386</v>
      </c>
      <c r="O14" s="46">
        <f>IFERROR(MEDIAN(C14:L14),0)</f>
        <v>0.96952888055592668</v>
      </c>
    </row>
    <row r="15" spans="2:15" x14ac:dyDescent="0.3">
      <c r="B15" t="s">
        <v>163</v>
      </c>
      <c r="C15" s="36">
        <f>IFERROR('Historical FS'!C38,0)</f>
        <v>0.6861546751368367</v>
      </c>
      <c r="D15" s="36">
        <f>IFERROR('Historical FS'!D38,0)</f>
        <v>0.72117326882370725</v>
      </c>
      <c r="E15" s="36">
        <f>IFERROR('Historical FS'!E38,0)</f>
        <v>0.72387130883017037</v>
      </c>
      <c r="F15" s="36">
        <f>IFERROR('Historical FS'!F38,0)</f>
        <v>0.70051357592164987</v>
      </c>
      <c r="G15" s="36">
        <f>IFERROR('Historical FS'!G38,0)</f>
        <v>0.72224825511135227</v>
      </c>
      <c r="H15" s="36">
        <f>IFERROR('Historical FS'!H38,0)</f>
        <v>0.74223769648490467</v>
      </c>
      <c r="I15" s="36">
        <f>IFERROR('Historical FS'!I38,0)</f>
        <v>0.73230949437105486</v>
      </c>
      <c r="J15" s="36">
        <f>IFERROR('Historical FS'!J38,0)</f>
        <v>0.73718633044972082</v>
      </c>
      <c r="K15" s="36">
        <f>IFERROR('Historical FS'!K38,0)</f>
        <v>0.74635880212706407</v>
      </c>
      <c r="L15" s="36">
        <f>IFERROR('Historical FS'!L38,0)</f>
        <v>0.74688756216749197</v>
      </c>
      <c r="N15" s="46">
        <f>IFERROR(AVERAGE(C15:L15),0)</f>
        <v>0.72589409694239537</v>
      </c>
      <c r="O15" s="46">
        <f>IFERROR(MEDIAN(C15:L15),0)</f>
        <v>0.72809040160061267</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8611</v>
      </c>
      <c r="C19" s="36">
        <f t="shared" ref="C19:L19" si="0">C13</f>
        <v>0.97358271177788491</v>
      </c>
      <c r="D19" s="36">
        <f t="shared" si="0"/>
        <v>0.97567583912912004</v>
      </c>
      <c r="E19" s="36">
        <f t="shared" si="0"/>
        <v>0.96813560815499333</v>
      </c>
      <c r="F19" s="36">
        <f t="shared" si="0"/>
        <v>0.96748347798391587</v>
      </c>
      <c r="G19" s="36">
        <f t="shared" si="0"/>
        <v>0.97142410864757767</v>
      </c>
      <c r="H19" s="36">
        <f t="shared" si="0"/>
        <v>0.97121287482881025</v>
      </c>
      <c r="I19" s="36">
        <f t="shared" si="0"/>
        <v>0.96955814407496588</v>
      </c>
      <c r="J19" s="36">
        <f t="shared" si="0"/>
        <v>0.97047671636296706</v>
      </c>
      <c r="K19" s="36">
        <f t="shared" si="0"/>
        <v>0.9725608732157851</v>
      </c>
      <c r="L19" s="36">
        <f t="shared" si="0"/>
        <v>0.97287384468691418</v>
      </c>
      <c r="N19" s="46">
        <f>IFERROR(AVERAGE(C19:L19),0)</f>
        <v>0.97129841988629351</v>
      </c>
      <c r="O19" s="46">
        <f>IFERROR(MEDIAN(C19:L19),0)</f>
        <v>0.97131849173819396</v>
      </c>
    </row>
    <row r="21" spans="2:15" x14ac:dyDescent="0.3">
      <c r="B21" t="s">
        <v>169</v>
      </c>
      <c r="C21" s="46">
        <f>IFERROR('Historical FS'!C25/SUM('Historical FS'!C51:'Historical FS'!C53),0)</f>
        <v>0.99531761908903771</v>
      </c>
      <c r="D21" s="46">
        <f>IFERROR('Historical FS'!D25/SUM('Historical FS'!D51:'Historical FS'!D53),0)</f>
        <v>1.2424564484081142</v>
      </c>
      <c r="E21" s="46">
        <f>IFERROR('Historical FS'!E25/SUM('Historical FS'!E51:'Historical FS'!E53),0)</f>
        <v>1.3533596107655355</v>
      </c>
      <c r="F21" s="46">
        <f>IFERROR('Historical FS'!F25/SUM('Historical FS'!F51:'Historical FS'!F53),0)</f>
        <v>1.386998273475736</v>
      </c>
      <c r="G21" s="46">
        <f>IFERROR('Historical FS'!G25/SUM('Historical FS'!G51:'Historical FS'!G53),0)</f>
        <v>1.4467530241441795</v>
      </c>
      <c r="H21" s="46">
        <f>IFERROR('Historical FS'!H25/SUM('Historical FS'!H51:'Historical FS'!H53),0)</f>
        <v>1.7636098188656835</v>
      </c>
      <c r="I21" s="46">
        <f>IFERROR('Historical FS'!I25/SUM('Historical FS'!I51:'Historical FS'!I53),0)</f>
        <v>1.7799440900293886</v>
      </c>
      <c r="J21" s="46">
        <f>IFERROR('Historical FS'!J25/SUM('Historical FS'!J51:'Historical FS'!J53),0)</f>
        <v>1.6395750194350869</v>
      </c>
      <c r="K21" s="46">
        <f>IFERROR('Historical FS'!K25/SUM('Historical FS'!K51:'Historical FS'!K53),0)</f>
        <v>1.6699312797347301</v>
      </c>
      <c r="L21" s="46">
        <f>IFERROR('Historical FS'!L25/SUM('Historical FS'!L51:'Historical FS'!L53),0)</f>
        <v>1.7600560630415181</v>
      </c>
      <c r="N21" s="46">
        <f>IFERROR(AVERAGE(C21:L21),0)</f>
        <v>1.5038001246989008</v>
      </c>
      <c r="O21" s="46">
        <f>IFERROR(MEDIAN(C21:L21),0)</f>
        <v>1.5431640217896332</v>
      </c>
    </row>
    <row r="22" spans="2:15" x14ac:dyDescent="0.3">
      <c r="B22" t="s">
        <v>170</v>
      </c>
      <c r="C22" s="46">
        <f>IFERROR('Historical FS'!C48,0)</f>
        <v>0.80456074727727378</v>
      </c>
      <c r="D22" s="46">
        <f>IFERROR('Historical FS'!D48,0)</f>
        <v>0.84492561595357496</v>
      </c>
      <c r="E22" s="46">
        <f>IFERROR('Historical FS'!E48,0)</f>
        <v>0.88607066234536902</v>
      </c>
      <c r="F22" s="46">
        <f>IFERROR('Historical FS'!F48,0)</f>
        <v>0.83718038703077491</v>
      </c>
      <c r="G22" s="46">
        <f>IFERROR('Historical FS'!G48,0)</f>
        <v>0.85127607990438792</v>
      </c>
      <c r="H22" s="46">
        <f>IFERROR('Historical FS'!H48,0)</f>
        <v>0.87164353381802162</v>
      </c>
      <c r="I22" s="46">
        <f>IFERROR('Historical FS'!I48,0)</f>
        <v>0.82973110348872336</v>
      </c>
      <c r="J22" s="46">
        <f>IFERROR('Historical FS'!J48,0)</f>
        <v>0.85083725885114103</v>
      </c>
      <c r="K22" s="46">
        <f>IFERROR('Historical FS'!K48,0)</f>
        <v>0.85410771203791902</v>
      </c>
      <c r="L22" s="46">
        <f>IFERROR('Historical FS'!L48,0)</f>
        <v>0.52463332898115511</v>
      </c>
      <c r="N22" s="46">
        <f>IFERROR(AVERAGE(C22:L22),0)</f>
        <v>0.81549664296883395</v>
      </c>
      <c r="O22" s="46">
        <f>IFERROR(MEDIAN(C22:L22),0)</f>
        <v>0.847881437402358</v>
      </c>
    </row>
    <row r="23" spans="2:15" x14ac:dyDescent="0.3">
      <c r="B23" t="s">
        <v>171</v>
      </c>
      <c r="C23" s="46">
        <f>IFERROR('Historical FS'!C37/SUM('Historical FS'!C51:'Historical FS'!C52),0)</f>
        <v>0.70147284798933052</v>
      </c>
      <c r="D23" s="46">
        <f>IFERROR('Historical FS'!D37/SUM('Historical FS'!D51:'Historical FS'!D52),0)</f>
        <v>0.9183648321858201</v>
      </c>
      <c r="E23" s="46">
        <f>IFERROR('Historical FS'!E37/SUM('Historical FS'!E51:'Historical FS'!E52),0)</f>
        <v>1.0119018291556321</v>
      </c>
      <c r="F23" s="46">
        <f>IFERROR('Historical FS'!F37/SUM('Historical FS'!F51:'Historical FS'!F52),0)</f>
        <v>1.0753552330022917</v>
      </c>
      <c r="G23" s="46">
        <f>IFERROR('Historical FS'!G37/SUM('Historical FS'!G51:'Historical FS'!G52),0)</f>
        <v>1.1506725517674949</v>
      </c>
      <c r="H23" s="46">
        <f>IFERROR('Historical FS'!H37/SUM('Historical FS'!H51:'Historical FS'!H52),0)</f>
        <v>1.4457332448573323</v>
      </c>
      <c r="I23" s="46">
        <f>IFERROR('Historical FS'!I37/SUM('Historical FS'!I51:'Historical FS'!I52),0)</f>
        <v>1.4923548211704483</v>
      </c>
      <c r="J23" s="46">
        <f>IFERROR('Historical FS'!J37/SUM('Historical FS'!J51:'Historical FS'!J52),0)</f>
        <v>1.3635889055336148</v>
      </c>
      <c r="K23" s="46">
        <f>IFERROR('Historical FS'!K37/SUM('Historical FS'!K51:'Historical FS'!K52),0)</f>
        <v>1.3915652591371142</v>
      </c>
      <c r="L23" s="46">
        <f>IFERROR('Historical FS'!L37/SUM('Historical FS'!L51:'Historical FS'!L52),0)</f>
        <v>1.4847499246112092</v>
      </c>
      <c r="N23" s="46">
        <f>IFERROR(AVERAGE(C23:L23),0)</f>
        <v>1.2035759449410288</v>
      </c>
      <c r="O23" s="46">
        <f>IFERROR(MEDIAN(C23:L23),0)</f>
        <v>1.2571307286505549</v>
      </c>
    </row>
    <row r="24" spans="2:15" x14ac:dyDescent="0.3">
      <c r="B24" t="s">
        <v>172</v>
      </c>
      <c r="C24" s="46">
        <f t="shared" ref="C24:L24" si="1">IFERROR(C22*C23,0)</f>
        <v>0.56437751877301323</v>
      </c>
      <c r="D24" s="46">
        <f t="shared" si="1"/>
        <v>0.77594997150470557</v>
      </c>
      <c r="E24" s="46">
        <f t="shared" si="1"/>
        <v>0.8966165239884214</v>
      </c>
      <c r="F24" s="46">
        <f t="shared" si="1"/>
        <v>0.90026631016042769</v>
      </c>
      <c r="G24" s="46">
        <f t="shared" si="1"/>
        <v>0.979540019122212</v>
      </c>
      <c r="H24" s="46">
        <f t="shared" si="1"/>
        <v>1.2601640345056404</v>
      </c>
      <c r="I24" s="46">
        <f t="shared" si="1"/>
        <v>1.2382532125664725</v>
      </c>
      <c r="J24" s="46">
        <f t="shared" si="1"/>
        <v>1.1601922465840484</v>
      </c>
      <c r="K24" s="46">
        <f t="shared" si="1"/>
        <v>1.1885466196330545</v>
      </c>
      <c r="L24" s="46">
        <f t="shared" si="1"/>
        <v>0.77894929565329785</v>
      </c>
      <c r="N24" s="46">
        <f>IFERROR(AVERAGE(C24:L24),0)</f>
        <v>0.97428557524912951</v>
      </c>
      <c r="O24" s="46">
        <f>IFERROR(MEDIAN(C24:L24),0)</f>
        <v>0.93990316464131984</v>
      </c>
    </row>
    <row r="25" spans="2:15" x14ac:dyDescent="0.3">
      <c r="B25" t="s">
        <v>173</v>
      </c>
      <c r="C25" s="158">
        <f>IFERROR('Historical FS'!C25/'Historical FS'!C28,0)</f>
        <v>0</v>
      </c>
      <c r="D25" s="158">
        <f>IFERROR('Historical FS'!D25/'Historical FS'!D28,0)</f>
        <v>0</v>
      </c>
      <c r="E25" s="158">
        <f>IFERROR('Historical FS'!E25/'Historical FS'!E28,0)</f>
        <v>517.04705882352937</v>
      </c>
      <c r="F25" s="158">
        <f>IFERROR('Historical FS'!F25/'Historical FS'!F28,0)</f>
        <v>498.4871794871795</v>
      </c>
      <c r="G25" s="158">
        <f>IFERROR('Historical FS'!G25/'Historical FS'!G28,0)</f>
        <v>590.82500000000005</v>
      </c>
      <c r="H25" s="158">
        <f>IFERROR('Historical FS'!H25/'Historical FS'!H28,0)</f>
        <v>501.90845070422534</v>
      </c>
      <c r="I25" s="158">
        <f>IFERROR('Historical FS'!I25/'Historical FS'!I28,0)</f>
        <v>317.00425531914891</v>
      </c>
      <c r="J25" s="158">
        <f>IFERROR('Historical FS'!J25/'Historical FS'!J28,0)</f>
        <v>380.23557692307691</v>
      </c>
      <c r="K25" s="158">
        <f>IFERROR('Historical FS'!K25/'Historical FS'!K28,0)</f>
        <v>417.66346153846155</v>
      </c>
      <c r="L25" s="158">
        <f>IFERROR('Historical FS'!L25/'Historical FS'!L28,0)</f>
        <v>417.61627906976742</v>
      </c>
      <c r="N25" s="158">
        <f>IFERROR(AVERAGE(C25:L25),0)</f>
        <v>364.07872618653892</v>
      </c>
      <c r="O25" s="158">
        <f>IFERROR(MEDIAN(C25:L25),0)</f>
        <v>417.63987030411448</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8612</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8613</v>
      </c>
      <c r="C39" s="46">
        <f>IFERROR('Historical FS'!C80/'Historical FS'!C7,0)</f>
        <v>0</v>
      </c>
      <c r="D39" s="46">
        <f>IFERROR('Historical FS'!D80/'Historical FS'!D7,0)</f>
        <v>0</v>
      </c>
      <c r="E39" s="46">
        <f>IFERROR('Historical FS'!E80/'Historical FS'!E7,0)</f>
        <v>0</v>
      </c>
      <c r="F39" s="46">
        <f>IFERROR('Historical FS'!F80/'Historical FS'!F7,0)</f>
        <v>0</v>
      </c>
      <c r="G39" s="46">
        <f>IFERROR('Historical FS'!G80/'Historical FS'!G7,0)</f>
        <v>0</v>
      </c>
      <c r="H39" s="46">
        <f>IFERROR('Historical FS'!H80/'Historical FS'!H7,0)</f>
        <v>0</v>
      </c>
      <c r="I39" s="46">
        <f>IFERROR('Historical FS'!I80/'Historical FS'!I7,0)</f>
        <v>0</v>
      </c>
      <c r="J39" s="46">
        <f>IFERROR('Historical FS'!J80/'Historical FS'!J7,0)</f>
        <v>0</v>
      </c>
      <c r="K39" s="46">
        <f>IFERROR('Historical FS'!K80/'Historical FS'!K7,0)</f>
        <v>0</v>
      </c>
      <c r="L39" s="46">
        <f>IFERROR('Historical FS'!L80/'Historical FS'!L7,0)</f>
        <v>0</v>
      </c>
      <c r="N39" s="46">
        <f>IFERROR(AVERAGE(C39:L39),0)</f>
        <v>0</v>
      </c>
      <c r="O39" s="46">
        <f>IFERROR(MEDIAN(C39:L39),0)</f>
        <v>0</v>
      </c>
    </row>
    <row r="40" spans="2:15" x14ac:dyDescent="0.3">
      <c r="B40" t="s">
        <v>8614</v>
      </c>
      <c r="C40" s="46">
        <f>IFERROR('Historical FS'!C80/'Historical FS'!C68,0)</f>
        <v>0</v>
      </c>
      <c r="D40" s="46">
        <f>IFERROR('Historical FS'!D80/'Historical FS'!D68,0)</f>
        <v>0</v>
      </c>
      <c r="E40" s="46">
        <f>IFERROR('Historical FS'!E80/'Historical FS'!E68,0)</f>
        <v>0</v>
      </c>
      <c r="F40" s="46">
        <f>IFERROR('Historical FS'!F80/'Historical FS'!F68,0)</f>
        <v>0</v>
      </c>
      <c r="G40" s="46">
        <f>IFERROR('Historical FS'!G80/'Historical FS'!G68,0)</f>
        <v>0</v>
      </c>
      <c r="H40" s="46">
        <f>IFERROR('Historical FS'!H80/'Historical FS'!H68,0)</f>
        <v>0</v>
      </c>
      <c r="I40" s="46">
        <f>IFERROR('Historical FS'!I80/'Historical FS'!I68,0)</f>
        <v>0</v>
      </c>
      <c r="J40" s="46">
        <f>IFERROR('Historical FS'!J80/'Historical FS'!J68,0)</f>
        <v>0</v>
      </c>
      <c r="K40" s="46">
        <f>IFERROR('Historical FS'!K80/'Historical FS'!K68,0)</f>
        <v>0</v>
      </c>
      <c r="L40" s="46">
        <f>IFERROR('Historical FS'!L80/'Historical FS'!L68,0)</f>
        <v>0</v>
      </c>
      <c r="N40" s="46">
        <f>IFERROR(AVERAGE(C40:L40),0)</f>
        <v>0</v>
      </c>
      <c r="O40" s="46">
        <f>IFERROR(MEDIAN(C40:L40),0)</f>
        <v>0</v>
      </c>
    </row>
    <row r="41" spans="2:15" x14ac:dyDescent="0.3">
      <c r="B41" t="s">
        <v>8615</v>
      </c>
      <c r="C41" s="46">
        <f>IFERROR('Historical FS'!C80/'Historical FS'!C53,0)</f>
        <v>0</v>
      </c>
      <c r="D41" s="46">
        <f>IFERROR('Historical FS'!D80/'Historical FS'!D53,0)</f>
        <v>0</v>
      </c>
      <c r="E41" s="46">
        <f>IFERROR('Historical FS'!E80/'Historical FS'!E53,0)</f>
        <v>0</v>
      </c>
      <c r="F41" s="46">
        <f>IFERROR('Historical FS'!F80/'Historical FS'!F53,0)</f>
        <v>0</v>
      </c>
      <c r="G41" s="46">
        <f>IFERROR('Historical FS'!G80/'Historical FS'!G53,0)</f>
        <v>0</v>
      </c>
      <c r="H41" s="46">
        <f>IFERROR('Historical FS'!H80/'Historical FS'!H53,0)</f>
        <v>0</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0</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70522</v>
      </c>
      <c r="J5" s="45" t="s">
        <v>120</v>
      </c>
      <c r="L5">
        <v>1</v>
      </c>
      <c r="M5" s="54">
        <f t="array" ref="M5:M13">TRANSPOSE('Data Sheet'!B16:J16)</f>
        <v>43160</v>
      </c>
      <c r="N5" s="106">
        <f t="array" ref="N5:N14">TRANSPOSE('Historical FS'!C37:L37)</f>
        <v>48389</v>
      </c>
      <c r="O5" s="56" t="s">
        <v>120</v>
      </c>
    </row>
    <row r="6" spans="2:15" x14ac:dyDescent="0.3">
      <c r="B6">
        <f>B5+1</f>
        <v>2</v>
      </c>
      <c r="C6" s="54">
        <v>43525</v>
      </c>
      <c r="D6" s="106">
        <v>82675</v>
      </c>
      <c r="E6" s="36">
        <f>D6/D5-1</f>
        <v>0.17232920223476356</v>
      </c>
      <c r="G6">
        <f>G5+1</f>
        <v>2</v>
      </c>
      <c r="H6" s="54">
        <v>43525</v>
      </c>
      <c r="I6" s="106">
        <v>82675</v>
      </c>
      <c r="J6" s="36">
        <f>I6/I5-1</f>
        <v>0.17232920223476356</v>
      </c>
      <c r="L6">
        <f>L5+1</f>
        <v>2</v>
      </c>
      <c r="M6" s="54">
        <v>43525</v>
      </c>
      <c r="N6" s="106">
        <v>59623</v>
      </c>
      <c r="O6" s="36">
        <f>N6/N5-1</f>
        <v>0.23216020169873319</v>
      </c>
    </row>
    <row r="7" spans="2:15" x14ac:dyDescent="0.3">
      <c r="B7">
        <f t="shared" ref="B7:B19" si="0">B6+1</f>
        <v>3</v>
      </c>
      <c r="C7" s="54">
        <v>43891</v>
      </c>
      <c r="D7" s="106">
        <v>90791</v>
      </c>
      <c r="E7" s="36">
        <f t="shared" ref="E7:E19" si="1">D7/D6-1</f>
        <v>9.8167523435137571E-2</v>
      </c>
      <c r="G7">
        <f t="shared" ref="G7:G19" si="2">G6+1</f>
        <v>3</v>
      </c>
      <c r="H7" s="54">
        <v>43891</v>
      </c>
      <c r="I7" s="106">
        <v>90791</v>
      </c>
      <c r="J7" s="36">
        <f t="shared" ref="J7:J19" si="3">I7/I6-1</f>
        <v>9.8167523435137571E-2</v>
      </c>
      <c r="L7">
        <f t="shared" ref="L7:L19" si="4">L6+1</f>
        <v>3</v>
      </c>
      <c r="M7" s="54">
        <v>43891</v>
      </c>
      <c r="N7" s="106">
        <v>65721</v>
      </c>
      <c r="O7" s="36">
        <f t="shared" ref="O7:O19" si="5">N7/N6-1</f>
        <v>0.10227596732804445</v>
      </c>
    </row>
    <row r="8" spans="2:15" x14ac:dyDescent="0.3">
      <c r="B8">
        <f t="shared" si="0"/>
        <v>4</v>
      </c>
      <c r="C8" s="54">
        <v>44256</v>
      </c>
      <c r="D8" s="106">
        <v>100472</v>
      </c>
      <c r="E8" s="36">
        <f t="shared" si="1"/>
        <v>0.10662951173574475</v>
      </c>
      <c r="G8">
        <f t="shared" si="2"/>
        <v>4</v>
      </c>
      <c r="H8" s="54">
        <v>44256</v>
      </c>
      <c r="I8" s="106">
        <v>100472</v>
      </c>
      <c r="J8" s="36">
        <f t="shared" si="3"/>
        <v>0.10662951173574475</v>
      </c>
      <c r="L8">
        <f t="shared" si="4"/>
        <v>4</v>
      </c>
      <c r="M8" s="54">
        <v>44256</v>
      </c>
      <c r="N8" s="106">
        <v>70382</v>
      </c>
      <c r="O8" s="36">
        <f t="shared" si="5"/>
        <v>7.0921014591987408E-2</v>
      </c>
    </row>
    <row r="9" spans="2:15" x14ac:dyDescent="0.3">
      <c r="B9">
        <f t="shared" si="0"/>
        <v>5</v>
      </c>
      <c r="C9" s="54">
        <v>44621</v>
      </c>
      <c r="D9" s="106">
        <v>121641</v>
      </c>
      <c r="E9" s="36">
        <f t="shared" si="1"/>
        <v>0.21069551715900947</v>
      </c>
      <c r="G9">
        <f t="shared" si="2"/>
        <v>5</v>
      </c>
      <c r="H9" s="54">
        <v>44621</v>
      </c>
      <c r="I9" s="106">
        <v>121641</v>
      </c>
      <c r="J9" s="36">
        <f t="shared" si="3"/>
        <v>0.21069551715900947</v>
      </c>
      <c r="L9">
        <f t="shared" si="4"/>
        <v>5</v>
      </c>
      <c r="M9" s="54">
        <v>44621</v>
      </c>
      <c r="N9" s="106">
        <v>87855</v>
      </c>
      <c r="O9" s="36">
        <f t="shared" si="5"/>
        <v>0.2482594981671451</v>
      </c>
    </row>
    <row r="10" spans="2:15" x14ac:dyDescent="0.3">
      <c r="B10">
        <f t="shared" si="0"/>
        <v>6</v>
      </c>
      <c r="C10" s="54">
        <v>44986</v>
      </c>
      <c r="D10" s="106">
        <v>146767</v>
      </c>
      <c r="E10" s="36">
        <f t="shared" si="1"/>
        <v>0.20655864387829759</v>
      </c>
      <c r="G10">
        <f t="shared" si="2"/>
        <v>6</v>
      </c>
      <c r="H10" s="54">
        <v>44986</v>
      </c>
      <c r="I10" s="106">
        <v>146767</v>
      </c>
      <c r="J10" s="36">
        <f t="shared" si="3"/>
        <v>0.20655864387829759</v>
      </c>
      <c r="L10">
        <f t="shared" si="4"/>
        <v>6</v>
      </c>
      <c r="M10" s="54">
        <v>44986</v>
      </c>
      <c r="N10" s="106">
        <v>108936</v>
      </c>
      <c r="O10" s="36">
        <f t="shared" si="5"/>
        <v>0.23995219395595013</v>
      </c>
    </row>
    <row r="11" spans="2:15" x14ac:dyDescent="0.3">
      <c r="B11">
        <f t="shared" si="0"/>
        <v>7</v>
      </c>
      <c r="C11" s="54">
        <v>45352</v>
      </c>
      <c r="D11" s="106">
        <v>153670</v>
      </c>
      <c r="E11" s="36">
        <f t="shared" si="1"/>
        <v>4.7033733741236095E-2</v>
      </c>
      <c r="G11">
        <f t="shared" si="2"/>
        <v>7</v>
      </c>
      <c r="H11" s="54">
        <v>45352</v>
      </c>
      <c r="I11" s="106">
        <v>153670</v>
      </c>
      <c r="J11" s="36">
        <f t="shared" si="3"/>
        <v>4.7033733741236095E-2</v>
      </c>
      <c r="L11">
        <f t="shared" si="4"/>
        <v>7</v>
      </c>
      <c r="M11" s="54">
        <v>45352</v>
      </c>
      <c r="N11" s="106">
        <v>112534</v>
      </c>
      <c r="O11" s="36">
        <f t="shared" si="5"/>
        <v>3.3028567232136208E-2</v>
      </c>
    </row>
    <row r="12" spans="2:15" x14ac:dyDescent="0.3">
      <c r="B12">
        <f t="shared" si="0"/>
        <v>8</v>
      </c>
      <c r="C12" s="54">
        <v>45717</v>
      </c>
      <c r="D12" s="106">
        <v>162990</v>
      </c>
      <c r="E12" s="36">
        <f t="shared" si="1"/>
        <v>6.0649443612936782E-2</v>
      </c>
      <c r="G12">
        <f t="shared" si="2"/>
        <v>8</v>
      </c>
      <c r="H12" s="54">
        <v>45717</v>
      </c>
      <c r="I12" s="106">
        <v>162990</v>
      </c>
      <c r="J12" s="36">
        <f t="shared" si="3"/>
        <v>6.0649443612936782E-2</v>
      </c>
      <c r="L12">
        <f t="shared" si="4"/>
        <v>8</v>
      </c>
      <c r="M12" s="54">
        <v>45717</v>
      </c>
      <c r="N12" s="106">
        <v>120154</v>
      </c>
      <c r="O12" s="36">
        <f t="shared" si="5"/>
        <v>6.7712868999591169E-2</v>
      </c>
    </row>
    <row r="13" spans="2:15" x14ac:dyDescent="0.3">
      <c r="B13">
        <f t="shared" si="0"/>
        <v>9</v>
      </c>
      <c r="C13" s="54">
        <v>46082</v>
      </c>
      <c r="D13" s="106">
        <v>178650</v>
      </c>
      <c r="E13" s="36">
        <f t="shared" si="1"/>
        <v>9.6079514080618544E-2</v>
      </c>
      <c r="G13">
        <f t="shared" si="2"/>
        <v>9</v>
      </c>
      <c r="H13" s="54">
        <v>46082</v>
      </c>
      <c r="I13" s="106">
        <v>178650</v>
      </c>
      <c r="J13" s="36">
        <f t="shared" si="3"/>
        <v>9.6079514080618544E-2</v>
      </c>
      <c r="L13">
        <f t="shared" si="4"/>
        <v>9</v>
      </c>
      <c r="M13" s="54">
        <v>46082</v>
      </c>
      <c r="N13" s="106">
        <v>133337</v>
      </c>
      <c r="O13" s="36">
        <f t="shared" si="5"/>
        <v>0.10971752917089739</v>
      </c>
    </row>
    <row r="14" spans="2:15" x14ac:dyDescent="0.3">
      <c r="B14">
        <f t="shared" si="0"/>
        <v>10</v>
      </c>
      <c r="C14" s="54">
        <f>C13+365</f>
        <v>46447</v>
      </c>
      <c r="D14" s="106">
        <v>184582</v>
      </c>
      <c r="E14" s="36">
        <f t="shared" si="1"/>
        <v>3.3204589980408539E-2</v>
      </c>
      <c r="G14">
        <f t="shared" si="2"/>
        <v>10</v>
      </c>
      <c r="H14" s="54">
        <f>H13+365</f>
        <v>46447</v>
      </c>
      <c r="I14" s="106">
        <v>184582</v>
      </c>
      <c r="J14" s="36">
        <f t="shared" si="3"/>
        <v>3.3204589980408539E-2</v>
      </c>
      <c r="L14">
        <f t="shared" si="4"/>
        <v>10</v>
      </c>
      <c r="M14" s="54">
        <f>M13+365</f>
        <v>46447</v>
      </c>
      <c r="N14" s="106">
        <v>137862</v>
      </c>
      <c r="O14" s="36">
        <f t="shared" si="5"/>
        <v>3.3936566744414476E-2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204078.66666666666</v>
      </c>
      <c r="J15" s="36">
        <f t="shared" si="3"/>
        <v>0.10562604515427654</v>
      </c>
      <c r="L15">
        <f t="shared" si="4"/>
        <v>11</v>
      </c>
      <c r="M15" s="55">
        <f>M14+365</f>
        <v>46812</v>
      </c>
      <c r="N15" s="106">
        <f>FORECAST(L15,$N$5:$N$14,$L$5:$L$14)</f>
        <v>152511.20000000001</v>
      </c>
      <c r="O15" s="36">
        <f t="shared" si="5"/>
        <v>0.10625988307147738</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217679.15151515152</v>
      </c>
      <c r="J16" s="36">
        <f t="shared" si="3"/>
        <v>6.6643344307513175E-2</v>
      </c>
      <c r="L16">
        <f t="shared" si="4"/>
        <v>12</v>
      </c>
      <c r="M16" s="55">
        <f>M15+365</f>
        <v>47177</v>
      </c>
      <c r="N16" s="106">
        <f t="shared" ref="N16:N19" si="8">FORECAST(L16,$N$5:$N$14,$L$5:$L$14)</f>
        <v>163062.45454545453</v>
      </c>
      <c r="O16" s="36">
        <f t="shared" si="5"/>
        <v>6.9183473380673099E-2</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231279.63636363638</v>
      </c>
      <c r="J17" s="36">
        <f t="shared" si="3"/>
        <v>6.2479501384578917E-2</v>
      </c>
      <c r="L17">
        <f t="shared" si="4"/>
        <v>13</v>
      </c>
      <c r="M17" s="55">
        <f>M16+365</f>
        <v>47542</v>
      </c>
      <c r="N17" s="106">
        <f t="shared" si="8"/>
        <v>173613.70909090908</v>
      </c>
      <c r="O17" s="36">
        <f t="shared" si="5"/>
        <v>6.47068301214202E-2</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244880.12121212122</v>
      </c>
      <c r="J18" s="36">
        <f t="shared" si="3"/>
        <v>5.8805371118368033E-2</v>
      </c>
      <c r="L18">
        <f t="shared" si="4"/>
        <v>14</v>
      </c>
      <c r="M18" s="55">
        <f>M17+365</f>
        <v>47907</v>
      </c>
      <c r="N18" s="106">
        <f t="shared" si="8"/>
        <v>184164.96363636362</v>
      </c>
      <c r="O18" s="36">
        <f t="shared" si="5"/>
        <v>6.0774316732842948E-2</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258480.60606060605</v>
      </c>
      <c r="J19" s="36">
        <f t="shared" si="3"/>
        <v>5.5539358528427618E-2</v>
      </c>
      <c r="L19">
        <f t="shared" si="4"/>
        <v>15</v>
      </c>
      <c r="M19" s="55">
        <f>M18+365</f>
        <v>48272</v>
      </c>
      <c r="N19" s="106">
        <f t="shared" si="8"/>
        <v>194716.21818181817</v>
      </c>
      <c r="O19" s="36">
        <f t="shared" si="5"/>
        <v>5.7292409680530509E-2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0.32230456601217478</v>
      </c>
    </row>
    <row r="10" spans="1:15" x14ac:dyDescent="0.3">
      <c r="B10" s="34">
        <f>'Raw Data'!G6</f>
        <v>46233</v>
      </c>
      <c r="C10">
        <v>285.05</v>
      </c>
      <c r="D10" s="45" t="s">
        <v>120</v>
      </c>
      <c r="F10" s="34">
        <f>'Raw Data'!G6</f>
        <v>46233</v>
      </c>
      <c r="G10">
        <f>'Raw Data'!J6</f>
        <v>24474.3</v>
      </c>
      <c r="H10" s="45" t="s">
        <v>120</v>
      </c>
      <c r="J10" t="s">
        <v>198</v>
      </c>
      <c r="L10" s="46">
        <v>0.75</v>
      </c>
    </row>
    <row r="11" spans="1:15" x14ac:dyDescent="0.3">
      <c r="B11" s="34">
        <f>'Raw Data'!G7</f>
        <v>46232</v>
      </c>
      <c r="C11">
        <v>286.25</v>
      </c>
      <c r="D11" s="36">
        <f>C10/C11-1</f>
        <v>-4.1921397379912628E-3</v>
      </c>
      <c r="F11" s="34">
        <f>'Raw Data'!G7</f>
        <v>46232</v>
      </c>
      <c r="G11">
        <f>'Raw Data'!J7</f>
        <v>24566.799999999999</v>
      </c>
      <c r="H11" s="36">
        <f>G10/G11-1</f>
        <v>-3.7652441506422774E-3</v>
      </c>
      <c r="N11" t="s">
        <v>194</v>
      </c>
      <c r="O11">
        <f>SLOPE(D10:D252,H10:H252)</f>
        <v>0.32230456601217478</v>
      </c>
    </row>
    <row r="12" spans="1:15" x14ac:dyDescent="0.3">
      <c r="B12" s="34">
        <f>'Raw Data'!G8</f>
        <v>46231</v>
      </c>
      <c r="C12">
        <v>284.64999999999998</v>
      </c>
      <c r="D12" s="36">
        <f t="shared" ref="D12:D75" si="0">C11/C12-1</f>
        <v>5.6209379940277415E-3</v>
      </c>
      <c r="F12" s="34">
        <f>'Raw Data'!G8</f>
        <v>46231</v>
      </c>
      <c r="G12">
        <f>'Raw Data'!J8</f>
        <v>24236.799999999999</v>
      </c>
      <c r="H12" s="36">
        <f t="shared" ref="H12:H75" si="1">G11/G12-1</f>
        <v>1.361565883284932E-2</v>
      </c>
      <c r="J12" t="s">
        <v>199</v>
      </c>
      <c r="L12" s="47">
        <v>1</v>
      </c>
      <c r="N12" t="s">
        <v>195</v>
      </c>
      <c r="O12">
        <f>_xlfn.COVARIANCE.S(D10:D252,H10:H252)/_xlfn.VAR.S(H10:H252)</f>
        <v>0.32230456601217461</v>
      </c>
    </row>
    <row r="13" spans="1:15" x14ac:dyDescent="0.3">
      <c r="B13" s="34">
        <f>'Raw Data'!G9</f>
        <v>46230</v>
      </c>
      <c r="C13">
        <v>285.85000000000002</v>
      </c>
      <c r="D13" s="36">
        <f t="shared" si="0"/>
        <v>-4.1980059471752318E-3</v>
      </c>
      <c r="F13" s="34">
        <f>'Raw Data'!G9</f>
        <v>46230</v>
      </c>
      <c r="G13">
        <f>'Raw Data'!J9</f>
        <v>24101.8</v>
      </c>
      <c r="H13" s="36">
        <f t="shared" si="1"/>
        <v>5.601241401057111E-3</v>
      </c>
      <c r="J13" t="s">
        <v>200</v>
      </c>
      <c r="L13" s="46">
        <v>0.25</v>
      </c>
    </row>
    <row r="14" spans="1:15" x14ac:dyDescent="0.3">
      <c r="B14" s="34">
        <f>'Raw Data'!G10</f>
        <v>46227</v>
      </c>
      <c r="C14">
        <v>283.45</v>
      </c>
      <c r="D14" s="36">
        <f t="shared" si="0"/>
        <v>8.4671017816193572E-3</v>
      </c>
      <c r="F14" s="34">
        <f>'Raw Data'!G10</f>
        <v>46227</v>
      </c>
      <c r="G14">
        <f>'Raw Data'!J10</f>
        <v>23874.6</v>
      </c>
      <c r="H14" s="36">
        <f t="shared" si="1"/>
        <v>9.5163898033894245E-3</v>
      </c>
    </row>
    <row r="15" spans="1:15" x14ac:dyDescent="0.3">
      <c r="B15" s="34">
        <f>'Raw Data'!G11</f>
        <v>46226</v>
      </c>
      <c r="C15">
        <v>281.3</v>
      </c>
      <c r="D15" s="36">
        <f t="shared" si="0"/>
        <v>7.6430856736580122E-3</v>
      </c>
      <c r="F15" s="34">
        <f>'Raw Data'!G11</f>
        <v>46226</v>
      </c>
      <c r="G15">
        <f>'Raw Data'!J11</f>
        <v>24082.5</v>
      </c>
      <c r="H15" s="36">
        <f t="shared" si="1"/>
        <v>-8.6328246652134233E-3</v>
      </c>
      <c r="J15" s="79" t="s">
        <v>201</v>
      </c>
      <c r="K15" s="79"/>
      <c r="L15" s="79">
        <f>(L9*L10)+(L12*L13)</f>
        <v>0.49172842450913107</v>
      </c>
    </row>
    <row r="16" spans="1:15" x14ac:dyDescent="0.3">
      <c r="B16" s="34">
        <f>'Raw Data'!G12</f>
        <v>46225</v>
      </c>
      <c r="C16">
        <v>280.8</v>
      </c>
      <c r="D16" s="36">
        <f t="shared" si="0"/>
        <v>1.7806267806268483E-3</v>
      </c>
      <c r="F16" s="34">
        <f>'Raw Data'!G12</f>
        <v>46225</v>
      </c>
      <c r="G16">
        <f>'Raw Data'!J12</f>
        <v>23988.400000000001</v>
      </c>
      <c r="H16" s="36">
        <f t="shared" si="1"/>
        <v>3.9227293191708146E-3</v>
      </c>
    </row>
    <row r="17" spans="2:8" x14ac:dyDescent="0.3">
      <c r="B17" s="34">
        <f>'Raw Data'!G13</f>
        <v>46224</v>
      </c>
      <c r="C17">
        <v>281</v>
      </c>
      <c r="D17" s="36">
        <f t="shared" si="0"/>
        <v>-7.1174377224192398E-4</v>
      </c>
      <c r="F17" s="34">
        <f>'Raw Data'!G13</f>
        <v>46224</v>
      </c>
      <c r="G17">
        <f>'Raw Data'!J13</f>
        <v>24180.6</v>
      </c>
      <c r="H17" s="36">
        <f t="shared" si="1"/>
        <v>-7.9485207149532222E-3</v>
      </c>
    </row>
    <row r="18" spans="2:8" x14ac:dyDescent="0.3">
      <c r="B18" s="34">
        <f>'Raw Data'!G14</f>
        <v>46223</v>
      </c>
      <c r="C18">
        <v>282.7</v>
      </c>
      <c r="D18" s="36">
        <f t="shared" si="0"/>
        <v>-6.0134418111071897E-3</v>
      </c>
      <c r="F18" s="34">
        <f>'Raw Data'!G14</f>
        <v>46223</v>
      </c>
      <c r="G18">
        <f>'Raw Data'!J14</f>
        <v>24487.8</v>
      </c>
      <c r="H18" s="36">
        <f t="shared" si="1"/>
        <v>-1.2545022419327201E-2</v>
      </c>
    </row>
    <row r="19" spans="2:8" x14ac:dyDescent="0.3">
      <c r="B19" s="34">
        <f>'Raw Data'!G15</f>
        <v>46220</v>
      </c>
      <c r="C19">
        <v>280.7</v>
      </c>
      <c r="D19" s="36">
        <f t="shared" si="0"/>
        <v>7.1250445315282906E-3</v>
      </c>
      <c r="F19" s="34">
        <f>'Raw Data'!G15</f>
        <v>46220</v>
      </c>
      <c r="G19">
        <f>'Raw Data'!J15</f>
        <v>24321.7</v>
      </c>
      <c r="H19" s="36">
        <f t="shared" si="1"/>
        <v>6.8292923603201494E-3</v>
      </c>
    </row>
    <row r="20" spans="2:8" x14ac:dyDescent="0.3">
      <c r="B20" s="34">
        <f>'Raw Data'!G16</f>
        <v>46219</v>
      </c>
      <c r="C20">
        <v>279.35000000000002</v>
      </c>
      <c r="D20" s="36">
        <f t="shared" si="0"/>
        <v>4.8326472167530277E-3</v>
      </c>
      <c r="F20" s="34">
        <f>'Raw Data'!G16</f>
        <v>46219</v>
      </c>
      <c r="G20">
        <f>'Raw Data'!J16</f>
        <v>24190.6</v>
      </c>
      <c r="H20" s="36">
        <f t="shared" si="1"/>
        <v>5.4194604515804823E-3</v>
      </c>
    </row>
    <row r="21" spans="2:8" x14ac:dyDescent="0.3">
      <c r="B21" s="34">
        <f>'Raw Data'!G17</f>
        <v>46218</v>
      </c>
      <c r="C21">
        <v>276.64999999999998</v>
      </c>
      <c r="D21" s="36">
        <f t="shared" si="0"/>
        <v>9.7596240737396478E-3</v>
      </c>
      <c r="F21" s="34">
        <f>'Raw Data'!G17</f>
        <v>46218</v>
      </c>
      <c r="G21">
        <f>'Raw Data'!J17</f>
        <v>24067.8</v>
      </c>
      <c r="H21" s="36">
        <f t="shared" si="1"/>
        <v>5.1022528024995406E-3</v>
      </c>
    </row>
    <row r="22" spans="2:8" x14ac:dyDescent="0.3">
      <c r="B22" s="34">
        <f>'Raw Data'!G18</f>
        <v>46217</v>
      </c>
      <c r="C22">
        <v>275.55</v>
      </c>
      <c r="D22" s="36">
        <f t="shared" si="0"/>
        <v>3.9920159680637557E-3</v>
      </c>
      <c r="F22" s="34">
        <f>'Raw Data'!G18</f>
        <v>46217</v>
      </c>
      <c r="G22">
        <f>'Raw Data'!J18</f>
        <v>24266.400000000001</v>
      </c>
      <c r="H22" s="36">
        <f t="shared" si="1"/>
        <v>-8.1841558698447781E-3</v>
      </c>
    </row>
    <row r="23" spans="2:8" x14ac:dyDescent="0.3">
      <c r="B23" s="34">
        <f>'Raw Data'!G19</f>
        <v>46216</v>
      </c>
      <c r="C23">
        <v>279.64999999999998</v>
      </c>
      <c r="D23" s="36">
        <f t="shared" si="0"/>
        <v>-1.4661183622384999E-2</v>
      </c>
      <c r="F23" s="34">
        <f>'Raw Data'!G19</f>
        <v>46216</v>
      </c>
      <c r="G23">
        <f>'Raw Data'!J19</f>
        <v>24472.6</v>
      </c>
      <c r="H23" s="36">
        <f t="shared" si="1"/>
        <v>-8.4257496138537835E-3</v>
      </c>
    </row>
    <row r="24" spans="2:8" x14ac:dyDescent="0.3">
      <c r="B24" s="34">
        <f>'Raw Data'!G20</f>
        <v>46213</v>
      </c>
      <c r="C24">
        <v>281.75</v>
      </c>
      <c r="D24" s="36">
        <f t="shared" si="0"/>
        <v>-7.4534161490683593E-3</v>
      </c>
      <c r="F24" s="34">
        <f>'Raw Data'!G20</f>
        <v>46213</v>
      </c>
      <c r="G24">
        <f>'Raw Data'!J20</f>
        <v>24328.7</v>
      </c>
      <c r="H24" s="36">
        <f t="shared" si="1"/>
        <v>5.9148248776135226E-3</v>
      </c>
    </row>
    <row r="25" spans="2:8" x14ac:dyDescent="0.3">
      <c r="B25" s="34">
        <f>'Raw Data'!G21</f>
        <v>46212</v>
      </c>
      <c r="C25">
        <v>282.05</v>
      </c>
      <c r="D25" s="36">
        <f t="shared" si="0"/>
        <v>-1.063641198369103E-3</v>
      </c>
      <c r="F25" s="34">
        <f>'Raw Data'!G21</f>
        <v>46212</v>
      </c>
      <c r="G25">
        <f>'Raw Data'!J21</f>
        <v>24090.799999999999</v>
      </c>
      <c r="H25" s="36">
        <f t="shared" si="1"/>
        <v>9.875139057233584E-3</v>
      </c>
    </row>
    <row r="26" spans="2:8" x14ac:dyDescent="0.3">
      <c r="B26" s="34">
        <f>'Raw Data'!G22</f>
        <v>46211</v>
      </c>
      <c r="C26">
        <v>280.64999999999998</v>
      </c>
      <c r="D26" s="36">
        <f t="shared" si="0"/>
        <v>4.9884197398897268E-3</v>
      </c>
      <c r="F26" s="34">
        <f>'Raw Data'!G22</f>
        <v>46211</v>
      </c>
      <c r="G26">
        <f>'Raw Data'!J22</f>
        <v>24170</v>
      </c>
      <c r="H26" s="36">
        <f t="shared" si="1"/>
        <v>-3.2767894083575166E-3</v>
      </c>
    </row>
    <row r="27" spans="2:8" x14ac:dyDescent="0.3">
      <c r="B27" s="34">
        <f>'Raw Data'!G23</f>
        <v>46210</v>
      </c>
      <c r="C27">
        <v>288.75</v>
      </c>
      <c r="D27" s="36">
        <f t="shared" si="0"/>
        <v>-2.8051948051948106E-2</v>
      </c>
      <c r="F27" s="34">
        <f>'Raw Data'!G23</f>
        <v>46210</v>
      </c>
      <c r="G27">
        <f>'Raw Data'!J23</f>
        <v>24440.3</v>
      </c>
      <c r="H27" s="36">
        <f t="shared" si="1"/>
        <v>-1.105960237803949E-2</v>
      </c>
    </row>
    <row r="28" spans="2:8" x14ac:dyDescent="0.3">
      <c r="B28" s="34">
        <f>'Raw Data'!G24</f>
        <v>46209</v>
      </c>
      <c r="C28">
        <v>288.25</v>
      </c>
      <c r="D28" s="36">
        <f t="shared" si="0"/>
        <v>1.7346053772766545E-3</v>
      </c>
      <c r="F28" s="34">
        <f>'Raw Data'!G24</f>
        <v>46209</v>
      </c>
      <c r="G28">
        <f>'Raw Data'!J24</f>
        <v>24482.9</v>
      </c>
      <c r="H28" s="36">
        <f t="shared" si="1"/>
        <v>-1.7399899521708395E-3</v>
      </c>
    </row>
    <row r="29" spans="2:8" x14ac:dyDescent="0.3">
      <c r="B29" s="34">
        <f>'Raw Data'!G25</f>
        <v>46206</v>
      </c>
      <c r="C29">
        <v>289.95</v>
      </c>
      <c r="D29" s="36">
        <f t="shared" si="0"/>
        <v>-5.8630798413519258E-3</v>
      </c>
      <c r="F29" s="34">
        <f>'Raw Data'!G25</f>
        <v>46206</v>
      </c>
      <c r="G29">
        <f>'Raw Data'!J25</f>
        <v>24614.3</v>
      </c>
      <c r="H29" s="36">
        <f t="shared" si="1"/>
        <v>-5.3383602214971404E-3</v>
      </c>
    </row>
    <row r="30" spans="2:8" x14ac:dyDescent="0.3">
      <c r="B30" s="34">
        <f>'Raw Data'!G26</f>
        <v>46205</v>
      </c>
      <c r="C30">
        <v>289.89999999999998</v>
      </c>
      <c r="D30" s="36">
        <f t="shared" si="0"/>
        <v>1.7247326664371343E-4</v>
      </c>
      <c r="F30" s="34">
        <f>'Raw Data'!G26</f>
        <v>46205</v>
      </c>
      <c r="G30">
        <f>'Raw Data'!J26</f>
        <v>24265</v>
      </c>
      <c r="H30" s="36">
        <f t="shared" si="1"/>
        <v>1.4395219451885488E-2</v>
      </c>
    </row>
    <row r="31" spans="2:8" x14ac:dyDescent="0.3">
      <c r="B31" s="34">
        <f>'Raw Data'!G27</f>
        <v>46204</v>
      </c>
      <c r="C31">
        <v>290.3</v>
      </c>
      <c r="D31" s="36">
        <f t="shared" si="0"/>
        <v>-1.3778849466070664E-3</v>
      </c>
      <c r="F31" s="34">
        <f>'Raw Data'!G27</f>
        <v>46204</v>
      </c>
      <c r="G31">
        <f>'Raw Data'!J27</f>
        <v>24195.3</v>
      </c>
      <c r="H31" s="36">
        <f t="shared" si="1"/>
        <v>2.8807247688600324E-3</v>
      </c>
    </row>
    <row r="32" spans="2:8" x14ac:dyDescent="0.3">
      <c r="B32" s="34">
        <f>'Raw Data'!G28</f>
        <v>46203</v>
      </c>
      <c r="C32">
        <v>286.95</v>
      </c>
      <c r="D32" s="36">
        <f t="shared" si="0"/>
        <v>1.167450775396417E-2</v>
      </c>
      <c r="F32" s="34">
        <f>'Raw Data'!G28</f>
        <v>46203</v>
      </c>
      <c r="G32">
        <f>'Raw Data'!J28</f>
        <v>24111.9</v>
      </c>
      <c r="H32" s="36">
        <f t="shared" si="1"/>
        <v>3.4588730046158922E-3</v>
      </c>
    </row>
    <row r="33" spans="2:8" x14ac:dyDescent="0.3">
      <c r="B33" s="34">
        <f>'Raw Data'!G29</f>
        <v>46202</v>
      </c>
      <c r="C33">
        <v>290.7</v>
      </c>
      <c r="D33" s="36">
        <f t="shared" si="0"/>
        <v>-1.2899896800825594E-2</v>
      </c>
      <c r="F33" s="34">
        <f>'Raw Data'!G29</f>
        <v>46202</v>
      </c>
      <c r="G33">
        <f>'Raw Data'!J29</f>
        <v>24142.3</v>
      </c>
      <c r="H33" s="36">
        <f t="shared" si="1"/>
        <v>-1.259200656109738E-3</v>
      </c>
    </row>
    <row r="34" spans="2:8" x14ac:dyDescent="0.3">
      <c r="B34" s="34">
        <f>'Raw Data'!G30</f>
        <v>46198</v>
      </c>
      <c r="C34">
        <v>290</v>
      </c>
      <c r="D34" s="36">
        <f t="shared" si="0"/>
        <v>2.4137931034482474E-3</v>
      </c>
      <c r="F34" s="34">
        <f>'Raw Data'!G30</f>
        <v>46198</v>
      </c>
      <c r="G34">
        <f>'Raw Data'!J30</f>
        <v>24170.5</v>
      </c>
      <c r="H34" s="36">
        <f t="shared" si="1"/>
        <v>-1.1667114871434237E-3</v>
      </c>
    </row>
    <row r="35" spans="2:8" x14ac:dyDescent="0.3">
      <c r="B35" s="34">
        <f>'Raw Data'!G31</f>
        <v>46197</v>
      </c>
      <c r="C35">
        <v>290.35000000000002</v>
      </c>
      <c r="D35" s="36">
        <f t="shared" si="0"/>
        <v>-1.2054417082831836E-3</v>
      </c>
      <c r="F35" s="34">
        <f>'Raw Data'!G31</f>
        <v>46197</v>
      </c>
      <c r="G35">
        <f>'Raw Data'!J31</f>
        <v>24125.200000000001</v>
      </c>
      <c r="H35" s="36">
        <f t="shared" si="1"/>
        <v>1.8777046407905118E-3</v>
      </c>
    </row>
    <row r="36" spans="2:8" x14ac:dyDescent="0.3">
      <c r="B36" s="34">
        <f>'Raw Data'!G32</f>
        <v>46196</v>
      </c>
      <c r="C36">
        <v>290</v>
      </c>
      <c r="D36" s="36">
        <f t="shared" si="0"/>
        <v>1.2068965517242347E-3</v>
      </c>
      <c r="F36" s="34">
        <f>'Raw Data'!G32</f>
        <v>46196</v>
      </c>
      <c r="G36">
        <f>'Raw Data'!J32</f>
        <v>24070.5</v>
      </c>
      <c r="H36" s="36">
        <f t="shared" si="1"/>
        <v>2.272491223697104E-3</v>
      </c>
    </row>
    <row r="37" spans="2:8" x14ac:dyDescent="0.3">
      <c r="B37" s="34">
        <f>'Raw Data'!G33</f>
        <v>46195</v>
      </c>
      <c r="C37">
        <v>291.25</v>
      </c>
      <c r="D37" s="36">
        <f t="shared" si="0"/>
        <v>-4.2918454935622075E-3</v>
      </c>
      <c r="F37" s="34">
        <f>'Raw Data'!G33</f>
        <v>46195</v>
      </c>
      <c r="G37">
        <f>'Raw Data'!J33</f>
        <v>24123.8</v>
      </c>
      <c r="H37" s="36">
        <f t="shared" si="1"/>
        <v>-2.2094363242938231E-3</v>
      </c>
    </row>
    <row r="38" spans="2:8" x14ac:dyDescent="0.3">
      <c r="B38" s="34">
        <f>'Raw Data'!G34</f>
        <v>46192</v>
      </c>
      <c r="C38">
        <v>292.5</v>
      </c>
      <c r="D38" s="36">
        <f t="shared" si="0"/>
        <v>-4.2735042735042583E-3</v>
      </c>
      <c r="F38" s="34">
        <f>'Raw Data'!G34</f>
        <v>46192</v>
      </c>
      <c r="G38">
        <f>'Raw Data'!J34</f>
        <v>24056.9</v>
      </c>
      <c r="H38" s="36">
        <f t="shared" si="1"/>
        <v>2.7809069331459213E-3</v>
      </c>
    </row>
    <row r="39" spans="2:8" x14ac:dyDescent="0.3">
      <c r="B39" s="34">
        <f>'Raw Data'!G35</f>
        <v>46191</v>
      </c>
      <c r="C39">
        <v>291.14999999999998</v>
      </c>
      <c r="D39" s="36">
        <f t="shared" si="0"/>
        <v>4.6367851622874934E-3</v>
      </c>
      <c r="F39" s="34">
        <f>'Raw Data'!G35</f>
        <v>46191</v>
      </c>
      <c r="G39">
        <f>'Raw Data'!J35</f>
        <v>24382.400000000001</v>
      </c>
      <c r="H39" s="36">
        <f t="shared" si="1"/>
        <v>-1.3349793293523149E-2</v>
      </c>
    </row>
    <row r="40" spans="2:8" x14ac:dyDescent="0.3">
      <c r="B40" s="34">
        <f>'Raw Data'!G36</f>
        <v>46190</v>
      </c>
      <c r="C40">
        <v>290.75</v>
      </c>
      <c r="D40" s="36">
        <f t="shared" si="0"/>
        <v>1.375752364574323E-3</v>
      </c>
      <c r="F40" s="34">
        <f>'Raw Data'!G36</f>
        <v>46190</v>
      </c>
      <c r="G40">
        <f>'Raw Data'!J36</f>
        <v>24094</v>
      </c>
      <c r="H40" s="36">
        <f t="shared" si="1"/>
        <v>1.1969785008715927E-2</v>
      </c>
    </row>
    <row r="41" spans="2:8" x14ac:dyDescent="0.3">
      <c r="B41" s="34">
        <f>'Raw Data'!G37</f>
        <v>46189</v>
      </c>
      <c r="C41">
        <v>291.64999999999998</v>
      </c>
      <c r="D41" s="36">
        <f t="shared" si="0"/>
        <v>-3.0858906223212301E-3</v>
      </c>
      <c r="F41" s="34">
        <f>'Raw Data'!G37</f>
        <v>46189</v>
      </c>
      <c r="G41">
        <f>'Raw Data'!J37</f>
        <v>24087.9</v>
      </c>
      <c r="H41" s="36">
        <f t="shared" si="1"/>
        <v>2.5323917817643427E-4</v>
      </c>
    </row>
    <row r="42" spans="2:8" x14ac:dyDescent="0.3">
      <c r="B42" s="34">
        <f>'Raw Data'!G38</f>
        <v>46188</v>
      </c>
      <c r="C42">
        <v>287.89999999999998</v>
      </c>
      <c r="D42" s="36">
        <f t="shared" si="0"/>
        <v>1.3025356026397983E-2</v>
      </c>
      <c r="F42" s="34">
        <f>'Raw Data'!G38</f>
        <v>46188</v>
      </c>
      <c r="G42">
        <f>'Raw Data'!J38</f>
        <v>23916.6</v>
      </c>
      <c r="H42" s="36">
        <f t="shared" si="1"/>
        <v>7.162389302827421E-3</v>
      </c>
    </row>
    <row r="43" spans="2:8" x14ac:dyDescent="0.3">
      <c r="B43" s="34">
        <f>'Raw Data'!G39</f>
        <v>46185</v>
      </c>
      <c r="C43">
        <v>285.10000000000002</v>
      </c>
      <c r="D43" s="36">
        <f t="shared" si="0"/>
        <v>9.8211153981058175E-3</v>
      </c>
      <c r="F43" s="34">
        <f>'Raw Data'!G39</f>
        <v>46185</v>
      </c>
      <c r="G43">
        <f>'Raw Data'!J39</f>
        <v>23873.5</v>
      </c>
      <c r="H43" s="36">
        <f t="shared" si="1"/>
        <v>1.8053490271638939E-3</v>
      </c>
    </row>
    <row r="44" spans="2:8" x14ac:dyDescent="0.3">
      <c r="B44" s="34">
        <f>'Raw Data'!G40</f>
        <v>46184</v>
      </c>
      <c r="C44">
        <v>282.39999999999998</v>
      </c>
      <c r="D44" s="36">
        <f t="shared" si="0"/>
        <v>9.5609065155808359E-3</v>
      </c>
      <c r="F44" s="34">
        <f>'Raw Data'!G40</f>
        <v>46184</v>
      </c>
      <c r="G44">
        <f>'Raw Data'!J40</f>
        <v>23397.4</v>
      </c>
      <c r="H44" s="36">
        <f t="shared" si="1"/>
        <v>2.0348414781129476E-2</v>
      </c>
    </row>
    <row r="45" spans="2:8" x14ac:dyDescent="0.3">
      <c r="B45" s="34">
        <f>'Raw Data'!G41</f>
        <v>46183</v>
      </c>
      <c r="C45">
        <v>283.64999999999998</v>
      </c>
      <c r="D45" s="36">
        <f t="shared" si="0"/>
        <v>-4.4068394147717127E-3</v>
      </c>
      <c r="F45" s="34">
        <f>'Raw Data'!G41</f>
        <v>46183</v>
      </c>
      <c r="G45">
        <f>'Raw Data'!J41</f>
        <v>23344.9</v>
      </c>
      <c r="H45" s="36">
        <f t="shared" si="1"/>
        <v>2.2488851954816091E-3</v>
      </c>
    </row>
    <row r="46" spans="2:8" x14ac:dyDescent="0.3">
      <c r="B46" s="34">
        <f>'Raw Data'!G42</f>
        <v>46182</v>
      </c>
      <c r="C46">
        <v>280</v>
      </c>
      <c r="D46" s="36">
        <f t="shared" si="0"/>
        <v>1.3035714285714262E-2</v>
      </c>
      <c r="F46" s="34">
        <f>'Raw Data'!G42</f>
        <v>46182</v>
      </c>
      <c r="G46">
        <f>'Raw Data'!J42</f>
        <v>23425.200000000001</v>
      </c>
      <c r="H46" s="36">
        <f t="shared" si="1"/>
        <v>-3.4279323122107241E-3</v>
      </c>
    </row>
    <row r="47" spans="2:8" x14ac:dyDescent="0.3">
      <c r="B47" s="34">
        <f>'Raw Data'!G43</f>
        <v>46181</v>
      </c>
      <c r="C47">
        <v>279.45</v>
      </c>
      <c r="D47" s="36">
        <f t="shared" si="0"/>
        <v>1.9681517266059156E-3</v>
      </c>
      <c r="F47" s="34">
        <f>'Raw Data'!G43</f>
        <v>46181</v>
      </c>
      <c r="G47">
        <f>'Raw Data'!J43</f>
        <v>23382.2</v>
      </c>
      <c r="H47" s="36">
        <f t="shared" si="1"/>
        <v>1.8390057394086501E-3</v>
      </c>
    </row>
    <row r="48" spans="2:8" x14ac:dyDescent="0.3">
      <c r="B48" s="34">
        <f>'Raw Data'!G44</f>
        <v>46178</v>
      </c>
      <c r="C48">
        <v>280.7</v>
      </c>
      <c r="D48" s="36">
        <f t="shared" si="0"/>
        <v>-4.4531528322051539E-3</v>
      </c>
      <c r="F48" s="34">
        <f>'Raw Data'!G44</f>
        <v>46178</v>
      </c>
      <c r="G48">
        <f>'Raw Data'!J44</f>
        <v>23451.7</v>
      </c>
      <c r="H48" s="36">
        <f t="shared" si="1"/>
        <v>-2.9635378245500554E-3</v>
      </c>
    </row>
    <row r="49" spans="2:8" x14ac:dyDescent="0.3">
      <c r="B49" s="34">
        <f>'Raw Data'!G45</f>
        <v>46177</v>
      </c>
      <c r="C49">
        <v>280.3</v>
      </c>
      <c r="D49" s="36">
        <f t="shared" si="0"/>
        <v>1.4270424545128613E-3</v>
      </c>
      <c r="F49" s="34">
        <f>'Raw Data'!G45</f>
        <v>46177</v>
      </c>
      <c r="G49">
        <f>'Raw Data'!J45</f>
        <v>23511.599999999999</v>
      </c>
      <c r="H49" s="36">
        <f t="shared" si="1"/>
        <v>-2.5476785926945578E-3</v>
      </c>
    </row>
    <row r="50" spans="2:8" x14ac:dyDescent="0.3">
      <c r="B50" s="34">
        <f>'Raw Data'!G46</f>
        <v>46176</v>
      </c>
      <c r="C50">
        <v>277</v>
      </c>
      <c r="D50" s="36">
        <f t="shared" si="0"/>
        <v>1.1913357400721969E-2</v>
      </c>
      <c r="F50" s="34">
        <f>'Raw Data'!G46</f>
        <v>46176</v>
      </c>
      <c r="G50">
        <f>'Raw Data'!J46</f>
        <v>23709.200000000001</v>
      </c>
      <c r="H50" s="36">
        <f t="shared" si="1"/>
        <v>-8.3343174801343567E-3</v>
      </c>
    </row>
    <row r="51" spans="2:8" x14ac:dyDescent="0.3">
      <c r="B51" s="34">
        <f>'Raw Data'!G47</f>
        <v>46175</v>
      </c>
      <c r="C51">
        <v>283.25</v>
      </c>
      <c r="D51" s="36">
        <f t="shared" si="0"/>
        <v>-2.206531332744921E-2</v>
      </c>
      <c r="F51" s="34">
        <f>'Raw Data'!G47</f>
        <v>46175</v>
      </c>
      <c r="G51">
        <f>'Raw Data'!J47</f>
        <v>23603.1</v>
      </c>
      <c r="H51" s="36">
        <f t="shared" si="1"/>
        <v>4.4951722443238307E-3</v>
      </c>
    </row>
    <row r="52" spans="2:8" x14ac:dyDescent="0.3">
      <c r="B52" s="34">
        <f>'Raw Data'!G48</f>
        <v>46174</v>
      </c>
      <c r="C52">
        <v>279.64999999999998</v>
      </c>
      <c r="D52" s="36">
        <f t="shared" si="0"/>
        <v>1.2873234400143208E-2</v>
      </c>
      <c r="F52" s="34">
        <f>'Raw Data'!G48</f>
        <v>46174</v>
      </c>
      <c r="G52">
        <f>'Raw Data'!J48</f>
        <v>23568.5</v>
      </c>
      <c r="H52" s="36">
        <f t="shared" si="1"/>
        <v>1.4680611833590707E-3</v>
      </c>
    </row>
    <row r="53" spans="2:8" x14ac:dyDescent="0.3">
      <c r="B53" s="34">
        <f>'Raw Data'!G49</f>
        <v>46171</v>
      </c>
      <c r="C53">
        <v>286.89999999999998</v>
      </c>
      <c r="D53" s="36">
        <f t="shared" si="0"/>
        <v>-2.5270128964796079E-2</v>
      </c>
      <c r="F53" s="34">
        <f>'Raw Data'!G49</f>
        <v>46171</v>
      </c>
      <c r="G53">
        <f>'Raw Data'!J49</f>
        <v>23748.799999999999</v>
      </c>
      <c r="H53" s="36">
        <f t="shared" si="1"/>
        <v>-7.5919625412652625E-3</v>
      </c>
    </row>
    <row r="54" spans="2:8" x14ac:dyDescent="0.3">
      <c r="B54" s="34">
        <f>'Raw Data'!G50</f>
        <v>46169</v>
      </c>
      <c r="C54">
        <v>291.95</v>
      </c>
      <c r="D54" s="36">
        <f t="shared" si="0"/>
        <v>-1.7297482445624235E-2</v>
      </c>
      <c r="F54" s="34">
        <f>'Raw Data'!G50</f>
        <v>46169</v>
      </c>
      <c r="G54">
        <f>'Raw Data'!J50</f>
        <v>24206.9</v>
      </c>
      <c r="H54" s="36">
        <f t="shared" si="1"/>
        <v>-1.89243562785818E-2</v>
      </c>
    </row>
    <row r="55" spans="2:8" x14ac:dyDescent="0.3">
      <c r="B55" s="34">
        <f>'Raw Data'!G51</f>
        <v>46168</v>
      </c>
      <c r="C55">
        <v>301.64999999999998</v>
      </c>
      <c r="D55" s="36">
        <f t="shared" si="0"/>
        <v>-3.2156472733300134E-2</v>
      </c>
      <c r="F55" s="34">
        <f>'Raw Data'!G51</f>
        <v>46168</v>
      </c>
      <c r="G55">
        <f>'Raw Data'!J51</f>
        <v>23913</v>
      </c>
      <c r="H55" s="36">
        <f t="shared" si="1"/>
        <v>1.229038598252008E-2</v>
      </c>
    </row>
    <row r="56" spans="2:8" x14ac:dyDescent="0.3">
      <c r="B56" s="34">
        <f>'Raw Data'!G52</f>
        <v>46167</v>
      </c>
      <c r="C56">
        <v>303.95</v>
      </c>
      <c r="D56" s="36">
        <f t="shared" si="0"/>
        <v>-7.5670340516532653E-3</v>
      </c>
      <c r="F56" s="34">
        <f>'Raw Data'!G52</f>
        <v>46167</v>
      </c>
      <c r="G56">
        <f>'Raw Data'!J52</f>
        <v>24106.400000000001</v>
      </c>
      <c r="H56" s="36">
        <f t="shared" si="1"/>
        <v>-8.02276573855909E-3</v>
      </c>
    </row>
    <row r="57" spans="2:8" x14ac:dyDescent="0.3">
      <c r="B57" s="34">
        <f>'Raw Data'!G53</f>
        <v>46164</v>
      </c>
      <c r="C57">
        <v>301.7</v>
      </c>
      <c r="D57" s="36">
        <f t="shared" si="0"/>
        <v>7.4577394763009064E-3</v>
      </c>
      <c r="F57" s="34">
        <f>'Raw Data'!G53</f>
        <v>46164</v>
      </c>
      <c r="G57">
        <f>'Raw Data'!J53</f>
        <v>23801.4</v>
      </c>
      <c r="H57" s="36">
        <f t="shared" si="1"/>
        <v>1.281437226381632E-2</v>
      </c>
    </row>
    <row r="58" spans="2:8" x14ac:dyDescent="0.3">
      <c r="B58" s="34">
        <f>'Raw Data'!G54</f>
        <v>46163</v>
      </c>
      <c r="C58">
        <v>308.05</v>
      </c>
      <c r="D58" s="36">
        <f t="shared" si="0"/>
        <v>-2.0613536763512519E-2</v>
      </c>
      <c r="F58" s="34">
        <f>'Raw Data'!G54</f>
        <v>46163</v>
      </c>
      <c r="G58">
        <f>'Raw Data'!J54</f>
        <v>23631.4</v>
      </c>
      <c r="H58" s="36">
        <f t="shared" si="1"/>
        <v>7.193818394170437E-3</v>
      </c>
    </row>
    <row r="59" spans="2:8" x14ac:dyDescent="0.3">
      <c r="B59" s="34">
        <f>'Raw Data'!G55</f>
        <v>46162</v>
      </c>
      <c r="C59">
        <v>307.55</v>
      </c>
      <c r="D59" s="36">
        <f t="shared" si="0"/>
        <v>1.6257519102584883E-3</v>
      </c>
      <c r="F59" s="34">
        <f>'Raw Data'!G55</f>
        <v>46162</v>
      </c>
      <c r="G59">
        <f>'Raw Data'!J55</f>
        <v>23846.2</v>
      </c>
      <c r="H59" s="36">
        <f t="shared" si="1"/>
        <v>-9.0077245011783713E-3</v>
      </c>
    </row>
    <row r="60" spans="2:8" x14ac:dyDescent="0.3">
      <c r="B60" s="34">
        <f>'Raw Data'!G56</f>
        <v>46161</v>
      </c>
      <c r="C60">
        <v>310.3</v>
      </c>
      <c r="D60" s="36">
        <f t="shared" si="0"/>
        <v>-8.8623912342894462E-3</v>
      </c>
      <c r="F60" s="34">
        <f>'Raw Data'!G56</f>
        <v>46161</v>
      </c>
      <c r="G60">
        <f>'Raw Data'!J56</f>
        <v>23612</v>
      </c>
      <c r="H60" s="36">
        <f t="shared" si="1"/>
        <v>9.91868541419616E-3</v>
      </c>
    </row>
    <row r="61" spans="2:8" x14ac:dyDescent="0.3">
      <c r="B61" s="34">
        <f>'Raw Data'!G57</f>
        <v>46160</v>
      </c>
      <c r="C61">
        <v>310.14999999999998</v>
      </c>
      <c r="D61" s="36">
        <f t="shared" si="0"/>
        <v>4.8363694986308658E-4</v>
      </c>
      <c r="F61" s="34">
        <f>'Raw Data'!G57</f>
        <v>46160</v>
      </c>
      <c r="G61">
        <f>'Raw Data'!J57</f>
        <v>23740.1</v>
      </c>
      <c r="H61" s="36">
        <f t="shared" si="1"/>
        <v>-5.3959334627907696E-3</v>
      </c>
    </row>
    <row r="62" spans="2:8" x14ac:dyDescent="0.3">
      <c r="B62" s="34">
        <f>'Raw Data'!G58</f>
        <v>46157</v>
      </c>
      <c r="C62">
        <v>309.45</v>
      </c>
      <c r="D62" s="36">
        <f t="shared" si="0"/>
        <v>2.2620778801099028E-3</v>
      </c>
      <c r="F62" s="34">
        <f>'Raw Data'!G58</f>
        <v>46157</v>
      </c>
      <c r="G62">
        <f>'Raw Data'!J58</f>
        <v>23643.9</v>
      </c>
      <c r="H62" s="36">
        <f t="shared" si="1"/>
        <v>4.0687027097896511E-3</v>
      </c>
    </row>
    <row r="63" spans="2:8" x14ac:dyDescent="0.3">
      <c r="B63" s="34">
        <f>'Raw Data'!G59</f>
        <v>46156</v>
      </c>
      <c r="C63">
        <v>307.2</v>
      </c>
      <c r="D63" s="36">
        <f t="shared" si="0"/>
        <v>7.32421875E-3</v>
      </c>
      <c r="F63" s="34">
        <f>'Raw Data'!G59</f>
        <v>46156</v>
      </c>
      <c r="G63">
        <f>'Raw Data'!J59</f>
        <v>23700.1</v>
      </c>
      <c r="H63" s="36">
        <f t="shared" si="1"/>
        <v>-2.3712980114006799E-3</v>
      </c>
    </row>
    <row r="64" spans="2:8" x14ac:dyDescent="0.3">
      <c r="B64" s="34">
        <f>'Raw Data'!G60</f>
        <v>46155</v>
      </c>
      <c r="C64">
        <v>304.45</v>
      </c>
      <c r="D64" s="36">
        <f t="shared" si="0"/>
        <v>9.0326818853669888E-3</v>
      </c>
      <c r="F64" s="34">
        <f>'Raw Data'!G60</f>
        <v>46155</v>
      </c>
      <c r="G64">
        <f>'Raw Data'!J60</f>
        <v>23675.1</v>
      </c>
      <c r="H64" s="36">
        <f t="shared" si="1"/>
        <v>1.055961748841705E-3</v>
      </c>
    </row>
    <row r="65" spans="2:8" x14ac:dyDescent="0.3">
      <c r="B65" s="34">
        <f>'Raw Data'!G61</f>
        <v>46154</v>
      </c>
      <c r="C65">
        <v>300.7</v>
      </c>
      <c r="D65" s="36">
        <f t="shared" si="0"/>
        <v>1.2470901230462239E-2</v>
      </c>
      <c r="F65" s="34">
        <f>'Raw Data'!G61</f>
        <v>46154</v>
      </c>
      <c r="G65">
        <f>'Raw Data'!J61</f>
        <v>23424.7</v>
      </c>
      <c r="H65" s="36">
        <f t="shared" si="1"/>
        <v>1.0689571264519859E-2</v>
      </c>
    </row>
    <row r="66" spans="2:8" x14ac:dyDescent="0.3">
      <c r="B66" s="34">
        <f>'Raw Data'!G62</f>
        <v>46153</v>
      </c>
      <c r="C66">
        <v>305.85000000000002</v>
      </c>
      <c r="D66" s="36">
        <f t="shared" si="0"/>
        <v>-1.683831943763292E-2</v>
      </c>
      <c r="F66" s="34">
        <f>'Raw Data'!G62</f>
        <v>46153</v>
      </c>
      <c r="G66">
        <f>'Raw Data'!J62</f>
        <v>23974.6</v>
      </c>
      <c r="H66" s="36">
        <f t="shared" si="1"/>
        <v>-2.2936774753280487E-2</v>
      </c>
    </row>
    <row r="67" spans="2:8" x14ac:dyDescent="0.3">
      <c r="B67" s="34">
        <f>'Raw Data'!G63</f>
        <v>46150</v>
      </c>
      <c r="C67">
        <v>307.45</v>
      </c>
      <c r="D67" s="36">
        <f t="shared" si="0"/>
        <v>-5.2040982273539038E-3</v>
      </c>
      <c r="F67" s="34">
        <f>'Raw Data'!G63</f>
        <v>46150</v>
      </c>
      <c r="G67">
        <f>'Raw Data'!J63</f>
        <v>24339.200000000001</v>
      </c>
      <c r="H67" s="36">
        <f t="shared" si="1"/>
        <v>-1.4979950039442635E-2</v>
      </c>
    </row>
    <row r="68" spans="2:8" x14ac:dyDescent="0.3">
      <c r="B68" s="34">
        <f>'Raw Data'!G64</f>
        <v>46149</v>
      </c>
      <c r="C68">
        <v>307.39999999999998</v>
      </c>
      <c r="D68" s="36">
        <f t="shared" si="0"/>
        <v>1.6265452179564655E-4</v>
      </c>
      <c r="F68" s="34">
        <f>'Raw Data'!G64</f>
        <v>46149</v>
      </c>
      <c r="G68">
        <f>'Raw Data'!J64</f>
        <v>24382.799999999999</v>
      </c>
      <c r="H68" s="36">
        <f t="shared" si="1"/>
        <v>-1.7881457420804159E-3</v>
      </c>
    </row>
    <row r="69" spans="2:8" x14ac:dyDescent="0.3">
      <c r="B69" s="34">
        <f>'Raw Data'!G65</f>
        <v>46148</v>
      </c>
      <c r="C69">
        <v>310.7</v>
      </c>
      <c r="D69" s="36">
        <f t="shared" si="0"/>
        <v>-1.0621177985194796E-2</v>
      </c>
      <c r="F69" s="34">
        <f>'Raw Data'!G65</f>
        <v>46148</v>
      </c>
      <c r="G69">
        <f>'Raw Data'!J65</f>
        <v>24683.8</v>
      </c>
      <c r="H69" s="36">
        <f t="shared" si="1"/>
        <v>-1.2194232654615611E-2</v>
      </c>
    </row>
    <row r="70" spans="2:8" x14ac:dyDescent="0.3">
      <c r="B70" s="34">
        <f>'Raw Data'!G66</f>
        <v>46147</v>
      </c>
      <c r="C70">
        <v>311.45</v>
      </c>
      <c r="D70" s="36">
        <f t="shared" si="0"/>
        <v>-2.4080911863862964E-3</v>
      </c>
      <c r="F70" s="34">
        <f>'Raw Data'!G66</f>
        <v>46147</v>
      </c>
      <c r="G70">
        <f>'Raw Data'!J66</f>
        <v>24106.3</v>
      </c>
      <c r="H70" s="36">
        <f t="shared" si="1"/>
        <v>2.3956393142041676E-2</v>
      </c>
    </row>
    <row r="71" spans="2:8" x14ac:dyDescent="0.3">
      <c r="B71" s="34">
        <f>'Raw Data'!G67</f>
        <v>46146</v>
      </c>
      <c r="C71">
        <v>311.10000000000002</v>
      </c>
      <c r="D71" s="36">
        <f t="shared" si="0"/>
        <v>1.1250401800062537E-3</v>
      </c>
      <c r="F71" s="34">
        <f>'Raw Data'!G67</f>
        <v>46146</v>
      </c>
      <c r="G71">
        <f>'Raw Data'!J67</f>
        <v>24312.799999999999</v>
      </c>
      <c r="H71" s="36">
        <f t="shared" si="1"/>
        <v>-8.493468461057585E-3</v>
      </c>
    </row>
    <row r="72" spans="2:8" x14ac:dyDescent="0.3">
      <c r="B72" s="34">
        <f>'Raw Data'!G68</f>
        <v>46142</v>
      </c>
      <c r="C72">
        <v>314.89999999999998</v>
      </c>
      <c r="D72" s="36">
        <f t="shared" si="0"/>
        <v>-1.2067322959669613E-2</v>
      </c>
      <c r="F72" s="34">
        <f>'Raw Data'!G68</f>
        <v>46142</v>
      </c>
      <c r="G72">
        <f>'Raw Data'!J68</f>
        <v>24340</v>
      </c>
      <c r="H72" s="36">
        <f t="shared" si="1"/>
        <v>-1.1175020542317782E-3</v>
      </c>
    </row>
    <row r="73" spans="2:8" x14ac:dyDescent="0.3">
      <c r="B73" s="34">
        <f>'Raw Data'!G69</f>
        <v>46141</v>
      </c>
      <c r="C73">
        <v>316.25</v>
      </c>
      <c r="D73" s="36">
        <f t="shared" si="0"/>
        <v>-4.2687747035573542E-3</v>
      </c>
      <c r="F73" s="34">
        <f>'Raw Data'!G69</f>
        <v>46141</v>
      </c>
      <c r="G73">
        <f>'Raw Data'!J69</f>
        <v>24528.400000000001</v>
      </c>
      <c r="H73" s="36">
        <f t="shared" si="1"/>
        <v>-7.6808923533536744E-3</v>
      </c>
    </row>
    <row r="74" spans="2:8" x14ac:dyDescent="0.3">
      <c r="B74" s="34">
        <f>'Raw Data'!G70</f>
        <v>46140</v>
      </c>
      <c r="C74">
        <v>304.45</v>
      </c>
      <c r="D74" s="36">
        <f t="shared" si="0"/>
        <v>3.8758416817211483E-2</v>
      </c>
      <c r="F74" s="34">
        <f>'Raw Data'!G70</f>
        <v>46140</v>
      </c>
      <c r="G74">
        <f>'Raw Data'!J70</f>
        <v>24069</v>
      </c>
      <c r="H74" s="36">
        <f t="shared" si="1"/>
        <v>1.908679213926634E-2</v>
      </c>
    </row>
    <row r="75" spans="2:8" x14ac:dyDescent="0.3">
      <c r="B75" s="34">
        <f>'Raw Data'!G71</f>
        <v>46139</v>
      </c>
      <c r="C75">
        <v>303.85000000000002</v>
      </c>
      <c r="D75" s="36">
        <f t="shared" si="0"/>
        <v>1.9746585486257739E-3</v>
      </c>
      <c r="F75" s="34">
        <f>'Raw Data'!G71</f>
        <v>46139</v>
      </c>
      <c r="G75">
        <f>'Raw Data'!J71</f>
        <v>24209.7</v>
      </c>
      <c r="H75" s="36">
        <f t="shared" si="1"/>
        <v>-5.811720095664219E-3</v>
      </c>
    </row>
    <row r="76" spans="2:8" x14ac:dyDescent="0.3">
      <c r="B76" s="34">
        <f>'Raw Data'!G72</f>
        <v>46136</v>
      </c>
      <c r="C76">
        <v>301.60000000000002</v>
      </c>
      <c r="D76" s="36">
        <f t="shared" ref="D76:D139" si="2">C75/C76-1</f>
        <v>7.4602122015914318E-3</v>
      </c>
      <c r="F76" s="34">
        <f>'Raw Data'!G72</f>
        <v>46136</v>
      </c>
      <c r="G76">
        <f>'Raw Data'!J72</f>
        <v>24151.5</v>
      </c>
      <c r="H76" s="36">
        <f t="shared" ref="H76:H139" si="3">G75/G76-1</f>
        <v>2.4097882119122893E-3</v>
      </c>
    </row>
    <row r="77" spans="2:8" x14ac:dyDescent="0.3">
      <c r="B77" s="34">
        <f>'Raw Data'!G73</f>
        <v>46135</v>
      </c>
      <c r="C77">
        <v>305.3</v>
      </c>
      <c r="D77" s="36">
        <f t="shared" si="2"/>
        <v>-1.2119226989846021E-2</v>
      </c>
      <c r="F77" s="34">
        <f>'Raw Data'!G73</f>
        <v>46135</v>
      </c>
      <c r="G77">
        <f>'Raw Data'!J73</f>
        <v>24163</v>
      </c>
      <c r="H77" s="36">
        <f t="shared" si="3"/>
        <v>-4.7593427968384283E-4</v>
      </c>
    </row>
    <row r="78" spans="2:8" x14ac:dyDescent="0.3">
      <c r="B78" s="34">
        <f>'Raw Data'!G74</f>
        <v>46134</v>
      </c>
      <c r="C78">
        <v>305.5</v>
      </c>
      <c r="D78" s="36">
        <f t="shared" si="2"/>
        <v>-6.5466448445172798E-4</v>
      </c>
      <c r="F78" s="34">
        <f>'Raw Data'!G74</f>
        <v>46134</v>
      </c>
      <c r="G78">
        <f>'Raw Data'!J74</f>
        <v>24381.200000000001</v>
      </c>
      <c r="H78" s="36">
        <f t="shared" si="3"/>
        <v>-8.9495184814529782E-3</v>
      </c>
    </row>
    <row r="79" spans="2:8" x14ac:dyDescent="0.3">
      <c r="B79" s="34">
        <f>'Raw Data'!G75</f>
        <v>46133</v>
      </c>
      <c r="C79">
        <v>309.64999999999998</v>
      </c>
      <c r="D79" s="36">
        <f t="shared" si="2"/>
        <v>-1.3402228322299314E-2</v>
      </c>
      <c r="F79" s="34">
        <f>'Raw Data'!G75</f>
        <v>46133</v>
      </c>
      <c r="G79">
        <f>'Raw Data'!J75</f>
        <v>24840.1</v>
      </c>
      <c r="H79" s="36">
        <f t="shared" si="3"/>
        <v>-1.8474160732042E-2</v>
      </c>
    </row>
    <row r="80" spans="2:8" x14ac:dyDescent="0.3">
      <c r="B80" s="34">
        <f>'Raw Data'!G76</f>
        <v>46132</v>
      </c>
      <c r="C80">
        <v>305</v>
      </c>
      <c r="D80" s="36">
        <f t="shared" si="2"/>
        <v>1.524590163934425E-2</v>
      </c>
      <c r="F80" s="34">
        <f>'Raw Data'!G76</f>
        <v>46132</v>
      </c>
      <c r="G80">
        <f>'Raw Data'!J76</f>
        <v>24331.8</v>
      </c>
      <c r="H80" s="36">
        <f t="shared" si="3"/>
        <v>2.0890357474580457E-2</v>
      </c>
    </row>
    <row r="81" spans="2:8" x14ac:dyDescent="0.3">
      <c r="B81" s="34">
        <f>'Raw Data'!G77</f>
        <v>46129</v>
      </c>
      <c r="C81">
        <v>306.8</v>
      </c>
      <c r="D81" s="36">
        <f t="shared" si="2"/>
        <v>-5.8670143415906484E-3</v>
      </c>
      <c r="F81" s="34">
        <f>'Raw Data'!G77</f>
        <v>46129</v>
      </c>
      <c r="G81">
        <f>'Raw Data'!J77</f>
        <v>24368</v>
      </c>
      <c r="H81" s="36">
        <f t="shared" si="3"/>
        <v>-1.4855548260013229E-3</v>
      </c>
    </row>
    <row r="82" spans="2:8" x14ac:dyDescent="0.3">
      <c r="B82" s="34">
        <f>'Raw Data'!G78</f>
        <v>46128</v>
      </c>
      <c r="C82">
        <v>303.39999999999998</v>
      </c>
      <c r="D82" s="36">
        <f t="shared" si="2"/>
        <v>1.1206328279499189E-2</v>
      </c>
      <c r="F82" s="34">
        <f>'Raw Data'!G78</f>
        <v>46128</v>
      </c>
      <c r="G82">
        <f>'Raw Data'!J78</f>
        <v>24328.2</v>
      </c>
      <c r="H82" s="36">
        <f t="shared" si="3"/>
        <v>1.6359615590137988E-3</v>
      </c>
    </row>
    <row r="83" spans="2:8" x14ac:dyDescent="0.3">
      <c r="B83" s="34">
        <f>'Raw Data'!G79</f>
        <v>46127</v>
      </c>
      <c r="C83">
        <v>302.05</v>
      </c>
      <c r="D83" s="36">
        <f t="shared" si="2"/>
        <v>4.4694586988907048E-3</v>
      </c>
      <c r="F83" s="34">
        <f>'Raw Data'!G79</f>
        <v>46127</v>
      </c>
      <c r="G83">
        <f>'Raw Data'!J79</f>
        <v>24237.7</v>
      </c>
      <c r="H83" s="36">
        <f t="shared" si="3"/>
        <v>3.7338526345320755E-3</v>
      </c>
    </row>
    <row r="84" spans="2:8" x14ac:dyDescent="0.3">
      <c r="B84" s="34">
        <f>'Raw Data'!G80</f>
        <v>46125</v>
      </c>
      <c r="C84">
        <v>298.64999999999998</v>
      </c>
      <c r="D84" s="36">
        <f t="shared" si="2"/>
        <v>1.1384563870751929E-2</v>
      </c>
      <c r="F84" s="34">
        <f>'Raw Data'!G80</f>
        <v>46125</v>
      </c>
      <c r="G84">
        <f>'Raw Data'!J80</f>
        <v>24152.9</v>
      </c>
      <c r="H84" s="36">
        <f t="shared" si="3"/>
        <v>3.5109655569309783E-3</v>
      </c>
    </row>
    <row r="85" spans="2:8" x14ac:dyDescent="0.3">
      <c r="B85" s="34">
        <f>'Raw Data'!G81</f>
        <v>46122</v>
      </c>
      <c r="C85">
        <v>304.25</v>
      </c>
      <c r="D85" s="36">
        <f t="shared" si="2"/>
        <v>-1.8405916187345994E-2</v>
      </c>
      <c r="F85" s="34">
        <f>'Raw Data'!G81</f>
        <v>46122</v>
      </c>
      <c r="G85">
        <f>'Raw Data'!J81</f>
        <v>24101</v>
      </c>
      <c r="H85" s="36">
        <f t="shared" si="3"/>
        <v>2.1534376166965075E-3</v>
      </c>
    </row>
    <row r="86" spans="2:8" x14ac:dyDescent="0.3">
      <c r="B86" s="34">
        <f>'Raw Data'!G82</f>
        <v>46121</v>
      </c>
      <c r="C86">
        <v>303</v>
      </c>
      <c r="D86" s="36">
        <f t="shared" si="2"/>
        <v>4.1254125412542031E-3</v>
      </c>
      <c r="F86" s="34">
        <f>'Raw Data'!G82</f>
        <v>46121</v>
      </c>
      <c r="G86">
        <f>'Raw Data'!J82</f>
        <v>23989.1</v>
      </c>
      <c r="H86" s="36">
        <f t="shared" si="3"/>
        <v>4.6646185142420471E-3</v>
      </c>
    </row>
    <row r="87" spans="2:8" x14ac:dyDescent="0.3">
      <c r="B87" s="34">
        <f>'Raw Data'!G83</f>
        <v>46120</v>
      </c>
      <c r="C87">
        <v>302.45</v>
      </c>
      <c r="D87" s="36">
        <f t="shared" si="2"/>
        <v>1.8184823937841266E-3</v>
      </c>
      <c r="F87" s="34">
        <f>'Raw Data'!G83</f>
        <v>46120</v>
      </c>
      <c r="G87">
        <f>'Raw Data'!J83</f>
        <v>24182.5</v>
      </c>
      <c r="H87" s="36">
        <f t="shared" si="3"/>
        <v>-7.9975188669493269E-3</v>
      </c>
    </row>
    <row r="88" spans="2:8" x14ac:dyDescent="0.3">
      <c r="B88" s="34">
        <f>'Raw Data'!G84</f>
        <v>46119</v>
      </c>
      <c r="C88">
        <v>298.45</v>
      </c>
      <c r="D88" s="36">
        <f t="shared" si="2"/>
        <v>1.3402579996649289E-2</v>
      </c>
      <c r="F88" s="34">
        <f>'Raw Data'!G84</f>
        <v>46119</v>
      </c>
      <c r="G88">
        <f>'Raw Data'!J84</f>
        <v>23151.1</v>
      </c>
      <c r="H88" s="36">
        <f t="shared" si="3"/>
        <v>4.4550798882126541E-2</v>
      </c>
    </row>
    <row r="89" spans="2:8" x14ac:dyDescent="0.3">
      <c r="B89" s="34">
        <f>'Raw Data'!G85</f>
        <v>46118</v>
      </c>
      <c r="C89">
        <v>294.85000000000002</v>
      </c>
      <c r="D89" s="36">
        <f t="shared" si="2"/>
        <v>1.220959810072908E-2</v>
      </c>
      <c r="F89" s="34">
        <f>'Raw Data'!G85</f>
        <v>46118</v>
      </c>
      <c r="G89">
        <f>'Raw Data'!J85</f>
        <v>23347.4</v>
      </c>
      <c r="H89" s="36">
        <f t="shared" si="3"/>
        <v>-8.4077884475360909E-3</v>
      </c>
    </row>
    <row r="90" spans="2:8" x14ac:dyDescent="0.3">
      <c r="B90" s="34">
        <f>'Raw Data'!G86</f>
        <v>46114</v>
      </c>
      <c r="C90">
        <v>292.85000000000002</v>
      </c>
      <c r="D90" s="36">
        <f t="shared" si="2"/>
        <v>6.829434864265016E-3</v>
      </c>
      <c r="F90" s="34">
        <f>'Raw Data'!G86</f>
        <v>46114</v>
      </c>
      <c r="G90">
        <f>'Raw Data'!J86</f>
        <v>22766.6</v>
      </c>
      <c r="H90" s="36">
        <f t="shared" si="3"/>
        <v>2.5511055669269922E-2</v>
      </c>
    </row>
    <row r="91" spans="2:8" x14ac:dyDescent="0.3">
      <c r="B91" s="34">
        <f>'Raw Data'!G87</f>
        <v>46113</v>
      </c>
      <c r="C91">
        <v>291.7</v>
      </c>
      <c r="D91" s="36">
        <f t="shared" si="2"/>
        <v>3.9424065821049847E-3</v>
      </c>
      <c r="F91" s="34">
        <f>'Raw Data'!G87</f>
        <v>46113</v>
      </c>
      <c r="G91">
        <f>'Raw Data'!J87</f>
        <v>22934.799999999999</v>
      </c>
      <c r="H91" s="36">
        <f t="shared" si="3"/>
        <v>-7.3338333013586166E-3</v>
      </c>
    </row>
    <row r="92" spans="2:8" x14ac:dyDescent="0.3">
      <c r="B92" s="34">
        <f>'Raw Data'!G88</f>
        <v>46111</v>
      </c>
      <c r="C92">
        <v>287.7</v>
      </c>
      <c r="D92" s="36">
        <f t="shared" si="2"/>
        <v>1.3903371567605127E-2</v>
      </c>
      <c r="F92" s="34">
        <f>'Raw Data'!G88</f>
        <v>46111</v>
      </c>
      <c r="G92">
        <f>'Raw Data'!J88</f>
        <v>22318.400000000001</v>
      </c>
      <c r="H92" s="36">
        <f t="shared" si="3"/>
        <v>2.761846727363948E-2</v>
      </c>
    </row>
    <row r="93" spans="2:8" x14ac:dyDescent="0.3">
      <c r="B93" s="34">
        <f>'Raw Data'!G89</f>
        <v>46108</v>
      </c>
      <c r="C93">
        <v>294.7</v>
      </c>
      <c r="D93" s="36">
        <f t="shared" si="2"/>
        <v>-2.3752969121140111E-2</v>
      </c>
      <c r="F93" s="34">
        <f>'Raw Data'!G89</f>
        <v>46108</v>
      </c>
      <c r="G93">
        <f>'Raw Data'!J89</f>
        <v>23043.9</v>
      </c>
      <c r="H93" s="36">
        <f t="shared" si="3"/>
        <v>-3.1483386058783425E-2</v>
      </c>
    </row>
    <row r="94" spans="2:8" x14ac:dyDescent="0.3">
      <c r="B94" s="34">
        <f>'Raw Data'!G90</f>
        <v>46106</v>
      </c>
      <c r="C94">
        <v>295.7</v>
      </c>
      <c r="D94" s="36">
        <f t="shared" si="2"/>
        <v>-3.3818058843422261E-3</v>
      </c>
      <c r="F94" s="34">
        <f>'Raw Data'!G90</f>
        <v>46106</v>
      </c>
      <c r="G94">
        <f>'Raw Data'!J90</f>
        <v>23300</v>
      </c>
      <c r="H94" s="36">
        <f t="shared" si="3"/>
        <v>-1.0991416309012791E-2</v>
      </c>
    </row>
    <row r="95" spans="2:8" x14ac:dyDescent="0.3">
      <c r="B95" s="34">
        <f>'Raw Data'!G91</f>
        <v>46105</v>
      </c>
      <c r="C95">
        <v>291.25</v>
      </c>
      <c r="D95" s="36">
        <f t="shared" si="2"/>
        <v>1.5278969957081445E-2</v>
      </c>
      <c r="F95" s="34">
        <f>'Raw Data'!G91</f>
        <v>46105</v>
      </c>
      <c r="G95">
        <f>'Raw Data'!J91</f>
        <v>23055.9</v>
      </c>
      <c r="H95" s="36">
        <f t="shared" si="3"/>
        <v>1.0587311707632274E-2</v>
      </c>
    </row>
    <row r="96" spans="2:8" x14ac:dyDescent="0.3">
      <c r="B96" s="34">
        <f>'Raw Data'!G92</f>
        <v>46104</v>
      </c>
      <c r="C96">
        <v>290.45</v>
      </c>
      <c r="D96" s="36">
        <f t="shared" si="2"/>
        <v>2.7543467033912528E-3</v>
      </c>
      <c r="F96" s="34">
        <f>'Raw Data'!G92</f>
        <v>46104</v>
      </c>
      <c r="G96">
        <f>'Raw Data'!J92</f>
        <v>22648.2</v>
      </c>
      <c r="H96" s="36">
        <f t="shared" si="3"/>
        <v>1.8001430577264443E-2</v>
      </c>
    </row>
    <row r="97" spans="2:8" x14ac:dyDescent="0.3">
      <c r="B97" s="34">
        <f>'Raw Data'!G93</f>
        <v>46101</v>
      </c>
      <c r="C97">
        <v>299.95</v>
      </c>
      <c r="D97" s="36">
        <f t="shared" si="2"/>
        <v>-3.1671945324220685E-2</v>
      </c>
      <c r="F97" s="34">
        <f>'Raw Data'!G93</f>
        <v>46101</v>
      </c>
      <c r="G97">
        <f>'Raw Data'!J93</f>
        <v>23140.5</v>
      </c>
      <c r="H97" s="36">
        <f t="shared" si="3"/>
        <v>-2.1274389058144827E-2</v>
      </c>
    </row>
    <row r="98" spans="2:8" x14ac:dyDescent="0.3">
      <c r="B98" s="34">
        <f>'Raw Data'!G94</f>
        <v>46100</v>
      </c>
      <c r="C98">
        <v>298</v>
      </c>
      <c r="D98" s="36">
        <f t="shared" si="2"/>
        <v>6.5436241610736801E-3</v>
      </c>
      <c r="F98" s="34">
        <f>'Raw Data'!G94</f>
        <v>46100</v>
      </c>
      <c r="G98">
        <f>'Raw Data'!J94</f>
        <v>23333</v>
      </c>
      <c r="H98" s="36">
        <f t="shared" si="3"/>
        <v>-8.2501178588265667E-3</v>
      </c>
    </row>
    <row r="99" spans="2:8" x14ac:dyDescent="0.3">
      <c r="B99" s="34">
        <f>'Raw Data'!G95</f>
        <v>46099</v>
      </c>
      <c r="C99">
        <v>304.05</v>
      </c>
      <c r="D99" s="36">
        <f t="shared" si="2"/>
        <v>-1.9898043085018968E-2</v>
      </c>
      <c r="F99" s="34">
        <f>'Raw Data'!G95</f>
        <v>46099</v>
      </c>
      <c r="G99">
        <f>'Raw Data'!J95</f>
        <v>23776.400000000001</v>
      </c>
      <c r="H99" s="36">
        <f t="shared" si="3"/>
        <v>-1.864874413283768E-2</v>
      </c>
    </row>
    <row r="100" spans="2:8" x14ac:dyDescent="0.3">
      <c r="B100" s="34">
        <f>'Raw Data'!G96</f>
        <v>46098</v>
      </c>
      <c r="C100">
        <v>304.85000000000002</v>
      </c>
      <c r="D100" s="36">
        <f t="shared" si="2"/>
        <v>-2.6242414302116712E-3</v>
      </c>
      <c r="F100" s="34">
        <f>'Raw Data'!G96</f>
        <v>46098</v>
      </c>
      <c r="G100">
        <f>'Raw Data'!J96</f>
        <v>23767.4</v>
      </c>
      <c r="H100" s="36">
        <f t="shared" si="3"/>
        <v>3.7866994286295252E-4</v>
      </c>
    </row>
    <row r="101" spans="2:8" x14ac:dyDescent="0.3">
      <c r="B101" s="34">
        <f>'Raw Data'!G97</f>
        <v>46097</v>
      </c>
      <c r="C101">
        <v>308.25</v>
      </c>
      <c r="D101" s="36">
        <f t="shared" si="2"/>
        <v>-1.1030008110299971E-2</v>
      </c>
      <c r="F101" s="34">
        <f>'Raw Data'!G97</f>
        <v>46097</v>
      </c>
      <c r="G101">
        <f>'Raw Data'!J97</f>
        <v>23429.200000000001</v>
      </c>
      <c r="H101" s="36">
        <f t="shared" si="3"/>
        <v>1.4434978573745649E-2</v>
      </c>
    </row>
    <row r="102" spans="2:8" x14ac:dyDescent="0.3">
      <c r="B102" s="34">
        <f>'Raw Data'!G98</f>
        <v>46094</v>
      </c>
      <c r="C102">
        <v>301.45</v>
      </c>
      <c r="D102" s="36">
        <f t="shared" si="2"/>
        <v>2.2557638082600695E-2</v>
      </c>
      <c r="F102" s="34">
        <f>'Raw Data'!G98</f>
        <v>46094</v>
      </c>
      <c r="G102">
        <f>'Raw Data'!J98</f>
        <v>23199.3</v>
      </c>
      <c r="H102" s="36">
        <f t="shared" si="3"/>
        <v>9.9097817606565997E-3</v>
      </c>
    </row>
    <row r="103" spans="2:8" x14ac:dyDescent="0.3">
      <c r="B103" s="34">
        <f>'Raw Data'!G99</f>
        <v>46093</v>
      </c>
      <c r="C103">
        <v>304.10000000000002</v>
      </c>
      <c r="D103" s="36">
        <f t="shared" si="2"/>
        <v>-8.7142387372576291E-3</v>
      </c>
      <c r="F103" s="34">
        <f>'Raw Data'!G99</f>
        <v>46093</v>
      </c>
      <c r="G103">
        <f>'Raw Data'!J99</f>
        <v>24010.3</v>
      </c>
      <c r="H103" s="36">
        <f t="shared" si="3"/>
        <v>-3.3777170630937547E-2</v>
      </c>
    </row>
    <row r="104" spans="2:8" x14ac:dyDescent="0.3">
      <c r="B104" s="34">
        <f>'Raw Data'!G100</f>
        <v>46092</v>
      </c>
      <c r="C104">
        <v>309</v>
      </c>
      <c r="D104" s="36">
        <f t="shared" si="2"/>
        <v>-1.5857605177993506E-2</v>
      </c>
      <c r="F104" s="34">
        <f>'Raw Data'!G100</f>
        <v>46092</v>
      </c>
      <c r="G104">
        <f>'Raw Data'!J100</f>
        <v>23939.1</v>
      </c>
      <c r="H104" s="36">
        <f t="shared" si="3"/>
        <v>2.9742137340167396E-3</v>
      </c>
    </row>
    <row r="105" spans="2:8" x14ac:dyDescent="0.3">
      <c r="B105" s="34">
        <f>'Raw Data'!G101</f>
        <v>46091</v>
      </c>
      <c r="C105">
        <v>309.05</v>
      </c>
      <c r="D105" s="36">
        <f t="shared" si="2"/>
        <v>-1.6178611875106164E-4</v>
      </c>
      <c r="F105" s="34">
        <f>'Raw Data'!G101</f>
        <v>46091</v>
      </c>
      <c r="G105">
        <f>'Raw Data'!J101</f>
        <v>24545.599999999999</v>
      </c>
      <c r="H105" s="36">
        <f t="shared" si="3"/>
        <v>-2.4709112834886859E-2</v>
      </c>
    </row>
    <row r="106" spans="2:8" x14ac:dyDescent="0.3">
      <c r="B106" s="34">
        <f>'Raw Data'!G102</f>
        <v>46090</v>
      </c>
      <c r="C106">
        <v>306</v>
      </c>
      <c r="D106" s="36">
        <f t="shared" si="2"/>
        <v>9.9673202614378731E-3</v>
      </c>
      <c r="F106" s="34">
        <f>'Raw Data'!G102</f>
        <v>46090</v>
      </c>
      <c r="G106">
        <f>'Raw Data'!J102</f>
        <v>24285.8</v>
      </c>
      <c r="H106" s="36">
        <f t="shared" si="3"/>
        <v>1.0697609302555477E-2</v>
      </c>
    </row>
    <row r="107" spans="2:8" x14ac:dyDescent="0.3">
      <c r="B107" s="34">
        <f>'Raw Data'!G103</f>
        <v>46087</v>
      </c>
      <c r="C107">
        <v>309.7</v>
      </c>
      <c r="D107" s="36">
        <f t="shared" si="2"/>
        <v>-1.1947045527930245E-2</v>
      </c>
      <c r="F107" s="34">
        <f>'Raw Data'!G103</f>
        <v>46087</v>
      </c>
      <c r="G107">
        <f>'Raw Data'!J103</f>
        <v>24545.7</v>
      </c>
      <c r="H107" s="36">
        <f t="shared" si="3"/>
        <v>-1.0588412634392252E-2</v>
      </c>
    </row>
    <row r="108" spans="2:8" x14ac:dyDescent="0.3">
      <c r="B108" s="34">
        <f>'Raw Data'!G104</f>
        <v>46086</v>
      </c>
      <c r="C108">
        <v>311.5</v>
      </c>
      <c r="D108" s="36">
        <f t="shared" si="2"/>
        <v>-5.7784911717496668E-3</v>
      </c>
      <c r="F108" s="34">
        <f>'Raw Data'!G104</f>
        <v>46086</v>
      </c>
      <c r="G108">
        <f>'Raw Data'!J104</f>
        <v>25118.5</v>
      </c>
      <c r="H108" s="36">
        <f t="shared" si="3"/>
        <v>-2.2803909469116368E-2</v>
      </c>
    </row>
    <row r="109" spans="2:8" x14ac:dyDescent="0.3">
      <c r="B109" s="34">
        <f>'Raw Data'!G105</f>
        <v>46085</v>
      </c>
      <c r="C109">
        <v>311.95</v>
      </c>
      <c r="D109" s="36">
        <f t="shared" si="2"/>
        <v>-1.442538868408394E-3</v>
      </c>
      <c r="F109" s="34">
        <f>'Raw Data'!G105</f>
        <v>46085</v>
      </c>
      <c r="G109">
        <f>'Raw Data'!J105</f>
        <v>24584.7</v>
      </c>
      <c r="H109" s="36">
        <f t="shared" si="3"/>
        <v>2.1712691226657199E-2</v>
      </c>
    </row>
    <row r="110" spans="2:8" x14ac:dyDescent="0.3">
      <c r="B110" s="34">
        <f>'Raw Data'!G106</f>
        <v>46083</v>
      </c>
      <c r="C110">
        <v>314.89999999999998</v>
      </c>
      <c r="D110" s="36">
        <f t="shared" si="2"/>
        <v>-9.3680533502699115E-3</v>
      </c>
      <c r="F110" s="34">
        <f>'Raw Data'!G106</f>
        <v>46083</v>
      </c>
      <c r="G110">
        <f>'Raw Data'!J106</f>
        <v>25140.2</v>
      </c>
      <c r="H110" s="36">
        <f t="shared" si="3"/>
        <v>-2.2096085154453826E-2</v>
      </c>
    </row>
    <row r="111" spans="2:8" x14ac:dyDescent="0.3">
      <c r="B111" s="34">
        <f>'Raw Data'!G107</f>
        <v>46080</v>
      </c>
      <c r="C111">
        <v>313.60000000000002</v>
      </c>
      <c r="D111" s="36">
        <f t="shared" si="2"/>
        <v>4.1454081632652517E-3</v>
      </c>
      <c r="F111" s="34">
        <f>'Raw Data'!G107</f>
        <v>46080</v>
      </c>
      <c r="G111">
        <f>'Raw Data'!J107</f>
        <v>25598.2</v>
      </c>
      <c r="H111" s="36">
        <f t="shared" si="3"/>
        <v>-1.7891883023025024E-2</v>
      </c>
    </row>
    <row r="112" spans="2:8" x14ac:dyDescent="0.3">
      <c r="B112" s="34">
        <f>'Raw Data'!G108</f>
        <v>46079</v>
      </c>
      <c r="C112">
        <v>318.3</v>
      </c>
      <c r="D112" s="36">
        <f t="shared" si="2"/>
        <v>-1.4765944077913873E-2</v>
      </c>
      <c r="F112" s="34">
        <f>'Raw Data'!G108</f>
        <v>46079</v>
      </c>
      <c r="G112">
        <f>'Raw Data'!J108</f>
        <v>25912.5</v>
      </c>
      <c r="H112" s="36">
        <f t="shared" si="3"/>
        <v>-1.2129281234925182E-2</v>
      </c>
    </row>
    <row r="113" spans="2:8" x14ac:dyDescent="0.3">
      <c r="B113" s="34">
        <f>'Raw Data'!G109</f>
        <v>46078</v>
      </c>
      <c r="C113">
        <v>319.75</v>
      </c>
      <c r="D113" s="36">
        <f t="shared" si="2"/>
        <v>-4.5347928068802945E-3</v>
      </c>
      <c r="F113" s="34">
        <f>'Raw Data'!G109</f>
        <v>46078</v>
      </c>
      <c r="G113">
        <f>'Raw Data'!J109</f>
        <v>25791.8</v>
      </c>
      <c r="H113" s="36">
        <f t="shared" si="3"/>
        <v>4.6797819461998902E-3</v>
      </c>
    </row>
    <row r="114" spans="2:8" x14ac:dyDescent="0.3">
      <c r="B114" s="34">
        <f>'Raw Data'!G110</f>
        <v>46077</v>
      </c>
      <c r="C114">
        <v>323.5</v>
      </c>
      <c r="D114" s="36">
        <f t="shared" si="2"/>
        <v>-1.1591962905718733E-2</v>
      </c>
      <c r="F114" s="34">
        <f>'Raw Data'!G110</f>
        <v>46077</v>
      </c>
      <c r="G114">
        <f>'Raw Data'!J110</f>
        <v>25600.3</v>
      </c>
      <c r="H114" s="36">
        <f t="shared" si="3"/>
        <v>7.4803810892840605E-3</v>
      </c>
    </row>
    <row r="115" spans="2:8" x14ac:dyDescent="0.3">
      <c r="B115" s="34">
        <f>'Raw Data'!G111</f>
        <v>46076</v>
      </c>
      <c r="C115">
        <v>325.39999999999998</v>
      </c>
      <c r="D115" s="36">
        <f t="shared" si="2"/>
        <v>-5.8389674247080192E-3</v>
      </c>
      <c r="F115" s="34">
        <f>'Raw Data'!G111</f>
        <v>46076</v>
      </c>
      <c r="G115">
        <f>'Raw Data'!J111</f>
        <v>26015</v>
      </c>
      <c r="H115" s="36">
        <f t="shared" si="3"/>
        <v>-1.5940803382663904E-2</v>
      </c>
    </row>
    <row r="116" spans="2:8" x14ac:dyDescent="0.3">
      <c r="B116" s="34">
        <f>'Raw Data'!G112</f>
        <v>46073</v>
      </c>
      <c r="C116">
        <v>327</v>
      </c>
      <c r="D116" s="36">
        <f t="shared" si="2"/>
        <v>-4.8929663608563434E-3</v>
      </c>
      <c r="F116" s="34">
        <f>'Raw Data'!G112</f>
        <v>46073</v>
      </c>
      <c r="G116">
        <f>'Raw Data'!J112</f>
        <v>25584.7</v>
      </c>
      <c r="H116" s="36">
        <f t="shared" si="3"/>
        <v>1.6818645518610786E-2</v>
      </c>
    </row>
    <row r="117" spans="2:8" x14ac:dyDescent="0.3">
      <c r="B117" s="34">
        <f>'Raw Data'!G113</f>
        <v>46072</v>
      </c>
      <c r="C117">
        <v>326</v>
      </c>
      <c r="D117" s="36">
        <f t="shared" si="2"/>
        <v>3.0674846625766694E-3</v>
      </c>
      <c r="F117" s="34">
        <f>'Raw Data'!G113</f>
        <v>46072</v>
      </c>
      <c r="G117">
        <f>'Raw Data'!J113</f>
        <v>25446</v>
      </c>
      <c r="H117" s="36">
        <f t="shared" si="3"/>
        <v>5.4507584689145183E-3</v>
      </c>
    </row>
    <row r="118" spans="2:8" x14ac:dyDescent="0.3">
      <c r="B118" s="34">
        <f>'Raw Data'!G114</f>
        <v>46071</v>
      </c>
      <c r="C118">
        <v>332.45</v>
      </c>
      <c r="D118" s="36">
        <f t="shared" si="2"/>
        <v>-1.9401413746428009E-2</v>
      </c>
      <c r="F118" s="34">
        <f>'Raw Data'!G114</f>
        <v>46071</v>
      </c>
      <c r="G118">
        <f>'Raw Data'!J114</f>
        <v>26144.5</v>
      </c>
      <c r="H118" s="36">
        <f t="shared" si="3"/>
        <v>-2.671690030407925E-2</v>
      </c>
    </row>
    <row r="119" spans="2:8" x14ac:dyDescent="0.3">
      <c r="B119" s="34">
        <f>'Raw Data'!G115</f>
        <v>46070</v>
      </c>
      <c r="C119">
        <v>325.45</v>
      </c>
      <c r="D119" s="36">
        <f t="shared" si="2"/>
        <v>2.1508680288830906E-2</v>
      </c>
      <c r="F119" s="34">
        <f>'Raw Data'!G115</f>
        <v>46070</v>
      </c>
      <c r="G119">
        <f>'Raw Data'!J115</f>
        <v>25898.7</v>
      </c>
      <c r="H119" s="36">
        <f t="shared" si="3"/>
        <v>9.4908238637461118E-3</v>
      </c>
    </row>
    <row r="120" spans="2:8" x14ac:dyDescent="0.3">
      <c r="B120" s="34">
        <f>'Raw Data'!G116</f>
        <v>46069</v>
      </c>
      <c r="C120">
        <v>317.95</v>
      </c>
      <c r="D120" s="36">
        <f t="shared" si="2"/>
        <v>2.358861456203809E-2</v>
      </c>
      <c r="F120" s="34">
        <f>'Raw Data'!G116</f>
        <v>46069</v>
      </c>
      <c r="G120">
        <f>'Raw Data'!J116</f>
        <v>25879</v>
      </c>
      <c r="H120" s="36">
        <f t="shared" si="3"/>
        <v>7.6123497816760199E-4</v>
      </c>
    </row>
    <row r="121" spans="2:8" x14ac:dyDescent="0.3">
      <c r="B121" s="34">
        <f>'Raw Data'!G117</f>
        <v>46066</v>
      </c>
      <c r="C121">
        <v>313.75</v>
      </c>
      <c r="D121" s="36">
        <f t="shared" si="2"/>
        <v>1.3386454183266894E-2</v>
      </c>
      <c r="F121" s="34">
        <f>'Raw Data'!G117</f>
        <v>46066</v>
      </c>
      <c r="G121">
        <f>'Raw Data'!J117</f>
        <v>25688.6</v>
      </c>
      <c r="H121" s="36">
        <f t="shared" si="3"/>
        <v>7.4118480571148115E-3</v>
      </c>
    </row>
    <row r="122" spans="2:8" x14ac:dyDescent="0.3">
      <c r="B122" s="34">
        <f>'Raw Data'!G118</f>
        <v>46065</v>
      </c>
      <c r="C122">
        <v>317.45</v>
      </c>
      <c r="D122" s="36">
        <f t="shared" si="2"/>
        <v>-1.1655378799810934E-2</v>
      </c>
      <c r="F122" s="34">
        <f>'Raw Data'!G118</f>
        <v>46065</v>
      </c>
      <c r="G122">
        <f>'Raw Data'!J118</f>
        <v>26025.3</v>
      </c>
      <c r="H122" s="36">
        <f t="shared" si="3"/>
        <v>-1.293741090400502E-2</v>
      </c>
    </row>
    <row r="123" spans="2:8" x14ac:dyDescent="0.3">
      <c r="B123" s="34">
        <f>'Raw Data'!G119</f>
        <v>46064</v>
      </c>
      <c r="C123">
        <v>318.25</v>
      </c>
      <c r="D123" s="36">
        <f t="shared" si="2"/>
        <v>-2.5137470542027085E-3</v>
      </c>
      <c r="F123" s="34">
        <f>'Raw Data'!G119</f>
        <v>46064</v>
      </c>
      <c r="G123">
        <f>'Raw Data'!J119</f>
        <v>26151</v>
      </c>
      <c r="H123" s="36">
        <f t="shared" si="3"/>
        <v>-4.8066995525983813E-3</v>
      </c>
    </row>
    <row r="124" spans="2:8" x14ac:dyDescent="0.3">
      <c r="B124" s="34">
        <f>'Raw Data'!G120</f>
        <v>46063</v>
      </c>
      <c r="C124">
        <v>321.39999999999998</v>
      </c>
      <c r="D124" s="36">
        <f t="shared" si="2"/>
        <v>-9.8008711885499977E-3</v>
      </c>
      <c r="F124" s="34">
        <f>'Raw Data'!G120</f>
        <v>46063</v>
      </c>
      <c r="G124">
        <f>'Raw Data'!J120</f>
        <v>26295.3</v>
      </c>
      <c r="H124" s="36">
        <f t="shared" si="3"/>
        <v>-5.4876727019657068E-3</v>
      </c>
    </row>
    <row r="125" spans="2:8" x14ac:dyDescent="0.3">
      <c r="B125" s="34">
        <f>'Raw Data'!G121</f>
        <v>46062</v>
      </c>
      <c r="C125">
        <v>322.8</v>
      </c>
      <c r="D125" s="36">
        <f t="shared" si="2"/>
        <v>-4.3370508054524359E-3</v>
      </c>
      <c r="F125" s="34">
        <f>'Raw Data'!G121</f>
        <v>46062</v>
      </c>
      <c r="G125">
        <f>'Raw Data'!J121</f>
        <v>26068.799999999999</v>
      </c>
      <c r="H125" s="36">
        <f t="shared" si="3"/>
        <v>8.6885472288713572E-3</v>
      </c>
    </row>
    <row r="126" spans="2:8" x14ac:dyDescent="0.3">
      <c r="B126" s="34">
        <f>'Raw Data'!G122</f>
        <v>46059</v>
      </c>
      <c r="C126">
        <v>325.8</v>
      </c>
      <c r="D126" s="36">
        <f t="shared" si="2"/>
        <v>-9.2081031307550409E-3</v>
      </c>
      <c r="F126" s="34">
        <f>'Raw Data'!G122</f>
        <v>46059</v>
      </c>
      <c r="G126">
        <f>'Raw Data'!J122</f>
        <v>26045.5</v>
      </c>
      <c r="H126" s="36">
        <f t="shared" si="3"/>
        <v>8.945883165998314E-4</v>
      </c>
    </row>
    <row r="127" spans="2:8" x14ac:dyDescent="0.3">
      <c r="B127" s="34">
        <f>'Raw Data'!G123</f>
        <v>46058</v>
      </c>
      <c r="C127">
        <v>310.2</v>
      </c>
      <c r="D127" s="36">
        <f t="shared" si="2"/>
        <v>5.0290135396518387E-2</v>
      </c>
      <c r="F127" s="34">
        <f>'Raw Data'!G123</f>
        <v>46058</v>
      </c>
      <c r="G127">
        <f>'Raw Data'!J123</f>
        <v>25725</v>
      </c>
      <c r="H127" s="36">
        <f t="shared" si="3"/>
        <v>1.2458697764820226E-2</v>
      </c>
    </row>
    <row r="128" spans="2:8" x14ac:dyDescent="0.3">
      <c r="B128" s="34">
        <f>'Raw Data'!G124</f>
        <v>46057</v>
      </c>
      <c r="C128">
        <v>313.85000000000002</v>
      </c>
      <c r="D128" s="36">
        <f t="shared" si="2"/>
        <v>-1.162975943922262E-2</v>
      </c>
      <c r="F128" s="34">
        <f>'Raw Data'!G124</f>
        <v>46057</v>
      </c>
      <c r="G128">
        <f>'Raw Data'!J124</f>
        <v>25848.799999999999</v>
      </c>
      <c r="H128" s="36">
        <f t="shared" si="3"/>
        <v>-4.7893906100089367E-3</v>
      </c>
    </row>
    <row r="129" spans="2:8" x14ac:dyDescent="0.3">
      <c r="B129" s="34">
        <f>'Raw Data'!G125</f>
        <v>46056</v>
      </c>
      <c r="C129">
        <v>316.64999999999998</v>
      </c>
      <c r="D129" s="36">
        <f t="shared" si="2"/>
        <v>-8.8425706616136468E-3</v>
      </c>
      <c r="F129" s="34">
        <f>'Raw Data'!G125</f>
        <v>46056</v>
      </c>
      <c r="G129">
        <f>'Raw Data'!J125</f>
        <v>25976.7</v>
      </c>
      <c r="H129" s="36">
        <f t="shared" si="3"/>
        <v>-4.9236431109417333E-3</v>
      </c>
    </row>
    <row r="130" spans="2:8" x14ac:dyDescent="0.3">
      <c r="B130" s="34">
        <f>'Raw Data'!G126</f>
        <v>46055</v>
      </c>
      <c r="C130">
        <v>314.7</v>
      </c>
      <c r="D130" s="36">
        <f t="shared" si="2"/>
        <v>6.1963775023832213E-3</v>
      </c>
      <c r="F130" s="34">
        <f>'Raw Data'!G126</f>
        <v>46055</v>
      </c>
      <c r="G130">
        <f>'Raw Data'!J126</f>
        <v>25297.4</v>
      </c>
      <c r="H130" s="36">
        <f t="shared" si="3"/>
        <v>2.6852561923359719E-2</v>
      </c>
    </row>
    <row r="131" spans="2:8" x14ac:dyDescent="0.3">
      <c r="B131" s="34">
        <f>'Raw Data'!G127</f>
        <v>46054</v>
      </c>
      <c r="C131">
        <v>309.45</v>
      </c>
      <c r="D131" s="36">
        <f t="shared" si="2"/>
        <v>1.6965584100824049E-2</v>
      </c>
      <c r="F131" s="34">
        <f>'Raw Data'!G127</f>
        <v>46054</v>
      </c>
      <c r="G131">
        <f>'Raw Data'!J127</f>
        <v>25029.599999999999</v>
      </c>
      <c r="H131" s="36">
        <f t="shared" si="3"/>
        <v>1.0699331990922767E-2</v>
      </c>
    </row>
    <row r="132" spans="2:8" x14ac:dyDescent="0.3">
      <c r="B132" s="34">
        <f>'Raw Data'!G128</f>
        <v>46052</v>
      </c>
      <c r="C132">
        <v>322.14999999999998</v>
      </c>
      <c r="D132" s="36">
        <f t="shared" si="2"/>
        <v>-3.9422629209995286E-2</v>
      </c>
      <c r="F132" s="34">
        <f>'Raw Data'!G128</f>
        <v>46052</v>
      </c>
      <c r="G132">
        <f>'Raw Data'!J128</f>
        <v>25582.799999999999</v>
      </c>
      <c r="H132" s="36">
        <f t="shared" si="3"/>
        <v>-2.1623903560204494E-2</v>
      </c>
    </row>
    <row r="133" spans="2:8" x14ac:dyDescent="0.3">
      <c r="B133" s="34">
        <f>'Raw Data'!G129</f>
        <v>46051</v>
      </c>
      <c r="C133">
        <v>318.60000000000002</v>
      </c>
      <c r="D133" s="36">
        <f t="shared" si="2"/>
        <v>1.1142498430633863E-2</v>
      </c>
      <c r="F133" s="34">
        <f>'Raw Data'!G129</f>
        <v>46051</v>
      </c>
      <c r="G133">
        <f>'Raw Data'!J129</f>
        <v>25707.1</v>
      </c>
      <c r="H133" s="36">
        <f t="shared" si="3"/>
        <v>-4.8352400698639109E-3</v>
      </c>
    </row>
    <row r="134" spans="2:8" x14ac:dyDescent="0.3">
      <c r="B134" s="34">
        <f>'Raw Data'!G130</f>
        <v>46050</v>
      </c>
      <c r="C134">
        <v>321.14999999999998</v>
      </c>
      <c r="D134" s="36">
        <f t="shared" si="2"/>
        <v>-7.9402148528723293E-3</v>
      </c>
      <c r="F134" s="34">
        <f>'Raw Data'!G130</f>
        <v>46050</v>
      </c>
      <c r="G134">
        <f>'Raw Data'!J130</f>
        <v>25778.799999999999</v>
      </c>
      <c r="H134" s="36">
        <f t="shared" si="3"/>
        <v>-2.7813552221205295E-3</v>
      </c>
    </row>
    <row r="135" spans="2:8" x14ac:dyDescent="0.3">
      <c r="B135" s="34">
        <f>'Raw Data'!G131</f>
        <v>46049</v>
      </c>
      <c r="C135">
        <v>318.64999999999998</v>
      </c>
      <c r="D135" s="36">
        <f t="shared" si="2"/>
        <v>7.8455986191745541E-3</v>
      </c>
      <c r="F135" s="34">
        <f>'Raw Data'!G131</f>
        <v>46049</v>
      </c>
      <c r="G135">
        <f>'Raw Data'!J131</f>
        <v>25569.3</v>
      </c>
      <c r="H135" s="36">
        <f t="shared" si="3"/>
        <v>8.19341945223373E-3</v>
      </c>
    </row>
    <row r="136" spans="2:8" x14ac:dyDescent="0.3">
      <c r="B136" s="34">
        <f>'Raw Data'!G132</f>
        <v>46045</v>
      </c>
      <c r="C136">
        <v>323.39999999999998</v>
      </c>
      <c r="D136" s="36">
        <f t="shared" si="2"/>
        <v>-1.4687693259121781E-2</v>
      </c>
      <c r="F136" s="34">
        <f>'Raw Data'!G132</f>
        <v>46045</v>
      </c>
      <c r="G136">
        <f>'Raw Data'!J132</f>
        <v>25202.6</v>
      </c>
      <c r="H136" s="36">
        <f t="shared" si="3"/>
        <v>1.4550086102227633E-2</v>
      </c>
    </row>
    <row r="137" spans="2:8" x14ac:dyDescent="0.3">
      <c r="B137" s="34">
        <f>'Raw Data'!G133</f>
        <v>46044</v>
      </c>
      <c r="C137">
        <v>324.85000000000002</v>
      </c>
      <c r="D137" s="36">
        <f t="shared" si="2"/>
        <v>-4.4635985839619474E-3</v>
      </c>
      <c r="F137" s="34">
        <f>'Raw Data'!G133</f>
        <v>46044</v>
      </c>
      <c r="G137">
        <f>'Raw Data'!J133</f>
        <v>25688.400000000001</v>
      </c>
      <c r="H137" s="36">
        <f t="shared" si="3"/>
        <v>-1.8911259556842919E-2</v>
      </c>
    </row>
    <row r="138" spans="2:8" x14ac:dyDescent="0.3">
      <c r="B138" s="34">
        <f>'Raw Data'!G134</f>
        <v>46043</v>
      </c>
      <c r="C138">
        <v>324.75</v>
      </c>
      <c r="D138" s="36">
        <f t="shared" si="2"/>
        <v>3.079291762895231E-4</v>
      </c>
      <c r="F138" s="34">
        <f>'Raw Data'!G134</f>
        <v>46043</v>
      </c>
      <c r="G138">
        <f>'Raw Data'!J134</f>
        <v>25397.9</v>
      </c>
      <c r="H138" s="36">
        <f t="shared" si="3"/>
        <v>1.1437953531591161E-2</v>
      </c>
    </row>
    <row r="139" spans="2:8" x14ac:dyDescent="0.3">
      <c r="B139" s="34">
        <f>'Raw Data'!G135</f>
        <v>46042</v>
      </c>
      <c r="C139">
        <v>326.3</v>
      </c>
      <c r="D139" s="36">
        <f t="shared" si="2"/>
        <v>-4.7502298498315332E-3</v>
      </c>
      <c r="F139" s="34">
        <f>'Raw Data'!G135</f>
        <v>46042</v>
      </c>
      <c r="G139">
        <f>'Raw Data'!J135</f>
        <v>25737.8</v>
      </c>
      <c r="H139" s="36">
        <f t="shared" si="3"/>
        <v>-1.3206256945037964E-2</v>
      </c>
    </row>
    <row r="140" spans="2:8" x14ac:dyDescent="0.3">
      <c r="B140" s="34">
        <f>'Raw Data'!G136</f>
        <v>46041</v>
      </c>
      <c r="C140">
        <v>333.2</v>
      </c>
      <c r="D140" s="36">
        <f t="shared" ref="D140:D203" si="4">C139/C140-1</f>
        <v>-2.0708283313325304E-2</v>
      </c>
      <c r="F140" s="34">
        <f>'Raw Data'!G136</f>
        <v>46041</v>
      </c>
      <c r="G140">
        <f>'Raw Data'!J136</f>
        <v>26071.1</v>
      </c>
      <c r="H140" s="36">
        <f t="shared" ref="H140:H203" si="5">G139/G140-1</f>
        <v>-1.2784270705877399E-2</v>
      </c>
    </row>
    <row r="141" spans="2:8" x14ac:dyDescent="0.3">
      <c r="B141" s="34">
        <f>'Raw Data'!G137</f>
        <v>46038</v>
      </c>
      <c r="C141">
        <v>329.2</v>
      </c>
      <c r="D141" s="36">
        <f t="shared" si="4"/>
        <v>1.2150668286755817E-2</v>
      </c>
      <c r="F141" s="34">
        <f>'Raw Data'!G137</f>
        <v>46038</v>
      </c>
      <c r="G141">
        <f>'Raw Data'!J137</f>
        <v>26046.9</v>
      </c>
      <c r="H141" s="36">
        <f t="shared" si="5"/>
        <v>9.290932894123749E-4</v>
      </c>
    </row>
    <row r="142" spans="2:8" x14ac:dyDescent="0.3">
      <c r="B142" s="34">
        <f>'Raw Data'!G138</f>
        <v>46036</v>
      </c>
      <c r="C142">
        <v>334.75</v>
      </c>
      <c r="D142" s="36">
        <f t="shared" si="4"/>
        <v>-1.6579536967886499E-2</v>
      </c>
      <c r="F142" s="34">
        <f>'Raw Data'!G138</f>
        <v>46036</v>
      </c>
      <c r="G142">
        <f>'Raw Data'!J138</f>
        <v>26109</v>
      </c>
      <c r="H142" s="36">
        <f t="shared" si="5"/>
        <v>-2.3784901758013843E-3</v>
      </c>
    </row>
    <row r="143" spans="2:8" x14ac:dyDescent="0.3">
      <c r="B143" s="34">
        <f>'Raw Data'!G139</f>
        <v>46035</v>
      </c>
      <c r="C143">
        <v>334.7</v>
      </c>
      <c r="D143" s="36">
        <f t="shared" si="4"/>
        <v>1.4938751120419091E-4</v>
      </c>
      <c r="F143" s="34">
        <f>'Raw Data'!G139</f>
        <v>46035</v>
      </c>
      <c r="G143">
        <f>'Raw Data'!J139</f>
        <v>25876</v>
      </c>
      <c r="H143" s="36">
        <f t="shared" si="5"/>
        <v>9.0044829185345066E-3</v>
      </c>
    </row>
    <row r="144" spans="2:8" x14ac:dyDescent="0.3">
      <c r="B144" s="34">
        <f>'Raw Data'!G140</f>
        <v>46034</v>
      </c>
      <c r="C144">
        <v>338.4</v>
      </c>
      <c r="D144" s="36">
        <f t="shared" si="4"/>
        <v>-1.0933806146572023E-2</v>
      </c>
      <c r="F144" s="34">
        <f>'Raw Data'!G140</f>
        <v>46034</v>
      </c>
      <c r="G144">
        <f>'Raw Data'!J140</f>
        <v>25933.599999999999</v>
      </c>
      <c r="H144" s="36">
        <f t="shared" si="5"/>
        <v>-2.221056852885761E-3</v>
      </c>
    </row>
    <row r="145" spans="2:8" x14ac:dyDescent="0.3">
      <c r="B145" s="34">
        <f>'Raw Data'!G141</f>
        <v>46031</v>
      </c>
      <c r="C145">
        <v>337.15</v>
      </c>
      <c r="D145" s="36">
        <f t="shared" si="4"/>
        <v>3.7075485688862209E-3</v>
      </c>
      <c r="F145" s="34">
        <f>'Raw Data'!G141</f>
        <v>46031</v>
      </c>
      <c r="G145">
        <f>'Raw Data'!J141</f>
        <v>26327.4</v>
      </c>
      <c r="H145" s="36">
        <f t="shared" si="5"/>
        <v>-1.4957800618367267E-2</v>
      </c>
    </row>
    <row r="146" spans="2:8" x14ac:dyDescent="0.3">
      <c r="B146" s="34">
        <f>'Raw Data'!G142</f>
        <v>46030</v>
      </c>
      <c r="C146">
        <v>340.9</v>
      </c>
      <c r="D146" s="36">
        <f t="shared" si="4"/>
        <v>-1.100029334115582E-2</v>
      </c>
      <c r="F146" s="34">
        <f>'Raw Data'!G142</f>
        <v>46030</v>
      </c>
      <c r="G146">
        <f>'Raw Data'!J142</f>
        <v>26567.7</v>
      </c>
      <c r="H146" s="36">
        <f t="shared" si="5"/>
        <v>-9.0448175792409158E-3</v>
      </c>
    </row>
    <row r="147" spans="2:8" x14ac:dyDescent="0.3">
      <c r="B147" s="34">
        <f>'Raw Data'!G143</f>
        <v>46029</v>
      </c>
      <c r="C147">
        <v>341.25</v>
      </c>
      <c r="D147" s="36">
        <f t="shared" si="4"/>
        <v>-1.0256410256410664E-3</v>
      </c>
      <c r="F147" s="34">
        <f>'Raw Data'!G143</f>
        <v>46029</v>
      </c>
      <c r="G147">
        <f>'Raw Data'!J143</f>
        <v>26285.1</v>
      </c>
      <c r="H147" s="36">
        <f t="shared" si="5"/>
        <v>1.0751338210621242E-2</v>
      </c>
    </row>
    <row r="148" spans="2:8" x14ac:dyDescent="0.3">
      <c r="B148" s="34">
        <f>'Raw Data'!G144</f>
        <v>46028</v>
      </c>
      <c r="C148">
        <v>342.45</v>
      </c>
      <c r="D148" s="36">
        <f t="shared" si="4"/>
        <v>-3.504161191414723E-3</v>
      </c>
      <c r="F148" s="34">
        <f>'Raw Data'!G144</f>
        <v>46028</v>
      </c>
      <c r="G148">
        <f>'Raw Data'!J144</f>
        <v>26331.3</v>
      </c>
      <c r="H148" s="36">
        <f t="shared" si="5"/>
        <v>-1.7545658588827839E-3</v>
      </c>
    </row>
    <row r="149" spans="2:8" x14ac:dyDescent="0.3">
      <c r="B149" s="34">
        <f>'Raw Data'!G145</f>
        <v>46027</v>
      </c>
      <c r="C149">
        <v>349.7</v>
      </c>
      <c r="D149" s="36">
        <f t="shared" si="4"/>
        <v>-2.0732056048041181E-2</v>
      </c>
      <c r="F149" s="34">
        <f>'Raw Data'!G145</f>
        <v>46027</v>
      </c>
      <c r="G149">
        <f>'Raw Data'!J145</f>
        <v>26591.5</v>
      </c>
      <c r="H149" s="36">
        <f t="shared" si="5"/>
        <v>-9.7850816990392442E-3</v>
      </c>
    </row>
    <row r="150" spans="2:8" x14ac:dyDescent="0.3">
      <c r="B150" s="34">
        <f>'Raw Data'!G146</f>
        <v>46024</v>
      </c>
      <c r="C150">
        <v>350.05</v>
      </c>
      <c r="D150" s="36">
        <f t="shared" si="4"/>
        <v>-9.99857163262452E-4</v>
      </c>
      <c r="F150" s="34">
        <f>'Raw Data'!G146</f>
        <v>46024</v>
      </c>
      <c r="G150">
        <f>'Raw Data'!J146</f>
        <v>26436.9</v>
      </c>
      <c r="H150" s="36">
        <f t="shared" si="5"/>
        <v>5.8478868551152807E-3</v>
      </c>
    </row>
    <row r="151" spans="2:8" x14ac:dyDescent="0.3">
      <c r="B151" s="34">
        <f>'Raw Data'!G147</f>
        <v>46023</v>
      </c>
      <c r="C151">
        <v>363.85</v>
      </c>
      <c r="D151" s="36">
        <f t="shared" si="4"/>
        <v>-3.7927717465988775E-2</v>
      </c>
      <c r="F151" s="34">
        <f>'Raw Data'!G147</f>
        <v>46023</v>
      </c>
      <c r="G151">
        <f>'Raw Data'!J147</f>
        <v>26296.3</v>
      </c>
      <c r="H151" s="36">
        <f t="shared" si="5"/>
        <v>5.3467598103156266E-3</v>
      </c>
    </row>
    <row r="152" spans="2:8" x14ac:dyDescent="0.3">
      <c r="B152" s="34">
        <f>'Raw Data'!G148</f>
        <v>46022</v>
      </c>
      <c r="C152">
        <v>403</v>
      </c>
      <c r="D152" s="36">
        <f t="shared" si="4"/>
        <v>-9.7146401985111597E-2</v>
      </c>
      <c r="F152" s="34">
        <f>'Raw Data'!G148</f>
        <v>46022</v>
      </c>
      <c r="G152">
        <f>'Raw Data'!J148</f>
        <v>26258.400000000001</v>
      </c>
      <c r="H152" s="36">
        <f t="shared" si="5"/>
        <v>1.4433476525606004E-3</v>
      </c>
    </row>
    <row r="153" spans="2:8" x14ac:dyDescent="0.3">
      <c r="B153" s="34">
        <f>'Raw Data'!G149</f>
        <v>46021</v>
      </c>
      <c r="C153">
        <v>400.6</v>
      </c>
      <c r="D153" s="36">
        <f t="shared" si="4"/>
        <v>5.9910134797802606E-3</v>
      </c>
      <c r="F153" s="34">
        <f>'Raw Data'!G149</f>
        <v>46021</v>
      </c>
      <c r="G153">
        <f>'Raw Data'!J149</f>
        <v>26265.4</v>
      </c>
      <c r="H153" s="36">
        <f t="shared" si="5"/>
        <v>-2.6651031394919755E-4</v>
      </c>
    </row>
    <row r="154" spans="2:8" x14ac:dyDescent="0.3">
      <c r="B154" s="34">
        <f>'Raw Data'!G150</f>
        <v>46020</v>
      </c>
      <c r="C154">
        <v>402.6</v>
      </c>
      <c r="D154" s="36">
        <f t="shared" si="4"/>
        <v>-4.9677098857426882E-3</v>
      </c>
      <c r="F154" s="34">
        <f>'Raw Data'!G150</f>
        <v>46020</v>
      </c>
      <c r="G154">
        <f>'Raw Data'!J150</f>
        <v>26060.2</v>
      </c>
      <c r="H154" s="36">
        <f t="shared" si="5"/>
        <v>7.8740761774660495E-3</v>
      </c>
    </row>
    <row r="155" spans="2:8" x14ac:dyDescent="0.3">
      <c r="B155" s="34">
        <f>'Raw Data'!G151</f>
        <v>46017</v>
      </c>
      <c r="C155">
        <v>404.15</v>
      </c>
      <c r="D155" s="36">
        <f t="shared" si="4"/>
        <v>-3.8352096993689022E-3</v>
      </c>
      <c r="F155" s="34">
        <f>'Raw Data'!G151</f>
        <v>46017</v>
      </c>
      <c r="G155">
        <f>'Raw Data'!J151</f>
        <v>26498.6</v>
      </c>
      <c r="H155" s="36">
        <f t="shared" si="5"/>
        <v>-1.6544270263334604E-2</v>
      </c>
    </row>
    <row r="156" spans="2:8" x14ac:dyDescent="0.3">
      <c r="B156" s="34">
        <f>'Raw Data'!G152</f>
        <v>46015</v>
      </c>
      <c r="C156">
        <v>406.6</v>
      </c>
      <c r="D156" s="36">
        <f t="shared" si="4"/>
        <v>-6.0255779636007034E-3</v>
      </c>
      <c r="F156" s="34">
        <f>'Raw Data'!G152</f>
        <v>46015</v>
      </c>
      <c r="G156">
        <f>'Raw Data'!J152</f>
        <v>26392.799999999999</v>
      </c>
      <c r="H156" s="36">
        <f t="shared" si="5"/>
        <v>4.0086690309477646E-3</v>
      </c>
    </row>
    <row r="157" spans="2:8" x14ac:dyDescent="0.3">
      <c r="B157" s="34">
        <f>'Raw Data'!G153</f>
        <v>46014</v>
      </c>
      <c r="C157">
        <v>407.35</v>
      </c>
      <c r="D157" s="36">
        <f t="shared" si="4"/>
        <v>-1.841168528292636E-3</v>
      </c>
      <c r="F157" s="34">
        <f>'Raw Data'!G153</f>
        <v>46014</v>
      </c>
      <c r="G157">
        <f>'Raw Data'!J153</f>
        <v>26197.9</v>
      </c>
      <c r="H157" s="36">
        <f t="shared" si="5"/>
        <v>7.4395275957233054E-3</v>
      </c>
    </row>
    <row r="158" spans="2:8" x14ac:dyDescent="0.3">
      <c r="B158" s="34">
        <f>'Raw Data'!G154</f>
        <v>46013</v>
      </c>
      <c r="C158">
        <v>402.7</v>
      </c>
      <c r="D158" s="36">
        <f t="shared" si="4"/>
        <v>1.154705736280115E-2</v>
      </c>
      <c r="F158" s="34">
        <f>'Raw Data'!G154</f>
        <v>46013</v>
      </c>
      <c r="G158">
        <f>'Raw Data'!J154</f>
        <v>26331.5</v>
      </c>
      <c r="H158" s="36">
        <f t="shared" si="5"/>
        <v>-5.0737709587376223E-3</v>
      </c>
    </row>
    <row r="159" spans="2:8" x14ac:dyDescent="0.3">
      <c r="B159" s="34">
        <f>'Raw Data'!G155</f>
        <v>46010</v>
      </c>
      <c r="C159">
        <v>401.05</v>
      </c>
      <c r="D159" s="36">
        <f t="shared" si="4"/>
        <v>4.11420022441078E-3</v>
      </c>
      <c r="F159" s="34">
        <f>'Raw Data'!G155</f>
        <v>46010</v>
      </c>
      <c r="G159">
        <f>'Raw Data'!J155</f>
        <v>25880.6</v>
      </c>
      <c r="H159" s="36">
        <f t="shared" si="5"/>
        <v>1.7422316329606113E-2</v>
      </c>
    </row>
    <row r="160" spans="2:8" x14ac:dyDescent="0.3">
      <c r="B160" s="34">
        <f>'Raw Data'!G156</f>
        <v>46009</v>
      </c>
      <c r="C160">
        <v>400.4</v>
      </c>
      <c r="D160" s="36">
        <f t="shared" si="4"/>
        <v>1.6233766233766378E-3</v>
      </c>
      <c r="F160" s="34">
        <f>'Raw Data'!G156</f>
        <v>46009</v>
      </c>
      <c r="G160">
        <f>'Raw Data'!J156</f>
        <v>26061.8</v>
      </c>
      <c r="H160" s="36">
        <f t="shared" si="5"/>
        <v>-6.9527047249230423E-3</v>
      </c>
    </row>
    <row r="161" spans="2:8" x14ac:dyDescent="0.3">
      <c r="B161" s="34">
        <f>'Raw Data'!G157</f>
        <v>46008</v>
      </c>
      <c r="C161">
        <v>399.8</v>
      </c>
      <c r="D161" s="36">
        <f t="shared" si="4"/>
        <v>1.5007503751875984E-3</v>
      </c>
      <c r="F161" s="34">
        <f>'Raw Data'!G157</f>
        <v>46008</v>
      </c>
      <c r="G161">
        <f>'Raw Data'!J157</f>
        <v>26112.9</v>
      </c>
      <c r="H161" s="36">
        <f t="shared" si="5"/>
        <v>-1.9568872090041101E-3</v>
      </c>
    </row>
    <row r="162" spans="2:8" x14ac:dyDescent="0.3">
      <c r="B162" s="34">
        <f>'Raw Data'!G158</f>
        <v>46007</v>
      </c>
      <c r="C162">
        <v>401.7</v>
      </c>
      <c r="D162" s="36">
        <f t="shared" si="4"/>
        <v>-4.729897933781424E-3</v>
      </c>
      <c r="F162" s="34">
        <f>'Raw Data'!G158</f>
        <v>46007</v>
      </c>
      <c r="G162">
        <f>'Raw Data'!J158</f>
        <v>26407.3</v>
      </c>
      <c r="H162" s="36">
        <f t="shared" si="5"/>
        <v>-1.1148432441029477E-2</v>
      </c>
    </row>
    <row r="163" spans="2:8" x14ac:dyDescent="0.3">
      <c r="B163" s="34">
        <f>'Raw Data'!G159</f>
        <v>46006</v>
      </c>
      <c r="C163">
        <v>402.3</v>
      </c>
      <c r="D163" s="36">
        <f t="shared" si="4"/>
        <v>-1.4914243102163161E-3</v>
      </c>
      <c r="F163" s="34">
        <f>'Raw Data'!G159</f>
        <v>46006</v>
      </c>
      <c r="G163">
        <f>'Raw Data'!J159</f>
        <v>26145.4</v>
      </c>
      <c r="H163" s="36">
        <f t="shared" si="5"/>
        <v>1.0017058450052296E-2</v>
      </c>
    </row>
    <row r="164" spans="2:8" x14ac:dyDescent="0.3">
      <c r="B164" s="34">
        <f>'Raw Data'!G160</f>
        <v>46003</v>
      </c>
      <c r="C164">
        <v>400.1</v>
      </c>
      <c r="D164" s="36">
        <f t="shared" si="4"/>
        <v>5.4986253436639654E-3</v>
      </c>
      <c r="F164" s="34">
        <f>'Raw Data'!G160</f>
        <v>46003</v>
      </c>
      <c r="G164">
        <f>'Raw Data'!J160</f>
        <v>26009.5</v>
      </c>
      <c r="H164" s="36">
        <f t="shared" si="5"/>
        <v>5.2250139372151949E-3</v>
      </c>
    </row>
    <row r="165" spans="2:8" x14ac:dyDescent="0.3">
      <c r="B165" s="34">
        <f>'Raw Data'!G161</f>
        <v>46002</v>
      </c>
      <c r="C165">
        <v>402.9</v>
      </c>
      <c r="D165" s="36">
        <f t="shared" si="4"/>
        <v>-6.949615289153499E-3</v>
      </c>
      <c r="F165" s="34">
        <f>'Raw Data'!G161</f>
        <v>46002</v>
      </c>
      <c r="G165">
        <f>'Raw Data'!J161</f>
        <v>26032.400000000001</v>
      </c>
      <c r="H165" s="36">
        <f t="shared" si="5"/>
        <v>-8.7967302284852611E-4</v>
      </c>
    </row>
    <row r="166" spans="2:8" x14ac:dyDescent="0.3">
      <c r="B166" s="34">
        <f>'Raw Data'!G162</f>
        <v>46001</v>
      </c>
      <c r="C166">
        <v>403.15</v>
      </c>
      <c r="D166" s="36">
        <f t="shared" si="4"/>
        <v>-6.2011658191740704E-4</v>
      </c>
      <c r="F166" s="34">
        <f>'Raw Data'!G162</f>
        <v>46001</v>
      </c>
      <c r="G166">
        <f>'Raw Data'!J162</f>
        <v>25960.2</v>
      </c>
      <c r="H166" s="36">
        <f t="shared" si="5"/>
        <v>2.7811804223387693E-3</v>
      </c>
    </row>
    <row r="167" spans="2:8" x14ac:dyDescent="0.3">
      <c r="B167" s="34">
        <f>'Raw Data'!G163</f>
        <v>46000</v>
      </c>
      <c r="C167">
        <v>401.05</v>
      </c>
      <c r="D167" s="36">
        <f t="shared" si="4"/>
        <v>5.2362548310682655E-3</v>
      </c>
      <c r="F167" s="34">
        <f>'Raw Data'!G163</f>
        <v>46000</v>
      </c>
      <c r="G167">
        <f>'Raw Data'!J163</f>
        <v>26064.7</v>
      </c>
      <c r="H167" s="36">
        <f t="shared" si="5"/>
        <v>-4.0092538951148615E-3</v>
      </c>
    </row>
    <row r="168" spans="2:8" x14ac:dyDescent="0.3">
      <c r="B168" s="34">
        <f>'Raw Data'!G164</f>
        <v>45999</v>
      </c>
      <c r="C168">
        <v>402.3</v>
      </c>
      <c r="D168" s="36">
        <f t="shared" si="4"/>
        <v>-3.1071339796171493E-3</v>
      </c>
      <c r="F168" s="34">
        <f>'Raw Data'!G164</f>
        <v>45999</v>
      </c>
      <c r="G168">
        <f>'Raw Data'!J164</f>
        <v>26333.200000000001</v>
      </c>
      <c r="H168" s="36">
        <f t="shared" si="5"/>
        <v>-1.0196254158248874E-2</v>
      </c>
    </row>
    <row r="169" spans="2:8" x14ac:dyDescent="0.3">
      <c r="B169" s="34">
        <f>'Raw Data'!G165</f>
        <v>45996</v>
      </c>
      <c r="C169">
        <v>404.95</v>
      </c>
      <c r="D169" s="36">
        <f t="shared" si="4"/>
        <v>-6.5440177799728216E-3</v>
      </c>
      <c r="F169" s="34">
        <f>'Raw Data'!G165</f>
        <v>45996</v>
      </c>
      <c r="G169">
        <f>'Raw Data'!J165</f>
        <v>26350.5</v>
      </c>
      <c r="H169" s="36">
        <f t="shared" si="5"/>
        <v>-6.5653403161225476E-4</v>
      </c>
    </row>
    <row r="170" spans="2:8" x14ac:dyDescent="0.3">
      <c r="B170" s="34">
        <f>'Raw Data'!G166</f>
        <v>45995</v>
      </c>
      <c r="C170">
        <v>403.05</v>
      </c>
      <c r="D170" s="36">
        <f t="shared" si="4"/>
        <v>4.714055328123079E-3</v>
      </c>
      <c r="F170" s="34">
        <f>'Raw Data'!G166</f>
        <v>45995</v>
      </c>
      <c r="G170">
        <f>'Raw Data'!J166</f>
        <v>26302.6</v>
      </c>
      <c r="H170" s="36">
        <f t="shared" si="5"/>
        <v>1.8211127417062656E-3</v>
      </c>
    </row>
    <row r="171" spans="2:8" x14ac:dyDescent="0.3">
      <c r="B171" s="34">
        <f>'Raw Data'!G167</f>
        <v>45994</v>
      </c>
      <c r="C171">
        <v>400.5</v>
      </c>
      <c r="D171" s="36">
        <f t="shared" si="4"/>
        <v>6.3670411985019548E-3</v>
      </c>
      <c r="F171" s="34">
        <f>'Raw Data'!G167</f>
        <v>45994</v>
      </c>
      <c r="G171">
        <f>'Raw Data'!J167</f>
        <v>26530</v>
      </c>
      <c r="H171" s="36">
        <f t="shared" si="5"/>
        <v>-8.5714285714286742E-3</v>
      </c>
    </row>
    <row r="172" spans="2:8" x14ac:dyDescent="0.3">
      <c r="B172" s="34">
        <f>'Raw Data'!G168</f>
        <v>45993</v>
      </c>
      <c r="C172">
        <v>400.95</v>
      </c>
      <c r="D172" s="36">
        <f t="shared" si="4"/>
        <v>-1.1223344556677839E-3</v>
      </c>
      <c r="F172" s="34">
        <f>'Raw Data'!G168</f>
        <v>45993</v>
      </c>
      <c r="G172">
        <f>'Raw Data'!J168</f>
        <v>26503.1</v>
      </c>
      <c r="H172" s="36">
        <f t="shared" si="5"/>
        <v>1.0149756066271109E-3</v>
      </c>
    </row>
    <row r="173" spans="2:8" x14ac:dyDescent="0.3">
      <c r="B173" s="34">
        <f>'Raw Data'!G169</f>
        <v>45992</v>
      </c>
      <c r="C173">
        <v>404.25</v>
      </c>
      <c r="D173" s="36">
        <f t="shared" si="4"/>
        <v>-8.1632653061224358E-3</v>
      </c>
      <c r="F173" s="34">
        <f>'Raw Data'!G169</f>
        <v>45992</v>
      </c>
      <c r="G173">
        <f>'Raw Data'!J169</f>
        <v>26387.4</v>
      </c>
      <c r="H173" s="36">
        <f t="shared" si="5"/>
        <v>4.3846684402402136E-3</v>
      </c>
    </row>
    <row r="174" spans="2:8" x14ac:dyDescent="0.3">
      <c r="B174" s="34">
        <f>'Raw Data'!G170</f>
        <v>45989</v>
      </c>
      <c r="C174">
        <v>404.25</v>
      </c>
      <c r="D174" s="36">
        <f t="shared" si="4"/>
        <v>0</v>
      </c>
      <c r="F174" s="34">
        <f>'Raw Data'!G170</f>
        <v>45989</v>
      </c>
      <c r="G174">
        <f>'Raw Data'!J170</f>
        <v>26699.1</v>
      </c>
      <c r="H174" s="36">
        <f t="shared" si="5"/>
        <v>-1.1674550827555863E-2</v>
      </c>
    </row>
    <row r="175" spans="2:8" x14ac:dyDescent="0.3">
      <c r="B175" s="34">
        <f>'Raw Data'!G171</f>
        <v>45988</v>
      </c>
      <c r="C175">
        <v>404.3</v>
      </c>
      <c r="D175" s="36">
        <f t="shared" si="4"/>
        <v>-1.2367054167694569E-4</v>
      </c>
      <c r="F175" s="34">
        <f>'Raw Data'!G171</f>
        <v>45988</v>
      </c>
      <c r="G175">
        <f>'Raw Data'!J171</f>
        <v>26381.200000000001</v>
      </c>
      <c r="H175" s="36">
        <f t="shared" si="5"/>
        <v>1.2050247903810263E-2</v>
      </c>
    </row>
    <row r="176" spans="2:8" x14ac:dyDescent="0.3">
      <c r="B176" s="34">
        <f>'Raw Data'!G172</f>
        <v>45987</v>
      </c>
      <c r="C176">
        <v>402.3</v>
      </c>
      <c r="D176" s="36">
        <f t="shared" si="4"/>
        <v>4.9714143673875721E-3</v>
      </c>
      <c r="F176" s="34">
        <f>'Raw Data'!G172</f>
        <v>45987</v>
      </c>
      <c r="G176">
        <f>'Raw Data'!J172</f>
        <v>25886.799999999999</v>
      </c>
      <c r="H176" s="36">
        <f t="shared" si="5"/>
        <v>1.9098536705965952E-2</v>
      </c>
    </row>
    <row r="177" spans="2:8" x14ac:dyDescent="0.3">
      <c r="B177" s="34">
        <f>'Raw Data'!G173</f>
        <v>45986</v>
      </c>
      <c r="C177">
        <v>400.8</v>
      </c>
      <c r="D177" s="36">
        <f t="shared" si="4"/>
        <v>3.7425149700598404E-3</v>
      </c>
      <c r="F177" s="34">
        <f>'Raw Data'!G173</f>
        <v>45986</v>
      </c>
      <c r="G177">
        <f>'Raw Data'!J173</f>
        <v>26358.6</v>
      </c>
      <c r="H177" s="36">
        <f t="shared" si="5"/>
        <v>-1.789928144893882E-2</v>
      </c>
    </row>
    <row r="178" spans="2:8" x14ac:dyDescent="0.3">
      <c r="B178" s="34">
        <f>'Raw Data'!G174</f>
        <v>45985</v>
      </c>
      <c r="C178">
        <v>403.55</v>
      </c>
      <c r="D178" s="36">
        <f t="shared" si="4"/>
        <v>-6.8145211250154603E-3</v>
      </c>
      <c r="F178" s="34">
        <f>'Raw Data'!G174</f>
        <v>45985</v>
      </c>
      <c r="G178">
        <f>'Raw Data'!J174</f>
        <v>26077.5</v>
      </c>
      <c r="H178" s="36">
        <f t="shared" si="5"/>
        <v>1.0779407535231433E-2</v>
      </c>
    </row>
    <row r="179" spans="2:8" x14ac:dyDescent="0.3">
      <c r="B179" s="34">
        <f>'Raw Data'!G175</f>
        <v>45982</v>
      </c>
      <c r="C179">
        <v>407.85</v>
      </c>
      <c r="D179" s="36">
        <f t="shared" si="4"/>
        <v>-1.0543091822974193E-2</v>
      </c>
      <c r="F179" s="34">
        <f>'Raw Data'!G175</f>
        <v>45982</v>
      </c>
      <c r="G179">
        <f>'Raw Data'!J175</f>
        <v>26220.799999999999</v>
      </c>
      <c r="H179" s="36">
        <f t="shared" si="5"/>
        <v>-5.4651269221380749E-3</v>
      </c>
    </row>
    <row r="180" spans="2:8" x14ac:dyDescent="0.3">
      <c r="B180" s="34">
        <f>'Raw Data'!G176</f>
        <v>45981</v>
      </c>
      <c r="C180">
        <v>405.45</v>
      </c>
      <c r="D180" s="36">
        <f t="shared" si="4"/>
        <v>5.9193488716242637E-3</v>
      </c>
      <c r="F180" s="34">
        <f>'Raw Data'!G176</f>
        <v>45981</v>
      </c>
      <c r="G180">
        <f>'Raw Data'!J176</f>
        <v>26415</v>
      </c>
      <c r="H180" s="36">
        <f t="shared" si="5"/>
        <v>-7.3518833995835919E-3</v>
      </c>
    </row>
    <row r="181" spans="2:8" x14ac:dyDescent="0.3">
      <c r="B181" s="34">
        <f>'Raw Data'!G177</f>
        <v>45980</v>
      </c>
      <c r="C181">
        <v>403.55</v>
      </c>
      <c r="D181" s="36">
        <f t="shared" si="4"/>
        <v>4.70821459546511E-3</v>
      </c>
      <c r="F181" s="34">
        <f>'Raw Data'!G177</f>
        <v>45980</v>
      </c>
      <c r="G181">
        <f>'Raw Data'!J177</f>
        <v>26316.400000000001</v>
      </c>
      <c r="H181" s="36">
        <f t="shared" si="5"/>
        <v>3.7467130762565137E-3</v>
      </c>
    </row>
    <row r="182" spans="2:8" x14ac:dyDescent="0.3">
      <c r="B182" s="34">
        <f>'Raw Data'!G178</f>
        <v>45979</v>
      </c>
      <c r="C182">
        <v>405.85</v>
      </c>
      <c r="D182" s="36">
        <f t="shared" si="4"/>
        <v>-5.6671183934952074E-3</v>
      </c>
      <c r="F182" s="34">
        <f>'Raw Data'!G178</f>
        <v>45979</v>
      </c>
      <c r="G182">
        <f>'Raw Data'!J178</f>
        <v>26240</v>
      </c>
      <c r="H182" s="36">
        <f t="shared" si="5"/>
        <v>2.911585365853675E-3</v>
      </c>
    </row>
    <row r="183" spans="2:8" x14ac:dyDescent="0.3">
      <c r="B183" s="34">
        <f>'Raw Data'!G179</f>
        <v>45978</v>
      </c>
      <c r="C183">
        <v>407.1</v>
      </c>
      <c r="D183" s="36">
        <f t="shared" si="4"/>
        <v>-3.0704986489805686E-3</v>
      </c>
      <c r="F183" s="34">
        <f>'Raw Data'!G179</f>
        <v>45978</v>
      </c>
      <c r="G183">
        <f>'Raw Data'!J179</f>
        <v>25951.4</v>
      </c>
      <c r="H183" s="36">
        <f t="shared" si="5"/>
        <v>1.1120787317832503E-2</v>
      </c>
    </row>
    <row r="184" spans="2:8" x14ac:dyDescent="0.3">
      <c r="B184" s="34">
        <f>'Raw Data'!G180</f>
        <v>45975</v>
      </c>
      <c r="C184">
        <v>408.15</v>
      </c>
      <c r="D184" s="36">
        <f t="shared" si="4"/>
        <v>-2.5725836089671716E-3</v>
      </c>
      <c r="F184" s="34">
        <f>'Raw Data'!G180</f>
        <v>45975</v>
      </c>
      <c r="G184">
        <f>'Raw Data'!J180</f>
        <v>26134.9</v>
      </c>
      <c r="H184" s="36">
        <f t="shared" si="5"/>
        <v>-7.0212627559317342E-3</v>
      </c>
    </row>
    <row r="185" spans="2:8" x14ac:dyDescent="0.3">
      <c r="B185" s="34">
        <f>'Raw Data'!G181</f>
        <v>45974</v>
      </c>
      <c r="C185">
        <v>405.7</v>
      </c>
      <c r="D185" s="36">
        <f t="shared" si="4"/>
        <v>6.0389450332758443E-3</v>
      </c>
      <c r="F185" s="34">
        <f>'Raw Data'!G181</f>
        <v>45974</v>
      </c>
      <c r="G185">
        <f>'Raw Data'!J181</f>
        <v>25986.1</v>
      </c>
      <c r="H185" s="36">
        <f t="shared" si="5"/>
        <v>5.7261382046556175E-3</v>
      </c>
    </row>
    <row r="186" spans="2:8" x14ac:dyDescent="0.3">
      <c r="B186" s="34">
        <f>'Raw Data'!G182</f>
        <v>45973</v>
      </c>
      <c r="C186">
        <v>407</v>
      </c>
      <c r="D186" s="36">
        <f t="shared" si="4"/>
        <v>-3.1941031941031817E-3</v>
      </c>
      <c r="F186" s="34">
        <f>'Raw Data'!G182</f>
        <v>45973</v>
      </c>
      <c r="G186">
        <f>'Raw Data'!J182</f>
        <v>26165</v>
      </c>
      <c r="H186" s="36">
        <f t="shared" si="5"/>
        <v>-6.8373781769539566E-3</v>
      </c>
    </row>
    <row r="187" spans="2:8" x14ac:dyDescent="0.3">
      <c r="B187" s="34">
        <f>'Raw Data'!G183</f>
        <v>45972</v>
      </c>
      <c r="C187">
        <v>406.85</v>
      </c>
      <c r="D187" s="36">
        <f t="shared" si="4"/>
        <v>3.6868624800279193E-4</v>
      </c>
      <c r="F187" s="34">
        <f>'Raw Data'!G183</f>
        <v>45972</v>
      </c>
      <c r="G187">
        <f>'Raw Data'!J183</f>
        <v>25882.9</v>
      </c>
      <c r="H187" s="36">
        <f t="shared" si="5"/>
        <v>1.0899087814734809E-2</v>
      </c>
    </row>
    <row r="188" spans="2:8" x14ac:dyDescent="0.3">
      <c r="B188" s="34">
        <f>'Raw Data'!G184</f>
        <v>45971</v>
      </c>
      <c r="C188">
        <v>405.55</v>
      </c>
      <c r="D188" s="36">
        <f t="shared" si="4"/>
        <v>3.2055233633336844E-3</v>
      </c>
      <c r="F188" s="34">
        <f>'Raw Data'!G184</f>
        <v>45971</v>
      </c>
      <c r="G188">
        <f>'Raw Data'!J184</f>
        <v>25589.200000000001</v>
      </c>
      <c r="H188" s="36">
        <f t="shared" si="5"/>
        <v>1.1477498319603541E-2</v>
      </c>
    </row>
    <row r="189" spans="2:8" x14ac:dyDescent="0.3">
      <c r="B189" s="34">
        <f>'Raw Data'!G185</f>
        <v>45968</v>
      </c>
      <c r="C189">
        <v>404.05</v>
      </c>
      <c r="D189" s="36">
        <f t="shared" si="4"/>
        <v>3.7124118302189757E-3</v>
      </c>
      <c r="F189" s="34">
        <f>'Raw Data'!G185</f>
        <v>45968</v>
      </c>
      <c r="G189">
        <f>'Raw Data'!J185</f>
        <v>25807.1</v>
      </c>
      <c r="H189" s="36">
        <f t="shared" si="5"/>
        <v>-8.4434128592518753E-3</v>
      </c>
    </row>
    <row r="190" spans="2:8" x14ac:dyDescent="0.3">
      <c r="B190" s="34">
        <f>'Raw Data'!G186</f>
        <v>45967</v>
      </c>
      <c r="C190">
        <v>407.5</v>
      </c>
      <c r="D190" s="36">
        <f t="shared" si="4"/>
        <v>-8.4662576687116742E-3</v>
      </c>
      <c r="F190" s="34">
        <f>'Raw Data'!G186</f>
        <v>45967</v>
      </c>
      <c r="G190">
        <f>'Raw Data'!J186</f>
        <v>25708.3</v>
      </c>
      <c r="H190" s="36">
        <f t="shared" si="5"/>
        <v>3.8431168144139605E-3</v>
      </c>
    </row>
    <row r="191" spans="2:8" x14ac:dyDescent="0.3">
      <c r="B191" s="34">
        <f>'Raw Data'!G187</f>
        <v>45965</v>
      </c>
      <c r="C191">
        <v>408.9</v>
      </c>
      <c r="D191" s="36">
        <f t="shared" si="4"/>
        <v>-3.4238200048911649E-3</v>
      </c>
      <c r="F191" s="34">
        <f>'Raw Data'!G187</f>
        <v>45965</v>
      </c>
      <c r="G191">
        <f>'Raw Data'!J187</f>
        <v>25898.9</v>
      </c>
      <c r="H191" s="36">
        <f t="shared" si="5"/>
        <v>-7.3593859198654021E-3</v>
      </c>
    </row>
    <row r="192" spans="2:8" x14ac:dyDescent="0.3">
      <c r="B192" s="34">
        <f>'Raw Data'!G188</f>
        <v>45964</v>
      </c>
      <c r="C192">
        <v>413.95</v>
      </c>
      <c r="D192" s="36">
        <f t="shared" si="4"/>
        <v>-1.2199541007368087E-2</v>
      </c>
      <c r="F192" s="34">
        <f>'Raw Data'!G188</f>
        <v>45964</v>
      </c>
      <c r="G192">
        <f>'Raw Data'!J188</f>
        <v>26088.5</v>
      </c>
      <c r="H192" s="36">
        <f t="shared" si="5"/>
        <v>-7.2675700021082035E-3</v>
      </c>
    </row>
    <row r="193" spans="2:8" x14ac:dyDescent="0.3">
      <c r="B193" s="34">
        <f>'Raw Data'!G189</f>
        <v>45961</v>
      </c>
      <c r="C193">
        <v>420.35</v>
      </c>
      <c r="D193" s="36">
        <f t="shared" si="4"/>
        <v>-1.5225407398596458E-2</v>
      </c>
      <c r="F193" s="34">
        <f>'Raw Data'!G189</f>
        <v>45961</v>
      </c>
      <c r="G193">
        <f>'Raw Data'!J189</f>
        <v>26031.599999999999</v>
      </c>
      <c r="H193" s="36">
        <f t="shared" si="5"/>
        <v>2.1858049447593952E-3</v>
      </c>
    </row>
    <row r="194" spans="2:8" x14ac:dyDescent="0.3">
      <c r="B194" s="34">
        <f>'Raw Data'!G190</f>
        <v>45960</v>
      </c>
      <c r="C194">
        <v>418.75</v>
      </c>
      <c r="D194" s="36">
        <f t="shared" si="4"/>
        <v>3.8208955223881791E-3</v>
      </c>
      <c r="F194" s="34">
        <f>'Raw Data'!G190</f>
        <v>45960</v>
      </c>
      <c r="G194">
        <f>'Raw Data'!J190</f>
        <v>26577.4</v>
      </c>
      <c r="H194" s="36">
        <f t="shared" si="5"/>
        <v>-2.0536245080406745E-2</v>
      </c>
    </row>
    <row r="195" spans="2:8" x14ac:dyDescent="0.3">
      <c r="B195" s="34">
        <f>'Raw Data'!G191</f>
        <v>45959</v>
      </c>
      <c r="C195">
        <v>421.6</v>
      </c>
      <c r="D195" s="36">
        <f t="shared" si="4"/>
        <v>-6.7599620493359325E-3</v>
      </c>
      <c r="F195" s="34">
        <f>'Raw Data'!G191</f>
        <v>45959</v>
      </c>
      <c r="G195">
        <f>'Raw Data'!J191</f>
        <v>26090.1</v>
      </c>
      <c r="H195" s="36">
        <f t="shared" si="5"/>
        <v>1.8677582684619942E-2</v>
      </c>
    </row>
    <row r="196" spans="2:8" x14ac:dyDescent="0.3">
      <c r="B196" s="34">
        <f>'Raw Data'!G192</f>
        <v>45958</v>
      </c>
      <c r="C196">
        <v>417.9</v>
      </c>
      <c r="D196" s="36">
        <f t="shared" si="4"/>
        <v>8.8537927733909338E-3</v>
      </c>
      <c r="F196" s="34">
        <f>'Raw Data'!G192</f>
        <v>45958</v>
      </c>
      <c r="G196">
        <f>'Raw Data'!J192</f>
        <v>26347.3</v>
      </c>
      <c r="H196" s="36">
        <f t="shared" si="5"/>
        <v>-9.7619110876636661E-3</v>
      </c>
    </row>
    <row r="197" spans="2:8" x14ac:dyDescent="0.3">
      <c r="B197" s="34">
        <f>'Raw Data'!G193</f>
        <v>45957</v>
      </c>
      <c r="C197">
        <v>420.65</v>
      </c>
      <c r="D197" s="36">
        <f t="shared" si="4"/>
        <v>-6.5375014857957936E-3</v>
      </c>
      <c r="F197" s="34">
        <f>'Raw Data'!G193</f>
        <v>45957</v>
      </c>
      <c r="G197">
        <f>'Raw Data'!J193</f>
        <v>26130.2</v>
      </c>
      <c r="H197" s="36">
        <f t="shared" si="5"/>
        <v>8.3083941186825605E-3</v>
      </c>
    </row>
    <row r="198" spans="2:8" x14ac:dyDescent="0.3">
      <c r="B198" s="34">
        <f>'Raw Data'!G194</f>
        <v>45954</v>
      </c>
      <c r="C198">
        <v>416.8</v>
      </c>
      <c r="D198" s="36">
        <f t="shared" si="4"/>
        <v>9.237044145873341E-3</v>
      </c>
      <c r="F198" s="34">
        <f>'Raw Data'!G194</f>
        <v>45954</v>
      </c>
      <c r="G198">
        <f>'Raw Data'!J194</f>
        <v>26279.8</v>
      </c>
      <c r="H198" s="36">
        <f t="shared" si="5"/>
        <v>-5.6925851794914495E-3</v>
      </c>
    </row>
    <row r="199" spans="2:8" x14ac:dyDescent="0.3">
      <c r="B199" s="34">
        <f>'Raw Data'!G195</f>
        <v>45953</v>
      </c>
      <c r="C199">
        <v>415.95</v>
      </c>
      <c r="D199" s="36">
        <f t="shared" si="4"/>
        <v>2.0435148455344443E-3</v>
      </c>
      <c r="F199" s="34">
        <f>'Raw Data'!G195</f>
        <v>45953</v>
      </c>
      <c r="G199">
        <f>'Raw Data'!J195</f>
        <v>26194.799999999999</v>
      </c>
      <c r="H199" s="36">
        <f t="shared" si="5"/>
        <v>3.2449188388534722E-3</v>
      </c>
    </row>
    <row r="200" spans="2:8" x14ac:dyDescent="0.3">
      <c r="B200" s="34">
        <f>'Raw Data'!G196</f>
        <v>45951</v>
      </c>
      <c r="C200">
        <v>412.85</v>
      </c>
      <c r="D200" s="36">
        <f t="shared" si="4"/>
        <v>7.5087804287270465E-3</v>
      </c>
      <c r="F200" s="34">
        <f>'Raw Data'!G196</f>
        <v>45951</v>
      </c>
      <c r="G200">
        <f>'Raw Data'!J196</f>
        <v>26046.3</v>
      </c>
      <c r="H200" s="36">
        <f t="shared" si="5"/>
        <v>5.7013856094723092E-3</v>
      </c>
    </row>
    <row r="201" spans="2:8" x14ac:dyDescent="0.3">
      <c r="B201" s="34">
        <f>'Raw Data'!G197</f>
        <v>45950</v>
      </c>
      <c r="C201">
        <v>413.05</v>
      </c>
      <c r="D201" s="36">
        <f t="shared" si="4"/>
        <v>-4.8420288100714526E-4</v>
      </c>
      <c r="F201" s="34">
        <f>'Raw Data'!G197</f>
        <v>45950</v>
      </c>
      <c r="G201">
        <f>'Raw Data'!J197</f>
        <v>25757.8</v>
      </c>
      <c r="H201" s="36">
        <f t="shared" si="5"/>
        <v>1.1200490725139511E-2</v>
      </c>
    </row>
    <row r="202" spans="2:8" x14ac:dyDescent="0.3">
      <c r="B202" s="34">
        <f>'Raw Data'!G198</f>
        <v>45947</v>
      </c>
      <c r="C202">
        <v>412.15</v>
      </c>
      <c r="D202" s="36">
        <f t="shared" si="4"/>
        <v>2.183670993570308E-3</v>
      </c>
      <c r="F202" s="34">
        <f>'Raw Data'!G198</f>
        <v>45947</v>
      </c>
      <c r="G202">
        <f>'Raw Data'!J198</f>
        <v>25943.1</v>
      </c>
      <c r="H202" s="36">
        <f t="shared" si="5"/>
        <v>-7.142554282256186E-3</v>
      </c>
    </row>
    <row r="203" spans="2:8" x14ac:dyDescent="0.3">
      <c r="B203" s="34">
        <f>'Raw Data'!G199</f>
        <v>45946</v>
      </c>
      <c r="C203">
        <v>405.15</v>
      </c>
      <c r="D203" s="36">
        <f t="shared" si="4"/>
        <v>1.72775515241268E-2</v>
      </c>
      <c r="F203" s="34">
        <f>'Raw Data'!G199</f>
        <v>45946</v>
      </c>
      <c r="G203">
        <f>'Raw Data'!J199</f>
        <v>25713.599999999999</v>
      </c>
      <c r="H203" s="36">
        <f t="shared" si="5"/>
        <v>8.925238006346925E-3</v>
      </c>
    </row>
    <row r="204" spans="2:8" x14ac:dyDescent="0.3">
      <c r="B204" s="34">
        <f>'Raw Data'!G200</f>
        <v>45945</v>
      </c>
      <c r="C204">
        <v>399.9</v>
      </c>
      <c r="D204" s="36">
        <f t="shared" ref="D204:D252" si="6">C203/C204-1</f>
        <v>1.3128282070517638E-2</v>
      </c>
      <c r="F204" s="34">
        <f>'Raw Data'!G200</f>
        <v>45945</v>
      </c>
      <c r="G204">
        <f>'Raw Data'!J200</f>
        <v>25503.4</v>
      </c>
      <c r="H204" s="36">
        <f t="shared" ref="H204:H252" si="7">G203/G204-1</f>
        <v>8.2420383164596434E-3</v>
      </c>
    </row>
    <row r="205" spans="2:8" x14ac:dyDescent="0.3">
      <c r="B205" s="34">
        <f>'Raw Data'!G201</f>
        <v>45944</v>
      </c>
      <c r="C205">
        <v>396.8</v>
      </c>
      <c r="D205" s="36">
        <f t="shared" si="6"/>
        <v>7.8125E-3</v>
      </c>
      <c r="F205" s="34">
        <f>'Raw Data'!G201</f>
        <v>45944</v>
      </c>
      <c r="G205">
        <f>'Raw Data'!J201</f>
        <v>25309.3</v>
      </c>
      <c r="H205" s="36">
        <f t="shared" si="7"/>
        <v>7.6691176761112256E-3</v>
      </c>
    </row>
    <row r="206" spans="2:8" x14ac:dyDescent="0.3">
      <c r="B206" s="34">
        <f>'Raw Data'!G202</f>
        <v>45943</v>
      </c>
      <c r="C206">
        <v>399.25</v>
      </c>
      <c r="D206" s="36">
        <f t="shared" si="6"/>
        <v>-6.1365059486536699E-3</v>
      </c>
      <c r="F206" s="34">
        <f>'Raw Data'!G202</f>
        <v>45943</v>
      </c>
      <c r="G206">
        <f>'Raw Data'!J202</f>
        <v>25540.1</v>
      </c>
      <c r="H206" s="36">
        <f t="shared" si="7"/>
        <v>-9.036769628936403E-3</v>
      </c>
    </row>
    <row r="207" spans="2:8" x14ac:dyDescent="0.3">
      <c r="B207" s="34">
        <f>'Raw Data'!G203</f>
        <v>45940</v>
      </c>
      <c r="C207">
        <v>402.8</v>
      </c>
      <c r="D207" s="36">
        <f t="shared" si="6"/>
        <v>-8.8133068520357405E-3</v>
      </c>
      <c r="F207" s="34">
        <f>'Raw Data'!G203</f>
        <v>45940</v>
      </c>
      <c r="G207">
        <f>'Raw Data'!J203</f>
        <v>25403</v>
      </c>
      <c r="H207" s="36">
        <f t="shared" si="7"/>
        <v>5.3970003542889167E-3</v>
      </c>
    </row>
    <row r="208" spans="2:8" x14ac:dyDescent="0.3">
      <c r="B208" s="34">
        <f>'Raw Data'!G204</f>
        <v>45939</v>
      </c>
      <c r="C208">
        <v>399.9</v>
      </c>
      <c r="D208" s="36">
        <f t="shared" si="6"/>
        <v>7.2518129532384012E-3</v>
      </c>
      <c r="F208" s="34">
        <f>'Raw Data'!G204</f>
        <v>45939</v>
      </c>
      <c r="G208">
        <f>'Raw Data'!J204</f>
        <v>25247.7</v>
      </c>
      <c r="H208" s="36">
        <f t="shared" si="7"/>
        <v>6.1510553436550097E-3</v>
      </c>
    </row>
    <row r="209" spans="2:8" x14ac:dyDescent="0.3">
      <c r="B209" s="34">
        <f>'Raw Data'!G205</f>
        <v>45938</v>
      </c>
      <c r="C209">
        <v>399.75</v>
      </c>
      <c r="D209" s="36">
        <f t="shared" si="6"/>
        <v>3.7523452157595116E-4</v>
      </c>
      <c r="F209" s="34">
        <f>'Raw Data'!G205</f>
        <v>45938</v>
      </c>
      <c r="G209">
        <f>'Raw Data'!J205</f>
        <v>25514.5</v>
      </c>
      <c r="H209" s="36">
        <f t="shared" si="7"/>
        <v>-1.0456799075035716E-2</v>
      </c>
    </row>
    <row r="210" spans="2:8" x14ac:dyDescent="0.3">
      <c r="B210" s="34">
        <f>'Raw Data'!G206</f>
        <v>45937</v>
      </c>
      <c r="C210">
        <v>399.8</v>
      </c>
      <c r="D210" s="36">
        <f t="shared" si="6"/>
        <v>-1.250625312656517E-4</v>
      </c>
      <c r="F210" s="34">
        <f>'Raw Data'!G206</f>
        <v>45937</v>
      </c>
      <c r="G210">
        <f>'Raw Data'!J206</f>
        <v>25314.2</v>
      </c>
      <c r="H210" s="36">
        <f t="shared" si="7"/>
        <v>7.9125550086511787E-3</v>
      </c>
    </row>
    <row r="211" spans="2:8" x14ac:dyDescent="0.3">
      <c r="B211" s="34">
        <f>'Raw Data'!G207</f>
        <v>45936</v>
      </c>
      <c r="C211">
        <v>400.75</v>
      </c>
      <c r="D211" s="36">
        <f t="shared" si="6"/>
        <v>-2.370555208983105E-3</v>
      </c>
      <c r="F211" s="34">
        <f>'Raw Data'!G207</f>
        <v>45936</v>
      </c>
      <c r="G211">
        <f>'Raw Data'!J207</f>
        <v>25290.7</v>
      </c>
      <c r="H211" s="36">
        <f t="shared" si="7"/>
        <v>9.2919531685553558E-4</v>
      </c>
    </row>
    <row r="212" spans="2:8" x14ac:dyDescent="0.3">
      <c r="B212" s="34">
        <f>'Raw Data'!G208</f>
        <v>45933</v>
      </c>
      <c r="C212">
        <v>404.3</v>
      </c>
      <c r="D212" s="36">
        <f t="shared" si="6"/>
        <v>-8.7806084590650313E-3</v>
      </c>
      <c r="F212" s="34">
        <f>'Raw Data'!G208</f>
        <v>45933</v>
      </c>
      <c r="G212">
        <f>'Raw Data'!J208</f>
        <v>24967.200000000001</v>
      </c>
      <c r="H212" s="36">
        <f t="shared" si="7"/>
        <v>1.2956999583453532E-2</v>
      </c>
    </row>
    <row r="213" spans="2:8" x14ac:dyDescent="0.3">
      <c r="B213" s="34">
        <f>'Raw Data'!G209</f>
        <v>45931</v>
      </c>
      <c r="C213">
        <v>405.6</v>
      </c>
      <c r="D213" s="36">
        <f t="shared" si="6"/>
        <v>-3.2051282051281937E-3</v>
      </c>
      <c r="F213" s="34">
        <f>'Raw Data'!G209</f>
        <v>45931</v>
      </c>
      <c r="G213">
        <f>'Raw Data'!J209</f>
        <v>24914.3</v>
      </c>
      <c r="H213" s="36">
        <f t="shared" si="7"/>
        <v>2.1232785990374925E-3</v>
      </c>
    </row>
    <row r="214" spans="2:8" x14ac:dyDescent="0.3">
      <c r="B214" s="34">
        <f>'Raw Data'!G210</f>
        <v>45930</v>
      </c>
      <c r="C214">
        <v>401.55</v>
      </c>
      <c r="D214" s="36">
        <f t="shared" si="6"/>
        <v>1.0085917071348538E-2</v>
      </c>
      <c r="F214" s="34">
        <f>'Raw Data'!G210</f>
        <v>45930</v>
      </c>
      <c r="G214">
        <f>'Raw Data'!J210</f>
        <v>24944.799999999999</v>
      </c>
      <c r="H214" s="36">
        <f t="shared" si="7"/>
        <v>-1.2226997209838775E-3</v>
      </c>
    </row>
    <row r="215" spans="2:8" x14ac:dyDescent="0.3">
      <c r="B215" s="34">
        <f>'Raw Data'!G211</f>
        <v>45929</v>
      </c>
      <c r="C215">
        <v>407.25</v>
      </c>
      <c r="D215" s="36">
        <f t="shared" si="6"/>
        <v>-1.3996316758747684E-2</v>
      </c>
      <c r="F215" s="34">
        <f>'Raw Data'!G211</f>
        <v>45929</v>
      </c>
      <c r="G215">
        <f>'Raw Data'!J211</f>
        <v>24812</v>
      </c>
      <c r="H215" s="36">
        <f t="shared" si="7"/>
        <v>5.3522489118167371E-3</v>
      </c>
    </row>
    <row r="216" spans="2:8" x14ac:dyDescent="0.3">
      <c r="B216" s="34">
        <f>'Raw Data'!G212</f>
        <v>45926</v>
      </c>
      <c r="C216">
        <v>405.1</v>
      </c>
      <c r="D216" s="36">
        <f t="shared" si="6"/>
        <v>5.3073315230807161E-3</v>
      </c>
      <c r="F216" s="34">
        <f>'Raw Data'!G212</f>
        <v>45926</v>
      </c>
      <c r="G216">
        <f>'Raw Data'!J212</f>
        <v>25093.7</v>
      </c>
      <c r="H216" s="36">
        <f t="shared" si="7"/>
        <v>-1.122592523222965E-2</v>
      </c>
    </row>
    <row r="217" spans="2:8" x14ac:dyDescent="0.3">
      <c r="B217" s="34">
        <f>'Raw Data'!G213</f>
        <v>45925</v>
      </c>
      <c r="C217">
        <v>400.1</v>
      </c>
      <c r="D217" s="36">
        <f t="shared" si="6"/>
        <v>1.2496875781054628E-2</v>
      </c>
      <c r="F217" s="34">
        <f>'Raw Data'!G213</f>
        <v>45925</v>
      </c>
      <c r="G217">
        <f>'Raw Data'!J213</f>
        <v>25373.599999999999</v>
      </c>
      <c r="H217" s="36">
        <f t="shared" si="7"/>
        <v>-1.1031150487120334E-2</v>
      </c>
    </row>
    <row r="218" spans="2:8" x14ac:dyDescent="0.3">
      <c r="B218" s="34">
        <f>'Raw Data'!G214</f>
        <v>45924</v>
      </c>
      <c r="C218">
        <v>401</v>
      </c>
      <c r="D218" s="36">
        <f t="shared" si="6"/>
        <v>-2.2443890274314038E-3</v>
      </c>
      <c r="F218" s="34">
        <f>'Raw Data'!G214</f>
        <v>45924</v>
      </c>
      <c r="G218">
        <f>'Raw Data'!J214</f>
        <v>25383.3</v>
      </c>
      <c r="H218" s="36">
        <f t="shared" si="7"/>
        <v>-3.8214101397382461E-4</v>
      </c>
    </row>
    <row r="219" spans="2:8" x14ac:dyDescent="0.3">
      <c r="B219" s="34">
        <f>'Raw Data'!G215</f>
        <v>45923</v>
      </c>
      <c r="C219">
        <v>403.2</v>
      </c>
      <c r="D219" s="36">
        <f t="shared" si="6"/>
        <v>-5.456349206349187E-3</v>
      </c>
      <c r="F219" s="34">
        <f>'Raw Data'!G215</f>
        <v>45923</v>
      </c>
      <c r="G219">
        <f>'Raw Data'!J215</f>
        <v>25403.4</v>
      </c>
      <c r="H219" s="36">
        <f t="shared" si="7"/>
        <v>-7.9123266964276073E-4</v>
      </c>
    </row>
    <row r="220" spans="2:8" x14ac:dyDescent="0.3">
      <c r="B220" s="34">
        <f>'Raw Data'!G216</f>
        <v>45922</v>
      </c>
      <c r="C220">
        <v>406.95</v>
      </c>
      <c r="D220" s="36">
        <f t="shared" si="6"/>
        <v>-9.2148912642830982E-3</v>
      </c>
      <c r="F220" s="34">
        <f>'Raw Data'!G216</f>
        <v>45922</v>
      </c>
      <c r="G220">
        <f>'Raw Data'!J216</f>
        <v>25534.5</v>
      </c>
      <c r="H220" s="36">
        <f t="shared" si="7"/>
        <v>-5.1342301591963402E-3</v>
      </c>
    </row>
    <row r="221" spans="2:8" x14ac:dyDescent="0.3">
      <c r="B221" s="34">
        <f>'Raw Data'!G217</f>
        <v>45919</v>
      </c>
      <c r="C221">
        <v>410.65</v>
      </c>
      <c r="D221" s="36">
        <f t="shared" si="6"/>
        <v>-9.0101059296237018E-3</v>
      </c>
      <c r="F221" s="34">
        <f>'Raw Data'!G217</f>
        <v>45919</v>
      </c>
      <c r="G221">
        <f>'Raw Data'!J217</f>
        <v>25510.9</v>
      </c>
      <c r="H221" s="36">
        <f t="shared" si="7"/>
        <v>9.2509476341473551E-4</v>
      </c>
    </row>
    <row r="222" spans="2:8" x14ac:dyDescent="0.3">
      <c r="B222" s="34">
        <f>'Raw Data'!G218</f>
        <v>45918</v>
      </c>
      <c r="C222">
        <v>411.55</v>
      </c>
      <c r="D222" s="36">
        <f t="shared" si="6"/>
        <v>-2.1868545741708934E-3</v>
      </c>
      <c r="F222" s="34">
        <f>'Raw Data'!G218</f>
        <v>45918</v>
      </c>
      <c r="G222">
        <f>'Raw Data'!J218</f>
        <v>25540</v>
      </c>
      <c r="H222" s="36">
        <f t="shared" si="7"/>
        <v>-1.1393891934220468E-3</v>
      </c>
    </row>
    <row r="223" spans="2:8" x14ac:dyDescent="0.3">
      <c r="B223" s="34">
        <f>'Raw Data'!G219</f>
        <v>45917</v>
      </c>
      <c r="C223">
        <v>409.3</v>
      </c>
      <c r="D223" s="36">
        <f t="shared" si="6"/>
        <v>5.4971903249450005E-3</v>
      </c>
      <c r="F223" s="34">
        <f>'Raw Data'!G219</f>
        <v>45917</v>
      </c>
      <c r="G223">
        <f>'Raw Data'!J219</f>
        <v>25331.4</v>
      </c>
      <c r="H223" s="36">
        <f t="shared" si="7"/>
        <v>8.234838974553238E-3</v>
      </c>
    </row>
    <row r="224" spans="2:8" x14ac:dyDescent="0.3">
      <c r="B224" s="34">
        <f>'Raw Data'!G220</f>
        <v>45916</v>
      </c>
      <c r="C224">
        <v>413.1</v>
      </c>
      <c r="D224" s="36">
        <f t="shared" si="6"/>
        <v>-9.1987412248850653E-3</v>
      </c>
      <c r="F224" s="34">
        <f>'Raw Data'!G220</f>
        <v>45916</v>
      </c>
      <c r="G224">
        <f>'Raw Data'!J220</f>
        <v>25284</v>
      </c>
      <c r="H224" s="36">
        <f t="shared" si="7"/>
        <v>1.8747033697199544E-3</v>
      </c>
    </row>
    <row r="225" spans="2:8" x14ac:dyDescent="0.3">
      <c r="B225" s="34">
        <f>'Raw Data'!G221</f>
        <v>45915</v>
      </c>
      <c r="C225">
        <v>412.65</v>
      </c>
      <c r="D225" s="36">
        <f t="shared" si="6"/>
        <v>1.0905125408944283E-3</v>
      </c>
      <c r="F225" s="34">
        <f>'Raw Data'!G221</f>
        <v>45915</v>
      </c>
      <c r="G225">
        <f>'Raw Data'!J221</f>
        <v>25438.799999999999</v>
      </c>
      <c r="H225" s="36">
        <f t="shared" si="7"/>
        <v>-6.0851926977687487E-3</v>
      </c>
    </row>
    <row r="226" spans="2:8" x14ac:dyDescent="0.3">
      <c r="B226" s="34">
        <f>'Raw Data'!G222</f>
        <v>45912</v>
      </c>
      <c r="C226">
        <v>413.75</v>
      </c>
      <c r="D226" s="36">
        <f t="shared" si="6"/>
        <v>-2.6586102719033944E-3</v>
      </c>
      <c r="F226" s="34">
        <f>'Raw Data'!G222</f>
        <v>45912</v>
      </c>
      <c r="G226">
        <f>'Raw Data'!J222</f>
        <v>25104.5</v>
      </c>
      <c r="H226" s="36">
        <f t="shared" si="7"/>
        <v>1.3316337708378922E-2</v>
      </c>
    </row>
    <row r="227" spans="2:8" x14ac:dyDescent="0.3">
      <c r="B227" s="34">
        <f>'Raw Data'!G223</f>
        <v>45911</v>
      </c>
      <c r="C227">
        <v>415.05</v>
      </c>
      <c r="D227" s="36">
        <f t="shared" si="6"/>
        <v>-3.1321527526804172E-3</v>
      </c>
      <c r="F227" s="34">
        <f>'Raw Data'!G223</f>
        <v>45911</v>
      </c>
      <c r="G227">
        <f>'Raw Data'!J223</f>
        <v>25072.3</v>
      </c>
      <c r="H227" s="36">
        <f t="shared" si="7"/>
        <v>1.2842858453352424E-3</v>
      </c>
    </row>
    <row r="228" spans="2:8" x14ac:dyDescent="0.3">
      <c r="B228" s="34">
        <f>'Raw Data'!G224</f>
        <v>45910</v>
      </c>
      <c r="C228">
        <v>413.05</v>
      </c>
      <c r="D228" s="36">
        <f t="shared" si="6"/>
        <v>4.8420288100714526E-3</v>
      </c>
      <c r="F228" s="34">
        <f>'Raw Data'!G224</f>
        <v>45910</v>
      </c>
      <c r="G228">
        <f>'Raw Data'!J224</f>
        <v>24950.3</v>
      </c>
      <c r="H228" s="36">
        <f t="shared" si="7"/>
        <v>4.8897207648805896E-3</v>
      </c>
    </row>
    <row r="229" spans="2:8" x14ac:dyDescent="0.3">
      <c r="B229" s="34">
        <f>'Raw Data'!G225</f>
        <v>45909</v>
      </c>
      <c r="C229">
        <v>410.05</v>
      </c>
      <c r="D229" s="36">
        <f t="shared" si="6"/>
        <v>7.3161809535422506E-3</v>
      </c>
      <c r="F229" s="34">
        <f>'Raw Data'!G225</f>
        <v>45909</v>
      </c>
      <c r="G229">
        <f>'Raw Data'!J225</f>
        <v>24892.7</v>
      </c>
      <c r="H229" s="36">
        <f t="shared" si="7"/>
        <v>2.3139313935409689E-3</v>
      </c>
    </row>
    <row r="230" spans="2:8" x14ac:dyDescent="0.3">
      <c r="B230" s="34">
        <f>'Raw Data'!G226</f>
        <v>45908</v>
      </c>
      <c r="C230">
        <v>407.55</v>
      </c>
      <c r="D230" s="36">
        <f t="shared" si="6"/>
        <v>6.1342166605324877E-3</v>
      </c>
      <c r="F230" s="34">
        <f>'Raw Data'!G226</f>
        <v>45908</v>
      </c>
      <c r="G230">
        <f>'Raw Data'!J226</f>
        <v>24964.5</v>
      </c>
      <c r="H230" s="36">
        <f t="shared" si="7"/>
        <v>-2.8760840393358134E-3</v>
      </c>
    </row>
    <row r="231" spans="2:8" x14ac:dyDescent="0.3">
      <c r="B231" s="34">
        <f>'Raw Data'!G227</f>
        <v>45905</v>
      </c>
      <c r="C231">
        <v>407.35</v>
      </c>
      <c r="D231" s="36">
        <f t="shared" si="6"/>
        <v>4.9097827421129558E-4</v>
      </c>
      <c r="F231" s="34">
        <f>'Raw Data'!G227</f>
        <v>45905</v>
      </c>
      <c r="G231">
        <f>'Raw Data'!J227</f>
        <v>24827.5</v>
      </c>
      <c r="H231" s="36">
        <f t="shared" si="7"/>
        <v>5.5180747155372245E-3</v>
      </c>
    </row>
    <row r="232" spans="2:8" x14ac:dyDescent="0.3">
      <c r="B232" s="34">
        <f>'Raw Data'!G228</f>
        <v>45904</v>
      </c>
      <c r="C232">
        <v>415.9</v>
      </c>
      <c r="D232" s="36">
        <f t="shared" si="6"/>
        <v>-2.0557826400576906E-2</v>
      </c>
      <c r="F232" s="34">
        <f>'Raw Data'!G228</f>
        <v>45904</v>
      </c>
      <c r="G232">
        <f>'Raw Data'!J228</f>
        <v>24933</v>
      </c>
      <c r="H232" s="36">
        <f t="shared" si="7"/>
        <v>-4.2313399911763083E-3</v>
      </c>
    </row>
    <row r="233" spans="2:8" x14ac:dyDescent="0.3">
      <c r="B233" s="34">
        <f>'Raw Data'!G229</f>
        <v>45903</v>
      </c>
      <c r="C233">
        <v>411.75</v>
      </c>
      <c r="D233" s="36">
        <f t="shared" si="6"/>
        <v>1.0078931390406831E-2</v>
      </c>
      <c r="F233" s="34">
        <f>'Raw Data'!G229</f>
        <v>45903</v>
      </c>
      <c r="G233">
        <f>'Raw Data'!J229</f>
        <v>24808.9</v>
      </c>
      <c r="H233" s="36">
        <f t="shared" si="7"/>
        <v>5.0022371003952681E-3</v>
      </c>
    </row>
    <row r="234" spans="2:8" x14ac:dyDescent="0.3">
      <c r="B234" s="34">
        <f>'Raw Data'!G230</f>
        <v>45902</v>
      </c>
      <c r="C234">
        <v>406.75</v>
      </c>
      <c r="D234" s="36">
        <f t="shared" si="6"/>
        <v>1.2292562999385304E-2</v>
      </c>
      <c r="F234" s="34">
        <f>'Raw Data'!G230</f>
        <v>45902</v>
      </c>
      <c r="G234">
        <f>'Raw Data'!J230</f>
        <v>24990.6</v>
      </c>
      <c r="H234" s="36">
        <f t="shared" si="7"/>
        <v>-7.2707337959071472E-3</v>
      </c>
    </row>
    <row r="235" spans="2:8" x14ac:dyDescent="0.3">
      <c r="B235" s="34">
        <f>'Raw Data'!G231</f>
        <v>45901</v>
      </c>
      <c r="C235">
        <v>405.85</v>
      </c>
      <c r="D235" s="36">
        <f t="shared" si="6"/>
        <v>2.2175680670197817E-3</v>
      </c>
      <c r="F235" s="34">
        <f>'Raw Data'!G231</f>
        <v>45901</v>
      </c>
      <c r="G235">
        <f>'Raw Data'!J231</f>
        <v>24684.3</v>
      </c>
      <c r="H235" s="36">
        <f t="shared" si="7"/>
        <v>1.2408697026044857E-2</v>
      </c>
    </row>
    <row r="236" spans="2:8" x14ac:dyDescent="0.3">
      <c r="B236" s="34">
        <f>'Raw Data'!G232</f>
        <v>45898</v>
      </c>
      <c r="C236">
        <v>409.75</v>
      </c>
      <c r="D236" s="36">
        <f t="shared" si="6"/>
        <v>-9.517998779743686E-3</v>
      </c>
      <c r="F236" s="34">
        <f>'Raw Data'!G232</f>
        <v>45898</v>
      </c>
      <c r="G236">
        <f>'Raw Data'!J232</f>
        <v>24651.7</v>
      </c>
      <c r="H236" s="36">
        <f t="shared" si="7"/>
        <v>1.3224240113256513E-3</v>
      </c>
    </row>
    <row r="237" spans="2:8" x14ac:dyDescent="0.3">
      <c r="B237" s="34">
        <f>'Raw Data'!G233</f>
        <v>45897</v>
      </c>
      <c r="C237">
        <v>400.9</v>
      </c>
      <c r="D237" s="36">
        <f t="shared" si="6"/>
        <v>2.2075330506360791E-2</v>
      </c>
      <c r="F237" s="34">
        <f>'Raw Data'!G233</f>
        <v>45897</v>
      </c>
      <c r="G237">
        <f>'Raw Data'!J233</f>
        <v>24857.5</v>
      </c>
      <c r="H237" s="36">
        <f t="shared" si="7"/>
        <v>-8.2791913909282533E-3</v>
      </c>
    </row>
    <row r="238" spans="2:8" x14ac:dyDescent="0.3">
      <c r="B238" s="34">
        <f>'Raw Data'!G234</f>
        <v>45895</v>
      </c>
      <c r="C238">
        <v>403.35</v>
      </c>
      <c r="D238" s="36">
        <f t="shared" si="6"/>
        <v>-6.0741291682162579E-3</v>
      </c>
      <c r="F238" s="34">
        <f>'Raw Data'!G234</f>
        <v>45895</v>
      </c>
      <c r="G238">
        <f>'Raw Data'!J234</f>
        <v>24989.7</v>
      </c>
      <c r="H238" s="36">
        <f t="shared" si="7"/>
        <v>-5.2901795539762597E-3</v>
      </c>
    </row>
    <row r="239" spans="2:8" x14ac:dyDescent="0.3">
      <c r="B239" s="34">
        <f>'Raw Data'!G235</f>
        <v>45894</v>
      </c>
      <c r="C239">
        <v>399.35</v>
      </c>
      <c r="D239" s="36">
        <f t="shared" si="6"/>
        <v>1.0016276449229977E-2</v>
      </c>
      <c r="F239" s="34">
        <f>'Raw Data'!G235</f>
        <v>45894</v>
      </c>
      <c r="G239">
        <f>'Raw Data'!J235</f>
        <v>25039.200000000001</v>
      </c>
      <c r="H239" s="36">
        <f t="shared" si="7"/>
        <v>-1.9769002204543806E-3</v>
      </c>
    </row>
    <row r="240" spans="2:8" x14ac:dyDescent="0.3">
      <c r="B240" s="34">
        <f>'Raw Data'!G236</f>
        <v>45891</v>
      </c>
      <c r="C240">
        <v>398.3</v>
      </c>
      <c r="D240" s="36">
        <f t="shared" si="6"/>
        <v>2.6362038664322629E-3</v>
      </c>
      <c r="F240" s="34">
        <f>'Raw Data'!G236</f>
        <v>45891</v>
      </c>
      <c r="G240">
        <f>'Raw Data'!J236</f>
        <v>25386.3</v>
      </c>
      <c r="H240" s="36">
        <f t="shared" si="7"/>
        <v>-1.3672728991621419E-2</v>
      </c>
    </row>
    <row r="241" spans="2:8" x14ac:dyDescent="0.3">
      <c r="B241" s="34">
        <f>'Raw Data'!G237</f>
        <v>45890</v>
      </c>
      <c r="C241">
        <v>405.55</v>
      </c>
      <c r="D241" s="36">
        <f t="shared" si="6"/>
        <v>-1.787695721859206E-2</v>
      </c>
      <c r="F241" s="34">
        <f>'Raw Data'!G237</f>
        <v>45890</v>
      </c>
      <c r="G241">
        <f>'Raw Data'!J237</f>
        <v>25083.3</v>
      </c>
      <c r="H241" s="36">
        <f t="shared" si="7"/>
        <v>1.2079750272093293E-2</v>
      </c>
    </row>
    <row r="242" spans="2:8" x14ac:dyDescent="0.3">
      <c r="B242" s="34">
        <f>'Raw Data'!G238</f>
        <v>45889</v>
      </c>
      <c r="C242">
        <v>406.05</v>
      </c>
      <c r="D242" s="36">
        <f t="shared" si="6"/>
        <v>-1.2313754463736393E-3</v>
      </c>
      <c r="F242" s="34">
        <f>'Raw Data'!G238</f>
        <v>45889</v>
      </c>
      <c r="G242">
        <f>'Raw Data'!J238</f>
        <v>25174.6</v>
      </c>
      <c r="H242" s="36">
        <f t="shared" si="7"/>
        <v>-3.6266713274490936E-3</v>
      </c>
    </row>
    <row r="243" spans="2:8" x14ac:dyDescent="0.3">
      <c r="B243" s="34">
        <f>'Raw Data'!G239</f>
        <v>45888</v>
      </c>
      <c r="C243">
        <v>409.1</v>
      </c>
      <c r="D243" s="36">
        <f t="shared" si="6"/>
        <v>-7.4553898802248719E-3</v>
      </c>
      <c r="F243" s="34">
        <f>'Raw Data'!G239</f>
        <v>45888</v>
      </c>
      <c r="G243">
        <f>'Raw Data'!J239</f>
        <v>25224.1</v>
      </c>
      <c r="H243" s="36">
        <f t="shared" si="7"/>
        <v>-1.962408966028506E-3</v>
      </c>
    </row>
    <row r="244" spans="2:8" x14ac:dyDescent="0.3">
      <c r="B244" s="34">
        <f>'Raw Data'!G240</f>
        <v>45887</v>
      </c>
      <c r="C244">
        <v>406.3</v>
      </c>
      <c r="D244" s="36">
        <f t="shared" si="6"/>
        <v>6.8914595126754463E-3</v>
      </c>
      <c r="F244" s="34">
        <f>'Raw Data'!G240</f>
        <v>45887</v>
      </c>
      <c r="G244">
        <f>'Raw Data'!J240</f>
        <v>24822.5</v>
      </c>
      <c r="H244" s="36">
        <f t="shared" si="7"/>
        <v>1.6178869976835486E-2</v>
      </c>
    </row>
    <row r="245" spans="2:8" x14ac:dyDescent="0.3">
      <c r="B245" s="34">
        <f>'Raw Data'!G241</f>
        <v>45883</v>
      </c>
      <c r="C245">
        <v>411.45</v>
      </c>
      <c r="D245" s="36">
        <f t="shared" si="6"/>
        <v>-1.2516709199173581E-2</v>
      </c>
      <c r="F245" s="34">
        <f>'Raw Data'!G241</f>
        <v>45883</v>
      </c>
      <c r="G245">
        <f>'Raw Data'!J241</f>
        <v>24712.2</v>
      </c>
      <c r="H245" s="36">
        <f t="shared" si="7"/>
        <v>4.4633824588664606E-3</v>
      </c>
    </row>
    <row r="246" spans="2:8" x14ac:dyDescent="0.3">
      <c r="B246" s="34">
        <f>'Raw Data'!G242</f>
        <v>45882</v>
      </c>
      <c r="C246">
        <v>414.1</v>
      </c>
      <c r="D246" s="36">
        <f t="shared" si="6"/>
        <v>-6.3994204298479795E-3</v>
      </c>
      <c r="F246" s="34">
        <f>'Raw Data'!G242</f>
        <v>45882</v>
      </c>
      <c r="G246">
        <f>'Raw Data'!J242</f>
        <v>24805.3</v>
      </c>
      <c r="H246" s="36">
        <f t="shared" si="7"/>
        <v>-3.7532301564584536E-3</v>
      </c>
    </row>
    <row r="247" spans="2:8" x14ac:dyDescent="0.3">
      <c r="B247" s="34">
        <f>'Raw Data'!G243</f>
        <v>45881</v>
      </c>
      <c r="C247">
        <v>416.35</v>
      </c>
      <c r="D247" s="36">
        <f t="shared" si="6"/>
        <v>-5.4041071214122605E-3</v>
      </c>
      <c r="F247" s="34">
        <f>'Raw Data'!G243</f>
        <v>45881</v>
      </c>
      <c r="G247">
        <f>'Raw Data'!J243</f>
        <v>24755.5</v>
      </c>
      <c r="H247" s="36">
        <f t="shared" si="7"/>
        <v>2.0116741734159671E-3</v>
      </c>
    </row>
    <row r="248" spans="2:8" x14ac:dyDescent="0.3">
      <c r="B248" s="34">
        <f>'Raw Data'!G244</f>
        <v>45880</v>
      </c>
      <c r="C248">
        <v>416.85</v>
      </c>
      <c r="D248" s="36">
        <f t="shared" si="6"/>
        <v>-1.1994722322178353E-3</v>
      </c>
      <c r="F248" s="34">
        <f>'Raw Data'!G244</f>
        <v>45880</v>
      </c>
      <c r="G248">
        <f>'Raw Data'!J244</f>
        <v>24576.799999999999</v>
      </c>
      <c r="H248" s="36">
        <f t="shared" si="7"/>
        <v>7.2710849256210075E-3</v>
      </c>
    </row>
    <row r="249" spans="2:8" x14ac:dyDescent="0.3">
      <c r="B249" s="34">
        <f>'Raw Data'!G245</f>
        <v>45877</v>
      </c>
      <c r="C249">
        <v>414.5</v>
      </c>
      <c r="D249" s="36">
        <f t="shared" si="6"/>
        <v>5.6694813027744484E-3</v>
      </c>
      <c r="F249" s="34">
        <f>'Raw Data'!G245</f>
        <v>45877</v>
      </c>
      <c r="G249">
        <f>'Raw Data'!J245</f>
        <v>24673.4</v>
      </c>
      <c r="H249" s="36">
        <f t="shared" si="7"/>
        <v>-3.9151474867672453E-3</v>
      </c>
    </row>
    <row r="250" spans="2:8" x14ac:dyDescent="0.3">
      <c r="B250" s="34">
        <f>'Raw Data'!G246</f>
        <v>45876</v>
      </c>
      <c r="C250">
        <v>413.6</v>
      </c>
      <c r="D250" s="36">
        <f t="shared" si="6"/>
        <v>2.1760154738876825E-3</v>
      </c>
      <c r="F250" s="34">
        <f>'Raw Data'!G246</f>
        <v>45876</v>
      </c>
      <c r="G250">
        <f>'Raw Data'!J246</f>
        <v>24769.8</v>
      </c>
      <c r="H250" s="36">
        <f t="shared" si="7"/>
        <v>-3.8918360261285256E-3</v>
      </c>
    </row>
    <row r="251" spans="2:8" x14ac:dyDescent="0.3">
      <c r="B251" s="34">
        <f>'Raw Data'!G247</f>
        <v>45875</v>
      </c>
      <c r="C251">
        <v>412</v>
      </c>
      <c r="D251" s="36">
        <f t="shared" si="6"/>
        <v>3.8834951456310218E-3</v>
      </c>
      <c r="F251" s="34">
        <f>'Raw Data'!G247</f>
        <v>45875</v>
      </c>
      <c r="G251">
        <f>'Raw Data'!J247</f>
        <v>24959.7</v>
      </c>
      <c r="H251" s="36">
        <f t="shared" si="7"/>
        <v>-7.6082645224101464E-3</v>
      </c>
    </row>
    <row r="252" spans="2:8" x14ac:dyDescent="0.3">
      <c r="B252" s="34">
        <f>'Raw Data'!G248</f>
        <v>45874</v>
      </c>
      <c r="C252">
        <v>414.15</v>
      </c>
      <c r="D252" s="36">
        <f t="shared" si="6"/>
        <v>-5.1913557889653461E-3</v>
      </c>
      <c r="F252" s="34">
        <f>'Raw Data'!G248</f>
        <v>45874</v>
      </c>
      <c r="G252">
        <f>'Raw Data'!J248</f>
        <v>25041.8</v>
      </c>
      <c r="H252" s="36">
        <f t="shared" si="7"/>
        <v>-3.2785183173732468E-3</v>
      </c>
    </row>
    <row r="253" spans="2:8" x14ac:dyDescent="0.3">
      <c r="B253" s="34"/>
    </row>
    <row r="254" spans="2:8" x14ac:dyDescent="0.3">
      <c r="B254" s="34"/>
    </row>
    <row r="255" spans="2:8" x14ac:dyDescent="0.3">
      <c r="B255" s="34"/>
    </row>
    <row r="256" spans="2:8" x14ac:dyDescent="0.3">
      <c r="B256" s="34"/>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TCS</v>
      </c>
      <c r="C14" s="119"/>
      <c r="D14" s="119" t="str">
        <f>'Raw Data'!Q24</f>
        <v>India</v>
      </c>
      <c r="E14" s="124">
        <f>'Raw Data'!R24</f>
        <v>11283</v>
      </c>
      <c r="F14" s="124">
        <f>'Raw Data'!S24</f>
        <v>761607.42</v>
      </c>
      <c r="G14" s="120">
        <f>'Raw Data'!T24</f>
        <v>0.3</v>
      </c>
      <c r="H14" s="36">
        <f>E14/F14</f>
        <v>1.4814719110798579E-2</v>
      </c>
      <c r="I14" s="36">
        <f>E14/SUM(E14:F14)</f>
        <v>1.4598447215842058E-2</v>
      </c>
      <c r="J14" s="47">
        <v>1</v>
      </c>
      <c r="K14" s="47">
        <f>J14/(1+(1-G14)*H14)</f>
        <v>0.98973613600588595</v>
      </c>
    </row>
    <row r="15" spans="1:12" x14ac:dyDescent="0.3">
      <c r="B15" s="119" t="str">
        <f>'Raw Data'!O25</f>
        <v>Infosys Ltd</v>
      </c>
      <c r="C15" s="119"/>
      <c r="D15" s="119" t="str">
        <f>'Raw Data'!Q25</f>
        <v>India</v>
      </c>
      <c r="E15" s="124">
        <f>'Raw Data'!R25</f>
        <v>2399.06</v>
      </c>
      <c r="F15" s="124">
        <f>'Raw Data'!S25</f>
        <v>426683</v>
      </c>
      <c r="G15" s="120">
        <f>'Raw Data'!T25</f>
        <v>0.3</v>
      </c>
      <c r="H15" s="36">
        <f t="shared" ref="H15:H18" si="0">E15/F15</f>
        <v>5.6225816355467643E-3</v>
      </c>
      <c r="I15" s="36">
        <f t="shared" ref="I15:I18" si="1">E15/SUM(E15:F15)</f>
        <v>5.5911449665362375E-3</v>
      </c>
      <c r="J15" s="47">
        <f>'Beta-Regression'!L15</f>
        <v>0.49172842450913107</v>
      </c>
      <c r="K15" s="47">
        <f t="shared" ref="K15:K18" si="2">J15/(1+(1-G15)*H15)</f>
        <v>0.48980066355793145</v>
      </c>
    </row>
    <row r="16" spans="1:12" x14ac:dyDescent="0.3">
      <c r="B16" s="119" t="str">
        <f>'Raw Data'!O26</f>
        <v>HCL Technologies</v>
      </c>
      <c r="C16" s="119"/>
      <c r="D16" s="119" t="str">
        <f>'Raw Data'!Q26</f>
        <v>India</v>
      </c>
      <c r="E16" s="124">
        <f>'Raw Data'!R26</f>
        <v>5215</v>
      </c>
      <c r="F16" s="124">
        <f>'Raw Data'!S26</f>
        <v>339018.18</v>
      </c>
      <c r="G16" s="120">
        <f>'Raw Data'!T26</f>
        <v>0.3</v>
      </c>
      <c r="H16" s="36">
        <f t="shared" si="0"/>
        <v>1.5382655879988501E-2</v>
      </c>
      <c r="I16" s="36">
        <f t="shared" si="1"/>
        <v>1.5149614572308224E-2</v>
      </c>
      <c r="J16">
        <v>1</v>
      </c>
      <c r="K16" s="47">
        <f t="shared" si="2"/>
        <v>0.98934685247569176</v>
      </c>
    </row>
    <row r="17" spans="2:11" x14ac:dyDescent="0.3">
      <c r="B17" s="119" t="str">
        <f>'Raw Data'!O27</f>
        <v>Wipro</v>
      </c>
      <c r="C17" s="119"/>
      <c r="D17" s="119" t="str">
        <f>'Raw Data'!Q27</f>
        <v>India</v>
      </c>
      <c r="E17" s="124">
        <f>'Raw Data'!R27</f>
        <v>20291</v>
      </c>
      <c r="F17" s="124">
        <f>'Raw Data'!S27</f>
        <v>165244.04</v>
      </c>
      <c r="G17" s="120">
        <f>'Raw Data'!T27</f>
        <v>0.3</v>
      </c>
      <c r="H17" s="36">
        <f t="shared" si="0"/>
        <v>0.12279414131971113</v>
      </c>
      <c r="I17" s="36">
        <f t="shared" si="1"/>
        <v>0.10936478629589322</v>
      </c>
      <c r="J17" s="47">
        <v>1</v>
      </c>
      <c r="K17" s="47">
        <f t="shared" si="2"/>
        <v>0.92084770752755085</v>
      </c>
    </row>
    <row r="18" spans="2:11" x14ac:dyDescent="0.3">
      <c r="B18" s="119" t="str">
        <f>'Raw Data'!O28</f>
        <v>Tech Mahindra</v>
      </c>
      <c r="C18" s="119"/>
      <c r="D18" s="119" t="str">
        <f>'Raw Data'!Q28</f>
        <v>India</v>
      </c>
      <c r="E18" s="124">
        <f>'Raw Data'!R28</f>
        <v>2186</v>
      </c>
      <c r="F18" s="124">
        <f>'Raw Data'!S28</f>
        <v>150656.35999999999</v>
      </c>
      <c r="G18" s="120">
        <f>'Raw Data'!T28</f>
        <v>0.3</v>
      </c>
      <c r="H18" s="36">
        <f t="shared" si="0"/>
        <v>1.45098421334486E-2</v>
      </c>
      <c r="I18" s="36">
        <f t="shared" si="1"/>
        <v>1.4302317760599877E-2</v>
      </c>
      <c r="J18">
        <v>1</v>
      </c>
      <c r="K18" s="47">
        <f t="shared" si="2"/>
        <v>0.98994523563710213</v>
      </c>
    </row>
    <row r="20" spans="2:11" x14ac:dyDescent="0.3">
      <c r="F20" s="122" t="s">
        <v>343</v>
      </c>
      <c r="G20" s="69">
        <f>AVERAGE(G14:G18)</f>
        <v>0.3</v>
      </c>
      <c r="H20" s="69">
        <f t="shared" ref="H20:K20" si="3">AVERAGE(H14:H18)</f>
        <v>3.4624788015898716E-2</v>
      </c>
      <c r="I20" s="69">
        <f t="shared" si="3"/>
        <v>3.1801262162235923E-2</v>
      </c>
      <c r="J20" s="69">
        <f t="shared" si="3"/>
        <v>0.8983456849018262</v>
      </c>
      <c r="K20" s="69">
        <f t="shared" si="3"/>
        <v>0.87593531904083244</v>
      </c>
    </row>
    <row r="21" spans="2:11" x14ac:dyDescent="0.3">
      <c r="F21" s="68" t="s">
        <v>160</v>
      </c>
      <c r="G21" s="70">
        <f>MEDIAN(G14:G18)</f>
        <v>0.3</v>
      </c>
      <c r="H21" s="70">
        <f t="shared" ref="H21:K21" si="4">MEDIAN(H14:H18)</f>
        <v>1.4814719110798579E-2</v>
      </c>
      <c r="I21" s="70">
        <f t="shared" si="4"/>
        <v>1.4598447215842058E-2</v>
      </c>
      <c r="J21" s="70">
        <f t="shared" si="4"/>
        <v>1</v>
      </c>
      <c r="K21" s="70">
        <f t="shared" si="4"/>
        <v>0.98934685247569176</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1.0120939747108006</v>
      </c>
    </row>
    <row r="29" spans="2:11" x14ac:dyDescent="0.3">
      <c r="G29" s="67" t="s">
        <v>231</v>
      </c>
      <c r="H29" s="64"/>
      <c r="I29" s="64"/>
      <c r="J29" s="64"/>
      <c r="K29" s="66">
        <f>K26+K27*K28</f>
        <v>0.13578610835620206</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0.98934685247569176</v>
      </c>
    </row>
    <row r="34" spans="2:11" x14ac:dyDescent="0.3">
      <c r="B34" t="s">
        <v>224</v>
      </c>
      <c r="C34" s="106">
        <f>E15</f>
        <v>2399.06</v>
      </c>
      <c r="D34" s="36">
        <f>C34/C$36</f>
        <v>5.5911449665362375E-3</v>
      </c>
      <c r="E34" s="46">
        <f>I20</f>
        <v>3.1801262162235923E-2</v>
      </c>
      <c r="G34" t="s">
        <v>238</v>
      </c>
      <c r="K34" s="46">
        <f>E38</f>
        <v>3.2845800060901022E-2</v>
      </c>
    </row>
    <row r="35" spans="2:11" x14ac:dyDescent="0.3">
      <c r="B35" t="s">
        <v>79</v>
      </c>
      <c r="C35" s="106">
        <f>F15</f>
        <v>426683</v>
      </c>
      <c r="D35" s="36">
        <f t="shared" ref="D35:D36" si="5">C35/C$36</f>
        <v>0.99440885503346377</v>
      </c>
      <c r="E35" s="46">
        <f>E36-E34</f>
        <v>0.96819873783776411</v>
      </c>
      <c r="G35" t="s">
        <v>111</v>
      </c>
      <c r="K35" s="46">
        <f>E27</f>
        <v>0.3</v>
      </c>
    </row>
    <row r="36" spans="2:11" x14ac:dyDescent="0.3">
      <c r="B36" t="s">
        <v>241</v>
      </c>
      <c r="C36" s="125">
        <f>SUM(C34:C35)</f>
        <v>429082.06</v>
      </c>
      <c r="D36" s="63">
        <f t="shared" si="5"/>
        <v>1</v>
      </c>
      <c r="E36" s="62">
        <f>D36</f>
        <v>1</v>
      </c>
      <c r="G36" s="67" t="s">
        <v>228</v>
      </c>
      <c r="H36" s="64"/>
      <c r="I36" s="64"/>
      <c r="J36" s="64"/>
      <c r="K36" s="126">
        <f>K33*(1+(1-K35)*K34)</f>
        <v>1.0120939747108006</v>
      </c>
    </row>
    <row r="38" spans="2:11" x14ac:dyDescent="0.3">
      <c r="B38" t="s">
        <v>226</v>
      </c>
      <c r="D38" s="65">
        <f>D34/D35</f>
        <v>5.6225816355467634E-3</v>
      </c>
      <c r="E38" s="65">
        <f>E34/E35</f>
        <v>3.2845800060901022E-2</v>
      </c>
      <c r="G38" s="37" t="s">
        <v>242</v>
      </c>
    </row>
    <row r="39" spans="2:11" x14ac:dyDescent="0.3">
      <c r="G39" s="60"/>
      <c r="H39" s="60"/>
      <c r="I39" s="60"/>
      <c r="J39" s="60"/>
      <c r="K39" s="60"/>
    </row>
    <row r="40" spans="2:11" x14ac:dyDescent="0.3">
      <c r="G40" s="18" t="s">
        <v>244</v>
      </c>
      <c r="K40" s="46">
        <f>K29</f>
        <v>0.13578610835620206</v>
      </c>
    </row>
    <row r="41" spans="2:11" x14ac:dyDescent="0.3">
      <c r="G41" s="18" t="s">
        <v>243</v>
      </c>
      <c r="K41" s="46">
        <f>E35</f>
        <v>0.96819873783776411</v>
      </c>
    </row>
    <row r="43" spans="2:11" x14ac:dyDescent="0.3">
      <c r="G43" t="s">
        <v>230</v>
      </c>
      <c r="K43" s="46">
        <f>E28</f>
        <v>5.6349999999999997E-2</v>
      </c>
    </row>
    <row r="44" spans="2:11" x14ac:dyDescent="0.3">
      <c r="G44" t="s">
        <v>245</v>
      </c>
      <c r="K44" s="46">
        <f>E34</f>
        <v>3.1801262162235923E-2</v>
      </c>
    </row>
    <row r="45" spans="2:11" ht="3.6" customHeight="1" x14ac:dyDescent="0.3"/>
    <row r="46" spans="2:11" x14ac:dyDescent="0.3">
      <c r="G46" s="67" t="s">
        <v>242</v>
      </c>
      <c r="H46" s="64"/>
      <c r="I46" s="64"/>
      <c r="J46" s="64"/>
      <c r="K46" s="66">
        <f>(K40*K41)+(K43*K44)</f>
        <v>0.13325993984921872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277</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278</v>
      </c>
    </row>
    <row r="16" spans="1:12" x14ac:dyDescent="0.3">
      <c r="B16" s="72" t="str">
        <f>'Raw FS'!B14</f>
        <v>Trade Payables</v>
      </c>
      <c r="C16" s="72"/>
      <c r="D16" s="72"/>
      <c r="E16" s="72"/>
      <c r="F16" s="72"/>
      <c r="G16" s="72"/>
      <c r="H16" s="130">
        <f>'Raw FS'!J14</f>
        <v>4417</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8429</v>
      </c>
      <c r="I18" s="106">
        <f>'Raw FS'!K16</f>
        <v>10032</v>
      </c>
      <c r="J18" s="106">
        <f>'Raw FS'!L16</f>
        <v>10877</v>
      </c>
      <c r="K18" s="106">
        <f>'Raw FS'!M16</f>
        <v>11249</v>
      </c>
      <c r="L18" s="106">
        <f>'Raw FS'!N16</f>
        <v>11384</v>
      </c>
    </row>
    <row r="19" spans="1:12" ht="15" thickTop="1" x14ac:dyDescent="0.3">
      <c r="B19" s="139" t="s">
        <v>279</v>
      </c>
      <c r="C19" s="139"/>
      <c r="D19" s="139"/>
      <c r="E19" s="139"/>
      <c r="F19" s="139"/>
      <c r="G19" s="139"/>
      <c r="H19" s="140">
        <f>SUM(H16:H18)</f>
        <v>14124</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280</v>
      </c>
      <c r="C21" s="141"/>
      <c r="D21" s="141"/>
      <c r="E21" s="141"/>
      <c r="F21" s="141"/>
      <c r="G21" s="141"/>
      <c r="H21" s="142">
        <f>H13-H19</f>
        <v>49457</v>
      </c>
      <c r="I21" s="142">
        <f t="shared" ref="I21:L21" si="2">I13-I19</f>
        <v>59217</v>
      </c>
      <c r="J21" s="142">
        <f t="shared" si="2"/>
        <v>66288</v>
      </c>
      <c r="K21" s="142">
        <f t="shared" si="2"/>
        <v>66342</v>
      </c>
      <c r="L21" s="142">
        <f t="shared" si="2"/>
        <v>76168</v>
      </c>
    </row>
    <row r="23" spans="1:12" x14ac:dyDescent="0.3">
      <c r="B23" s="37" t="s">
        <v>282</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281</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283</v>
      </c>
      <c r="C37" s="145"/>
      <c r="D37" s="145"/>
      <c r="E37" s="145"/>
      <c r="F37" s="145"/>
      <c r="G37" s="145"/>
      <c r="H37" s="146">
        <f>H35+H21</f>
        <v>75257</v>
      </c>
      <c r="I37" s="146">
        <f t="shared" ref="I37:L37" si="3">I35+I21</f>
        <v>88442</v>
      </c>
      <c r="J37" s="146">
        <f t="shared" si="3"/>
        <v>93910</v>
      </c>
      <c r="K37" s="146">
        <f t="shared" si="3"/>
        <v>97303</v>
      </c>
      <c r="L37" s="146">
        <f t="shared" si="3"/>
        <v>109938</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291</v>
      </c>
      <c r="C40" s="141"/>
      <c r="D40" s="141"/>
      <c r="E40" s="141"/>
      <c r="F40" s="141"/>
      <c r="G40" s="141"/>
      <c r="H40" s="144">
        <f>H38/H37</f>
        <v>0.4027532322574644</v>
      </c>
      <c r="I40" s="144">
        <f t="shared" ref="I40:L40" si="4">I38/I37</f>
        <v>0.37997783858347844</v>
      </c>
      <c r="J40" s="144">
        <f t="shared" si="4"/>
        <v>0.38822276647854331</v>
      </c>
      <c r="K40" s="144">
        <f t="shared" si="4"/>
        <v>0.39077931821218259</v>
      </c>
      <c r="L40" s="144">
        <f t="shared" si="4"/>
        <v>0.36757990867579909</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2009</v>
      </c>
      <c r="I44" s="130">
        <f>-SUM('Raw FS'!AA27:AA28)</f>
        <v>2694</v>
      </c>
      <c r="J44" s="130">
        <f>-SUM('Raw FS'!AB27:AB28)</f>
        <v>3456</v>
      </c>
      <c r="K44" s="130">
        <f>-SUM('Raw FS'!AC27:AC28)</f>
        <v>2104</v>
      </c>
      <c r="L44" s="130">
        <f>-SUM('Raw FS'!AD27:AD28)</f>
        <v>2133</v>
      </c>
    </row>
    <row r="45" spans="2:12" x14ac:dyDescent="0.3">
      <c r="B45" s="72" t="s">
        <v>294</v>
      </c>
      <c r="C45" s="72"/>
      <c r="D45" s="72"/>
      <c r="E45" s="72"/>
      <c r="F45" s="72"/>
      <c r="G45" s="72"/>
      <c r="H45" s="132" t="s">
        <v>120</v>
      </c>
      <c r="I45" s="133">
        <f>I21-H21</f>
        <v>9760</v>
      </c>
      <c r="J45" s="133">
        <f t="shared" ref="J45:L45" si="5">J21-I21</f>
        <v>7071</v>
      </c>
      <c r="K45" s="133">
        <f t="shared" si="5"/>
        <v>54</v>
      </c>
      <c r="L45" s="133">
        <f t="shared" si="5"/>
        <v>9826</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296</v>
      </c>
      <c r="H51" s="45" t="s">
        <v>120</v>
      </c>
      <c r="I51" s="106">
        <f>SUM(I44:I45)</f>
        <v>12454</v>
      </c>
      <c r="J51" s="106">
        <f t="shared" ref="J51:L51" si="9">SUM(J44:J45)</f>
        <v>10527</v>
      </c>
      <c r="K51" s="106">
        <f t="shared" si="9"/>
        <v>2158</v>
      </c>
      <c r="L51" s="106">
        <f t="shared" si="9"/>
        <v>11959</v>
      </c>
    </row>
    <row r="52" spans="2:12" ht="15" thickBot="1" x14ac:dyDescent="0.35">
      <c r="B52" s="127" t="s">
        <v>297</v>
      </c>
      <c r="C52" s="127"/>
      <c r="D52" s="127"/>
      <c r="E52" s="127"/>
      <c r="F52" s="127"/>
      <c r="G52" s="127"/>
      <c r="H52" s="147" t="s">
        <v>120</v>
      </c>
      <c r="I52" s="143">
        <f>I51/I49</f>
        <v>0.52941226481665693</v>
      </c>
      <c r="J52" s="143">
        <f t="shared" ref="J52:L52" si="10">J51/J49</f>
        <v>0.41249030195214847</v>
      </c>
      <c r="K52" s="143">
        <f t="shared" si="10"/>
        <v>8.1076613266808942E-2</v>
      </c>
      <c r="L52" s="143">
        <f t="shared" si="10"/>
        <v>0.42276325045867996</v>
      </c>
    </row>
    <row r="54" spans="2:12" x14ac:dyDescent="0.3">
      <c r="J54" s="37" t="s">
        <v>298</v>
      </c>
      <c r="K54" s="37"/>
      <c r="L54" s="114">
        <f>AVERAGE(I52:L52)</f>
        <v>0.36143560762357363</v>
      </c>
    </row>
    <row r="55" spans="2:12" x14ac:dyDescent="0.3">
      <c r="J55" s="37" t="s">
        <v>299</v>
      </c>
      <c r="K55" s="37"/>
      <c r="L55" s="114">
        <f>MEDIAN(I52:L52)</f>
        <v>0.41762677620541422</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0.4027532322574644</v>
      </c>
      <c r="I59" s="81">
        <f t="shared" ref="I59:L59" si="11">I40</f>
        <v>0.37997783858347844</v>
      </c>
      <c r="J59" s="81">
        <f t="shared" si="11"/>
        <v>0.38822276647854331</v>
      </c>
      <c r="K59" s="81">
        <f t="shared" si="11"/>
        <v>0.39077931821218259</v>
      </c>
      <c r="L59" s="81">
        <f t="shared" si="11"/>
        <v>0.36757990867579909</v>
      </c>
    </row>
    <row r="60" spans="2:12" x14ac:dyDescent="0.3">
      <c r="B60" s="72" t="s">
        <v>297</v>
      </c>
      <c r="C60" s="72"/>
      <c r="D60" s="72"/>
      <c r="E60" s="72"/>
      <c r="F60" s="72"/>
      <c r="G60" s="72"/>
      <c r="H60" s="82" t="s">
        <v>120</v>
      </c>
      <c r="I60" s="134">
        <f>I52</f>
        <v>0.52941226481665693</v>
      </c>
      <c r="J60" s="134">
        <f t="shared" ref="J60:L60" si="12">J52</f>
        <v>0.41249030195214847</v>
      </c>
      <c r="K60" s="134">
        <f t="shared" si="12"/>
        <v>8.1076613266808942E-2</v>
      </c>
      <c r="L60" s="134">
        <f t="shared" si="12"/>
        <v>0.42276325045867996</v>
      </c>
    </row>
    <row r="61" spans="2:12" ht="4.2" customHeight="1" x14ac:dyDescent="0.3"/>
    <row r="62" spans="2:12" ht="15" thickBot="1" x14ac:dyDescent="0.35">
      <c r="B62" s="74" t="s">
        <v>301</v>
      </c>
      <c r="C62" s="74"/>
      <c r="D62" s="74"/>
      <c r="E62" s="74"/>
      <c r="F62" s="74"/>
      <c r="G62" s="74"/>
      <c r="H62" s="74"/>
      <c r="I62" s="135">
        <f>I59*I60</f>
        <v>0.20116492810461742</v>
      </c>
      <c r="J62" s="135">
        <f t="shared" ref="J62:L62" si="13">J59*J60</f>
        <v>0.16013812616943277</v>
      </c>
      <c r="K62" s="135">
        <f t="shared" si="13"/>
        <v>3.1683063655356399E-2</v>
      </c>
      <c r="L62" s="135">
        <f t="shared" si="13"/>
        <v>0.15539927699508557</v>
      </c>
    </row>
    <row r="64" spans="2:12" x14ac:dyDescent="0.3">
      <c r="J64" s="37" t="s">
        <v>298</v>
      </c>
      <c r="K64" s="37"/>
      <c r="L64" s="114">
        <f>AVERAGE(I62:L62)</f>
        <v>0.13709634873112303</v>
      </c>
    </row>
    <row r="65" spans="10:12" x14ac:dyDescent="0.3">
      <c r="J65" s="37" t="s">
        <v>299</v>
      </c>
      <c r="K65" s="37"/>
      <c r="L65" s="114">
        <f>MEDIAN(I62:L62)</f>
        <v>0.15776870158225917</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307</v>
      </c>
      <c r="C11" s="72"/>
      <c r="D11" s="72"/>
      <c r="E11" s="72"/>
      <c r="F11" s="72"/>
      <c r="G11" s="72"/>
      <c r="H11" s="81">
        <f>'Intrinsic Valuation'!$L$55</f>
        <v>0.41762677620541422</v>
      </c>
      <c r="I11" s="81">
        <f>MIN(0.85, MAX(0.15, 'Intrinsic Valuation'!$L$55))</f>
        <v>0.41762677620541422</v>
      </c>
      <c r="J11" s="81">
        <f>$I$11+($M$11-$I$11)/4*1</f>
        <v>0.38826138872612442</v>
      </c>
      <c r="K11" s="81">
        <f>$I$11+($M$11-$I$11)/4*2</f>
        <v>0.35889600124683463</v>
      </c>
      <c r="L11" s="81">
        <f>$I$11+($M$11-$I$11)/4*3</f>
        <v>0.32953061376754489</v>
      </c>
      <c r="M11" s="81">
        <f>D21</f>
        <v>0.30016522628825509</v>
      </c>
    </row>
    <row r="12" spans="1:13" x14ac:dyDescent="0.3">
      <c r="B12" s="72" t="s">
        <v>308</v>
      </c>
      <c r="C12" s="72"/>
      <c r="D12" s="72"/>
      <c r="E12" s="72"/>
      <c r="F12" s="72"/>
      <c r="G12" s="72"/>
      <c r="H12" s="130">
        <f>H10*(1-H11)</f>
        <v>16473.999042734104</v>
      </c>
      <c r="I12" s="130">
        <f>I10*(1-MIN(0.85, I11))</f>
        <v>17330.646992956277</v>
      </c>
      <c r="J12" s="130">
        <f>J10*(1-MIN(0.85, J11))</f>
        <v>19151.156708963157</v>
      </c>
      <c r="K12" s="130">
        <f>K10*(1-MIN(0.85, K11))</f>
        <v>21114.137365965791</v>
      </c>
      <c r="L12" s="130">
        <f>L10*(1-MIN(0.85, L11))</f>
        <v>23229.483283555663</v>
      </c>
      <c r="M12" s="130">
        <f>M10*(1-MIN(0.85, M11))</f>
        <v>25507.732549137312</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0.93936685332880054</v>
      </c>
      <c r="J14" s="72">
        <f t="shared" ref="J14:M14" si="4">1/(1+$D$20)^J13</f>
        <v>0.82890678501684634</v>
      </c>
      <c r="K14" s="72">
        <f t="shared" si="4"/>
        <v>0.73143570673391411</v>
      </c>
      <c r="L14" s="72">
        <f t="shared" si="4"/>
        <v>0.6454262442482811</v>
      </c>
      <c r="M14" s="72">
        <f t="shared" si="4"/>
        <v>0.56953062713410274</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16279.835331925577</v>
      </c>
      <c r="J16" s="131">
        <f t="shared" ref="J16:M16" si="5">J12*J14</f>
        <v>15874.523736980458</v>
      </c>
      <c r="K16" s="131">
        <f t="shared" si="5"/>
        <v>15443.633986352132</v>
      </c>
      <c r="L16" s="131">
        <f t="shared" si="5"/>
        <v>14992.91815153356</v>
      </c>
      <c r="M16" s="131">
        <f t="shared" si="5"/>
        <v>14527.434915479138</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0.13325993984921872</v>
      </c>
    </row>
    <row r="21" spans="2:4" x14ac:dyDescent="0.3">
      <c r="B21" s="79" t="s">
        <v>311</v>
      </c>
      <c r="C21" s="79"/>
      <c r="D21" s="80">
        <f>D19/D20</f>
        <v>0.30016522628825509</v>
      </c>
    </row>
    <row r="23" spans="2:4" x14ac:dyDescent="0.3">
      <c r="B23" s="32" t="s">
        <v>312</v>
      </c>
      <c r="C23" s="32"/>
      <c r="D23" s="32"/>
    </row>
    <row r="25" spans="2:4" x14ac:dyDescent="0.3">
      <c r="B25" t="s">
        <v>313</v>
      </c>
      <c r="D25" s="106">
        <f>M12*(1+D19)</f>
        <v>26528.041851102804</v>
      </c>
    </row>
    <row r="26" spans="2:4" x14ac:dyDescent="0.3">
      <c r="B26" t="s">
        <v>242</v>
      </c>
      <c r="D26" s="46">
        <f>D20</f>
        <v>0.13325993984921872</v>
      </c>
    </row>
    <row r="27" spans="2:4" x14ac:dyDescent="0.3">
      <c r="B27" t="s">
        <v>310</v>
      </c>
      <c r="D27" s="46">
        <f>D19</f>
        <v>0.04</v>
      </c>
    </row>
    <row r="28" spans="2:4" x14ac:dyDescent="0.3">
      <c r="D28" s="46"/>
    </row>
    <row r="29" spans="2:4" ht="15" thickBot="1" x14ac:dyDescent="0.35">
      <c r="B29" s="127" t="s">
        <v>314</v>
      </c>
      <c r="C29" s="127"/>
      <c r="D29" s="128">
        <f>D25/(D26-D27)</f>
        <v>284452.7017065736</v>
      </c>
    </row>
    <row r="31" spans="2:4" x14ac:dyDescent="0.3">
      <c r="B31" s="32" t="s">
        <v>315</v>
      </c>
      <c r="C31" s="32"/>
      <c r="D31" s="32"/>
    </row>
    <row r="33" spans="2:4" x14ac:dyDescent="0.3">
      <c r="B33" t="s">
        <v>306</v>
      </c>
      <c r="D33" s="106">
        <f>SUM(I16:M16)</f>
        <v>77118.346122270857</v>
      </c>
    </row>
    <row r="34" spans="2:4" x14ac:dyDescent="0.3">
      <c r="B34" t="s">
        <v>314</v>
      </c>
      <c r="D34" s="106">
        <f>D29*M14</f>
        <v>162004.52559293472</v>
      </c>
    </row>
    <row r="35" spans="2:4" x14ac:dyDescent="0.3">
      <c r="B35" s="37" t="s">
        <v>318</v>
      </c>
      <c r="C35" s="37"/>
      <c r="D35" s="129">
        <f>SUM(D33:D34)</f>
        <v>239122.87171520558</v>
      </c>
    </row>
    <row r="37" spans="2:4" x14ac:dyDescent="0.3">
      <c r="B37" t="s">
        <v>316</v>
      </c>
      <c r="D37" s="106">
        <f>'Data Sheet'!K69</f>
        <v>22201</v>
      </c>
    </row>
    <row r="38" spans="2:4" x14ac:dyDescent="0.3">
      <c r="B38" t="s">
        <v>317</v>
      </c>
      <c r="D38" s="106">
        <f>'Data Sheet'!K59</f>
        <v>9176</v>
      </c>
    </row>
    <row r="39" spans="2:4" x14ac:dyDescent="0.3">
      <c r="B39" s="37" t="s">
        <v>319</v>
      </c>
      <c r="C39" s="37"/>
      <c r="D39" s="129">
        <f>D35+D37-D38</f>
        <v>252147.87171520558</v>
      </c>
    </row>
    <row r="40" spans="2:4" x14ac:dyDescent="0.3">
      <c r="B40" t="s">
        <v>320</v>
      </c>
      <c r="D40">
        <f>'Data Sheet'!K70/10000000</f>
        <v>404.8</v>
      </c>
    </row>
    <row r="42" spans="2:4" ht="15" thickBot="1" x14ac:dyDescent="0.35">
      <c r="B42" s="127" t="s">
        <v>321</v>
      </c>
      <c r="C42" s="127"/>
      <c r="D42" s="128">
        <f>D39/D40</f>
        <v>622.89494000791888</v>
      </c>
    </row>
    <row r="44" spans="2:4" x14ac:dyDescent="0.3">
      <c r="B44" t="s">
        <v>322</v>
      </c>
      <c r="D44" s="106">
        <v>1051</v>
      </c>
    </row>
    <row r="45" spans="2:4" x14ac:dyDescent="0.3">
      <c r="B45" t="s">
        <v>323</v>
      </c>
      <c r="D45" s="83">
        <f>D44/D42</f>
        <v>1.6872829308689499</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48"/>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46233</v>
      </c>
      <c r="H6">
        <v>2107.9</v>
      </c>
      <c r="J6">
        <v>24474.3</v>
      </c>
    </row>
    <row r="7" spans="2:24" x14ac:dyDescent="0.3">
      <c r="B7">
        <v>2024</v>
      </c>
      <c r="C7" s="46">
        <v>8.7499999999999994E-2</v>
      </c>
      <c r="G7" s="34">
        <v>46232</v>
      </c>
      <c r="H7">
        <v>2117.8000000000002</v>
      </c>
      <c r="J7">
        <v>24566.799999999999</v>
      </c>
    </row>
    <row r="8" spans="2:24" x14ac:dyDescent="0.3">
      <c r="B8">
        <v>2023</v>
      </c>
      <c r="C8" s="46">
        <v>0.19420000000000001</v>
      </c>
      <c r="G8" s="34">
        <v>46231</v>
      </c>
      <c r="H8">
        <v>2022.7</v>
      </c>
      <c r="J8">
        <v>24236.799999999999</v>
      </c>
    </row>
    <row r="9" spans="2:24" x14ac:dyDescent="0.3">
      <c r="B9">
        <v>2022</v>
      </c>
      <c r="C9" s="46">
        <v>4.3200000000000002E-2</v>
      </c>
      <c r="G9" s="34">
        <v>46230</v>
      </c>
      <c r="H9">
        <v>2174.6</v>
      </c>
      <c r="J9">
        <v>24101.8</v>
      </c>
    </row>
    <row r="10" spans="2:24" x14ac:dyDescent="0.3">
      <c r="B10">
        <v>2021</v>
      </c>
      <c r="C10" s="46">
        <v>0.2412</v>
      </c>
      <c r="G10" s="34">
        <v>46227</v>
      </c>
      <c r="H10">
        <v>2145</v>
      </c>
      <c r="J10">
        <v>23874.6</v>
      </c>
    </row>
    <row r="11" spans="2:24" x14ac:dyDescent="0.3">
      <c r="B11">
        <v>2020</v>
      </c>
      <c r="C11" s="46">
        <v>0.14899999999999999</v>
      </c>
      <c r="G11" s="34">
        <v>46226</v>
      </c>
      <c r="H11">
        <v>2161.8000000000002</v>
      </c>
      <c r="J11">
        <v>24082.5</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46225</v>
      </c>
      <c r="H12">
        <v>2154.6</v>
      </c>
      <c r="J12">
        <v>23988.400000000001</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46224</v>
      </c>
      <c r="H13">
        <v>2142.5</v>
      </c>
      <c r="J13">
        <v>24180.6</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46223</v>
      </c>
      <c r="H14">
        <v>2139.6999999999998</v>
      </c>
      <c r="J14">
        <v>24487.8</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46220</v>
      </c>
      <c r="H15">
        <v>2143.8000000000002</v>
      </c>
      <c r="J15">
        <v>24321.7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46219</v>
      </c>
      <c r="H16">
        <v>2098.4</v>
      </c>
      <c r="J16">
        <v>24190.6</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46218</v>
      </c>
      <c r="H17">
        <v>2102.6</v>
      </c>
      <c r="J17">
        <v>24067.8</v>
      </c>
    </row>
    <row r="18" spans="2:20" x14ac:dyDescent="0.3">
      <c r="B18">
        <v>2013</v>
      </c>
      <c r="C18" s="46">
        <v>6.7599999999999993E-2</v>
      </c>
      <c r="G18" s="34">
        <v>46217</v>
      </c>
      <c r="H18">
        <v>2120.1999999999998</v>
      </c>
      <c r="J18">
        <v>24266.400000000001</v>
      </c>
    </row>
    <row r="19" spans="2:20" x14ac:dyDescent="0.3">
      <c r="B19">
        <v>2012</v>
      </c>
      <c r="C19" s="46">
        <v>0.27700000000000002</v>
      </c>
      <c r="G19" s="34">
        <v>46216</v>
      </c>
      <c r="H19">
        <v>2130.6</v>
      </c>
      <c r="J19">
        <v>24472.6</v>
      </c>
    </row>
    <row r="20" spans="2:20" x14ac:dyDescent="0.3">
      <c r="B20">
        <v>2011</v>
      </c>
      <c r="C20" s="46">
        <v>-0.2462</v>
      </c>
      <c r="G20" s="34">
        <v>46213</v>
      </c>
      <c r="H20">
        <v>2150.6</v>
      </c>
      <c r="J20">
        <v>24328.7</v>
      </c>
    </row>
    <row r="21" spans="2:20" x14ac:dyDescent="0.3">
      <c r="B21">
        <v>2010</v>
      </c>
      <c r="C21" s="46">
        <v>0.17949999999999999</v>
      </c>
      <c r="G21" s="34">
        <v>46212</v>
      </c>
      <c r="H21">
        <v>2144.5</v>
      </c>
      <c r="J21">
        <v>24090.799999999999</v>
      </c>
    </row>
    <row r="22" spans="2:20" x14ac:dyDescent="0.3">
      <c r="B22">
        <v>2009</v>
      </c>
      <c r="C22" s="46">
        <v>0.75760000000000005</v>
      </c>
      <c r="G22" s="34">
        <v>46211</v>
      </c>
      <c r="H22">
        <v>2135.8000000000002</v>
      </c>
      <c r="J22">
        <v>24170</v>
      </c>
    </row>
    <row r="23" spans="2:20" x14ac:dyDescent="0.3">
      <c r="B23">
        <v>2008</v>
      </c>
      <c r="C23" s="46">
        <v>-0.51790000000000003</v>
      </c>
      <c r="G23" s="34">
        <v>46210</v>
      </c>
      <c r="H23">
        <v>2208.8000000000002</v>
      </c>
      <c r="J23">
        <v>24440.3</v>
      </c>
    </row>
    <row r="24" spans="2:20" x14ac:dyDescent="0.3">
      <c r="B24">
        <v>2007</v>
      </c>
      <c r="C24" s="46">
        <v>0.54769999999999996</v>
      </c>
      <c r="G24" s="34">
        <v>46209</v>
      </c>
      <c r="H24">
        <v>2202</v>
      </c>
      <c r="J24">
        <v>24482.9</v>
      </c>
      <c r="O24" t="s">
        <v>6499</v>
      </c>
      <c r="Q24" t="s">
        <v>218</v>
      </c>
      <c r="R24">
        <v>11283</v>
      </c>
      <c r="S24">
        <v>761607.42</v>
      </c>
      <c r="T24" s="46">
        <v>0.3</v>
      </c>
    </row>
    <row r="25" spans="2:20" x14ac:dyDescent="0.3">
      <c r="B25">
        <v>2006</v>
      </c>
      <c r="C25" s="46">
        <v>0.39829999999999999</v>
      </c>
      <c r="G25" s="34">
        <v>46206</v>
      </c>
      <c r="H25">
        <v>2201.1999999999998</v>
      </c>
      <c r="J25">
        <v>24614.3</v>
      </c>
      <c r="O25" t="s">
        <v>8616</v>
      </c>
      <c r="Q25" t="str">
        <f>Q24</f>
        <v>India</v>
      </c>
      <c r="R25">
        <v>2399.06</v>
      </c>
      <c r="S25">
        <v>426683</v>
      </c>
      <c r="T25" s="46">
        <f>T24</f>
        <v>0.3</v>
      </c>
    </row>
    <row r="26" spans="2:20" x14ac:dyDescent="0.3">
      <c r="B26">
        <v>2005</v>
      </c>
      <c r="C26" s="46">
        <v>0.3634</v>
      </c>
      <c r="G26" s="34">
        <v>46205</v>
      </c>
      <c r="H26">
        <v>2210.6</v>
      </c>
      <c r="J26">
        <v>24265</v>
      </c>
      <c r="O26" t="s">
        <v>8618</v>
      </c>
      <c r="Q26" t="str">
        <f>Q25</f>
        <v>India</v>
      </c>
      <c r="R26">
        <v>5215</v>
      </c>
      <c r="S26">
        <v>339018.18</v>
      </c>
      <c r="T26" s="46">
        <f>T25</f>
        <v>0.3</v>
      </c>
    </row>
    <row r="27" spans="2:20" x14ac:dyDescent="0.3">
      <c r="B27">
        <v>2004</v>
      </c>
      <c r="C27" s="46">
        <v>0.10680000000000001</v>
      </c>
      <c r="G27" s="34">
        <v>46204</v>
      </c>
      <c r="H27">
        <v>2182</v>
      </c>
      <c r="J27">
        <v>24195.3</v>
      </c>
      <c r="O27" t="s">
        <v>8619</v>
      </c>
      <c r="Q27" t="str">
        <f>Q26</f>
        <v>India</v>
      </c>
      <c r="R27">
        <v>20291</v>
      </c>
      <c r="S27">
        <v>165244.04</v>
      </c>
      <c r="T27" s="46">
        <f>T26</f>
        <v>0.3</v>
      </c>
    </row>
    <row r="28" spans="2:20" x14ac:dyDescent="0.3">
      <c r="B28">
        <v>2003</v>
      </c>
      <c r="C28" s="46">
        <v>0.71899999999999997</v>
      </c>
      <c r="G28" s="34">
        <v>46203</v>
      </c>
      <c r="H28">
        <v>2118.1999999999998</v>
      </c>
      <c r="J28">
        <v>24111.9</v>
      </c>
      <c r="O28" t="s">
        <v>8620</v>
      </c>
      <c r="Q28" t="str">
        <f>Q27</f>
        <v>India</v>
      </c>
      <c r="R28">
        <v>2186</v>
      </c>
      <c r="S28">
        <v>150656.35999999999</v>
      </c>
      <c r="T28" s="46">
        <f>T27</f>
        <v>0.3</v>
      </c>
    </row>
    <row r="29" spans="2:20" x14ac:dyDescent="0.3">
      <c r="B29">
        <v>2002</v>
      </c>
      <c r="C29" s="46">
        <v>3.2500000000000001E-2</v>
      </c>
      <c r="G29" s="34">
        <v>46202</v>
      </c>
      <c r="H29">
        <v>2151.3000000000002</v>
      </c>
      <c r="J29">
        <v>24142.3</v>
      </c>
    </row>
    <row r="30" spans="2:20" x14ac:dyDescent="0.3">
      <c r="G30" s="34">
        <v>46198</v>
      </c>
      <c r="H30">
        <v>2174.1999999999998</v>
      </c>
      <c r="J30">
        <v>24170.5</v>
      </c>
    </row>
    <row r="31" spans="2:20" x14ac:dyDescent="0.3">
      <c r="G31" s="34">
        <v>46197</v>
      </c>
      <c r="H31">
        <v>2157.8000000000002</v>
      </c>
      <c r="J31">
        <v>24125.200000000001</v>
      </c>
    </row>
    <row r="32" spans="2:20" x14ac:dyDescent="0.3">
      <c r="G32" s="34">
        <v>46196</v>
      </c>
      <c r="H32">
        <v>2160.1</v>
      </c>
      <c r="J32">
        <v>24070.5</v>
      </c>
    </row>
    <row r="33" spans="7:10" x14ac:dyDescent="0.3">
      <c r="G33" s="34">
        <v>46195</v>
      </c>
      <c r="H33">
        <v>2184.9</v>
      </c>
      <c r="J33">
        <v>24123.8</v>
      </c>
    </row>
    <row r="34" spans="7:10" x14ac:dyDescent="0.3">
      <c r="G34" s="34">
        <v>46192</v>
      </c>
      <c r="H34">
        <v>2194.6</v>
      </c>
      <c r="J34">
        <v>24056.9</v>
      </c>
    </row>
    <row r="35" spans="7:10" x14ac:dyDescent="0.3">
      <c r="G35" s="34">
        <v>46191</v>
      </c>
      <c r="H35">
        <v>2218.5</v>
      </c>
      <c r="J35">
        <v>24382.400000000001</v>
      </c>
    </row>
    <row r="36" spans="7:10" x14ac:dyDescent="0.3">
      <c r="G36" s="34">
        <v>46190</v>
      </c>
      <c r="H36">
        <v>2197.6</v>
      </c>
      <c r="J36">
        <v>24094</v>
      </c>
    </row>
    <row r="37" spans="7:10" x14ac:dyDescent="0.3">
      <c r="G37" s="34">
        <v>46189</v>
      </c>
      <c r="H37">
        <v>2199.9</v>
      </c>
      <c r="J37">
        <v>24087.9</v>
      </c>
    </row>
    <row r="38" spans="7:10" x14ac:dyDescent="0.3">
      <c r="G38" s="34">
        <v>46188</v>
      </c>
      <c r="H38">
        <v>2156.1</v>
      </c>
      <c r="J38">
        <v>23916.6</v>
      </c>
    </row>
    <row r="39" spans="7:10" x14ac:dyDescent="0.3">
      <c r="G39" s="34">
        <v>46185</v>
      </c>
      <c r="H39">
        <v>2168.8000000000002</v>
      </c>
      <c r="J39">
        <v>23873.5</v>
      </c>
    </row>
    <row r="40" spans="7:10" x14ac:dyDescent="0.3">
      <c r="G40" s="34">
        <v>46184</v>
      </c>
      <c r="H40">
        <v>2139.8000000000002</v>
      </c>
      <c r="J40">
        <v>23397.4</v>
      </c>
    </row>
    <row r="41" spans="7:10" x14ac:dyDescent="0.3">
      <c r="G41" s="34">
        <v>46183</v>
      </c>
      <c r="H41">
        <v>2169.5</v>
      </c>
      <c r="J41">
        <v>23344.9</v>
      </c>
    </row>
    <row r="42" spans="7:10" x14ac:dyDescent="0.3">
      <c r="G42" s="34">
        <v>46182</v>
      </c>
      <c r="H42">
        <v>2132.8000000000002</v>
      </c>
      <c r="J42">
        <v>23425.200000000001</v>
      </c>
    </row>
    <row r="43" spans="7:10" x14ac:dyDescent="0.3">
      <c r="G43" s="34">
        <v>46181</v>
      </c>
      <c r="H43">
        <v>2110.1</v>
      </c>
      <c r="J43">
        <v>23382.2</v>
      </c>
    </row>
    <row r="44" spans="7:10" x14ac:dyDescent="0.3">
      <c r="G44" s="34">
        <v>46178</v>
      </c>
      <c r="H44">
        <v>2121.5</v>
      </c>
      <c r="J44">
        <v>23451.7</v>
      </c>
    </row>
    <row r="45" spans="7:10" x14ac:dyDescent="0.3">
      <c r="G45" s="34">
        <v>46177</v>
      </c>
      <c r="H45">
        <v>2079.4</v>
      </c>
      <c r="J45">
        <v>23511.599999999999</v>
      </c>
    </row>
    <row r="46" spans="7:10" x14ac:dyDescent="0.3">
      <c r="G46" s="34">
        <v>46176</v>
      </c>
      <c r="H46">
        <v>2090.6</v>
      </c>
      <c r="J46">
        <v>23709.200000000001</v>
      </c>
    </row>
    <row r="47" spans="7:10" x14ac:dyDescent="0.3">
      <c r="G47" s="34">
        <v>46175</v>
      </c>
      <c r="H47">
        <v>2093.6999999999998</v>
      </c>
      <c r="J47">
        <v>23603.1</v>
      </c>
    </row>
    <row r="48" spans="7:10" x14ac:dyDescent="0.3">
      <c r="G48" s="34">
        <v>46174</v>
      </c>
      <c r="H48">
        <v>2084.3000000000002</v>
      </c>
      <c r="J48">
        <v>23568.5</v>
      </c>
    </row>
    <row r="49" spans="7:10" x14ac:dyDescent="0.3">
      <c r="G49" s="34">
        <v>46171</v>
      </c>
      <c r="H49">
        <v>2153.5</v>
      </c>
      <c r="J49">
        <v>23748.799999999999</v>
      </c>
    </row>
    <row r="50" spans="7:10" x14ac:dyDescent="0.3">
      <c r="G50" s="34">
        <v>46169</v>
      </c>
      <c r="H50">
        <v>2198.4</v>
      </c>
      <c r="J50">
        <v>24206.9</v>
      </c>
    </row>
    <row r="51" spans="7:10" x14ac:dyDescent="0.3">
      <c r="G51" s="34">
        <v>46168</v>
      </c>
      <c r="H51">
        <v>2209.4</v>
      </c>
      <c r="J51">
        <v>23913</v>
      </c>
    </row>
    <row r="52" spans="7:10" x14ac:dyDescent="0.3">
      <c r="G52" s="34">
        <v>46167</v>
      </c>
      <c r="H52">
        <v>2196.5</v>
      </c>
      <c r="J52">
        <v>24106.400000000001</v>
      </c>
    </row>
    <row r="53" spans="7:10" x14ac:dyDescent="0.3">
      <c r="G53" s="34">
        <v>46164</v>
      </c>
      <c r="H53">
        <v>2203.6</v>
      </c>
      <c r="J53">
        <v>23801.4</v>
      </c>
    </row>
    <row r="54" spans="7:10" x14ac:dyDescent="0.3">
      <c r="G54" s="34">
        <v>46163</v>
      </c>
      <c r="H54">
        <v>2179</v>
      </c>
      <c r="J54">
        <v>23631.4</v>
      </c>
    </row>
    <row r="55" spans="7:10" x14ac:dyDescent="0.3">
      <c r="G55" s="34">
        <v>46162</v>
      </c>
      <c r="H55">
        <v>2209.3000000000002</v>
      </c>
      <c r="J55">
        <v>23846.2</v>
      </c>
    </row>
    <row r="56" spans="7:10" x14ac:dyDescent="0.3">
      <c r="G56" s="34">
        <v>46161</v>
      </c>
      <c r="H56">
        <v>2232.9</v>
      </c>
      <c r="J56">
        <v>23612</v>
      </c>
    </row>
    <row r="57" spans="7:10" x14ac:dyDescent="0.3">
      <c r="G57" s="34">
        <v>46160</v>
      </c>
      <c r="H57">
        <v>2254.1999999999998</v>
      </c>
      <c r="J57">
        <v>23740.1</v>
      </c>
    </row>
    <row r="58" spans="7:10" x14ac:dyDescent="0.3">
      <c r="G58" s="34">
        <v>46157</v>
      </c>
      <c r="H58">
        <v>2272.1999999999998</v>
      </c>
      <c r="J58">
        <v>23643.9</v>
      </c>
    </row>
    <row r="59" spans="7:10" x14ac:dyDescent="0.3">
      <c r="G59" s="34">
        <v>46156</v>
      </c>
      <c r="H59">
        <v>2248.6999999999998</v>
      </c>
      <c r="J59">
        <v>23700.1</v>
      </c>
    </row>
    <row r="60" spans="7:10" x14ac:dyDescent="0.3">
      <c r="G60" s="34">
        <v>46155</v>
      </c>
      <c r="H60">
        <v>2267.3000000000002</v>
      </c>
      <c r="J60">
        <v>23675.1</v>
      </c>
    </row>
    <row r="61" spans="7:10" x14ac:dyDescent="0.3">
      <c r="G61" s="34">
        <v>46154</v>
      </c>
      <c r="H61">
        <v>2262</v>
      </c>
      <c r="J61">
        <v>23424.7</v>
      </c>
    </row>
    <row r="62" spans="7:10" x14ac:dyDescent="0.3">
      <c r="G62" s="34">
        <v>46153</v>
      </c>
      <c r="H62">
        <v>2307.1999999999998</v>
      </c>
      <c r="J62">
        <v>23974.6</v>
      </c>
    </row>
    <row r="63" spans="7:10" x14ac:dyDescent="0.3">
      <c r="G63" s="34">
        <v>46150</v>
      </c>
      <c r="H63">
        <v>2287.6999999999998</v>
      </c>
      <c r="J63">
        <v>24339.200000000001</v>
      </c>
    </row>
    <row r="64" spans="7:10" x14ac:dyDescent="0.3">
      <c r="G64" s="34">
        <v>46149</v>
      </c>
      <c r="H64">
        <v>2272.1999999999998</v>
      </c>
      <c r="J64">
        <v>24382.799999999999</v>
      </c>
    </row>
    <row r="65" spans="7:10" x14ac:dyDescent="0.3">
      <c r="G65" s="34">
        <v>46148</v>
      </c>
      <c r="H65">
        <v>2317.1</v>
      </c>
      <c r="J65">
        <v>24683.8</v>
      </c>
    </row>
    <row r="66" spans="7:10" x14ac:dyDescent="0.3">
      <c r="G66" s="34">
        <v>46147</v>
      </c>
      <c r="H66">
        <v>2327.4</v>
      </c>
      <c r="J66">
        <v>24106.3</v>
      </c>
    </row>
    <row r="67" spans="7:10" x14ac:dyDescent="0.3">
      <c r="G67" s="34">
        <v>46146</v>
      </c>
      <c r="H67">
        <v>2309.3000000000002</v>
      </c>
      <c r="J67">
        <v>24312.799999999999</v>
      </c>
    </row>
    <row r="68" spans="7:10" x14ac:dyDescent="0.3">
      <c r="G68" s="34">
        <v>46142</v>
      </c>
      <c r="H68">
        <v>2250.9</v>
      </c>
      <c r="J68">
        <v>24340</v>
      </c>
    </row>
    <row r="69" spans="7:10" x14ac:dyDescent="0.3">
      <c r="G69" s="34">
        <v>46141</v>
      </c>
      <c r="H69">
        <v>2314.4</v>
      </c>
      <c r="J69">
        <v>24528.400000000001</v>
      </c>
    </row>
    <row r="70" spans="7:10" x14ac:dyDescent="0.3">
      <c r="G70" s="34">
        <v>46140</v>
      </c>
      <c r="H70">
        <v>2289.5</v>
      </c>
      <c r="J70">
        <v>24069</v>
      </c>
    </row>
    <row r="71" spans="7:10" x14ac:dyDescent="0.3">
      <c r="G71" s="34">
        <v>46139</v>
      </c>
      <c r="H71">
        <v>2328.3000000000002</v>
      </c>
      <c r="J71">
        <v>24209.7</v>
      </c>
    </row>
    <row r="72" spans="7:10" x14ac:dyDescent="0.3">
      <c r="G72" s="34">
        <v>46136</v>
      </c>
      <c r="H72">
        <v>2327.3000000000002</v>
      </c>
      <c r="J72">
        <v>24151.5</v>
      </c>
    </row>
    <row r="73" spans="7:10" x14ac:dyDescent="0.3">
      <c r="G73" s="34">
        <v>46135</v>
      </c>
      <c r="H73">
        <v>2366.4</v>
      </c>
      <c r="J73">
        <v>24163</v>
      </c>
    </row>
    <row r="74" spans="7:10" x14ac:dyDescent="0.3">
      <c r="G74" s="34">
        <v>46134</v>
      </c>
      <c r="H74">
        <v>2368.8000000000002</v>
      </c>
      <c r="J74">
        <v>24381.200000000001</v>
      </c>
    </row>
    <row r="75" spans="7:10" x14ac:dyDescent="0.3">
      <c r="G75" s="34">
        <v>46133</v>
      </c>
      <c r="H75">
        <v>2310.6999999999998</v>
      </c>
      <c r="J75">
        <v>24840.1</v>
      </c>
    </row>
    <row r="76" spans="7:10" x14ac:dyDescent="0.3">
      <c r="G76" s="34">
        <v>46132</v>
      </c>
      <c r="H76">
        <v>2231.5</v>
      </c>
      <c r="J76">
        <v>24331.8</v>
      </c>
    </row>
    <row r="77" spans="7:10" x14ac:dyDescent="0.3">
      <c r="G77" s="34">
        <v>46129</v>
      </c>
      <c r="H77">
        <v>2240.8000000000002</v>
      </c>
      <c r="J77">
        <v>24368</v>
      </c>
    </row>
    <row r="78" spans="7:10" x14ac:dyDescent="0.3">
      <c r="G78" s="34">
        <v>46128</v>
      </c>
      <c r="H78">
        <v>2139.1</v>
      </c>
      <c r="J78">
        <v>24328.2</v>
      </c>
    </row>
    <row r="79" spans="7:10" x14ac:dyDescent="0.3">
      <c r="G79" s="34">
        <v>46127</v>
      </c>
      <c r="H79">
        <v>2157.6</v>
      </c>
      <c r="J79">
        <v>24237.7</v>
      </c>
    </row>
    <row r="80" spans="7:10" x14ac:dyDescent="0.3">
      <c r="G80" s="34">
        <v>46125</v>
      </c>
      <c r="H80">
        <v>2127.1999999999998</v>
      </c>
      <c r="J80">
        <v>24152.9</v>
      </c>
    </row>
    <row r="81" spans="7:10" x14ac:dyDescent="0.3">
      <c r="G81" s="34">
        <v>46122</v>
      </c>
      <c r="H81">
        <v>2155.3000000000002</v>
      </c>
      <c r="J81">
        <v>24101</v>
      </c>
    </row>
    <row r="82" spans="7:10" x14ac:dyDescent="0.3">
      <c r="G82" s="34">
        <v>46121</v>
      </c>
      <c r="H82">
        <v>2133.1999999999998</v>
      </c>
      <c r="J82">
        <v>23989.1</v>
      </c>
    </row>
    <row r="83" spans="7:10" x14ac:dyDescent="0.3">
      <c r="G83" s="34">
        <v>46120</v>
      </c>
      <c r="H83">
        <v>2145.6</v>
      </c>
      <c r="J83">
        <v>24182.5</v>
      </c>
    </row>
    <row r="84" spans="7:10" x14ac:dyDescent="0.3">
      <c r="G84" s="34">
        <v>46119</v>
      </c>
      <c r="H84">
        <v>2110.6</v>
      </c>
      <c r="J84">
        <v>23151.1</v>
      </c>
    </row>
    <row r="85" spans="7:10" x14ac:dyDescent="0.3">
      <c r="G85" s="34">
        <v>46118</v>
      </c>
      <c r="H85">
        <v>2084.8000000000002</v>
      </c>
      <c r="J85">
        <v>23347.4</v>
      </c>
    </row>
    <row r="86" spans="7:10" x14ac:dyDescent="0.3">
      <c r="G86" s="34">
        <v>46114</v>
      </c>
      <c r="H86">
        <v>2065.3000000000002</v>
      </c>
      <c r="J86">
        <v>22766.6</v>
      </c>
    </row>
    <row r="87" spans="7:10" x14ac:dyDescent="0.3">
      <c r="G87" s="34">
        <v>46113</v>
      </c>
      <c r="H87">
        <v>2064.6999999999998</v>
      </c>
      <c r="J87">
        <v>22934.799999999999</v>
      </c>
    </row>
    <row r="88" spans="7:10" x14ac:dyDescent="0.3">
      <c r="G88" s="34">
        <v>46111</v>
      </c>
      <c r="H88">
        <v>2055.1999999999998</v>
      </c>
      <c r="J88">
        <v>22318.400000000001</v>
      </c>
    </row>
    <row r="89" spans="7:10" x14ac:dyDescent="0.3">
      <c r="G89" s="34">
        <v>46108</v>
      </c>
      <c r="H89">
        <v>2074.4</v>
      </c>
      <c r="J89">
        <v>23043.9</v>
      </c>
    </row>
    <row r="90" spans="7:10" x14ac:dyDescent="0.3">
      <c r="G90" s="34">
        <v>46106</v>
      </c>
      <c r="H90">
        <v>2134.8000000000002</v>
      </c>
      <c r="J90">
        <v>23300</v>
      </c>
    </row>
    <row r="91" spans="7:10" x14ac:dyDescent="0.3">
      <c r="G91" s="34">
        <v>46105</v>
      </c>
      <c r="H91">
        <v>2085</v>
      </c>
      <c r="J91">
        <v>23055.9</v>
      </c>
    </row>
    <row r="92" spans="7:10" x14ac:dyDescent="0.3">
      <c r="G92" s="34">
        <v>46104</v>
      </c>
      <c r="H92">
        <v>2052.1999999999998</v>
      </c>
      <c r="J92">
        <v>22648.2</v>
      </c>
    </row>
    <row r="93" spans="7:10" x14ac:dyDescent="0.3">
      <c r="G93" s="34">
        <v>46101</v>
      </c>
      <c r="H93">
        <v>2082.6999999999998</v>
      </c>
      <c r="J93">
        <v>23140.5</v>
      </c>
    </row>
    <row r="94" spans="7:10" x14ac:dyDescent="0.3">
      <c r="G94" s="34">
        <v>46100</v>
      </c>
      <c r="H94">
        <v>2077.3000000000002</v>
      </c>
      <c r="J94">
        <v>23333</v>
      </c>
    </row>
    <row r="95" spans="7:10" x14ac:dyDescent="0.3">
      <c r="G95" s="34">
        <v>46099</v>
      </c>
      <c r="H95">
        <v>2135.3000000000002</v>
      </c>
      <c r="J95">
        <v>23776.400000000001</v>
      </c>
    </row>
    <row r="96" spans="7:10" x14ac:dyDescent="0.3">
      <c r="G96" s="34">
        <v>46098</v>
      </c>
      <c r="H96">
        <v>2158.1999999999998</v>
      </c>
      <c r="J96">
        <v>23767.4</v>
      </c>
    </row>
    <row r="97" spans="7:10" x14ac:dyDescent="0.3">
      <c r="G97" s="34">
        <v>46097</v>
      </c>
      <c r="H97">
        <v>2175.6999999999998</v>
      </c>
      <c r="J97">
        <v>23429.200000000001</v>
      </c>
    </row>
    <row r="98" spans="7:10" x14ac:dyDescent="0.3">
      <c r="G98" s="34">
        <v>46094</v>
      </c>
      <c r="H98">
        <v>2160</v>
      </c>
      <c r="J98">
        <v>23199.3</v>
      </c>
    </row>
    <row r="99" spans="7:10" x14ac:dyDescent="0.3">
      <c r="G99" s="34">
        <v>46093</v>
      </c>
      <c r="H99">
        <v>2136.9</v>
      </c>
      <c r="J99">
        <v>24010.3</v>
      </c>
    </row>
    <row r="100" spans="7:10" x14ac:dyDescent="0.3">
      <c r="G100" s="34">
        <v>46092</v>
      </c>
      <c r="H100">
        <v>2161.4</v>
      </c>
      <c r="J100">
        <v>23939.1</v>
      </c>
    </row>
    <row r="101" spans="7:10" x14ac:dyDescent="0.3">
      <c r="G101" s="34">
        <v>46091</v>
      </c>
      <c r="H101">
        <v>2190.1999999999998</v>
      </c>
      <c r="J101">
        <v>24545.599999999999</v>
      </c>
    </row>
    <row r="102" spans="7:10" x14ac:dyDescent="0.3">
      <c r="G102" s="34">
        <v>46090</v>
      </c>
      <c r="H102">
        <v>2194.6</v>
      </c>
      <c r="J102">
        <v>24285.8</v>
      </c>
    </row>
    <row r="103" spans="7:10" x14ac:dyDescent="0.3">
      <c r="G103" s="34">
        <v>46087</v>
      </c>
      <c r="H103">
        <v>2225.6999999999998</v>
      </c>
      <c r="J103">
        <v>24545.7</v>
      </c>
    </row>
    <row r="104" spans="7:10" x14ac:dyDescent="0.3">
      <c r="G104" s="34">
        <v>46086</v>
      </c>
      <c r="H104">
        <v>2255</v>
      </c>
      <c r="J104">
        <v>25118.5</v>
      </c>
    </row>
    <row r="105" spans="7:10" x14ac:dyDescent="0.3">
      <c r="G105" s="34">
        <v>46085</v>
      </c>
      <c r="H105">
        <v>2261.3000000000002</v>
      </c>
      <c r="J105">
        <v>24584.7</v>
      </c>
    </row>
    <row r="106" spans="7:10" x14ac:dyDescent="0.3">
      <c r="G106" s="34">
        <v>46083</v>
      </c>
      <c r="H106">
        <v>2320.6</v>
      </c>
      <c r="J106">
        <v>25140.2</v>
      </c>
    </row>
    <row r="107" spans="7:10" x14ac:dyDescent="0.3">
      <c r="G107" s="34">
        <v>46080</v>
      </c>
      <c r="H107">
        <v>2338.1</v>
      </c>
      <c r="J107">
        <v>25598.2</v>
      </c>
    </row>
    <row r="108" spans="7:10" x14ac:dyDescent="0.3">
      <c r="G108" s="34">
        <v>46079</v>
      </c>
      <c r="H108">
        <v>2383.3000000000002</v>
      </c>
      <c r="J108">
        <v>25912.5</v>
      </c>
    </row>
    <row r="109" spans="7:10" x14ac:dyDescent="0.3">
      <c r="G109" s="34">
        <v>46078</v>
      </c>
      <c r="H109">
        <v>2374.9</v>
      </c>
      <c r="J109">
        <v>25791.8</v>
      </c>
    </row>
    <row r="110" spans="7:10" x14ac:dyDescent="0.3">
      <c r="G110" s="34">
        <v>46077</v>
      </c>
      <c r="H110">
        <v>2358.6</v>
      </c>
      <c r="J110">
        <v>25600.3</v>
      </c>
    </row>
    <row r="111" spans="7:10" x14ac:dyDescent="0.3">
      <c r="G111" s="34">
        <v>46076</v>
      </c>
      <c r="H111">
        <v>2345.4</v>
      </c>
      <c r="J111">
        <v>26015</v>
      </c>
    </row>
    <row r="112" spans="7:10" x14ac:dyDescent="0.3">
      <c r="G112" s="34">
        <v>46073</v>
      </c>
      <c r="H112">
        <v>2314.5</v>
      </c>
      <c r="J112">
        <v>25584.7</v>
      </c>
    </row>
    <row r="113" spans="7:10" x14ac:dyDescent="0.3">
      <c r="G113" s="34">
        <v>46072</v>
      </c>
      <c r="H113">
        <v>2279.3000000000002</v>
      </c>
      <c r="J113">
        <v>25446</v>
      </c>
    </row>
    <row r="114" spans="7:10" x14ac:dyDescent="0.3">
      <c r="G114" s="34">
        <v>46071</v>
      </c>
      <c r="H114">
        <v>2323.5</v>
      </c>
      <c r="J114">
        <v>26144.5</v>
      </c>
    </row>
    <row r="115" spans="7:10" x14ac:dyDescent="0.3">
      <c r="G115" s="34">
        <v>46070</v>
      </c>
      <c r="H115">
        <v>2312.3000000000002</v>
      </c>
      <c r="J115">
        <v>25898.7</v>
      </c>
    </row>
    <row r="116" spans="7:10" x14ac:dyDescent="0.3">
      <c r="G116" s="34">
        <v>46069</v>
      </c>
      <c r="H116">
        <v>2319</v>
      </c>
      <c r="J116">
        <v>25879</v>
      </c>
    </row>
    <row r="117" spans="7:10" x14ac:dyDescent="0.3">
      <c r="G117" s="34">
        <v>46066</v>
      </c>
      <c r="H117">
        <v>2305.1999999999998</v>
      </c>
      <c r="J117">
        <v>25688.6</v>
      </c>
    </row>
    <row r="118" spans="7:10" x14ac:dyDescent="0.3">
      <c r="G118" s="34">
        <v>46065</v>
      </c>
      <c r="H118">
        <v>2409.6999999999998</v>
      </c>
      <c r="J118">
        <v>26025.3</v>
      </c>
    </row>
    <row r="119" spans="7:10" x14ac:dyDescent="0.3">
      <c r="G119" s="34">
        <v>46064</v>
      </c>
      <c r="H119">
        <v>2462.9</v>
      </c>
      <c r="J119">
        <v>26151</v>
      </c>
    </row>
    <row r="120" spans="7:10" x14ac:dyDescent="0.3">
      <c r="G120" s="34">
        <v>46063</v>
      </c>
      <c r="H120">
        <v>2453.6</v>
      </c>
      <c r="J120">
        <v>26295.3</v>
      </c>
    </row>
    <row r="121" spans="7:10" x14ac:dyDescent="0.3">
      <c r="G121" s="34">
        <v>46062</v>
      </c>
      <c r="H121">
        <v>2435</v>
      </c>
      <c r="J121">
        <v>26068.799999999999</v>
      </c>
    </row>
    <row r="122" spans="7:10" x14ac:dyDescent="0.3">
      <c r="G122" s="34">
        <v>46059</v>
      </c>
      <c r="H122">
        <v>2424.1999999999998</v>
      </c>
      <c r="J122">
        <v>26045.5</v>
      </c>
    </row>
    <row r="123" spans="7:10" x14ac:dyDescent="0.3">
      <c r="G123" s="34">
        <v>46058</v>
      </c>
      <c r="H123">
        <v>2354.4</v>
      </c>
      <c r="J123">
        <v>25725</v>
      </c>
    </row>
    <row r="124" spans="7:10" x14ac:dyDescent="0.3">
      <c r="G124" s="34">
        <v>46057</v>
      </c>
      <c r="H124">
        <v>2371</v>
      </c>
      <c r="J124">
        <v>25848.799999999999</v>
      </c>
    </row>
    <row r="125" spans="7:10" x14ac:dyDescent="0.3">
      <c r="G125" s="34">
        <v>46056</v>
      </c>
      <c r="H125">
        <v>2368.6</v>
      </c>
      <c r="J125">
        <v>25976.7</v>
      </c>
    </row>
    <row r="126" spans="7:10" x14ac:dyDescent="0.3">
      <c r="G126" s="34">
        <v>46055</v>
      </c>
      <c r="H126">
        <v>2357.3000000000002</v>
      </c>
      <c r="J126">
        <v>25297.4</v>
      </c>
    </row>
    <row r="127" spans="7:10" x14ac:dyDescent="0.3">
      <c r="G127" s="34">
        <v>46054</v>
      </c>
      <c r="H127">
        <v>2350.6999999999998</v>
      </c>
      <c r="J127">
        <v>25029.599999999999</v>
      </c>
    </row>
    <row r="128" spans="7:10" x14ac:dyDescent="0.3">
      <c r="G128" s="34">
        <v>46052</v>
      </c>
      <c r="H128">
        <v>2373</v>
      </c>
      <c r="J128">
        <v>25582.799999999999</v>
      </c>
    </row>
    <row r="129" spans="7:10" x14ac:dyDescent="0.3">
      <c r="G129" s="34">
        <v>46051</v>
      </c>
      <c r="H129">
        <v>2352.6</v>
      </c>
      <c r="J129">
        <v>25707.1</v>
      </c>
    </row>
    <row r="130" spans="7:10" x14ac:dyDescent="0.3">
      <c r="G130" s="34">
        <v>46050</v>
      </c>
      <c r="H130">
        <v>2378.4</v>
      </c>
      <c r="J130">
        <v>25778.799999999999</v>
      </c>
    </row>
    <row r="131" spans="7:10" x14ac:dyDescent="0.3">
      <c r="G131" s="34">
        <v>46049</v>
      </c>
      <c r="H131">
        <v>2400.9</v>
      </c>
      <c r="J131">
        <v>25569.3</v>
      </c>
    </row>
    <row r="132" spans="7:10" x14ac:dyDescent="0.3">
      <c r="G132" s="34">
        <v>46045</v>
      </c>
      <c r="H132">
        <v>2409.5</v>
      </c>
      <c r="J132">
        <v>25202.6</v>
      </c>
    </row>
    <row r="133" spans="7:10" x14ac:dyDescent="0.3">
      <c r="G133" s="34">
        <v>46044</v>
      </c>
      <c r="H133">
        <v>2390.6</v>
      </c>
      <c r="J133">
        <v>25688.400000000001</v>
      </c>
    </row>
    <row r="134" spans="7:10" x14ac:dyDescent="0.3">
      <c r="G134" s="34">
        <v>46043</v>
      </c>
      <c r="H134">
        <v>2368</v>
      </c>
      <c r="J134">
        <v>25397.9</v>
      </c>
    </row>
    <row r="135" spans="7:10" x14ac:dyDescent="0.3">
      <c r="G135" s="34">
        <v>46042</v>
      </c>
      <c r="H135">
        <v>2379.1</v>
      </c>
      <c r="J135">
        <v>25737.8</v>
      </c>
    </row>
    <row r="136" spans="7:10" x14ac:dyDescent="0.3">
      <c r="G136" s="34">
        <v>46041</v>
      </c>
      <c r="H136">
        <v>2413.9</v>
      </c>
      <c r="J136">
        <v>26071.1</v>
      </c>
    </row>
    <row r="137" spans="7:10" x14ac:dyDescent="0.3">
      <c r="G137" s="34">
        <v>46038</v>
      </c>
      <c r="H137">
        <v>2360.4</v>
      </c>
      <c r="J137">
        <v>26046.9</v>
      </c>
    </row>
    <row r="138" spans="7:10" x14ac:dyDescent="0.3">
      <c r="G138" s="34">
        <v>46036</v>
      </c>
      <c r="H138">
        <v>2353.5</v>
      </c>
      <c r="J138">
        <v>26109</v>
      </c>
    </row>
    <row r="139" spans="7:10" x14ac:dyDescent="0.3">
      <c r="G139" s="34">
        <v>46035</v>
      </c>
      <c r="H139">
        <v>2389.5</v>
      </c>
      <c r="J139">
        <v>25876</v>
      </c>
    </row>
    <row r="140" spans="7:10" x14ac:dyDescent="0.3">
      <c r="G140" s="34">
        <v>46034</v>
      </c>
      <c r="H140">
        <v>2406.1999999999998</v>
      </c>
      <c r="J140">
        <v>25933.599999999999</v>
      </c>
    </row>
    <row r="141" spans="7:10" x14ac:dyDescent="0.3">
      <c r="G141" s="34">
        <v>46031</v>
      </c>
      <c r="H141">
        <v>2372.6</v>
      </c>
      <c r="J141">
        <v>26327.4</v>
      </c>
    </row>
    <row r="142" spans="7:10" x14ac:dyDescent="0.3">
      <c r="G142" s="34">
        <v>46030</v>
      </c>
      <c r="H142">
        <v>2386.6999999999998</v>
      </c>
      <c r="J142">
        <v>26567.7</v>
      </c>
    </row>
    <row r="143" spans="7:10" x14ac:dyDescent="0.3">
      <c r="G143" s="34">
        <v>46029</v>
      </c>
      <c r="H143">
        <v>2399.4</v>
      </c>
      <c r="J143">
        <v>26285.1</v>
      </c>
    </row>
    <row r="144" spans="7:10" x14ac:dyDescent="0.3">
      <c r="G144" s="34">
        <v>46028</v>
      </c>
      <c r="H144">
        <v>2424.6999999999998</v>
      </c>
      <c r="J144">
        <v>26331.3</v>
      </c>
    </row>
    <row r="145" spans="7:10" x14ac:dyDescent="0.3">
      <c r="G145" s="34">
        <v>46027</v>
      </c>
      <c r="H145">
        <v>2384.1</v>
      </c>
      <c r="J145">
        <v>26591.5</v>
      </c>
    </row>
    <row r="146" spans="7:10" x14ac:dyDescent="0.3">
      <c r="G146" s="34">
        <v>46024</v>
      </c>
      <c r="H146">
        <v>2348</v>
      </c>
      <c r="J146">
        <v>26436.9</v>
      </c>
    </row>
    <row r="147" spans="7:10" x14ac:dyDescent="0.3">
      <c r="G147" s="34">
        <v>46023</v>
      </c>
      <c r="H147">
        <v>2323</v>
      </c>
      <c r="J147">
        <v>26296.3</v>
      </c>
    </row>
    <row r="148" spans="7:10" x14ac:dyDescent="0.3">
      <c r="G148" s="34">
        <v>46022</v>
      </c>
      <c r="H148">
        <v>2315.9</v>
      </c>
      <c r="J148">
        <v>26258.400000000001</v>
      </c>
    </row>
    <row r="149" spans="7:10" x14ac:dyDescent="0.3">
      <c r="G149" s="34">
        <v>46021</v>
      </c>
      <c r="H149">
        <v>2290.1999999999998</v>
      </c>
      <c r="J149">
        <v>26265.4</v>
      </c>
    </row>
    <row r="150" spans="7:10" x14ac:dyDescent="0.3">
      <c r="G150" s="34">
        <v>46020</v>
      </c>
      <c r="H150">
        <v>2293.3000000000002</v>
      </c>
      <c r="J150">
        <v>26060.2</v>
      </c>
    </row>
    <row r="151" spans="7:10" x14ac:dyDescent="0.3">
      <c r="G151" s="34">
        <v>46017</v>
      </c>
      <c r="H151">
        <v>2285.4</v>
      </c>
      <c r="J151">
        <v>26498.6</v>
      </c>
    </row>
    <row r="152" spans="7:10" x14ac:dyDescent="0.3">
      <c r="G152" s="34">
        <v>46015</v>
      </c>
      <c r="H152">
        <v>2282.1999999999998</v>
      </c>
      <c r="J152">
        <v>26392.799999999999</v>
      </c>
    </row>
    <row r="153" spans="7:10" x14ac:dyDescent="0.3">
      <c r="G153" s="34">
        <v>46014</v>
      </c>
      <c r="H153">
        <v>2302.6</v>
      </c>
      <c r="J153">
        <v>26197.9</v>
      </c>
    </row>
    <row r="154" spans="7:10" x14ac:dyDescent="0.3">
      <c r="G154" s="34">
        <v>46013</v>
      </c>
      <c r="H154">
        <v>2289.5</v>
      </c>
      <c r="J154">
        <v>26331.5</v>
      </c>
    </row>
    <row r="155" spans="7:10" x14ac:dyDescent="0.3">
      <c r="G155" s="34">
        <v>46010</v>
      </c>
      <c r="H155">
        <v>2280</v>
      </c>
      <c r="J155">
        <v>25880.6</v>
      </c>
    </row>
    <row r="156" spans="7:10" x14ac:dyDescent="0.3">
      <c r="G156" s="34">
        <v>46009</v>
      </c>
      <c r="H156">
        <v>2265.5</v>
      </c>
      <c r="J156">
        <v>26061.8</v>
      </c>
    </row>
    <row r="157" spans="7:10" x14ac:dyDescent="0.3">
      <c r="G157" s="34">
        <v>46008</v>
      </c>
      <c r="H157">
        <v>2275.6</v>
      </c>
      <c r="J157">
        <v>26112.9</v>
      </c>
    </row>
    <row r="158" spans="7:10" x14ac:dyDescent="0.3">
      <c r="G158" s="34">
        <v>46007</v>
      </c>
      <c r="H158">
        <v>2281.1</v>
      </c>
      <c r="J158">
        <v>26407.3</v>
      </c>
    </row>
    <row r="159" spans="7:10" x14ac:dyDescent="0.3">
      <c r="G159" s="34">
        <v>46006</v>
      </c>
      <c r="H159">
        <v>2293.5</v>
      </c>
      <c r="J159">
        <v>26145.4</v>
      </c>
    </row>
    <row r="160" spans="7:10" x14ac:dyDescent="0.3">
      <c r="G160" s="34">
        <v>46003</v>
      </c>
      <c r="H160">
        <v>2260.6</v>
      </c>
      <c r="J160">
        <v>26009.5</v>
      </c>
    </row>
    <row r="161" spans="7:10" x14ac:dyDescent="0.3">
      <c r="G161" s="34">
        <v>46002</v>
      </c>
      <c r="H161">
        <v>2305.6</v>
      </c>
      <c r="J161">
        <v>26032.400000000001</v>
      </c>
    </row>
    <row r="162" spans="7:10" x14ac:dyDescent="0.3">
      <c r="G162" s="34">
        <v>46001</v>
      </c>
      <c r="H162">
        <v>2301.6999999999998</v>
      </c>
      <c r="J162">
        <v>25960.2</v>
      </c>
    </row>
    <row r="163" spans="7:10" x14ac:dyDescent="0.3">
      <c r="G163" s="34">
        <v>46000</v>
      </c>
      <c r="H163">
        <v>2306.5</v>
      </c>
      <c r="J163">
        <v>26064.7</v>
      </c>
    </row>
    <row r="164" spans="7:10" x14ac:dyDescent="0.3">
      <c r="G164" s="34">
        <v>45999</v>
      </c>
      <c r="H164">
        <v>2314</v>
      </c>
      <c r="J164">
        <v>26333.200000000001</v>
      </c>
    </row>
    <row r="165" spans="7:10" x14ac:dyDescent="0.3">
      <c r="G165" s="34">
        <v>45996</v>
      </c>
      <c r="H165">
        <v>2338.6</v>
      </c>
      <c r="J165">
        <v>26350.5</v>
      </c>
    </row>
    <row r="166" spans="7:10" x14ac:dyDescent="0.3">
      <c r="G166" s="34">
        <v>45995</v>
      </c>
      <c r="H166">
        <v>2462.1999999999998</v>
      </c>
      <c r="J166">
        <v>26302.6</v>
      </c>
    </row>
    <row r="167" spans="7:10" x14ac:dyDescent="0.3">
      <c r="G167" s="34">
        <v>45994</v>
      </c>
      <c r="H167">
        <v>2448</v>
      </c>
      <c r="J167">
        <v>26530</v>
      </c>
    </row>
    <row r="168" spans="7:10" x14ac:dyDescent="0.3">
      <c r="G168" s="34">
        <v>45993</v>
      </c>
      <c r="H168">
        <v>2477.8000000000002</v>
      </c>
      <c r="J168">
        <v>26503.1</v>
      </c>
    </row>
    <row r="169" spans="7:10" x14ac:dyDescent="0.3">
      <c r="G169" s="34">
        <v>45992</v>
      </c>
      <c r="H169">
        <v>2464.5</v>
      </c>
      <c r="J169">
        <v>26387.4</v>
      </c>
    </row>
    <row r="170" spans="7:10" x14ac:dyDescent="0.3">
      <c r="G170" s="34">
        <v>45989</v>
      </c>
      <c r="H170">
        <v>2466.6</v>
      </c>
      <c r="J170">
        <v>26699.1</v>
      </c>
    </row>
    <row r="171" spans="7:10" x14ac:dyDescent="0.3">
      <c r="G171" s="34">
        <v>45988</v>
      </c>
      <c r="H171">
        <v>2451.6999999999998</v>
      </c>
      <c r="J171">
        <v>26381.200000000001</v>
      </c>
    </row>
    <row r="172" spans="7:10" x14ac:dyDescent="0.3">
      <c r="G172" s="34">
        <v>45987</v>
      </c>
      <c r="H172">
        <v>2425.1999999999998</v>
      </c>
      <c r="J172">
        <v>25886.799999999999</v>
      </c>
    </row>
    <row r="173" spans="7:10" x14ac:dyDescent="0.3">
      <c r="G173" s="34">
        <v>45986</v>
      </c>
      <c r="H173">
        <v>2414.1</v>
      </c>
      <c r="J173">
        <v>26358.6</v>
      </c>
    </row>
    <row r="174" spans="7:10" x14ac:dyDescent="0.3">
      <c r="G174" s="34">
        <v>45985</v>
      </c>
      <c r="H174">
        <v>2424.1999999999998</v>
      </c>
      <c r="J174">
        <v>26077.5</v>
      </c>
    </row>
    <row r="175" spans="7:10" x14ac:dyDescent="0.3">
      <c r="G175" s="34">
        <v>45982</v>
      </c>
      <c r="H175">
        <v>2433.6999999999998</v>
      </c>
      <c r="J175">
        <v>26220.799999999999</v>
      </c>
    </row>
    <row r="176" spans="7:10" x14ac:dyDescent="0.3">
      <c r="G176" s="34">
        <v>45981</v>
      </c>
      <c r="H176">
        <v>2428.4</v>
      </c>
      <c r="J176">
        <v>26415</v>
      </c>
    </row>
    <row r="177" spans="7:10" x14ac:dyDescent="0.3">
      <c r="G177" s="34">
        <v>45980</v>
      </c>
      <c r="H177">
        <v>2441.6</v>
      </c>
      <c r="J177">
        <v>26316.400000000001</v>
      </c>
    </row>
    <row r="178" spans="7:10" x14ac:dyDescent="0.3">
      <c r="G178" s="34">
        <v>45979</v>
      </c>
      <c r="H178">
        <v>2404</v>
      </c>
      <c r="J178">
        <v>26240</v>
      </c>
    </row>
    <row r="179" spans="7:10" x14ac:dyDescent="0.3">
      <c r="G179" s="34">
        <v>45978</v>
      </c>
      <c r="H179">
        <v>2425</v>
      </c>
      <c r="J179">
        <v>25951.4</v>
      </c>
    </row>
    <row r="180" spans="7:10" x14ac:dyDescent="0.3">
      <c r="G180" s="34">
        <v>45975</v>
      </c>
      <c r="H180">
        <v>2427.6999999999998</v>
      </c>
      <c r="J180">
        <v>26134.9</v>
      </c>
    </row>
    <row r="181" spans="7:10" x14ac:dyDescent="0.3">
      <c r="G181" s="34">
        <v>45974</v>
      </c>
      <c r="H181">
        <v>2407.6</v>
      </c>
      <c r="J181">
        <v>25986.1</v>
      </c>
    </row>
    <row r="182" spans="7:10" x14ac:dyDescent="0.3">
      <c r="G182" s="34">
        <v>45973</v>
      </c>
      <c r="H182">
        <v>2424.5</v>
      </c>
      <c r="J182">
        <v>26165</v>
      </c>
    </row>
    <row r="183" spans="7:10" x14ac:dyDescent="0.3">
      <c r="G183" s="34">
        <v>45972</v>
      </c>
      <c r="H183">
        <v>2427.5</v>
      </c>
      <c r="J183">
        <v>25882.9</v>
      </c>
    </row>
    <row r="184" spans="7:10" x14ac:dyDescent="0.3">
      <c r="G184" s="34">
        <v>45971</v>
      </c>
      <c r="H184">
        <v>2408.8000000000002</v>
      </c>
      <c r="J184">
        <v>25589.200000000001</v>
      </c>
    </row>
    <row r="185" spans="7:10" x14ac:dyDescent="0.3">
      <c r="G185" s="34">
        <v>45968</v>
      </c>
      <c r="H185">
        <v>2414</v>
      </c>
      <c r="J185">
        <v>25807.1</v>
      </c>
    </row>
    <row r="186" spans="7:10" x14ac:dyDescent="0.3">
      <c r="G186" s="34">
        <v>45967</v>
      </c>
      <c r="H186">
        <v>2436</v>
      </c>
      <c r="J186">
        <v>25708.3</v>
      </c>
    </row>
    <row r="187" spans="7:10" x14ac:dyDescent="0.3">
      <c r="G187" s="34">
        <v>45965</v>
      </c>
      <c r="H187">
        <v>2445.6999999999998</v>
      </c>
      <c r="J187">
        <v>25898.9</v>
      </c>
    </row>
    <row r="188" spans="7:10" x14ac:dyDescent="0.3">
      <c r="G188" s="34">
        <v>45964</v>
      </c>
      <c r="H188">
        <v>2460</v>
      </c>
      <c r="J188">
        <v>26088.5</v>
      </c>
    </row>
    <row r="189" spans="7:10" x14ac:dyDescent="0.3">
      <c r="G189" s="34">
        <v>45961</v>
      </c>
      <c r="H189">
        <v>2465.5</v>
      </c>
      <c r="J189">
        <v>26031.599999999999</v>
      </c>
    </row>
    <row r="190" spans="7:10" x14ac:dyDescent="0.3">
      <c r="G190" s="34">
        <v>45960</v>
      </c>
      <c r="H190">
        <v>2469.6</v>
      </c>
      <c r="J190">
        <v>26577.4</v>
      </c>
    </row>
    <row r="191" spans="7:10" x14ac:dyDescent="0.3">
      <c r="G191" s="34">
        <v>45959</v>
      </c>
      <c r="H191">
        <v>2488.1</v>
      </c>
      <c r="J191">
        <v>26090.1</v>
      </c>
    </row>
    <row r="192" spans="7:10" x14ac:dyDescent="0.3">
      <c r="G192" s="34">
        <v>45958</v>
      </c>
      <c r="H192">
        <v>2497.1</v>
      </c>
      <c r="J192">
        <v>26347.3</v>
      </c>
    </row>
    <row r="193" spans="7:10" x14ac:dyDescent="0.3">
      <c r="G193" s="34">
        <v>45957</v>
      </c>
      <c r="H193">
        <v>2511.8000000000002</v>
      </c>
      <c r="J193">
        <v>26130.2</v>
      </c>
    </row>
    <row r="194" spans="7:10" x14ac:dyDescent="0.3">
      <c r="G194" s="34">
        <v>45954</v>
      </c>
      <c r="H194">
        <v>2516.4</v>
      </c>
      <c r="J194">
        <v>26279.8</v>
      </c>
    </row>
    <row r="195" spans="7:10" x14ac:dyDescent="0.3">
      <c r="G195" s="34">
        <v>45953</v>
      </c>
      <c r="H195">
        <v>2601.6</v>
      </c>
      <c r="J195">
        <v>26194.799999999999</v>
      </c>
    </row>
    <row r="196" spans="7:10" x14ac:dyDescent="0.3">
      <c r="G196" s="34">
        <v>45951</v>
      </c>
      <c r="H196">
        <v>2591.6999999999998</v>
      </c>
      <c r="J196">
        <v>26046.3</v>
      </c>
    </row>
    <row r="197" spans="7:10" x14ac:dyDescent="0.3">
      <c r="G197" s="34">
        <v>45950</v>
      </c>
      <c r="H197">
        <v>2594.4</v>
      </c>
      <c r="J197">
        <v>25757.8</v>
      </c>
    </row>
    <row r="198" spans="7:10" x14ac:dyDescent="0.3">
      <c r="G198" s="34">
        <v>45947</v>
      </c>
      <c r="H198">
        <v>2603.6999999999998</v>
      </c>
      <c r="J198">
        <v>25943.1</v>
      </c>
    </row>
    <row r="199" spans="7:10" x14ac:dyDescent="0.3">
      <c r="G199" s="34">
        <v>45946</v>
      </c>
      <c r="H199">
        <v>2561.5</v>
      </c>
      <c r="J199">
        <v>25713.599999999999</v>
      </c>
    </row>
    <row r="200" spans="7:10" x14ac:dyDescent="0.3">
      <c r="G200" s="34">
        <v>45945</v>
      </c>
      <c r="H200">
        <v>2519</v>
      </c>
      <c r="J200">
        <v>25503.4</v>
      </c>
    </row>
    <row r="201" spans="7:10" x14ac:dyDescent="0.3">
      <c r="G201" s="34">
        <v>45944</v>
      </c>
      <c r="H201">
        <v>2502.3000000000002</v>
      </c>
      <c r="J201">
        <v>25309.3</v>
      </c>
    </row>
    <row r="202" spans="7:10" x14ac:dyDescent="0.3">
      <c r="G202" s="34">
        <v>45943</v>
      </c>
      <c r="H202">
        <v>2492.8000000000002</v>
      </c>
      <c r="J202">
        <v>25540.1</v>
      </c>
    </row>
    <row r="203" spans="7:10" x14ac:dyDescent="0.3">
      <c r="G203" s="34">
        <v>45940</v>
      </c>
      <c r="H203">
        <v>2528.9</v>
      </c>
      <c r="J203">
        <v>25403</v>
      </c>
    </row>
    <row r="204" spans="7:10" x14ac:dyDescent="0.3">
      <c r="G204" s="34">
        <v>45939</v>
      </c>
      <c r="H204">
        <v>2517.6</v>
      </c>
      <c r="J204">
        <v>25247.7</v>
      </c>
    </row>
    <row r="205" spans="7:10" x14ac:dyDescent="0.3">
      <c r="G205" s="34">
        <v>45938</v>
      </c>
      <c r="H205">
        <v>2500.1</v>
      </c>
      <c r="J205">
        <v>25514.5</v>
      </c>
    </row>
    <row r="206" spans="7:10" x14ac:dyDescent="0.3">
      <c r="G206" s="34">
        <v>45937</v>
      </c>
      <c r="H206">
        <v>2517.1999999999998</v>
      </c>
      <c r="J206">
        <v>25314.2</v>
      </c>
    </row>
    <row r="207" spans="7:10" x14ac:dyDescent="0.3">
      <c r="G207" s="34">
        <v>45936</v>
      </c>
      <c r="H207">
        <v>2541.8000000000002</v>
      </c>
      <c r="J207">
        <v>25290.7</v>
      </c>
    </row>
    <row r="208" spans="7:10" x14ac:dyDescent="0.3">
      <c r="G208" s="34">
        <v>45933</v>
      </c>
      <c r="H208">
        <v>2544.9</v>
      </c>
      <c r="J208">
        <v>24967.200000000001</v>
      </c>
    </row>
    <row r="209" spans="7:10" x14ac:dyDescent="0.3">
      <c r="G209" s="34">
        <v>45931</v>
      </c>
      <c r="H209">
        <v>2536.1999999999998</v>
      </c>
      <c r="J209">
        <v>24914.3</v>
      </c>
    </row>
    <row r="210" spans="7:10" x14ac:dyDescent="0.3">
      <c r="G210" s="34">
        <v>45930</v>
      </c>
      <c r="H210">
        <v>2514.4</v>
      </c>
      <c r="J210">
        <v>24944.799999999999</v>
      </c>
    </row>
    <row r="211" spans="7:10" x14ac:dyDescent="0.3">
      <c r="G211" s="34">
        <v>45929</v>
      </c>
      <c r="H211">
        <v>2497.9</v>
      </c>
      <c r="J211">
        <v>24812</v>
      </c>
    </row>
    <row r="212" spans="7:10" x14ac:dyDescent="0.3">
      <c r="G212" s="34">
        <v>45926</v>
      </c>
      <c r="H212">
        <v>2511.8000000000002</v>
      </c>
      <c r="J212">
        <v>25093.7</v>
      </c>
    </row>
    <row r="213" spans="7:10" x14ac:dyDescent="0.3">
      <c r="G213" s="34">
        <v>45925</v>
      </c>
      <c r="H213">
        <v>2538.3000000000002</v>
      </c>
      <c r="J213">
        <v>25373.599999999999</v>
      </c>
    </row>
    <row r="214" spans="7:10" x14ac:dyDescent="0.3">
      <c r="G214" s="34">
        <v>45924</v>
      </c>
      <c r="H214">
        <v>2549.5</v>
      </c>
      <c r="J214">
        <v>25383.3</v>
      </c>
    </row>
    <row r="215" spans="7:10" x14ac:dyDescent="0.3">
      <c r="G215" s="34">
        <v>45923</v>
      </c>
      <c r="H215">
        <v>2522.1999999999998</v>
      </c>
      <c r="J215">
        <v>25403.4</v>
      </c>
    </row>
    <row r="216" spans="7:10" x14ac:dyDescent="0.3">
      <c r="G216" s="34">
        <v>45922</v>
      </c>
      <c r="H216">
        <v>2572.1999999999998</v>
      </c>
      <c r="J216">
        <v>25534.5</v>
      </c>
    </row>
    <row r="217" spans="7:10" x14ac:dyDescent="0.3">
      <c r="G217" s="34">
        <v>45919</v>
      </c>
      <c r="H217">
        <v>2559.6</v>
      </c>
      <c r="J217">
        <v>25510.9</v>
      </c>
    </row>
    <row r="218" spans="7:10" x14ac:dyDescent="0.3">
      <c r="G218" s="34">
        <v>45918</v>
      </c>
      <c r="H218">
        <v>2586.8000000000002</v>
      </c>
      <c r="J218">
        <v>25540</v>
      </c>
    </row>
    <row r="219" spans="7:10" x14ac:dyDescent="0.3">
      <c r="G219" s="34">
        <v>45917</v>
      </c>
      <c r="H219">
        <v>2569.6999999999998</v>
      </c>
      <c r="J219">
        <v>25331.4</v>
      </c>
    </row>
    <row r="220" spans="7:10" x14ac:dyDescent="0.3">
      <c r="G220" s="34">
        <v>45916</v>
      </c>
      <c r="H220">
        <v>2580.9</v>
      </c>
      <c r="J220">
        <v>25284</v>
      </c>
    </row>
    <row r="221" spans="7:10" x14ac:dyDescent="0.3">
      <c r="G221" s="34">
        <v>45915</v>
      </c>
      <c r="H221">
        <v>2581</v>
      </c>
      <c r="J221">
        <v>25438.799999999999</v>
      </c>
    </row>
    <row r="222" spans="7:10" x14ac:dyDescent="0.3">
      <c r="G222" s="34">
        <v>45912</v>
      </c>
      <c r="H222">
        <v>2580.5</v>
      </c>
      <c r="J222">
        <v>25104.5</v>
      </c>
    </row>
    <row r="223" spans="7:10" x14ac:dyDescent="0.3">
      <c r="G223" s="34">
        <v>45911</v>
      </c>
      <c r="H223">
        <v>2622</v>
      </c>
      <c r="J223">
        <v>25072.3</v>
      </c>
    </row>
    <row r="224" spans="7:10" x14ac:dyDescent="0.3">
      <c r="G224" s="34">
        <v>45910</v>
      </c>
      <c r="H224">
        <v>2643.5</v>
      </c>
      <c r="J224">
        <v>24950.3</v>
      </c>
    </row>
    <row r="225" spans="7:10" x14ac:dyDescent="0.3">
      <c r="G225" s="34">
        <v>45909</v>
      </c>
      <c r="H225">
        <v>2642</v>
      </c>
      <c r="J225">
        <v>24892.7</v>
      </c>
    </row>
    <row r="226" spans="7:10" x14ac:dyDescent="0.3">
      <c r="G226" s="34">
        <v>45908</v>
      </c>
      <c r="H226">
        <v>2623.9</v>
      </c>
      <c r="J226">
        <v>24964.5</v>
      </c>
    </row>
    <row r="227" spans="7:10" x14ac:dyDescent="0.3">
      <c r="G227" s="34">
        <v>45905</v>
      </c>
      <c r="H227">
        <v>2633.4</v>
      </c>
      <c r="J227">
        <v>24827.5</v>
      </c>
    </row>
    <row r="228" spans="7:10" x14ac:dyDescent="0.3">
      <c r="G228" s="34">
        <v>45904</v>
      </c>
      <c r="H228">
        <v>2666.6</v>
      </c>
      <c r="J228">
        <v>24933</v>
      </c>
    </row>
    <row r="229" spans="7:10" x14ac:dyDescent="0.3">
      <c r="G229" s="34">
        <v>45903</v>
      </c>
      <c r="H229">
        <v>2664.7</v>
      </c>
      <c r="J229">
        <v>24808.9</v>
      </c>
    </row>
    <row r="230" spans="7:10" x14ac:dyDescent="0.3">
      <c r="G230" s="34">
        <v>45902</v>
      </c>
      <c r="H230">
        <v>2677</v>
      </c>
      <c r="J230">
        <v>24990.6</v>
      </c>
    </row>
    <row r="231" spans="7:10" x14ac:dyDescent="0.3">
      <c r="G231" s="34">
        <v>45901</v>
      </c>
      <c r="H231">
        <v>2649.5</v>
      </c>
      <c r="J231">
        <v>24684.3</v>
      </c>
    </row>
    <row r="232" spans="7:10" x14ac:dyDescent="0.3">
      <c r="G232" s="34">
        <v>45898</v>
      </c>
      <c r="H232">
        <v>2659.8</v>
      </c>
      <c r="J232">
        <v>24651.7</v>
      </c>
    </row>
    <row r="233" spans="7:10" x14ac:dyDescent="0.3">
      <c r="G233" s="34">
        <v>45897</v>
      </c>
      <c r="H233">
        <v>2654.4</v>
      </c>
      <c r="J233">
        <v>24857.5</v>
      </c>
    </row>
    <row r="234" spans="7:10" x14ac:dyDescent="0.3">
      <c r="G234" s="34">
        <v>45895</v>
      </c>
      <c r="H234">
        <v>2692.6</v>
      </c>
      <c r="J234">
        <v>24989.7</v>
      </c>
    </row>
    <row r="235" spans="7:10" x14ac:dyDescent="0.3">
      <c r="G235" s="34">
        <v>45894</v>
      </c>
      <c r="H235">
        <v>2631.6</v>
      </c>
      <c r="J235">
        <v>25039.200000000001</v>
      </c>
    </row>
    <row r="236" spans="7:10" x14ac:dyDescent="0.3">
      <c r="G236" s="34">
        <v>45891</v>
      </c>
      <c r="H236">
        <v>2629.9</v>
      </c>
      <c r="J236">
        <v>25386.3</v>
      </c>
    </row>
    <row r="237" spans="7:10" x14ac:dyDescent="0.3">
      <c r="G237" s="34">
        <v>45890</v>
      </c>
      <c r="H237">
        <v>2648</v>
      </c>
      <c r="J237">
        <v>25083.3</v>
      </c>
    </row>
    <row r="238" spans="7:10" x14ac:dyDescent="0.3">
      <c r="G238" s="34">
        <v>45889</v>
      </c>
      <c r="H238">
        <v>2669.8</v>
      </c>
      <c r="J238">
        <v>25174.6</v>
      </c>
    </row>
    <row r="239" spans="7:10" x14ac:dyDescent="0.3">
      <c r="G239" s="34">
        <v>45888</v>
      </c>
      <c r="H239">
        <v>2604.8000000000002</v>
      </c>
      <c r="J239">
        <v>25224.1</v>
      </c>
    </row>
    <row r="240" spans="7:10" x14ac:dyDescent="0.3">
      <c r="G240" s="34">
        <v>45887</v>
      </c>
      <c r="H240">
        <v>2568.1</v>
      </c>
      <c r="J240">
        <v>24822.5</v>
      </c>
    </row>
    <row r="241" spans="7:10" x14ac:dyDescent="0.3">
      <c r="G241" s="34">
        <v>45883</v>
      </c>
      <c r="H241">
        <v>2480.6</v>
      </c>
      <c r="J241">
        <v>24712.2</v>
      </c>
    </row>
    <row r="242" spans="7:10" x14ac:dyDescent="0.3">
      <c r="G242" s="34">
        <v>45882</v>
      </c>
      <c r="H242">
        <v>2495.1</v>
      </c>
      <c r="J242">
        <v>24805.3</v>
      </c>
    </row>
    <row r="243" spans="7:10" x14ac:dyDescent="0.3">
      <c r="G243" s="34">
        <v>45881</v>
      </c>
      <c r="H243">
        <v>2483.8000000000002</v>
      </c>
      <c r="J243">
        <v>24755.5</v>
      </c>
    </row>
    <row r="244" spans="7:10" x14ac:dyDescent="0.3">
      <c r="G244" s="34">
        <v>45880</v>
      </c>
      <c r="H244">
        <v>2518.4</v>
      </c>
      <c r="J244">
        <v>24576.799999999999</v>
      </c>
    </row>
    <row r="245" spans="7:10" x14ac:dyDescent="0.3">
      <c r="G245" s="34">
        <v>45877</v>
      </c>
      <c r="H245">
        <v>2498.6</v>
      </c>
      <c r="J245">
        <v>24673.4</v>
      </c>
    </row>
    <row r="246" spans="7:10" x14ac:dyDescent="0.3">
      <c r="G246" s="34">
        <v>45876</v>
      </c>
      <c r="H246">
        <v>2517.5</v>
      </c>
      <c r="J246">
        <v>24769.8</v>
      </c>
    </row>
    <row r="247" spans="7:10" x14ac:dyDescent="0.3">
      <c r="G247" s="34">
        <v>45875</v>
      </c>
      <c r="H247">
        <v>2535.6</v>
      </c>
      <c r="J247">
        <v>24959.7</v>
      </c>
    </row>
    <row r="248" spans="7:10" x14ac:dyDescent="0.3">
      <c r="G248" s="34">
        <v>45874</v>
      </c>
      <c r="H248">
        <v>2534.6999999999998</v>
      </c>
      <c r="J248">
        <v>25041.8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-609.73</v>
      </c>
      <c r="H13" s="155">
        <f>'Raw FS'!AT57</f>
        <v>426072.83</v>
      </c>
      <c r="I13" s="150"/>
      <c r="J13" s="150"/>
      <c r="K13" s="155">
        <f>'Raw FS'!AU57</f>
        <v>192844</v>
      </c>
      <c r="L13" s="155">
        <f>'Raw FS'!AV57</f>
        <v>10665.152190237797</v>
      </c>
      <c r="M13" s="155">
        <f>'Raw FS'!AW57</f>
        <v>31100</v>
      </c>
      <c r="N13" s="150"/>
      <c r="O13" s="151">
        <f t="shared" ref="O13:O20" si="1">$H13/K13</f>
        <v>2.2094170936093422</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341</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342</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343</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344</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8606</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8626</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K13*O26</f>
        <v>805961.84679422621</v>
      </c>
      <c r="P32" s="155">
        <f>L13*P26</f>
        <v>342730.59071784175</v>
      </c>
      <c r="Q32" s="155">
        <f>M13*Q26</f>
        <v>743021.74366807635</v>
      </c>
    </row>
    <row r="33" spans="2:17" x14ac:dyDescent="0.3">
      <c r="B33" s="150" t="s">
        <v>347</v>
      </c>
      <c r="C33" s="150"/>
      <c r="D33" s="150"/>
      <c r="E33" s="150"/>
      <c r="F33" s="150"/>
      <c r="G33" s="150"/>
      <c r="H33" s="150"/>
      <c r="I33" s="150"/>
      <c r="J33" s="150"/>
      <c r="K33" s="150"/>
      <c r="L33" s="150"/>
      <c r="M33" s="150"/>
      <c r="N33" s="150"/>
      <c r="O33" s="155">
        <f>$G$13</f>
        <v>-609.73</v>
      </c>
      <c r="P33" s="155">
        <f>$G$13</f>
        <v>-609.73</v>
      </c>
      <c r="Q33" s="155">
        <f>$G$13</f>
        <v>-609.73</v>
      </c>
    </row>
    <row r="34" spans="2:17" x14ac:dyDescent="0.3">
      <c r="B34" s="150" t="s">
        <v>346</v>
      </c>
      <c r="C34" s="150"/>
      <c r="D34" s="150"/>
      <c r="E34" s="150"/>
      <c r="F34" s="150"/>
      <c r="G34" s="150"/>
      <c r="H34" s="150"/>
      <c r="I34" s="150"/>
      <c r="J34" s="150"/>
      <c r="K34" s="150"/>
      <c r="L34" s="150"/>
      <c r="M34" s="150"/>
      <c r="N34" s="150"/>
      <c r="O34" s="155">
        <f>O32-O33</f>
        <v>806571.57679422619</v>
      </c>
      <c r="P34" s="155">
        <f>P32-P33</f>
        <v>343340.32071784174</v>
      </c>
      <c r="Q34" s="155">
        <f>Q32</f>
        <v>743021.74366807635</v>
      </c>
    </row>
    <row r="35" spans="2:17" x14ac:dyDescent="0.3">
      <c r="B35" s="150" t="s">
        <v>328</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1987.5106618555669</v>
      </c>
      <c r="P37" s="157">
        <f>P34/P35</f>
        <v>846.04090660352313</v>
      </c>
      <c r="Q37" s="157">
        <f>Q34/Q35</f>
        <v>1830.914552432301</v>
      </c>
    </row>
    <row r="38" spans="2:17" x14ac:dyDescent="0.3">
      <c r="B38" s="52" t="s">
        <v>349</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350</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334</v>
      </c>
      <c r="E67" s="106">
        <f>'Data Sheet'!G17</f>
        <v>146767</v>
      </c>
      <c r="F67" s="106">
        <f>'Data Sheet'!H17</f>
        <v>153670</v>
      </c>
      <c r="G67" s="106">
        <f>'Data Sheet'!I17</f>
        <v>162990</v>
      </c>
      <c r="H67" s="106">
        <f>'Data Sheet'!J17</f>
        <v>178650</v>
      </c>
      <c r="I67" s="106">
        <f>'Data Sheet'!K17</f>
        <v>184582</v>
      </c>
    </row>
    <row r="68" spans="2:9" x14ac:dyDescent="0.3">
      <c r="B68" s="89" t="s">
        <v>352</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334</v>
      </c>
      <c r="E70" s="106">
        <f>E67</f>
        <v>146767</v>
      </c>
      <c r="F70" s="106">
        <f t="shared" ref="F70:I70" si="4">F67</f>
        <v>153670</v>
      </c>
      <c r="G70" s="106">
        <f t="shared" si="4"/>
        <v>162990</v>
      </c>
      <c r="H70" s="106">
        <f t="shared" si="4"/>
        <v>178650</v>
      </c>
      <c r="I70" s="106">
        <f t="shared" si="4"/>
        <v>184582</v>
      </c>
    </row>
    <row r="71" spans="2:9" x14ac:dyDescent="0.3">
      <c r="B71" t="s">
        <v>353</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354</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353</v>
      </c>
      <c r="E74" s="106">
        <f>E71</f>
        <v>112120</v>
      </c>
      <c r="F74" s="106">
        <f t="shared" ref="F74:I74" si="6">F71</f>
        <v>120662.5</v>
      </c>
      <c r="G74" s="106">
        <f t="shared" si="6"/>
        <v>130308</v>
      </c>
      <c r="H74" s="106">
        <f t="shared" si="6"/>
        <v>141907.5</v>
      </c>
      <c r="I74" s="106">
        <f t="shared" si="6"/>
        <v>151041.5</v>
      </c>
    </row>
    <row r="75" spans="2:9" x14ac:dyDescent="0.3">
      <c r="B75" t="s">
        <v>350</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355</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356</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353</v>
      </c>
      <c r="E83" s="106">
        <f>E74</f>
        <v>112120</v>
      </c>
      <c r="F83" s="106">
        <f t="shared" ref="F83:I83" si="10">F74</f>
        <v>120662.5</v>
      </c>
      <c r="G83" s="106">
        <f t="shared" si="10"/>
        <v>130308</v>
      </c>
      <c r="H83" s="106">
        <f t="shared" si="10"/>
        <v>141907.5</v>
      </c>
      <c r="I83" s="106">
        <f t="shared" si="10"/>
        <v>151041.5</v>
      </c>
    </row>
    <row r="84" spans="2:9" x14ac:dyDescent="0.3">
      <c r="B84" s="89" t="s">
        <v>357</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334</v>
      </c>
      <c r="E89" s="106">
        <f>E67</f>
        <v>146767</v>
      </c>
      <c r="F89" s="106">
        <f t="shared" ref="F89:I89" si="13">F67</f>
        <v>153670</v>
      </c>
      <c r="G89" s="106">
        <f t="shared" si="13"/>
        <v>162990</v>
      </c>
      <c r="H89" s="106">
        <f t="shared" si="13"/>
        <v>178650</v>
      </c>
      <c r="I89" s="106">
        <f t="shared" si="13"/>
        <v>184582</v>
      </c>
    </row>
    <row r="90" spans="2:9" x14ac:dyDescent="0.3">
      <c r="B90" s="89" t="s">
        <v>352</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334</v>
      </c>
      <c r="E92" s="106">
        <f>E67</f>
        <v>146767</v>
      </c>
      <c r="F92" s="106">
        <f t="shared" ref="F92:I92" si="15">F67</f>
        <v>153670</v>
      </c>
      <c r="G92" s="106">
        <f t="shared" si="15"/>
        <v>162990</v>
      </c>
      <c r="H92" s="106">
        <f t="shared" si="15"/>
        <v>178650</v>
      </c>
      <c r="I92" s="106">
        <f t="shared" si="15"/>
        <v>184582</v>
      </c>
    </row>
    <row r="93" spans="2:9" x14ac:dyDescent="0.3">
      <c r="B93" t="s">
        <v>353</v>
      </c>
      <c r="E93" s="106">
        <f>E71</f>
        <v>112120</v>
      </c>
      <c r="F93" s="106">
        <f t="shared" ref="F93:I93" si="16">F71</f>
        <v>120662.5</v>
      </c>
      <c r="G93" s="106">
        <f t="shared" si="16"/>
        <v>130308</v>
      </c>
      <c r="H93" s="106">
        <f t="shared" si="16"/>
        <v>141907.5</v>
      </c>
      <c r="I93" s="106">
        <f t="shared" si="16"/>
        <v>151041.5</v>
      </c>
    </row>
    <row r="94" spans="2:9" x14ac:dyDescent="0.3">
      <c r="B94" s="89" t="s">
        <v>354</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359</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8592</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8593</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8594</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482839.91000000003</v>
      </c>
      <c r="F77" s="106">
        <f>'Data Sheet'!H90*'Data Sheet'!H93</f>
        <v>482839.91000000003</v>
      </c>
      <c r="G77" s="106">
        <f>'Data Sheet'!I90*'Data Sheet'!I93</f>
        <v>482839.91000000003</v>
      </c>
      <c r="H77" s="106">
        <f>'Data Sheet'!J90*'Data Sheet'!J93</f>
        <v>482839.91000000003</v>
      </c>
      <c r="I77" s="106">
        <f>'Data Sheet'!K90*'Data Sheet'!K93</f>
        <v>482839.91000000003</v>
      </c>
    </row>
    <row r="78" spans="2:9" x14ac:dyDescent="0.3">
      <c r="B78" t="s">
        <v>8597</v>
      </c>
      <c r="E78" s="106">
        <f>SUM('Data Sheet'!G59:G60)</f>
        <v>41379</v>
      </c>
      <c r="F78" s="106">
        <f>SUM('Data Sheet'!H59:H60)</f>
        <v>49189</v>
      </c>
      <c r="G78" s="106">
        <f>SUM('Data Sheet'!I59:I60)</f>
        <v>47904</v>
      </c>
      <c r="H78" s="106">
        <f>SUM('Data Sheet'!J59:J60)</f>
        <v>51977</v>
      </c>
      <c r="I78" s="106">
        <f>SUM('Data Sheet'!K59:K60)</f>
        <v>61436</v>
      </c>
    </row>
    <row r="79" spans="2:9" x14ac:dyDescent="0.3">
      <c r="B79" s="89" t="s">
        <v>8595</v>
      </c>
      <c r="C79" s="89"/>
      <c r="D79" s="89"/>
      <c r="E79" s="90">
        <f>E77/E78</f>
        <v>11.668718673723387</v>
      </c>
      <c r="F79" s="90">
        <f t="shared" ref="F79:I79" si="5">F77/F78</f>
        <v>9.8160139462074856</v>
      </c>
      <c r="G79" s="90">
        <f t="shared" si="5"/>
        <v>10.079323438543755</v>
      </c>
      <c r="H79" s="90">
        <f t="shared" si="5"/>
        <v>9.2894916982511493</v>
      </c>
      <c r="I79" s="90">
        <f t="shared" si="5"/>
        <v>7.8592341623803641</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8599</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10.346446189370544</v>
      </c>
      <c r="F89" s="76">
        <f t="shared" ref="F89:I89" si="8">(1.2*F61)+(1.4*F67)+(3.3*F73)+(0.6*F79)+(F85*1)</f>
        <v>9.1714231932405585</v>
      </c>
      <c r="G89" s="76">
        <f t="shared" si="8"/>
        <v>9.4036358216911697</v>
      </c>
      <c r="H89" s="76">
        <f t="shared" si="8"/>
        <v>8.9151274084090613</v>
      </c>
      <c r="I89" s="76">
        <f t="shared" si="8"/>
        <v>7.9570103460230541</v>
      </c>
    </row>
    <row r="90" spans="2:9" x14ac:dyDescent="0.3">
      <c r="B90" t="s">
        <v>8602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246</v>
      </c>
      <c r="C5" s="108">
        <v>572</v>
      </c>
      <c r="D5" s="47">
        <v>1144</v>
      </c>
      <c r="E5" s="47">
        <v>1144</v>
      </c>
      <c r="F5" s="47">
        <v>1088</v>
      </c>
      <c r="G5" s="47">
        <v>2170</v>
      </c>
      <c r="H5" s="47">
        <v>2122</v>
      </c>
      <c r="I5" s="47">
        <v>2124</v>
      </c>
      <c r="J5" s="47">
        <v>2098</v>
      </c>
      <c r="K5" s="47">
        <v>2069</v>
      </c>
      <c r="L5" s="47">
        <v>2071</v>
      </c>
      <c r="M5" s="47">
        <v>2073</v>
      </c>
      <c r="N5" s="47">
        <v>2024</v>
      </c>
      <c r="R5" t="s">
        <v>286</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247</v>
      </c>
      <c r="C7" s="48">
        <v>0</v>
      </c>
      <c r="D7" s="48">
        <v>0</v>
      </c>
      <c r="E7" s="48">
        <v>0</v>
      </c>
      <c r="F7" s="48">
        <v>0</v>
      </c>
      <c r="G7" s="48">
        <v>0</v>
      </c>
      <c r="H7" s="48">
        <v>4633</v>
      </c>
      <c r="I7" s="48">
        <v>5325</v>
      </c>
      <c r="J7" s="48">
        <v>5474</v>
      </c>
      <c r="K7" s="48">
        <v>8299</v>
      </c>
      <c r="L7" s="48">
        <v>8359</v>
      </c>
      <c r="M7" s="48">
        <v>8227</v>
      </c>
      <c r="N7" s="48">
        <v>9176</v>
      </c>
      <c r="O7" s="48"/>
      <c r="R7" t="s">
        <v>287</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248</v>
      </c>
      <c r="C8" s="48">
        <v>61</v>
      </c>
      <c r="D8" s="48">
        <v>27</v>
      </c>
      <c r="E8" s="48">
        <v>18</v>
      </c>
      <c r="F8" s="48">
        <v>12</v>
      </c>
      <c r="G8" s="48">
        <v>8</v>
      </c>
      <c r="H8" s="48">
        <v>6</v>
      </c>
      <c r="I8" s="48">
        <v>6</v>
      </c>
      <c r="J8" s="48">
        <v>5</v>
      </c>
      <c r="K8" s="48">
        <v>3</v>
      </c>
      <c r="L8" s="48">
        <v>2</v>
      </c>
      <c r="M8" s="48">
        <v>0</v>
      </c>
      <c r="N8" s="48">
        <v>60</v>
      </c>
      <c r="R8" t="s">
        <v>288</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249</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250</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8605</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251</v>
      </c>
      <c r="C12" s="48">
        <v>15553</v>
      </c>
      <c r="D12" s="48">
        <v>13354</v>
      </c>
      <c r="E12" s="48">
        <v>14166</v>
      </c>
      <c r="F12" s="48">
        <v>14426</v>
      </c>
      <c r="G12" s="48">
        <v>19118</v>
      </c>
      <c r="H12" s="48">
        <v>21717</v>
      </c>
      <c r="I12" s="48">
        <v>25835</v>
      </c>
      <c r="J12" s="48">
        <v>35905</v>
      </c>
      <c r="K12" s="48">
        <v>40890</v>
      </c>
      <c r="L12" s="48">
        <v>39545</v>
      </c>
      <c r="M12" s="48">
        <v>43750</v>
      </c>
      <c r="N12" s="48">
        <v>52260</v>
      </c>
      <c r="R12" t="s">
        <v>289</v>
      </c>
      <c r="S12" s="75">
        <v>28</v>
      </c>
      <c r="T12" s="75">
        <v>28</v>
      </c>
      <c r="U12" s="75">
        <v>28</v>
      </c>
      <c r="V12" s="75">
        <v>21</v>
      </c>
      <c r="W12" s="75">
        <v>27</v>
      </c>
      <c r="X12" s="75">
        <v>24</v>
      </c>
      <c r="Y12" s="75">
        <v>27</v>
      </c>
      <c r="Z12" s="75">
        <v>26</v>
      </c>
      <c r="AA12" s="75">
        <v>28</v>
      </c>
      <c r="AB12" s="75">
        <v>27</v>
      </c>
      <c r="AC12" s="75">
        <v>29</v>
      </c>
      <c r="AD12" s="75">
        <v>26</v>
      </c>
      <c r="AE12">
        <v>65535</v>
      </c>
    </row>
    <row r="13" spans="2:31" x14ac:dyDescent="0.3">
      <c r="B13" t="s">
        <v>252</v>
      </c>
      <c r="C13">
        <v>225</v>
      </c>
      <c r="D13">
        <v>261</v>
      </c>
      <c r="E13">
        <v>295</v>
      </c>
      <c r="F13">
        <v>334</v>
      </c>
      <c r="G13">
        <v>343</v>
      </c>
      <c r="H13">
        <v>377</v>
      </c>
      <c r="I13">
        <v>347</v>
      </c>
      <c r="J13">
        <v>366</v>
      </c>
      <c r="K13">
        <v>384</v>
      </c>
      <c r="L13">
        <v>383</v>
      </c>
      <c r="M13">
        <v>368</v>
      </c>
      <c r="N13">
        <v>366</v>
      </c>
      <c r="O13" s="48"/>
      <c r="R13" t="s">
        <v>290</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253</v>
      </c>
      <c r="C14" s="48">
        <v>2020</v>
      </c>
      <c r="D14" s="48">
        <v>2339</v>
      </c>
      <c r="E14" s="48">
        <v>2659</v>
      </c>
      <c r="F14" s="48">
        <v>3496</v>
      </c>
      <c r="G14" s="48">
        <v>3510</v>
      </c>
      <c r="H14" s="48">
        <v>3630</v>
      </c>
      <c r="I14" s="48">
        <v>4319</v>
      </c>
      <c r="J14" s="48">
        <v>4417</v>
      </c>
      <c r="K14" s="48">
        <v>4659</v>
      </c>
      <c r="L14" s="48">
        <v>4798</v>
      </c>
      <c r="M14" s="48">
        <v>4807</v>
      </c>
      <c r="N14" s="48">
        <v>5640</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254</v>
      </c>
      <c r="C15">
        <v>0</v>
      </c>
      <c r="D15">
        <v>805</v>
      </c>
      <c r="E15">
        <v>495</v>
      </c>
      <c r="F15">
        <v>461</v>
      </c>
      <c r="G15">
        <v>430</v>
      </c>
      <c r="H15">
        <v>703</v>
      </c>
      <c r="I15">
        <v>811</v>
      </c>
      <c r="J15" s="48">
        <v>1278</v>
      </c>
      <c r="K15" s="48">
        <v>1295</v>
      </c>
      <c r="L15">
        <v>886</v>
      </c>
      <c r="M15" s="48">
        <v>1264</v>
      </c>
      <c r="N15" s="48">
        <v>1342</v>
      </c>
      <c r="O15" s="48"/>
      <c r="S15">
        <v>55</v>
      </c>
      <c r="T15">
        <v>41</v>
      </c>
      <c r="U15">
        <v>41</v>
      </c>
      <c r="V15">
        <v>59</v>
      </c>
      <c r="W15">
        <v>60</v>
      </c>
      <c r="X15">
        <v>45</v>
      </c>
      <c r="Y15">
        <v>59</v>
      </c>
      <c r="Z15">
        <v>59</v>
      </c>
      <c r="AA15">
        <v>58</v>
      </c>
      <c r="AB15">
        <v>73</v>
      </c>
      <c r="AC15">
        <v>67</v>
      </c>
      <c r="AD15">
        <v>66</v>
      </c>
      <c r="AE15">
        <v>65535</v>
      </c>
    </row>
    <row r="16" spans="2:31" x14ac:dyDescent="0.3">
      <c r="B16" s="48" t="s">
        <v>255</v>
      </c>
      <c r="C16" s="48">
        <v>11702</v>
      </c>
      <c r="D16" s="48">
        <v>5483</v>
      </c>
      <c r="E16" s="48">
        <v>5991</v>
      </c>
      <c r="F16" s="48">
        <v>7404</v>
      </c>
      <c r="G16" s="48">
        <v>8301</v>
      </c>
      <c r="H16" s="48">
        <v>7050</v>
      </c>
      <c r="I16" s="48">
        <v>7666</v>
      </c>
      <c r="J16" s="48">
        <v>8429</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14261</v>
      </c>
      <c r="T20" s="48">
        <v>15154</v>
      </c>
      <c r="U20" s="48">
        <v>16075</v>
      </c>
      <c r="V20" s="48">
        <v>17433</v>
      </c>
      <c r="W20" s="48">
        <v>18862</v>
      </c>
      <c r="X20" s="48">
        <v>19416</v>
      </c>
      <c r="Y20" s="48">
        <v>17326</v>
      </c>
      <c r="Z20" s="48">
        <v>20857</v>
      </c>
      <c r="AA20" s="48">
        <v>26052</v>
      </c>
      <c r="AB20" s="48">
        <v>26635</v>
      </c>
      <c r="AC20" s="48">
        <v>26719</v>
      </c>
      <c r="AD20" s="48">
        <v>27600</v>
      </c>
    </row>
    <row r="21" spans="2:30" x14ac:dyDescent="0.3">
      <c r="B21" s="73" t="s">
        <v>256</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558</v>
      </c>
      <c r="T21">
        <v>-207</v>
      </c>
      <c r="U21">
        <v>-870</v>
      </c>
      <c r="V21">
        <v>-964</v>
      </c>
      <c r="W21">
        <v>-755</v>
      </c>
      <c r="X21" s="48">
        <v>1411</v>
      </c>
      <c r="Y21">
        <v>-66</v>
      </c>
      <c r="Z21">
        <v>-732</v>
      </c>
      <c r="AA21">
        <v>-884</v>
      </c>
      <c r="AB21">
        <v>-934</v>
      </c>
      <c r="AC21" s="48">
        <v>-1023</v>
      </c>
      <c r="AD21">
        <v>468</v>
      </c>
    </row>
    <row r="22" spans="2:30" x14ac:dyDescent="0.3">
      <c r="B22" s="48" t="s">
        <v>257</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258</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259</v>
      </c>
      <c r="C24" s="48">
        <v>1427</v>
      </c>
      <c r="D24" s="48">
        <v>1759</v>
      </c>
      <c r="E24" s="48">
        <v>2048</v>
      </c>
      <c r="F24" s="48">
        <v>2306</v>
      </c>
      <c r="G24" s="48">
        <v>2709</v>
      </c>
      <c r="H24" s="48">
        <v>3185</v>
      </c>
      <c r="I24" s="48">
        <v>3296</v>
      </c>
      <c r="J24" s="48">
        <v>3210</v>
      </c>
      <c r="K24" s="48">
        <v>3302</v>
      </c>
      <c r="L24" s="48">
        <v>3428</v>
      </c>
      <c r="M24" s="48">
        <v>3461</v>
      </c>
      <c r="N24" s="48">
        <v>3714</v>
      </c>
      <c r="R24" t="s">
        <v>132</v>
      </c>
      <c r="S24">
        <v>31</v>
      </c>
      <c r="T24">
        <v>-277</v>
      </c>
      <c r="U24">
        <v>44</v>
      </c>
      <c r="V24" s="48">
        <v>1736</v>
      </c>
      <c r="W24">
        <v>-476</v>
      </c>
      <c r="X24">
        <v>296</v>
      </c>
      <c r="Y24">
        <v>-413</v>
      </c>
      <c r="Z24">
        <v>-100</v>
      </c>
      <c r="AA24">
        <v>-924</v>
      </c>
      <c r="AB24" s="48">
        <v>-3337</v>
      </c>
      <c r="AC24" s="48">
        <v>-2742</v>
      </c>
      <c r="AD24" s="48">
        <v>-2762</v>
      </c>
    </row>
    <row r="25" spans="2:30" x14ac:dyDescent="0.3">
      <c r="B25" t="s">
        <v>260</v>
      </c>
      <c r="C25">
        <v>676</v>
      </c>
      <c r="D25">
        <v>839</v>
      </c>
      <c r="E25">
        <v>922</v>
      </c>
      <c r="F25">
        <v>1002</v>
      </c>
      <c r="G25">
        <v>1101</v>
      </c>
      <c r="H25">
        <v>1265</v>
      </c>
      <c r="I25">
        <v>1371</v>
      </c>
      <c r="J25">
        <v>1427</v>
      </c>
      <c r="K25">
        <v>1482</v>
      </c>
      <c r="L25">
        <v>1528</v>
      </c>
      <c r="M25">
        <v>1628</v>
      </c>
      <c r="N25">
        <v>1732</v>
      </c>
      <c r="R25" t="s">
        <v>133</v>
      </c>
      <c r="S25" s="48">
        <v>-4449</v>
      </c>
      <c r="T25" s="48">
        <v>-5078</v>
      </c>
      <c r="U25" s="48">
        <v>-5492</v>
      </c>
      <c r="V25" s="48">
        <v>-6000</v>
      </c>
      <c r="W25" s="48">
        <v>-5803</v>
      </c>
      <c r="X25" s="48">
        <v>-5023</v>
      </c>
      <c r="Y25" s="48">
        <v>-4387</v>
      </c>
      <c r="Z25" s="48">
        <v>-4982</v>
      </c>
      <c r="AA25" s="48">
        <v>-6250</v>
      </c>
      <c r="AB25" s="48">
        <v>-6120</v>
      </c>
      <c r="AC25" s="48">
        <v>-6350</v>
      </c>
      <c r="AD25" s="48">
        <v>-6374</v>
      </c>
    </row>
    <row r="26" spans="2:30" x14ac:dyDescent="0.3">
      <c r="B26" s="48" t="s">
        <v>261</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-3300</v>
      </c>
      <c r="T27" s="48">
        <v>-2348</v>
      </c>
      <c r="U27" s="48">
        <v>-3122</v>
      </c>
      <c r="V27" s="48">
        <v>-2878</v>
      </c>
      <c r="W27" s="48">
        <v>-3169</v>
      </c>
      <c r="X27" s="48">
        <v>-2441</v>
      </c>
      <c r="Y27" s="48">
        <v>-1837</v>
      </c>
      <c r="Z27" s="48">
        <v>-2142</v>
      </c>
      <c r="AA27" s="48">
        <v>-2743</v>
      </c>
      <c r="AB27" s="48">
        <v>-3563</v>
      </c>
      <c r="AC27" s="48">
        <v>-2279</v>
      </c>
      <c r="AD27" s="48">
        <v>-2183</v>
      </c>
    </row>
    <row r="28" spans="2:30" x14ac:dyDescent="0.3">
      <c r="B28" t="s">
        <v>263</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264</v>
      </c>
      <c r="C29">
        <v>3637</v>
      </c>
      <c r="D29">
        <v>3858</v>
      </c>
      <c r="E29">
        <v>3743</v>
      </c>
      <c r="F29">
        <v>2237</v>
      </c>
      <c r="G29">
        <v>3640</v>
      </c>
      <c r="H29">
        <v>5528</v>
      </c>
      <c r="I29" s="48">
        <v>6373</v>
      </c>
      <c r="J29" s="48">
        <v>6495</v>
      </c>
      <c r="K29" s="48">
        <v>7594</v>
      </c>
      <c r="L29" s="48">
        <v>7652</v>
      </c>
      <c r="M29" s="48">
        <v>10626</v>
      </c>
      <c r="N29" s="48">
        <v>12729</v>
      </c>
      <c r="R29" t="s">
        <v>137</v>
      </c>
      <c r="S29" s="48">
        <v>-98742</v>
      </c>
      <c r="T29" s="48">
        <v>-154081</v>
      </c>
      <c r="U29" s="48">
        <v>-85683</v>
      </c>
      <c r="V29" s="48">
        <v>-98330</v>
      </c>
      <c r="W29" s="48">
        <v>-94187</v>
      </c>
      <c r="X29" s="48">
        <v>-79835</v>
      </c>
      <c r="Y29" s="48">
        <v>-57553</v>
      </c>
      <c r="Z29" s="48">
        <v>-69776</v>
      </c>
      <c r="AA29" s="48">
        <v>-80932</v>
      </c>
      <c r="AB29" s="48">
        <v>-75107</v>
      </c>
      <c r="AC29" s="48">
        <v>-66373</v>
      </c>
      <c r="AD29" s="48">
        <v>-68173</v>
      </c>
    </row>
    <row r="30" spans="2:30" x14ac:dyDescent="0.3">
      <c r="B30" t="s">
        <v>265</v>
      </c>
      <c r="C30">
        <v>71</v>
      </c>
      <c r="D30">
        <v>931</v>
      </c>
      <c r="E30">
        <v>899</v>
      </c>
      <c r="F30">
        <v>545</v>
      </c>
      <c r="G30">
        <v>1093</v>
      </c>
      <c r="H30">
        <v>2289</v>
      </c>
      <c r="I30">
        <v>2730</v>
      </c>
      <c r="J30">
        <v>2766</v>
      </c>
      <c r="K30">
        <v>3281</v>
      </c>
      <c r="L30">
        <v>3294</v>
      </c>
      <c r="M30">
        <v>5184</v>
      </c>
      <c r="N30" s="48">
        <v>6296</v>
      </c>
      <c r="O30" s="48"/>
      <c r="R30" t="s">
        <v>138</v>
      </c>
      <c r="S30" s="48">
        <v>99658</v>
      </c>
      <c r="T30" s="48">
        <v>150651</v>
      </c>
      <c r="U30" s="48">
        <v>81034</v>
      </c>
      <c r="V30" s="48">
        <v>95017</v>
      </c>
      <c r="W30" s="48">
        <v>92454</v>
      </c>
      <c r="X30" s="48">
        <v>75835</v>
      </c>
      <c r="Y30" s="48">
        <v>62797</v>
      </c>
      <c r="Z30" s="48">
        <v>70992</v>
      </c>
      <c r="AA30" s="48">
        <v>77230</v>
      </c>
      <c r="AB30" s="48">
        <v>77830</v>
      </c>
      <c r="AC30" s="48">
        <v>67311</v>
      </c>
      <c r="AD30" s="48">
        <v>65737</v>
      </c>
    </row>
    <row r="31" spans="2:30" x14ac:dyDescent="0.3">
      <c r="B31" t="s">
        <v>266</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559</v>
      </c>
      <c r="T31">
        <v>741</v>
      </c>
      <c r="U31" s="48">
        <v>756</v>
      </c>
      <c r="V31" s="48">
        <v>736</v>
      </c>
      <c r="W31" s="48">
        <v>1184</v>
      </c>
      <c r="X31" s="48">
        <v>1513</v>
      </c>
      <c r="Y31" s="48">
        <v>1275</v>
      </c>
      <c r="Z31" s="48">
        <v>1035</v>
      </c>
      <c r="AA31" s="48">
        <v>1324</v>
      </c>
      <c r="AB31" s="48">
        <v>1138</v>
      </c>
      <c r="AC31" s="48">
        <v>1072</v>
      </c>
      <c r="AD31" s="48">
        <v>917</v>
      </c>
    </row>
    <row r="32" spans="2:30" x14ac:dyDescent="0.3">
      <c r="B32" s="48" t="s">
        <v>267</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268</v>
      </c>
      <c r="T32">
        <v>64</v>
      </c>
      <c r="U32" s="48">
        <v>4</v>
      </c>
      <c r="V32">
        <v>13</v>
      </c>
      <c r="W32">
        <v>13</v>
      </c>
      <c r="X32">
        <v>17</v>
      </c>
      <c r="Y32" s="48">
        <v>7</v>
      </c>
      <c r="Z32" s="48">
        <v>16</v>
      </c>
      <c r="AA32" s="48">
        <v>19</v>
      </c>
      <c r="AB32" s="48">
        <v>36</v>
      </c>
      <c r="AC32" s="48">
        <v>38</v>
      </c>
      <c r="AD32" s="48">
        <v>45</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0</v>
      </c>
      <c r="T34" s="48">
        <v>0</v>
      </c>
      <c r="U34" s="48">
        <v>0</v>
      </c>
      <c r="V34" s="48">
        <v>0</v>
      </c>
      <c r="W34" s="48">
        <v>0</v>
      </c>
      <c r="X34" s="48">
        <v>0</v>
      </c>
      <c r="Y34" s="48">
        <v>-2</v>
      </c>
      <c r="Z34" s="48">
        <v>-2</v>
      </c>
      <c r="AA34" s="48">
        <v>-2</v>
      </c>
      <c r="AB34" s="48">
        <v>-65</v>
      </c>
      <c r="AC34" s="48">
        <v>-30</v>
      </c>
      <c r="AD34" s="48">
        <v>-183</v>
      </c>
    </row>
    <row r="35" spans="2:58" x14ac:dyDescent="0.3">
      <c r="B35" t="s">
        <v>268</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269</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270</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7</v>
      </c>
      <c r="T39">
        <v>0</v>
      </c>
      <c r="U39">
        <v>0</v>
      </c>
      <c r="V39">
        <v>11</v>
      </c>
      <c r="W39">
        <v>0</v>
      </c>
      <c r="X39">
        <v>0</v>
      </c>
      <c r="Y39">
        <v>0</v>
      </c>
      <c r="Z39">
        <v>0</v>
      </c>
      <c r="AA39">
        <v>0</v>
      </c>
      <c r="AB39">
        <v>8</v>
      </c>
      <c r="AC39">
        <v>90</v>
      </c>
      <c r="AD39" s="48">
        <v>2120</v>
      </c>
    </row>
    <row r="40" spans="2:58" x14ac:dyDescent="0.3">
      <c r="B40" t="s">
        <v>271</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272</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-16</v>
      </c>
      <c r="T41" s="48">
        <v>-28</v>
      </c>
      <c r="U41" s="48">
        <v>-25</v>
      </c>
      <c r="V41" s="48">
        <v>-49</v>
      </c>
      <c r="W41" s="48">
        <v>-98</v>
      </c>
      <c r="X41" s="48">
        <v>-44</v>
      </c>
      <c r="Y41" s="48">
        <v>-41</v>
      </c>
      <c r="Z41" s="48">
        <v>-40</v>
      </c>
      <c r="AA41" s="48">
        <v>-41</v>
      </c>
      <c r="AB41" s="48">
        <v>-46</v>
      </c>
      <c r="AC41" s="48">
        <v>-50</v>
      </c>
      <c r="AD41" s="48">
        <v>-82</v>
      </c>
    </row>
    <row r="42" spans="2:58" x14ac:dyDescent="0.3">
      <c r="B42" t="s">
        <v>273</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6499</v>
      </c>
      <c r="M57">
        <v>2105</v>
      </c>
      <c r="N57">
        <v>361.81</v>
      </c>
      <c r="AR57">
        <v>426682.56</v>
      </c>
      <c r="AS57">
        <f>AZ57-BA57</f>
        <v>-609.73</v>
      </c>
      <c r="AT57">
        <f>AR57+AS57</f>
        <v>426072.83</v>
      </c>
      <c r="AU57">
        <v>192844</v>
      </c>
      <c r="AV57">
        <f t="shared" si="0"/>
        <v>10665.152190237797</v>
      </c>
      <c r="AW57">
        <v>31100</v>
      </c>
      <c r="AX57">
        <v>39.950000000000003</v>
      </c>
      <c r="AZ57">
        <v>2399.06</v>
      </c>
      <c r="BA57">
        <v>3008.79</v>
      </c>
    </row>
    <row r="58" spans="11:58" x14ac:dyDescent="0.3">
      <c r="K58">
        <v>2</v>
      </c>
      <c r="L58" t="s">
        <v>8617</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8618</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8619</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8620</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8621</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8622</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8623</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8624</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2026-09-19T11:34:40Z</dcterms:modified>
</cp:coreProperties>
</file>