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externalReferences>
    <externalReference xmlns:r="http://schemas.openxmlformats.org/officeDocument/2006/relationships" r:id="rId26"/>
  </externalReferences>
  <definedNames>
    <definedName name="UPDATE">'Data Sheet'!$E$1</definedName>
    <definedName name="UPDATE" localSheetId="24">'[1]Data Sheet'!$E$1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  <numFmt numFmtId="181" formatCode="0.0&quot;x&quot;"/>
  </numFmts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1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51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center"/>
    </xf>
    <xf numFmtId="0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24" fillId="0" borderId="0" pivotButton="0" quotePrefix="0" xfId="0"/>
    <xf numFmtId="0" fontId="31" fillId="20" borderId="0" pivotButton="0" quotePrefix="0" xfId="0"/>
    <xf numFmtId="10" fontId="23" fillId="14" borderId="0" applyAlignment="1" pivotButton="0" quotePrefix="0" xfId="0">
      <alignment horizontal="center"/>
    </xf>
    <xf numFmtId="177" fontId="0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16" borderId="0" pivotButton="0" quotePrefix="0" xfId="0"/>
    <xf numFmtId="0" fontId="0" fillId="16" borderId="0" pivotButton="0" quotePrefix="0" xfId="0"/>
    <xf numFmtId="0" fontId="30" fillId="19" borderId="0" applyAlignment="1" pivotButton="0" quotePrefix="0" xfId="0">
      <alignment horizontal="center"/>
    </xf>
    <xf numFmtId="0" fontId="25" fillId="0" borderId="0" pivotButton="0" quotePrefix="0" xfId="0"/>
    <xf numFmtId="178" fontId="29" fillId="17" borderId="16" applyAlignment="1" pivotButton="0" quotePrefix="0" xfId="0">
      <alignment horizontal="right"/>
    </xf>
    <xf numFmtId="0" fontId="25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29" fillId="17" borderId="16" applyAlignment="1" pivotButton="0" quotePrefix="0" xfId="0">
      <alignment horizontal="right"/>
    </xf>
    <xf numFmtId="3" fontId="29" fillId="17" borderId="16" applyAlignment="1" pivotButton="0" quotePrefix="0" xfId="0">
      <alignment horizontal="right"/>
    </xf>
    <xf numFmtId="0" fontId="28" fillId="0" borderId="0" pivotButton="0" quotePrefix="0" xfId="0"/>
    <xf numFmtId="2" fontId="24" fillId="0" borderId="0" pivotButton="0" quotePrefix="0" xfId="0"/>
    <xf numFmtId="179" fontId="24" fillId="0" borderId="0" pivotButton="0" quotePrefix="0" xfId="0"/>
    <xf numFmtId="180" fontId="24" fillId="0" borderId="0" pivotButton="0" quotePrefix="0" xfId="0"/>
    <xf numFmtId="1" fontId="29" fillId="17" borderId="16" applyAlignment="1" pivotButton="0" quotePrefix="0" xfId="0">
      <alignment horizontal="right"/>
    </xf>
    <xf numFmtId="175" fontId="29" fillId="17" borderId="16" applyAlignment="1" pivotButton="0" quotePrefix="0" xfId="0">
      <alignment horizontal="right"/>
    </xf>
    <xf numFmtId="1" fontId="24" fillId="18" borderId="16" pivotButton="0" quotePrefix="0" xfId="0"/>
    <xf numFmtId="178" fontId="24" fillId="18" borderId="16" pivotButton="0" quotePrefix="0" xfId="0"/>
    <xf numFmtId="177" fontId="24" fillId="18" borderId="16" pivotButton="0" quotePrefix="0" xfId="0"/>
    <xf numFmtId="175" fontId="29" fillId="17" borderId="16" pivotButton="0" quotePrefix="0" xfId="0"/>
    <xf numFmtId="0" fontId="31" fillId="20" borderId="17" applyAlignment="1" pivotButton="0" quotePrefix="0" xfId="0">
      <alignment horizontal="center"/>
    </xf>
    <xf numFmtId="0" fontId="30" fillId="19" borderId="0" applyAlignment="1" pivotButton="0" quotePrefix="0" xfId="0">
      <alignment horizontal="left"/>
    </xf>
    <xf numFmtId="0" fontId="24" fillId="0" borderId="16" pivotButton="0" quotePrefix="0" xfId="0"/>
    <xf numFmtId="3" fontId="25" fillId="0" borderId="16" applyAlignment="1" pivotButton="0" quotePrefix="0" xfId="0">
      <alignment horizontal="right"/>
    </xf>
    <xf numFmtId="0" fontId="27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175" fontId="25" fillId="0" borderId="16" applyAlignment="1" pivotButton="0" quotePrefix="0" xfId="0">
      <alignment horizontal="right"/>
    </xf>
    <xf numFmtId="1" fontId="25" fillId="0" borderId="16" applyAlignment="1" pivotButton="0" quotePrefix="0" xfId="0">
      <alignment horizontal="right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175" fontId="24" fillId="0" borderId="0" pivotButton="0" quotePrefix="0" xfId="0"/>
    <xf numFmtId="0" fontId="27" fillId="6" borderId="0" pivotButton="0" quotePrefix="0" xfId="0"/>
    <xf numFmtId="177" fontId="24" fillId="0" borderId="0" pivotButton="0" quotePrefix="0" xfId="0"/>
    <xf numFmtId="4" fontId="25" fillId="0" borderId="0" pivotButton="0" quotePrefix="0" xfId="0"/>
    <xf numFmtId="0" fontId="25" fillId="0" borderId="14" pivotButton="0" quotePrefix="0" xfId="0"/>
    <xf numFmtId="0" fontId="24" fillId="0" borderId="14" pivotButton="0" quotePrefix="0" xfId="0"/>
    <xf numFmtId="177" fontId="24" fillId="0" borderId="15" pivotButton="0" quotePrefix="0" xfId="0"/>
    <xf numFmtId="177" fontId="25" fillId="0" borderId="14" pivotButton="0" quotePrefix="0" xfId="0"/>
    <xf numFmtId="175" fontId="25" fillId="0" borderId="14" pivotButton="0" quotePrefix="0" xfId="0"/>
    <xf numFmtId="0" fontId="0" fillId="0" borderId="14" pivotButton="0" quotePrefix="0" xfId="0"/>
    <xf numFmtId="175" fontId="30" fillId="19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181" fontId="0" fillId="0" borderId="0" pivotButton="0" quotePrefix="0" xfId="0"/>
    <xf numFmtId="0" fontId="0" fillId="0" borderId="8" pivotButton="0" quotePrefix="0" xfId="0"/>
    <xf numFmtId="164" fontId="13" fillId="8" borderId="0" pivotButton="0" quotePrefix="0" xfId="0"/>
    <xf numFmtId="0" fontId="24" fillId="0" borderId="4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externalLink" Target="externalLinks/externalLink1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tabSelected="1" workbookViewId="0">
      <selection activeCell="A1" sqref="A1"/>
    </sheetView>
  </sheetViews>
  <sheetFormatPr baseColWidth="8" defaultRowHeight="14.4"/>
  <cols>
    <col width="54.44140625" bestFit="1" customWidth="1" style="171" min="1" max="1"/>
    <col width="10.6640625" bestFit="1" customWidth="1" style="171" min="2" max="2"/>
    <col width="12.109375" bestFit="1" customWidth="1" style="171" min="3" max="3"/>
    <col width="20" bestFit="1" customWidth="1" style="171" min="4" max="4"/>
    <col width="9" bestFit="1" customWidth="1" style="171" min="5" max="5"/>
    <col width="14.109375" bestFit="1" customWidth="1" style="171" min="6" max="6"/>
    <col width="9.77734375" bestFit="1" customWidth="1" style="171" min="7" max="7"/>
  </cols>
  <sheetData>
    <row r="1">
      <c r="A1" s="172">
        <f>'Data Sheet'!B1&amp;" - Institutional Equity Valuation Model"</f>
        <v/>
      </c>
    </row>
    <row r="2"/>
    <row r="3">
      <c r="A3" s="186" t="inlineStr">
        <is>
          <t>MODEL AUDIT STATUS:</t>
        </is>
      </c>
      <c r="B3" s="187">
        <f>Checks!C3</f>
        <v/>
      </c>
    </row>
    <row r="4">
      <c r="A4" s="174" t="inlineStr">
        <is>
          <t>Current Price</t>
        </is>
      </c>
      <c r="B4" s="174" t="inlineStr">
        <is>
          <t>Intrinsic Value</t>
        </is>
      </c>
      <c r="C4" s="174" t="inlineStr">
        <is>
          <t>Upside / (Downside)</t>
        </is>
      </c>
      <c r="D4" s="174" t="inlineStr">
        <is>
          <t>Margin of Safety</t>
        </is>
      </c>
      <c r="E4" s="174" t="inlineStr">
        <is>
          <t>Verdict</t>
        </is>
      </c>
      <c r="F4" s="174" t="inlineStr">
        <is>
          <t>WACC</t>
        </is>
      </c>
      <c r="G4" s="174" t="inlineStr">
        <is>
          <t>Altman Z-Score</t>
        </is>
      </c>
      <c r="H4" t="inlineStr">
        <is>
          <t>DuPont ROE</t>
        </is>
      </c>
      <c r="I4" t="inlineStr">
        <is>
          <t>Verdict Confidence</t>
        </is>
      </c>
    </row>
    <row r="5" ht="15.6" customHeight="1" s="171">
      <c r="A5" s="176">
        <f>DCF!D45</f>
        <v/>
      </c>
      <c r="B5" s="176">
        <f>DCF!D43</f>
        <v/>
      </c>
      <c r="C5" s="178">
        <f>IFERROR((B5-A5)/MAX(0.01, A5), 0)</f>
        <v/>
      </c>
      <c r="D5" s="178">
        <f>IFERROR((B5-A5)/MAX(0.01, B5), 0)</f>
        <v/>
      </c>
      <c r="E5" s="181">
        <f>IF(OR(NOT(ISNUMBER(B5)), B5&lt;=0), "FAIRLY VALUED / HOLD", IF(C5&gt;0.15, "UNDERVALUED / BUY", IF(C5&lt;-0.15, "OVERVALUED / SELL", "FAIRLY VALUED / HOLD")))</f>
        <v/>
      </c>
      <c r="F5" s="181">
        <f>DCF!D20</f>
        <v/>
      </c>
      <c r="G5" s="182">
        <f>'Altman''s Z Score'!I89</f>
        <v/>
      </c>
      <c r="H5" s="46">
        <f>'Dupont Analysis'!I78</f>
        <v/>
      </c>
      <c r="I5">
        <f>IF(NOT(ISNUMBER(C5)), "OK", IF(ABS(C5)&gt;0.5, "REVIEW: DCF &gt;50% from price", "OK"))</f>
        <v/>
      </c>
    </row>
    <row r="6"/>
    <row r="7" ht="15.6" customHeight="1" s="171">
      <c r="A7" s="179" t="n"/>
      <c r="B7" t="inlineStr">
        <is>
          <t>KEY VALUATION PARAMETERS &amp; LIVE MODEL INPUTS</t>
        </is>
      </c>
    </row>
    <row r="8">
      <c r="A8" s="37" t="n"/>
      <c r="B8" t="inlineStr">
        <is>
          <t>Discount Rate (WACC)</t>
        </is>
      </c>
      <c r="C8" s="46">
        <f>WACC!K46</f>
        <v/>
      </c>
      <c r="D8" t="inlineStr">
        <is>
          <t>% (WACC)</t>
        </is>
      </c>
    </row>
    <row r="9">
      <c r="A9" s="37" t="n"/>
      <c r="B9" t="inlineStr">
        <is>
          <t>Cost of Equity (Ke)</t>
        </is>
      </c>
      <c r="C9" s="46">
        <f>WACC!K29</f>
        <v/>
      </c>
      <c r="D9" t="inlineStr">
        <is>
          <t>% (CAPM)</t>
        </is>
      </c>
    </row>
    <row r="10">
      <c r="A10" s="37" t="n"/>
      <c r="B10" t="inlineStr">
        <is>
          <t>Risk-Free Rate (Rf)</t>
        </is>
      </c>
      <c r="C10" s="46">
        <f>WACC!K26</f>
        <v/>
      </c>
      <c r="D10" t="inlineStr">
        <is>
          <t>% (Control input; India 10Y G-Sec proxy)</t>
        </is>
      </c>
    </row>
    <row r="11">
      <c r="A11" s="37" t="n"/>
      <c r="B11" t="inlineStr">
        <is>
          <t>Equity Risk Premium (ERP)</t>
        </is>
      </c>
      <c r="C11" s="46">
        <f>WACC!K27</f>
        <v/>
      </c>
      <c r="D11" t="inlineStr">
        <is>
          <t>% (Damodaran)</t>
        </is>
      </c>
    </row>
    <row r="12">
      <c r="B12" t="inlineStr">
        <is>
          <t>Levered Beta</t>
        </is>
      </c>
      <c r="C12" s="47">
        <f>WACC!K28</f>
        <v/>
      </c>
      <c r="D12" t="inlineStr">
        <is>
          <t>Peer-median relevered beta</t>
        </is>
      </c>
    </row>
    <row r="13">
      <c r="A13" s="37" t="n"/>
      <c r="B13" t="inlineStr">
        <is>
          <t>Terminal Growth Rate</t>
        </is>
      </c>
      <c r="C13" s="46">
        <f>DCF!D19</f>
        <v/>
      </c>
      <c r="D13" t="inlineStr">
        <is>
          <t>%</t>
        </is>
      </c>
    </row>
    <row r="14">
      <c r="A14" s="183" t="n"/>
      <c r="B14" s="183" t="inlineStr">
        <is>
          <t>Terminal ROIC (After-Tax)</t>
        </is>
      </c>
      <c r="C14" s="188">
        <f>DCF!D22</f>
        <v/>
      </c>
      <c r="D14" s="183" t="inlineStr">
        <is>
          <t>% (NOPAT/IC)</t>
        </is>
      </c>
      <c r="E14" s="183" t="n"/>
      <c r="F14" s="183" t="n"/>
      <c r="G14" s="183" t="n"/>
    </row>
    <row r="15">
      <c r="A15" s="164" t="n"/>
      <c r="B15" s="184" t="inlineStr">
        <is>
          <t>Terminal Reinvestment Rate</t>
        </is>
      </c>
      <c r="C15" s="46">
        <f>DCF!D21</f>
        <v/>
      </c>
      <c r="D15" s="46" t="inlineStr">
        <is>
          <t>% (g/ROIC)</t>
        </is>
      </c>
      <c r="E15" s="184" t="n"/>
      <c r="F15" s="185" t="n"/>
      <c r="G15" s="184" t="n"/>
    </row>
    <row r="16">
      <c r="A16" s="164" t="n"/>
      <c r="B16" s="184" t="inlineStr">
        <is>
          <t>Cash &amp; Liquid Investments</t>
        </is>
      </c>
      <c r="C16" s="184">
        <f>DCF!D37</f>
        <v/>
      </c>
      <c r="D16" s="46" t="inlineStr">
        <is>
          <t>₹ Cr</t>
        </is>
      </c>
      <c r="E16" s="184" t="n"/>
      <c r="F16" s="185" t="n"/>
      <c r="G16" s="184" t="n"/>
    </row>
    <row r="17">
      <c r="A17" s="164" t="n"/>
      <c r="B17" s="184" t="inlineStr">
        <is>
          <t>Total Debt &amp; Borrowings</t>
        </is>
      </c>
      <c r="C17" s="184">
        <f>DCF!D38</f>
        <v/>
      </c>
      <c r="D17" s="46" t="inlineStr">
        <is>
          <t>₹ Cr</t>
        </is>
      </c>
      <c r="E17" s="184" t="n"/>
      <c r="F17" s="185" t="n"/>
      <c r="G17" s="184" t="n"/>
    </row>
    <row r="18">
      <c r="A18" s="164" t="n"/>
      <c r="B18" s="184" t="inlineStr">
        <is>
          <t>Shares Outstanding</t>
        </is>
      </c>
      <c r="C18" s="184">
        <f>DCF!D41</f>
        <v/>
      </c>
      <c r="D18" s="46" t="inlineStr">
        <is>
          <t>Cr shares</t>
        </is>
      </c>
      <c r="E18" s="184" t="n"/>
      <c r="F18" s="185" t="n"/>
      <c r="G18" s="184" t="n"/>
    </row>
    <row r="19">
      <c r="A19" s="164" t="inlineStr">
        <is>
          <t>5-Year Discounted Cash Flow (DCF) Schedule (Amounts in ₹ Cr)</t>
        </is>
      </c>
      <c r="B19" s="184" t="n"/>
      <c r="C19" s="184" t="n"/>
      <c r="D19" s="46" t="n"/>
      <c r="E19" s="184" t="n"/>
      <c r="F19" s="185" t="n"/>
      <c r="G19" s="184" t="n"/>
    </row>
    <row r="20">
      <c r="A20" t="inlineStr">
        <is>
          <t>Year</t>
        </is>
      </c>
      <c r="B20" t="inlineStr">
        <is>
          <t>EBIT</t>
        </is>
      </c>
      <c r="C20" t="inlineStr">
        <is>
          <t>NOPAT</t>
        </is>
      </c>
      <c r="D20" t="inlineStr">
        <is>
          <t>Reinvest Rate</t>
        </is>
      </c>
      <c r="E20" t="inlineStr">
        <is>
          <t>FCFF</t>
        </is>
      </c>
      <c r="F20" t="inlineStr">
        <is>
          <t>Discount Factor</t>
        </is>
      </c>
      <c r="G20" t="inlineStr">
        <is>
          <t>PV of FCFF</t>
        </is>
      </c>
    </row>
    <row r="21">
      <c r="A21" s="37" t="inlineStr">
        <is>
          <t>Year 1</t>
        </is>
      </c>
      <c r="B21" s="184">
        <f>DCF!I8</f>
        <v/>
      </c>
      <c r="C21" s="184">
        <f>DCF!I10</f>
        <v/>
      </c>
      <c r="D21" s="46">
        <f>DCF!I11</f>
        <v/>
      </c>
      <c r="E21" s="184">
        <f>DCF!I12</f>
        <v/>
      </c>
      <c r="F21" s="185">
        <f>DCF!I14</f>
        <v/>
      </c>
      <c r="G21" s="184">
        <f>DCF!I16</f>
        <v/>
      </c>
    </row>
    <row r="22">
      <c r="A22" s="37" t="inlineStr">
        <is>
          <t>Year 2</t>
        </is>
      </c>
      <c r="B22" s="184">
        <f>DCF!J8</f>
        <v/>
      </c>
      <c r="C22" s="184">
        <f>DCF!J10</f>
        <v/>
      </c>
      <c r="D22" s="46">
        <f>DCF!J11</f>
        <v/>
      </c>
      <c r="E22" s="184">
        <f>DCF!J12</f>
        <v/>
      </c>
      <c r="F22" s="185">
        <f>DCF!J14</f>
        <v/>
      </c>
      <c r="G22" s="184">
        <f>DCF!J16</f>
        <v/>
      </c>
    </row>
    <row r="23">
      <c r="A23" s="37" t="inlineStr">
        <is>
          <t>Year 3</t>
        </is>
      </c>
      <c r="B23" s="184">
        <f>DCF!K8</f>
        <v/>
      </c>
      <c r="C23" s="184">
        <f>DCF!K10</f>
        <v/>
      </c>
      <c r="D23" s="46">
        <f>DCF!K11</f>
        <v/>
      </c>
      <c r="E23" s="184">
        <f>DCF!K12</f>
        <v/>
      </c>
      <c r="F23" s="185">
        <f>DCF!K14</f>
        <v/>
      </c>
      <c r="G23" s="184">
        <f>DCF!K16</f>
        <v/>
      </c>
    </row>
    <row r="24">
      <c r="A24" s="37" t="inlineStr">
        <is>
          <t>Year 4</t>
        </is>
      </c>
      <c r="B24" s="184">
        <f>DCF!L8</f>
        <v/>
      </c>
      <c r="C24" s="184">
        <f>DCF!L10</f>
        <v/>
      </c>
      <c r="D24" s="46">
        <f>DCF!L11</f>
        <v/>
      </c>
      <c r="E24" s="184">
        <f>DCF!L12</f>
        <v/>
      </c>
      <c r="F24" s="185">
        <f>DCF!L14</f>
        <v/>
      </c>
      <c r="G24" s="184">
        <f>DCF!L16</f>
        <v/>
      </c>
    </row>
    <row r="25">
      <c r="A25" s="37" t="inlineStr">
        <is>
          <t>Year 5</t>
        </is>
      </c>
      <c r="B25" s="184">
        <f>DCF!M8</f>
        <v/>
      </c>
      <c r="C25" s="184">
        <f>DCF!M10</f>
        <v/>
      </c>
      <c r="D25" s="46">
        <f>DCF!M11</f>
        <v/>
      </c>
      <c r="E25" s="184">
        <f>DCF!M12</f>
        <v/>
      </c>
      <c r="F25" s="185">
        <f>DCF!M14</f>
        <v/>
      </c>
      <c r="G25" s="184">
        <f>DCF!M16</f>
        <v/>
      </c>
    </row>
    <row r="26">
      <c r="A26" s="37" t="n"/>
      <c r="B26" s="184" t="n"/>
    </row>
    <row r="27">
      <c r="A27" s="37" t="n"/>
      <c r="B27" s="184" t="n"/>
    </row>
    <row r="28">
      <c r="A28" s="37" t="n"/>
      <c r="B28" s="184" t="inlineStr">
        <is>
          <t>Enterprise to Equity Value Bridge</t>
        </is>
      </c>
    </row>
    <row r="29">
      <c r="A29" s="37" t="n"/>
      <c r="B29" s="184" t="inlineStr">
        <is>
          <t>PV of 5-Year FCFFs</t>
        </is>
      </c>
      <c r="C29" s="175">
        <f>DCF!D33</f>
        <v/>
      </c>
      <c r="D29" t="inlineStr">
        <is>
          <t>₹ Cr</t>
        </is>
      </c>
    </row>
    <row r="30">
      <c r="A30" s="37" t="n"/>
      <c r="B30" s="175" t="inlineStr">
        <is>
          <t>Terminal Value</t>
        </is>
      </c>
      <c r="C30" s="175">
        <f>DCF!D29</f>
        <v/>
      </c>
      <c r="D30" t="inlineStr">
        <is>
          <t>₹ Cr</t>
        </is>
      </c>
    </row>
    <row r="31">
      <c r="A31" s="37" t="n"/>
      <c r="B31" s="175" t="inlineStr">
        <is>
          <t>PV of Terminal Value</t>
        </is>
      </c>
      <c r="C31" s="175">
        <f>DCF!D34</f>
        <v/>
      </c>
      <c r="D31" t="inlineStr">
        <is>
          <t>₹ Cr</t>
        </is>
      </c>
    </row>
    <row r="32">
      <c r="A32" s="37" t="n"/>
      <c r="B32" s="177" t="inlineStr">
        <is>
          <t>Enterprise Value (Operating Assets)</t>
        </is>
      </c>
      <c r="C32" s="175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75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75">
        <f>DCF!D38</f>
        <v/>
      </c>
      <c r="D34" t="inlineStr">
        <is>
          <t>₹ Cr</t>
        </is>
      </c>
    </row>
    <row r="35">
      <c r="B35" t="inlineStr">
        <is>
          <t>Equity Value (after minority interest)</t>
        </is>
      </c>
      <c r="C35" s="175">
        <f>DCF!D40</f>
        <v/>
      </c>
      <c r="D35" t="inlineStr">
        <is>
          <t>₹ Cr</t>
        </is>
      </c>
    </row>
    <row r="36">
      <c r="B36" t="inlineStr">
        <is>
          <t>Shares Outstanding</t>
        </is>
      </c>
      <c r="C36" s="184">
        <f>DCF!D41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75">
        <f>DCF!D43</f>
        <v/>
      </c>
      <c r="D37" t="inlineStr">
        <is>
          <t>₹</t>
        </is>
      </c>
    </row>
    <row r="38">
      <c r="B38" t="inlineStr">
        <is>
          <t>Current Market Price</t>
        </is>
      </c>
      <c r="C38" s="175">
        <f>DCF!D45</f>
        <v/>
      </c>
      <c r="D38" t="inlineStr">
        <is>
          <t>₹</t>
        </is>
      </c>
    </row>
    <row r="39">
      <c r="B39" t="inlineStr">
        <is>
          <t>Upside / (Downside)</t>
        </is>
      </c>
      <c r="C39" s="177">
        <f>IFERROR((C37-C38)/C38,"n/a")</f>
        <v/>
      </c>
      <c r="D39" t="inlineStr">
        <is>
          <t>%</t>
        </is>
      </c>
    </row>
    <row r="40">
      <c r="B40" t="inlineStr">
        <is>
          <t>Margin of Safety (Standard)</t>
        </is>
      </c>
      <c r="C40" s="177">
        <f>IFERROR((C37-C38)/C37,"n/a")</f>
        <v/>
      </c>
      <c r="D40" t="inlineStr">
        <is>
          <t>%</t>
        </is>
      </c>
    </row>
    <row r="41">
      <c r="B41" t="inlineStr">
        <is>
          <t>Intrinsic Value rolled to Valuation Date (info only)</t>
        </is>
      </c>
      <c r="C41" s="189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189">
        <f>DCF!D81</f>
        <v/>
      </c>
      <c r="D42" t="inlineStr">
        <is>
          <t>₹</t>
        </is>
      </c>
    </row>
    <row r="43">
      <c r="B43" t="inlineStr">
        <is>
          <t>Pillar 4: Relative Multiples Implied Valuation &amp; Synthesis</t>
        </is>
      </c>
    </row>
    <row r="44">
      <c r="B44" t="inlineStr">
        <is>
          <t>Peer P/E Implied Price</t>
        </is>
      </c>
      <c r="C44" s="175">
        <f>IF(ISNUMBER(Comp_Valuation!Q25), Comp_Valuation!Q25*INDEX('Data Sheet'!$B30:$K30,Control!$C$26)/'Data Sheet'!B6, 'Data Sheet'!B8)</f>
        <v/>
      </c>
      <c r="D44" t="inlineStr">
        <is>
          <t>₹</t>
        </is>
      </c>
    </row>
    <row r="45">
      <c r="B45" t="inlineStr">
        <is>
          <t>Peer EV/EBITDA Implied Price</t>
        </is>
      </c>
      <c r="C45" s="175">
        <f>IF(ISNUMBER(Comp_Valuation!P25), (Comp_Valuation!P25*INDEX('Data Sheet'!$B32:$K32,Control!$C$26)+DCF!D37-DCF!D38-DCF!D39)/'Data Sheet'!B6, 'Data Sheet'!B8)</f>
        <v/>
      </c>
      <c r="D45" t="inlineStr">
        <is>
          <t>₹</t>
        </is>
      </c>
    </row>
    <row r="46">
      <c r="B46" t="inlineStr">
        <is>
          <t>DCF Model Intrinsic Price</t>
        </is>
      </c>
      <c r="C46" s="175">
        <f>DCF!D43</f>
        <v/>
      </c>
      <c r="D46" t="inlineStr">
        <is>
          <t>₹</t>
        </is>
      </c>
    </row>
    <row r="47">
      <c r="B47" t="inlineStr">
        <is>
          <t>Valuation Synthesis (Equal Weight Blended)</t>
        </is>
      </c>
      <c r="C47" s="175">
        <f>AVERAGE(C44:C46)</f>
        <v/>
      </c>
      <c r="D47" t="inlineStr">
        <is>
          <t>₹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1" min="1" max="1"/>
    <col width="38" customWidth="1" style="171" min="2" max="2"/>
    <col width="22" customWidth="1" style="171" min="3" max="3"/>
    <col width="4" customWidth="1" style="171" min="4" max="4"/>
    <col width="20" customWidth="1" style="171" min="5" max="5"/>
    <col width="16" customWidth="1" style="171" min="6" max="6"/>
    <col width="16" customWidth="1" style="171" min="7" max="7"/>
    <col width="18" customWidth="1" style="171" min="8" max="8"/>
    <col width="4" customWidth="1" style="171" min="9" max="9"/>
    <col width="18" customWidth="1" style="171" min="10" max="10"/>
    <col width="16" customWidth="1" style="171" min="11" max="11"/>
    <col width="16" customWidth="1" style="171" min="12" max="12"/>
    <col width="16" customWidth="1" style="171" min="13" max="13"/>
  </cols>
  <sheetData>
    <row r="2">
      <c r="B2" s="190" t="inlineStr">
        <is>
          <t>INSTITUTIONAL MODEL CONTROL PANEL &amp; ASSUMPTIONS</t>
        </is>
      </c>
    </row>
    <row r="3">
      <c r="B3" s="191" t="inlineStr">
        <is>
          <t>Single Source of Truth for Global Valuation Inputs, Scenarios &amp; Route Configuration</t>
        </is>
      </c>
    </row>
    <row r="5">
      <c r="B5" s="192" t="inlineStr">
        <is>
          <t>1. MODEL METADATA &amp; REPORTING SETTINGS</t>
        </is>
      </c>
      <c r="C5" s="193" t="n"/>
      <c r="E5" s="194" t="inlineStr">
        <is>
          <t>COUNTRY</t>
        </is>
      </c>
      <c r="F5" s="194" t="inlineStr">
        <is>
          <t>RISK-FREE (Rf)</t>
        </is>
      </c>
      <c r="G5" s="194" t="inlineStr">
        <is>
          <t>ERP</t>
        </is>
      </c>
      <c r="H5" s="194" t="inlineStr">
        <is>
          <t>MARGINAL TAX</t>
        </is>
      </c>
      <c r="J5" s="194" t="inlineStr">
        <is>
          <t>SCENARIO</t>
        </is>
      </c>
      <c r="K5" s="194" t="inlineStr">
        <is>
          <t>GROWTH MULT</t>
        </is>
      </c>
      <c r="L5" s="194" t="inlineStr">
        <is>
          <t>MARGIN ADJ (NOT WIRED)</t>
        </is>
      </c>
      <c r="M5" s="194" t="inlineStr">
        <is>
          <t>WACC SPREAD</t>
        </is>
      </c>
    </row>
    <row r="6">
      <c r="B6" s="195" t="inlineStr">
        <is>
          <t>Valuation Date</t>
        </is>
      </c>
      <c r="C6" s="196">
        <f>TODAY()</f>
        <v/>
      </c>
      <c r="E6" s="197" t="inlineStr">
        <is>
          <t>India</t>
        </is>
      </c>
      <c r="F6" s="198" t="n">
        <v>0.068</v>
      </c>
      <c r="G6" s="198" t="n">
        <v>0.065</v>
      </c>
      <c r="H6" s="198" t="n">
        <v>0.2517</v>
      </c>
      <c r="J6" s="197" t="inlineStr">
        <is>
          <t>1 - Bear Case</t>
        </is>
      </c>
      <c r="K6" s="199" t="n">
        <v>0.7</v>
      </c>
      <c r="L6" s="200" t="n">
        <v>-0.02</v>
      </c>
      <c r="M6" s="201" t="n">
        <v>0.01</v>
      </c>
    </row>
    <row r="7">
      <c r="B7" s="195" t="inlineStr">
        <is>
          <t>Reporting Currency</t>
        </is>
      </c>
      <c r="C7" s="202" t="inlineStr">
        <is>
          <t>INR</t>
        </is>
      </c>
      <c r="E7" s="197" t="inlineStr">
        <is>
          <t>United States</t>
        </is>
      </c>
      <c r="F7" s="198" t="n">
        <v>0.042</v>
      </c>
      <c r="G7" s="198" t="n">
        <v>0.05</v>
      </c>
      <c r="H7" s="198" t="n">
        <v>0.21</v>
      </c>
      <c r="J7" s="197" t="inlineStr">
        <is>
          <t>2 - Base Case</t>
        </is>
      </c>
      <c r="K7" s="199" t="n">
        <v>1</v>
      </c>
      <c r="L7" s="200" t="n">
        <v>0</v>
      </c>
      <c r="M7" s="201" t="n">
        <v>0</v>
      </c>
    </row>
    <row r="8">
      <c r="B8" s="195" t="inlineStr">
        <is>
          <t>Financial Reporting Unit</t>
        </is>
      </c>
      <c r="C8" s="202" t="inlineStr">
        <is>
          <t>Crores</t>
        </is>
      </c>
      <c r="E8" s="197" t="inlineStr">
        <is>
          <t>United Kingdom</t>
        </is>
      </c>
      <c r="F8" s="198" t="n">
        <v>0.044</v>
      </c>
      <c r="G8" s="198" t="n">
        <v>0.055</v>
      </c>
      <c r="H8" s="198" t="n">
        <v>0.25</v>
      </c>
      <c r="J8" s="197" t="inlineStr">
        <is>
          <t>3 - Bull Case</t>
        </is>
      </c>
      <c r="K8" s="199" t="n">
        <v>1.3</v>
      </c>
      <c r="L8" s="200" t="n">
        <v>0.02</v>
      </c>
      <c r="M8" s="201" t="n">
        <v>-0.005</v>
      </c>
    </row>
    <row r="9">
      <c r="B9" s="195" t="inlineStr">
        <is>
          <t>Unit Scale Factor</t>
        </is>
      </c>
      <c r="C9" s="203" t="n">
        <v>10000000</v>
      </c>
      <c r="E9" s="197" t="inlineStr">
        <is>
          <t>Germany</t>
        </is>
      </c>
      <c r="F9" s="198" t="n">
        <v>0.025</v>
      </c>
      <c r="G9" s="198" t="n">
        <v>0.05</v>
      </c>
      <c r="H9" s="198" t="n">
        <v>0.3</v>
      </c>
    </row>
    <row r="10">
      <c r="B10" s="195" t="inlineStr">
        <is>
          <t>Target Country</t>
        </is>
      </c>
      <c r="C10" s="202" t="inlineStr">
        <is>
          <t>India</t>
        </is>
      </c>
      <c r="E10" s="197" t="inlineStr">
        <is>
          <t>Japan</t>
        </is>
      </c>
      <c r="F10" s="198" t="n">
        <v>0.011</v>
      </c>
      <c r="G10" s="198" t="n">
        <v>0.055</v>
      </c>
      <c r="H10" s="198" t="n">
        <v>0.3062</v>
      </c>
      <c r="J10" s="204" t="inlineStr">
        <is>
          <t>ACTIVE MULTIPLIERS:</t>
        </is>
      </c>
      <c r="K10" s="205">
        <f>CHOOSE(C14, K6, K7, K8)</f>
        <v/>
      </c>
      <c r="L10" s="206">
        <f>CHOOSE(C14, L6, L7, L8)</f>
        <v/>
      </c>
      <c r="M10" s="207">
        <f>CHOOSE(C14, M6, M7, M8)</f>
        <v/>
      </c>
    </row>
    <row r="11">
      <c r="B11" s="195" t="inlineStr">
        <is>
          <t>Target Sector / Industry</t>
        </is>
      </c>
      <c r="C11" s="202" t="inlineStr">
        <is>
          <t>Corporate / Non-Financial</t>
        </is>
      </c>
      <c r="E11" s="197" t="inlineStr">
        <is>
          <t>Singapore</t>
        </is>
      </c>
      <c r="F11" s="198" t="n">
        <v>0.03</v>
      </c>
      <c r="G11" s="198" t="n">
        <v>0.05</v>
      </c>
      <c r="H11" s="198" t="n">
        <v>0.17</v>
      </c>
    </row>
    <row r="12">
      <c r="B12" s="195" t="inlineStr">
        <is>
          <t>Valuation Framework Switch</t>
        </is>
      </c>
      <c r="C12" s="202" t="inlineStr">
        <is>
          <t>FCFF DCF</t>
        </is>
      </c>
      <c r="E12" s="197" t="inlineStr">
        <is>
          <t>UAE</t>
        </is>
      </c>
      <c r="F12" s="198" t="n">
        <v>0.045</v>
      </c>
      <c r="G12" s="198" t="n">
        <v>0.055</v>
      </c>
      <c r="H12" s="198" t="n">
        <v>0.09</v>
      </c>
    </row>
    <row r="13">
      <c r="B13" s="195" t="inlineStr">
        <is>
          <t>Benchmark Market Index</t>
        </is>
      </c>
      <c r="C13" s="202" t="inlineStr">
        <is>
          <t>NIFTY 50</t>
        </is>
      </c>
    </row>
    <row r="14">
      <c r="B14" s="195" t="inlineStr">
        <is>
          <t>Active Valuation Scenario</t>
        </is>
      </c>
      <c r="C14" s="208" t="n">
        <v>2</v>
      </c>
    </row>
    <row r="16">
      <c r="B16" s="192" t="inlineStr">
        <is>
          <t>2. COST OF CAPITAL &amp; DCF ASSUMPTIONS</t>
        </is>
      </c>
      <c r="C16" s="193" t="n"/>
    </row>
    <row r="17">
      <c r="B17" s="195" t="inlineStr">
        <is>
          <t>Risk-Free Rate (Rf)</t>
        </is>
      </c>
      <c r="C17" s="209">
        <f>VLOOKUP(C10, E6:H12, 2, FALSE())</f>
        <v/>
      </c>
    </row>
    <row r="18">
      <c r="B18" s="195" t="inlineStr">
        <is>
          <t>Equity Risk Premium (ERP)</t>
        </is>
      </c>
      <c r="C18" s="209">
        <f>VLOOKUP(C10, E6:H12, 3, FALSE())</f>
        <v/>
      </c>
    </row>
    <row r="19">
      <c r="B19" s="195" t="inlineStr">
        <is>
          <t>Marginal Corporate Tax Rate</t>
        </is>
      </c>
      <c r="C19" s="209">
        <f>VLOOKUP(C10, E6:H12, 4, FALSE())</f>
        <v/>
      </c>
    </row>
    <row r="20">
      <c r="B20" s="195" t="inlineStr">
        <is>
          <t>Effective Dynamic Tax Rate</t>
        </is>
      </c>
      <c r="C20" s="209">
        <f>MEDIAN(MAX(0.15, MIN(0.35, INDEX('Data Sheet'!$B29:$K29, C26)/MAX(1, INDEX('Data Sheet'!$B28:$K28, C26)))), C19)</f>
        <v/>
      </c>
    </row>
    <row r="21">
      <c r="B21" s="195" t="inlineStr">
        <is>
          <t>Terminal Growth Rate (g)</t>
        </is>
      </c>
      <c r="C21" s="209" t="n">
        <v>0.04</v>
      </c>
    </row>
    <row r="22">
      <c r="B22" s="195" t="inlineStr">
        <is>
          <t>Reinvestment Rate Ceiling</t>
        </is>
      </c>
      <c r="C22" s="209" t="n">
        <v>0.85</v>
      </c>
    </row>
    <row r="23">
      <c r="B23" s="195" t="inlineStr">
        <is>
          <t>Investments Fair-Value Haircut</t>
        </is>
      </c>
      <c r="C23" s="209" t="n">
        <v>0.1</v>
      </c>
    </row>
    <row r="24">
      <c r="B24" s="195" t="inlineStr">
        <is>
          <t>Minority Interest Method</t>
        </is>
      </c>
      <c r="C24" s="202" t="inlineStr">
        <is>
          <t>Book Value</t>
        </is>
      </c>
    </row>
    <row r="25">
      <c r="B25" s="192" t="inlineStr">
        <is>
          <t>3. DYNAMIC STATEMENT PERIOD SELECTOR</t>
        </is>
      </c>
      <c r="C25" s="193" t="n"/>
    </row>
    <row r="26">
      <c r="B26" s="195" t="inlineStr">
        <is>
          <t>Latest Historical Period Column Index</t>
        </is>
      </c>
      <c r="C26" s="210">
        <f>MATCH(MAX('Data Sheet'!$B56:$K56), 'Data Sheet'!$B56:$K56, 0)</f>
        <v/>
      </c>
    </row>
    <row r="27">
      <c r="B27" s="195" t="inlineStr">
        <is>
          <t>Latest Statement Header Date</t>
        </is>
      </c>
      <c r="C27" s="211">
        <f>INDEX('Data Sheet'!$B56:$K56, C26)</f>
        <v/>
      </c>
    </row>
    <row r="28">
      <c r="B28" s="195" t="inlineStr">
        <is>
          <t>Latest Stock Price (Data Sheet)</t>
        </is>
      </c>
      <c r="C28" s="212">
        <f>'Data Sheet'!B8</f>
        <v/>
      </c>
    </row>
    <row r="29">
      <c r="B29" s="195" t="inlineStr">
        <is>
          <t>Default Credit Spread over Rf (used when debt is negligible)</t>
        </is>
      </c>
      <c r="C29" s="209" t="n">
        <v>0.015</v>
      </c>
    </row>
    <row r="30">
      <c r="B30" s="195" t="inlineStr">
        <is>
          <t>Max Credit Spread Cap (calc outside Rf..Rf+cap is rejected)</t>
        </is>
      </c>
      <c r="C30" s="209" t="n">
        <v>0.05</v>
      </c>
    </row>
    <row r="32">
      <c r="B32" s="192" t="inlineStr">
        <is>
          <t>4. OPTIONAL ALTERNATE 10-YEAR DCF (parallel view - base DCF unchanged)</t>
        </is>
      </c>
      <c r="C32" s="193" t="n"/>
    </row>
    <row r="33">
      <c r="B33" s="195" t="inlineStr">
        <is>
          <t>Year-1 EBIT Growth Override (blank = use model)</t>
        </is>
      </c>
      <c r="C33" s="213" t="n"/>
    </row>
    <row r="34">
      <c r="B34" s="195" t="inlineStr">
        <is>
          <t>Exit EV/EBIT Multiple (x)</t>
        </is>
      </c>
      <c r="C34" s="208" t="n">
        <v>18</v>
      </c>
    </row>
    <row r="35">
      <c r="B35" s="195" t="inlineStr">
        <is>
          <t>Terminal Method (Gordon Growth / Exit Multiple)</t>
        </is>
      </c>
      <c r="C35" s="202" t="inlineStr">
        <is>
          <t>Gordon Growth</t>
        </is>
      </c>
    </row>
    <row r="36">
      <c r="B36" s="195" t="inlineStr">
        <is>
          <t>Incremental ROIC Override (blank = model ROIC)</t>
        </is>
      </c>
      <c r="C36" s="2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4" customWidth="1" style="171" min="1" max="1"/>
    <col width="38" customWidth="1" style="171" min="2" max="2"/>
    <col width="48" customWidth="1" style="171" min="3" max="3"/>
    <col width="22" customWidth="1" style="171" min="4" max="4"/>
    <col width="16" customWidth="1" style="171" min="5" max="5"/>
    <col width="16" customWidth="1" style="171" min="6" max="6"/>
  </cols>
  <sheetData>
    <row r="2">
      <c r="B2" s="190" t="inlineStr">
        <is>
          <t>MODEL AUDIT &amp; INTEGRITY CHECK PANEL</t>
        </is>
      </c>
    </row>
    <row r="3">
      <c r="B3" s="186" t="inlineStr">
        <is>
          <t>OVERALL MODEL STATUS:</t>
        </is>
      </c>
      <c r="C3" s="214">
        <f>IFERROR(IF(AND(F6="PASS", F7="PASS", F8="PASS", F9="PASS", F10="PASS", F11="PASS", F12="PASS", F13="PASS", F14="PASS", F15="PASS"), "MODEL STATUS: OK", "MODEL STATUS: CHECK REQUIRED"), "MODEL STATUS: CHECK REQUIRED")</f>
        <v/>
      </c>
    </row>
    <row r="5">
      <c r="B5" s="215" t="inlineStr">
        <is>
          <t>CHECK ITEM</t>
        </is>
      </c>
      <c r="C5" s="215" t="inlineStr">
        <is>
          <t>VALIDATION LOGIC &amp; FORMULA</t>
        </is>
      </c>
      <c r="D5" s="194" t="inlineStr">
        <is>
          <t>CURRENT VALUE / VARIANCE</t>
        </is>
      </c>
      <c r="E5" s="194" t="inlineStr">
        <is>
          <t>THRESHOLD</t>
        </is>
      </c>
      <c r="F5" s="194" t="inlineStr">
        <is>
          <t>STATUS</t>
        </is>
      </c>
    </row>
    <row r="6">
      <c r="B6" s="216" t="inlineStr">
        <is>
          <t>1. Balance Sheet Identity</t>
        </is>
      </c>
      <c r="C6" s="197" t="inlineStr">
        <is>
          <t>Total liabilities side ties to its components and to total assets</t>
        </is>
      </c>
      <c r="D6" s="217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18" t="inlineStr">
        <is>
          <t>&lt; ₹ 5.0 Cr</t>
        </is>
      </c>
      <c r="F6" s="219">
        <f>IF(D6&lt;5, "PASS", "CHECK")</f>
        <v/>
      </c>
    </row>
    <row r="7">
      <c r="B7" s="216" t="inlineStr">
        <is>
          <t>2. PBT Mathematical Tie</t>
        </is>
      </c>
      <c r="C7" s="197" t="inlineStr">
        <is>
          <t>Sales less all expenses plus other income less depreciation and interest ties to PBT</t>
        </is>
      </c>
      <c r="D7" s="220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18" t="inlineStr">
        <is>
          <t>&lt; 1.5%</t>
        </is>
      </c>
      <c r="F7" s="219">
        <f>IF(D7&lt;0.015, "PASS", "CHECK")</f>
        <v/>
      </c>
    </row>
    <row r="8">
      <c r="B8" s="216" t="inlineStr">
        <is>
          <t>3. Debt Schedule Concordance</t>
        </is>
      </c>
      <c r="C8" s="197" t="inlineStr">
        <is>
          <t>Data Sheet Borrowings ties to the independently pasted Raw FS borrowings (latest year)</t>
        </is>
      </c>
      <c r="D8" s="217">
        <f>ABS(INDEX('Data Sheet'!$B59:$K59,Control!$C$26)-LOOKUP(2,1/ISNUMBER('Raw FS'!$C7:$N7),'Raw FS'!$C7:$N7))</f>
        <v/>
      </c>
      <c r="E8" s="218" t="inlineStr">
        <is>
          <t>&lt; ₹ 5.0 Cr</t>
        </is>
      </c>
      <c r="F8" s="219">
        <f>IF(D8&lt;5, "PASS", "CHECK")</f>
        <v/>
      </c>
    </row>
    <row r="9">
      <c r="B9" s="216" t="inlineStr">
        <is>
          <t>4. P&amp;L Expenses Agreement</t>
        </is>
      </c>
      <c r="C9" s="197" t="inlineStr">
        <is>
          <t>Data Sheet total expenses (rows 18-24) tie to Raw FS total expenses</t>
        </is>
      </c>
      <c r="D9" s="217">
        <f>ABS(SUM(INDEX('Data Sheet'!$B$18:$K$24,0,Control!$C$26))-'Raw FS'!AD5)</f>
        <v/>
      </c>
      <c r="E9" s="218" t="inlineStr">
        <is>
          <t>&lt; ₹ 10.0 Cr</t>
        </is>
      </c>
      <c r="F9" s="219">
        <f>IF(D9&lt;10, "PASS", "CHECK")</f>
        <v/>
      </c>
    </row>
    <row r="10">
      <c r="B10" s="216" t="inlineStr">
        <is>
          <t>5. Formula Error Counter</t>
        </is>
      </c>
      <c r="C10" s="197" t="inlineStr">
        <is>
          <t>Zero formula errors on Summary, DCF, WACC, Intrinsic Valuation, Comps and Beta tabs</t>
        </is>
      </c>
      <c r="D10" s="217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18" t="inlineStr">
        <is>
          <t>0 Errors</t>
        </is>
      </c>
      <c r="F10" s="219">
        <f>IF(D10=0, "PASS", "CHECK")</f>
        <v/>
      </c>
    </row>
    <row r="11">
      <c r="B11" s="216" t="inlineStr">
        <is>
          <t>6. Terminal Value EV Share</t>
        </is>
      </c>
      <c r="C11" s="197" t="inlineStr">
        <is>
          <t>Terminal Value percentage of Enterprise Value is sustainable</t>
        </is>
      </c>
      <c r="D11" s="220">
        <f>IFERROR(DCF!D34 / MAX(1, DCF!D35), 0)</f>
        <v/>
      </c>
      <c r="E11" s="218" t="inlineStr">
        <is>
          <t>&lt; 75.0%</t>
        </is>
      </c>
      <c r="F11" s="219">
        <f>IF(D11&lt;0.75, "PASS", "CHECK")</f>
        <v/>
      </c>
    </row>
    <row r="12">
      <c r="B12" s="216" t="inlineStr">
        <is>
          <t>7. Growth vs WACC Boundary</t>
        </is>
      </c>
      <c r="C12" s="197" t="inlineStr">
        <is>
          <t>Terminal growth rate is less than WACC and within Risk-Free rate</t>
        </is>
      </c>
      <c r="D12" s="220">
        <f>DCF!D20 - DCF!D19</f>
        <v/>
      </c>
      <c r="E12" s="218" t="inlineStr">
        <is>
          <t>&gt; 0.5%</t>
        </is>
      </c>
      <c r="F12" s="219">
        <f>IF(AND(D12&gt;0.005, DCF!D19&lt;=Control!$C$17), "PASS", "CHECK")</f>
        <v/>
      </c>
    </row>
    <row r="13">
      <c r="B13" s="216" t="inlineStr">
        <is>
          <t>8. Trading Price Freshness</t>
        </is>
      </c>
      <c r="C13" s="197" t="inlineStr">
        <is>
          <t>Market trading price quote is within acceptable institutional window</t>
        </is>
      </c>
      <c r="D13" s="217">
        <f>TODAY()-SUMPRODUCT(MAX(IFERROR(DATEVALUE('Raw Data'!G6:G252),IF(ISNUMBER('Raw Data'!G6:G252),'Raw Data'!G6:G252,0))))</f>
        <v/>
      </c>
      <c r="E13" s="218" t="inlineStr">
        <is>
          <t>&lt;= 45 Days</t>
        </is>
      </c>
      <c r="F13" s="219">
        <f>IF(D13&lt;=45, "PASS", "CHECK")</f>
        <v/>
      </c>
    </row>
    <row r="14">
      <c r="B14" s="216" t="inlineStr">
        <is>
          <t>9. Peer Group Sample Size</t>
        </is>
      </c>
      <c r="C14" s="197" t="inlineStr">
        <is>
          <t>Comparable peer valuation set contains minimum robust observations</t>
        </is>
      </c>
      <c r="D14" s="217">
        <f>COUNTA(Comp_Valuation!C12:C26)</f>
        <v/>
      </c>
      <c r="E14" s="218" t="inlineStr">
        <is>
          <t>&gt;= 4 Peers</t>
        </is>
      </c>
      <c r="F14" s="219">
        <f>IF(D14&gt;=4, "PASS", "CHECK")</f>
        <v/>
      </c>
    </row>
    <row r="15">
      <c r="B15" s="216" t="inlineStr">
        <is>
          <t>10. DCF Bridge Mathematical Tie</t>
        </is>
      </c>
      <c r="C15" s="197" t="inlineStr">
        <is>
          <t>Equity Value equals EV + Cash + Investments - Debt - Minority Interest</t>
        </is>
      </c>
      <c r="D15" s="217">
        <f>IFERROR(ABS(DCF!D40 - (DCF!D35 + DCF!D37 - DCF!D38 - DCF!D39)), 0)</f>
        <v/>
      </c>
      <c r="E15" s="218" t="inlineStr">
        <is>
          <t>&lt; ₹ 0.01</t>
        </is>
      </c>
      <c r="F15" s="219">
        <f>IF(D15&lt;0.01, "PASS", "CHECK")</f>
        <v/>
      </c>
    </row>
    <row r="17">
      <c r="B17" s="192" t="inlineStr">
        <is>
          <t>ADVISORY CHECKS (informational - NOT included in overall status)</t>
        </is>
      </c>
      <c r="C17" s="193" t="n"/>
      <c r="D17" s="193" t="n"/>
      <c r="E17" s="193" t="n"/>
      <c r="F17" s="193" t="n"/>
    </row>
    <row r="18">
      <c r="B18" s="216" t="inlineStr">
        <is>
          <t>A1. DCF vs Market Divergence</t>
        </is>
      </c>
      <c r="C18" s="197" t="inlineStr">
        <is>
          <t>Absolute gap between DCF value per share and market price</t>
        </is>
      </c>
      <c r="D18" s="220">
        <f>ABS(DCF!D46)</f>
        <v/>
      </c>
      <c r="E18" s="218" t="inlineStr">
        <is>
          <t>&lt; 50%</t>
        </is>
      </c>
      <c r="F18" s="219">
        <f>IF(D18&lt;0.5,"PASS","REVIEW")</f>
        <v/>
      </c>
    </row>
    <row r="19">
      <c r="B19" s="216" t="inlineStr">
        <is>
          <t>A2. WACC Sanity Range</t>
        </is>
      </c>
      <c r="C19" s="197" t="inlineStr">
        <is>
          <t>WACC sits inside a plausible band for the target market</t>
        </is>
      </c>
      <c r="D19" s="220">
        <f>DCF!D20</f>
        <v/>
      </c>
      <c r="E19" s="218" t="inlineStr">
        <is>
          <t>8% - 16%</t>
        </is>
      </c>
      <c r="F19" s="219">
        <f>IF(AND(D19&gt;=0.08,D19&lt;=0.16),"PASS","REVIEW")</f>
        <v/>
      </c>
    </row>
    <row r="20">
      <c r="B20" s="216" t="inlineStr">
        <is>
          <t>A3. Market Cap Tie</t>
        </is>
      </c>
      <c r="C20" s="197" t="inlineStr">
        <is>
          <t>Market cap used in WACC weights ties to Price x Shares on Data Sheet</t>
        </is>
      </c>
      <c r="D20" s="220">
        <f>ABS(WACC!C35/'Data Sheet'!B9-1)</f>
        <v/>
      </c>
      <c r="E20" s="218" t="inlineStr">
        <is>
          <t>&lt; 2%</t>
        </is>
      </c>
      <c r="F20" s="219">
        <f>IF(D20&lt;0.02,"PASS","REVIEW")</f>
        <v/>
      </c>
    </row>
    <row r="21">
      <c r="B21" s="216" t="inlineStr">
        <is>
          <t>A4. Reinvestment History Spike</t>
        </is>
      </c>
      <c r="C21" s="197" t="inlineStr">
        <is>
          <t>Largest historical reinvestment rate (blank-year / acquisition spikes distort median)</t>
        </is>
      </c>
      <c r="D21" s="220">
        <f>MAX('Intrinsic Valuation'!I52:L52)</f>
        <v/>
      </c>
      <c r="E21" s="218" t="inlineStr">
        <is>
          <t>&lt;= 100%</t>
        </is>
      </c>
      <c r="F21" s="219">
        <f>IF(D21&lt;=1,"PASS","REVIEW")</f>
        <v/>
      </c>
    </row>
    <row r="22">
      <c r="B22" s="216" t="inlineStr">
        <is>
          <t>A5. DCF Applicability</t>
        </is>
      </c>
      <c r="C22" s="197" t="inlineStr">
        <is>
          <t>DCF value is positive and the FCFF framework suits the company (not negative-EBIT / financial)</t>
        </is>
      </c>
      <c r="D22" s="221">
        <f>IF(OR(NOT(ISNUMBER(DCF!D43)),DCF!D43&lt;=0,LEFT(DCF!B2,6)="NOTICE",LEFT(DCF!B2,9)="FINANCIAL"),1,0)</f>
        <v/>
      </c>
      <c r="E22" s="218" t="inlineStr">
        <is>
          <t>0 = applicable</t>
        </is>
      </c>
      <c r="F22" s="219">
        <f>IF(D22=0,"PASS","REVIEW")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1" min="1" max="1"/>
    <col width="13.44140625" customWidth="1" style="171" min="2" max="6"/>
    <col width="14.77734375" bestFit="1" customWidth="1" style="171" min="7" max="7"/>
    <col width="13.44140625" customWidth="1" style="171" min="8" max="11"/>
    <col width="13.33203125" customWidth="1" style="171" min="12" max="12"/>
    <col width="12.109375" customWidth="1" style="171" min="13" max="14"/>
    <col width="8.77734375" customWidth="1" style="171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222">
        <f>'Data Sheet'!B17</f>
        <v/>
      </c>
      <c r="C4" s="222">
        <f>'Data Sheet'!C17</f>
        <v/>
      </c>
      <c r="D4" s="222">
        <f>'Data Sheet'!D17</f>
        <v/>
      </c>
      <c r="E4" s="222">
        <f>'Data Sheet'!E17</f>
        <v/>
      </c>
      <c r="F4" s="222">
        <f>'Data Sheet'!F17</f>
        <v/>
      </c>
      <c r="G4" s="222">
        <f>'Data Sheet'!G17</f>
        <v/>
      </c>
      <c r="H4" s="222">
        <f>'Data Sheet'!H17</f>
        <v/>
      </c>
      <c r="I4" s="222">
        <f>'Data Sheet'!I17</f>
        <v/>
      </c>
      <c r="J4" s="222">
        <f>'Data Sheet'!J17</f>
        <v/>
      </c>
      <c r="K4" s="222">
        <f>'Data Sheet'!K17</f>
        <v/>
      </c>
      <c r="L4" s="222">
        <f>SUM(Quarters!H4:K4)</f>
        <v/>
      </c>
      <c r="M4" s="222">
        <f>$K4+M23*K4</f>
        <v/>
      </c>
      <c r="N4" s="222">
        <f>$K4+N23*L4</f>
        <v/>
      </c>
    </row>
    <row r="5">
      <c r="A5" t="inlineStr">
        <is>
          <t>Expenses</t>
        </is>
      </c>
      <c r="B5" s="223">
        <f>SUM('Data Sheet'!B18,'Data Sheet'!B20:B24, -1*'Data Sheet'!B19)</f>
        <v/>
      </c>
      <c r="C5" s="223">
        <f>SUM('Data Sheet'!C18,'Data Sheet'!C20:C24, -1*'Data Sheet'!C19)</f>
        <v/>
      </c>
      <c r="D5" s="223">
        <f>SUM('Data Sheet'!D18,'Data Sheet'!D20:D24, -1*'Data Sheet'!D19)</f>
        <v/>
      </c>
      <c r="E5" s="223">
        <f>SUM('Data Sheet'!E18,'Data Sheet'!E20:E24, -1*'Data Sheet'!E19)</f>
        <v/>
      </c>
      <c r="F5" s="223">
        <f>SUM('Data Sheet'!F18,'Data Sheet'!F20:F24, -1*'Data Sheet'!F19)</f>
        <v/>
      </c>
      <c r="G5" s="223">
        <f>SUM('Data Sheet'!G18,'Data Sheet'!G20:G24, -1*'Data Sheet'!G19)</f>
        <v/>
      </c>
      <c r="H5" s="223">
        <f>SUM('Data Sheet'!H18,'Data Sheet'!H20:H24, -1*'Data Sheet'!H19)</f>
        <v/>
      </c>
      <c r="I5" s="223">
        <f>SUM('Data Sheet'!I18,'Data Sheet'!I20:I24, -1*'Data Sheet'!I19)</f>
        <v/>
      </c>
      <c r="J5" s="223">
        <f>SUM('Data Sheet'!J18,'Data Sheet'!J20:J24, -1*'Data Sheet'!J19)</f>
        <v/>
      </c>
      <c r="K5" s="223">
        <f>SUM('Data Sheet'!K18,'Data Sheet'!K20:K24, -1*'Data Sheet'!K19)</f>
        <v/>
      </c>
      <c r="L5" s="223">
        <f>SUM(Quarters!H5:K5)</f>
        <v/>
      </c>
      <c r="M5" s="223">
        <f>M4-M6</f>
        <v/>
      </c>
      <c r="N5" s="223">
        <f>N4-N6</f>
        <v/>
      </c>
    </row>
    <row r="6" customFormat="1" s="37">
      <c r="A6" s="37" t="inlineStr">
        <is>
          <t>Operating Profit</t>
        </is>
      </c>
      <c r="B6" s="222">
        <f>B4-B5</f>
        <v/>
      </c>
      <c r="C6" s="222">
        <f>C4-C5</f>
        <v/>
      </c>
      <c r="D6" s="222">
        <f>D4-D5</f>
        <v/>
      </c>
      <c r="E6" s="222">
        <f>E4-E5</f>
        <v/>
      </c>
      <c r="F6" s="222">
        <f>F4-F5</f>
        <v/>
      </c>
      <c r="G6" s="222">
        <f>G4-G5</f>
        <v/>
      </c>
      <c r="H6" s="222">
        <f>H4-H5</f>
        <v/>
      </c>
      <c r="I6" s="222">
        <f>I4-I5</f>
        <v/>
      </c>
      <c r="J6" s="222">
        <f>J4-J5</f>
        <v/>
      </c>
      <c r="K6" s="222">
        <f>K4-K5</f>
        <v/>
      </c>
      <c r="L6" s="222">
        <f>SUM(Quarters!H6:K6)</f>
        <v/>
      </c>
      <c r="M6" s="222">
        <f>M4*M24</f>
        <v/>
      </c>
      <c r="N6" s="222">
        <f>N4*N24</f>
        <v/>
      </c>
    </row>
    <row r="7">
      <c r="A7" t="inlineStr">
        <is>
          <t>Other Income</t>
        </is>
      </c>
      <c r="B7" s="223">
        <f>'Data Sheet'!B25</f>
        <v/>
      </c>
      <c r="C7" s="223">
        <f>'Data Sheet'!C25</f>
        <v/>
      </c>
      <c r="D7" s="223">
        <f>'Data Sheet'!D25</f>
        <v/>
      </c>
      <c r="E7" s="223">
        <f>'Data Sheet'!E25</f>
        <v/>
      </c>
      <c r="F7" s="223">
        <f>'Data Sheet'!F25</f>
        <v/>
      </c>
      <c r="G7" s="223">
        <f>'Data Sheet'!G25</f>
        <v/>
      </c>
      <c r="H7" s="223">
        <f>'Data Sheet'!H25</f>
        <v/>
      </c>
      <c r="I7" s="223">
        <f>'Data Sheet'!I25</f>
        <v/>
      </c>
      <c r="J7" s="223">
        <f>'Data Sheet'!J25</f>
        <v/>
      </c>
      <c r="K7" s="223">
        <f>'Data Sheet'!K25</f>
        <v/>
      </c>
      <c r="L7" s="223">
        <f>SUM(Quarters!H7:K7)</f>
        <v/>
      </c>
      <c r="M7" s="223" t="n">
        <v>0</v>
      </c>
      <c r="N7" s="223" t="n">
        <v>0</v>
      </c>
    </row>
    <row r="8">
      <c r="A8" t="inlineStr">
        <is>
          <t>Depreciation</t>
        </is>
      </c>
      <c r="B8" s="223">
        <f>'Data Sheet'!B26</f>
        <v/>
      </c>
      <c r="C8" s="223">
        <f>'Data Sheet'!C26</f>
        <v/>
      </c>
      <c r="D8" s="223">
        <f>'Data Sheet'!D26</f>
        <v/>
      </c>
      <c r="E8" s="223">
        <f>'Data Sheet'!E26</f>
        <v/>
      </c>
      <c r="F8" s="223">
        <f>'Data Sheet'!F26</f>
        <v/>
      </c>
      <c r="G8" s="223">
        <f>'Data Sheet'!G26</f>
        <v/>
      </c>
      <c r="H8" s="223">
        <f>'Data Sheet'!H26</f>
        <v/>
      </c>
      <c r="I8" s="223">
        <f>'Data Sheet'!I26</f>
        <v/>
      </c>
      <c r="J8" s="223">
        <f>'Data Sheet'!J26</f>
        <v/>
      </c>
      <c r="K8" s="223">
        <f>'Data Sheet'!K26</f>
        <v/>
      </c>
      <c r="L8" s="223">
        <f>SUM(Quarters!H8:K8)</f>
        <v/>
      </c>
      <c r="M8" s="223">
        <f>+$L8</f>
        <v/>
      </c>
      <c r="N8" s="223">
        <f>+$L8</f>
        <v/>
      </c>
    </row>
    <row r="9">
      <c r="A9" t="inlineStr">
        <is>
          <t>Interest</t>
        </is>
      </c>
      <c r="B9" s="223">
        <f>'Data Sheet'!B27</f>
        <v/>
      </c>
      <c r="C9" s="223">
        <f>'Data Sheet'!C27</f>
        <v/>
      </c>
      <c r="D9" s="223">
        <f>'Data Sheet'!D27</f>
        <v/>
      </c>
      <c r="E9" s="223">
        <f>'Data Sheet'!E27</f>
        <v/>
      </c>
      <c r="F9" s="223">
        <f>'Data Sheet'!F27</f>
        <v/>
      </c>
      <c r="G9" s="223">
        <f>'Data Sheet'!G27</f>
        <v/>
      </c>
      <c r="H9" s="223">
        <f>'Data Sheet'!H27</f>
        <v/>
      </c>
      <c r="I9" s="223">
        <f>'Data Sheet'!I27</f>
        <v/>
      </c>
      <c r="J9" s="223">
        <f>'Data Sheet'!J27</f>
        <v/>
      </c>
      <c r="K9" s="223">
        <f>'Data Sheet'!K27</f>
        <v/>
      </c>
      <c r="L9" s="223">
        <f>SUM(Quarters!H9:K9)</f>
        <v/>
      </c>
      <c r="M9" s="223">
        <f>+$L9</f>
        <v/>
      </c>
      <c r="N9" s="223">
        <f>+$L9</f>
        <v/>
      </c>
    </row>
    <row r="10">
      <c r="A10" t="inlineStr">
        <is>
          <t>Profit before tax</t>
        </is>
      </c>
      <c r="B10" s="223">
        <f>'Data Sheet'!B28</f>
        <v/>
      </c>
      <c r="C10" s="223">
        <f>'Data Sheet'!C28</f>
        <v/>
      </c>
      <c r="D10" s="223">
        <f>'Data Sheet'!D28</f>
        <v/>
      </c>
      <c r="E10" s="223">
        <f>'Data Sheet'!E28</f>
        <v/>
      </c>
      <c r="F10" s="223">
        <f>'Data Sheet'!F28</f>
        <v/>
      </c>
      <c r="G10" s="223">
        <f>'Data Sheet'!G28</f>
        <v/>
      </c>
      <c r="H10" s="223">
        <f>'Data Sheet'!H28</f>
        <v/>
      </c>
      <c r="I10" s="223">
        <f>'Data Sheet'!I28</f>
        <v/>
      </c>
      <c r="J10" s="223">
        <f>'Data Sheet'!J28</f>
        <v/>
      </c>
      <c r="K10" s="223">
        <f>'Data Sheet'!K28</f>
        <v/>
      </c>
      <c r="L10" s="223">
        <f>SUM(Quarters!H10:K10)</f>
        <v/>
      </c>
      <c r="M10" s="223">
        <f>M6+M7-SUM(M8:M9)</f>
        <v/>
      </c>
      <c r="N10" s="223">
        <f>N6+N7-SUM(N8:N9)</f>
        <v/>
      </c>
    </row>
    <row r="11">
      <c r="A11" t="inlineStr">
        <is>
          <t>Tax</t>
        </is>
      </c>
      <c r="B11" s="223">
        <f>'Data Sheet'!B29</f>
        <v/>
      </c>
      <c r="C11" s="223">
        <f>'Data Sheet'!C29</f>
        <v/>
      </c>
      <c r="D11" s="223">
        <f>'Data Sheet'!D29</f>
        <v/>
      </c>
      <c r="E11" s="223">
        <f>'Data Sheet'!E29</f>
        <v/>
      </c>
      <c r="F11" s="223">
        <f>'Data Sheet'!F29</f>
        <v/>
      </c>
      <c r="G11" s="223">
        <f>'Data Sheet'!G29</f>
        <v/>
      </c>
      <c r="H11" s="223">
        <f>'Data Sheet'!H29</f>
        <v/>
      </c>
      <c r="I11" s="223">
        <f>'Data Sheet'!I29</f>
        <v/>
      </c>
      <c r="J11" s="223">
        <f>'Data Sheet'!J29</f>
        <v/>
      </c>
      <c r="K11" s="223">
        <f>'Data Sheet'!K29</f>
        <v/>
      </c>
      <c r="L11" s="223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222">
        <f>'Data Sheet'!B30</f>
        <v/>
      </c>
      <c r="C12" s="222">
        <f>'Data Sheet'!C30</f>
        <v/>
      </c>
      <c r="D12" s="222">
        <f>'Data Sheet'!D30</f>
        <v/>
      </c>
      <c r="E12" s="222">
        <f>'Data Sheet'!E30</f>
        <v/>
      </c>
      <c r="F12" s="222">
        <f>'Data Sheet'!F30</f>
        <v/>
      </c>
      <c r="G12" s="222">
        <f>'Data Sheet'!G30</f>
        <v/>
      </c>
      <c r="H12" s="222">
        <f>'Data Sheet'!H30</f>
        <v/>
      </c>
      <c r="I12" s="222">
        <f>'Data Sheet'!I30</f>
        <v/>
      </c>
      <c r="J12" s="222">
        <f>'Data Sheet'!J30</f>
        <v/>
      </c>
      <c r="K12" s="222">
        <f>'Data Sheet'!K30</f>
        <v/>
      </c>
      <c r="L12" s="222">
        <f>SUM(Quarters!H12:K12)</f>
        <v/>
      </c>
      <c r="M12" s="222">
        <f>M10-M11*M10</f>
        <v/>
      </c>
      <c r="N12" s="222">
        <f>N10-N11*N10</f>
        <v/>
      </c>
    </row>
    <row r="13">
      <c r="A13" t="inlineStr">
        <is>
          <t>EPS</t>
        </is>
      </c>
      <c r="B13" s="223">
        <f>IF('Data Sheet'!B93&gt;0,B12/'Data Sheet'!B93,0)</f>
        <v/>
      </c>
      <c r="C13" s="223">
        <f>IF('Data Sheet'!C93&gt;0,C12/'Data Sheet'!C93,0)</f>
        <v/>
      </c>
      <c r="D13" s="223">
        <f>IF('Data Sheet'!D93&gt;0,D12/'Data Sheet'!D93,0)</f>
        <v/>
      </c>
      <c r="E13" s="223">
        <f>IF('Data Sheet'!E93&gt;0,E12/'Data Sheet'!E93,0)</f>
        <v/>
      </c>
      <c r="F13" s="223">
        <f>IF('Data Sheet'!F93&gt;0,F12/'Data Sheet'!F93,0)</f>
        <v/>
      </c>
      <c r="G13" s="223">
        <f>IF('Data Sheet'!G93&gt;0,G12/'Data Sheet'!G93,0)</f>
        <v/>
      </c>
      <c r="H13" s="223">
        <f>IF('Data Sheet'!H93&gt;0,H12/'Data Sheet'!H93,0)</f>
        <v/>
      </c>
      <c r="I13" s="223">
        <f>IF('Data Sheet'!I93&gt;0,I12/'Data Sheet'!I93,0)</f>
        <v/>
      </c>
      <c r="J13" s="223">
        <f>IF('Data Sheet'!J93&gt;0,J12/'Data Sheet'!J93,0)</f>
        <v/>
      </c>
      <c r="K13" s="223">
        <f>IF('Data Sheet'!K93&gt;0,K12/'Data Sheet'!K93,0)</f>
        <v/>
      </c>
      <c r="L13" s="223">
        <f>IF('Data Sheet'!$B6&gt;0,'Profit &amp; Loss'!L12/'Data Sheet'!$B6,0)</f>
        <v/>
      </c>
      <c r="M13" s="223">
        <f>IF('Data Sheet'!$B6&gt;0,'Profit &amp; Loss'!M12/'Data Sheet'!$B6,0)</f>
        <v/>
      </c>
      <c r="N13" s="223">
        <f>IF('Data Sheet'!$B6&gt;0,'Profit &amp; Loss'!N12/'Data Sheet'!$B6,0)</f>
        <v/>
      </c>
    </row>
    <row r="14">
      <c r="A14" t="inlineStr">
        <is>
          <t>Price to earning</t>
        </is>
      </c>
      <c r="B14" s="223">
        <f>IF(B15&gt;0,B15/B13,"")</f>
        <v/>
      </c>
      <c r="C14" s="223">
        <f>IF(C15&gt;0,C15/C13,"")</f>
        <v/>
      </c>
      <c r="D14" s="223">
        <f>IF(D15&gt;0,D15/D13,"")</f>
        <v/>
      </c>
      <c r="E14" s="223">
        <f>IF(E15&gt;0,E15/E13,"")</f>
        <v/>
      </c>
      <c r="F14" s="223">
        <f>IF(F15&gt;0,F15/F13,"")</f>
        <v/>
      </c>
      <c r="G14" s="223">
        <f>IF(G15&gt;0,G15/G13,"")</f>
        <v/>
      </c>
      <c r="H14" s="223">
        <f>IF(H15&gt;0,H15/H13,"")</f>
        <v/>
      </c>
      <c r="I14" s="223">
        <f>IF(I15&gt;0,I15/I13,"")</f>
        <v/>
      </c>
      <c r="J14" s="223">
        <f>IF(J15&gt;0,J15/J13,"")</f>
        <v/>
      </c>
      <c r="K14" s="223">
        <f>IF(K15&gt;0,K15/K13,"")</f>
        <v/>
      </c>
      <c r="L14" s="223">
        <f>IF(L13&gt;0,L15/L13,0)</f>
        <v/>
      </c>
      <c r="M14" s="223">
        <f>M25</f>
        <v/>
      </c>
      <c r="N14" s="223">
        <f>N25</f>
        <v/>
      </c>
    </row>
    <row r="15" customFormat="1" s="37">
      <c r="A15" s="37" t="inlineStr">
        <is>
          <t>Price</t>
        </is>
      </c>
      <c r="B15" s="222">
        <f>'Data Sheet'!B90</f>
        <v/>
      </c>
      <c r="C15" s="222">
        <f>'Data Sheet'!C90</f>
        <v/>
      </c>
      <c r="D15" s="222">
        <f>'Data Sheet'!D90</f>
        <v/>
      </c>
      <c r="E15" s="222">
        <f>'Data Sheet'!E90</f>
        <v/>
      </c>
      <c r="F15" s="222">
        <f>'Data Sheet'!F90</f>
        <v/>
      </c>
      <c r="G15" s="222">
        <f>'Data Sheet'!G90</f>
        <v/>
      </c>
      <c r="H15" s="222">
        <f>'Data Sheet'!H90</f>
        <v/>
      </c>
      <c r="I15" s="222">
        <f>'Data Sheet'!I90</f>
        <v/>
      </c>
      <c r="J15" s="222">
        <f>'Data Sheet'!J90</f>
        <v/>
      </c>
      <c r="K15" s="222">
        <f>'Data Sheet'!K90</f>
        <v/>
      </c>
      <c r="L15" s="222">
        <f>'Data Sheet'!B8</f>
        <v/>
      </c>
      <c r="M15" s="224">
        <f>M13*M14</f>
        <v/>
      </c>
      <c r="N15" s="225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223">
        <f>IF(ISERROR(AVERAGEIF(B14:$L14,"&gt;0")),"",AVERAGEIF(B14:$L14,"&gt;0"))</f>
        <v/>
      </c>
      <c r="I25" s="223">
        <f>IF(ISERROR(AVERAGEIF(E14:$L14,"&gt;0")),"",AVERAGEIF(E14:$L14,"&gt;0"))</f>
        <v/>
      </c>
      <c r="J25" s="223">
        <f>IF(ISERROR(AVERAGEIF(G14:$L14,"&gt;0")),"",AVERAGEIF(G14:$L14,"&gt;0"))</f>
        <v/>
      </c>
      <c r="K25" s="223">
        <f>IF(ISERROR(AVERAGEIF(I14:$L14,"&gt;0")),"",AVERAGEIF(I14:$L14,"&gt;0"))</f>
        <v/>
      </c>
      <c r="L25" s="223">
        <f>L14</f>
        <v/>
      </c>
      <c r="M25" s="222">
        <f>MAX(K25:L25)</f>
        <v/>
      </c>
      <c r="N25" s="222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1" min="1" max="1"/>
    <col width="13.44140625" bestFit="1" customWidth="1" style="171" min="2" max="11"/>
    <col width="8.77734375" customWidth="1" style="171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222">
        <f>'Data Sheet'!B42</f>
        <v/>
      </c>
      <c r="C4" s="222">
        <f>'Data Sheet'!C42</f>
        <v/>
      </c>
      <c r="D4" s="222">
        <f>'Data Sheet'!D42</f>
        <v/>
      </c>
      <c r="E4" s="222">
        <f>'Data Sheet'!E42</f>
        <v/>
      </c>
      <c r="F4" s="222">
        <f>'Data Sheet'!F42</f>
        <v/>
      </c>
      <c r="G4" s="222">
        <f>'Data Sheet'!G42</f>
        <v/>
      </c>
      <c r="H4" s="222">
        <f>'Data Sheet'!H42</f>
        <v/>
      </c>
      <c r="I4" s="222">
        <f>'Data Sheet'!I42</f>
        <v/>
      </c>
      <c r="J4" s="222">
        <f>'Data Sheet'!J42</f>
        <v/>
      </c>
      <c r="K4" s="222">
        <f>'Data Sheet'!K42</f>
        <v/>
      </c>
    </row>
    <row r="5">
      <c r="A5" t="inlineStr">
        <is>
          <t>Expenses</t>
        </is>
      </c>
      <c r="B5" s="223">
        <f>'Data Sheet'!B43</f>
        <v/>
      </c>
      <c r="C5" s="223">
        <f>'Data Sheet'!C43</f>
        <v/>
      </c>
      <c r="D5" s="223">
        <f>'Data Sheet'!D43</f>
        <v/>
      </c>
      <c r="E5" s="223">
        <f>'Data Sheet'!E43</f>
        <v/>
      </c>
      <c r="F5" s="223">
        <f>'Data Sheet'!F43</f>
        <v/>
      </c>
      <c r="G5" s="223">
        <f>'Data Sheet'!G43</f>
        <v/>
      </c>
      <c r="H5" s="223">
        <f>'Data Sheet'!H43</f>
        <v/>
      </c>
      <c r="I5" s="223">
        <f>'Data Sheet'!I43</f>
        <v/>
      </c>
      <c r="J5" s="223">
        <f>'Data Sheet'!J43</f>
        <v/>
      </c>
      <c r="K5" s="223">
        <f>'Data Sheet'!K43</f>
        <v/>
      </c>
    </row>
    <row r="6" customFormat="1" s="37">
      <c r="A6" s="37" t="inlineStr">
        <is>
          <t>Operating Profit</t>
        </is>
      </c>
      <c r="B6" s="222">
        <f>'Data Sheet'!B50</f>
        <v/>
      </c>
      <c r="C6" s="222">
        <f>'Data Sheet'!C50</f>
        <v/>
      </c>
      <c r="D6" s="222">
        <f>'Data Sheet'!D50</f>
        <v/>
      </c>
      <c r="E6" s="222">
        <f>'Data Sheet'!E50</f>
        <v/>
      </c>
      <c r="F6" s="222">
        <f>'Data Sheet'!F50</f>
        <v/>
      </c>
      <c r="G6" s="222">
        <f>'Data Sheet'!G50</f>
        <v/>
      </c>
      <c r="H6" s="222">
        <f>'Data Sheet'!H50</f>
        <v/>
      </c>
      <c r="I6" s="222">
        <f>'Data Sheet'!I50</f>
        <v/>
      </c>
      <c r="J6" s="222">
        <f>'Data Sheet'!J50</f>
        <v/>
      </c>
      <c r="K6" s="222">
        <f>'Data Sheet'!K50</f>
        <v/>
      </c>
    </row>
    <row r="7">
      <c r="A7" t="inlineStr">
        <is>
          <t>Other Income</t>
        </is>
      </c>
      <c r="B7" s="223">
        <f>'Data Sheet'!B44</f>
        <v/>
      </c>
      <c r="C7" s="223">
        <f>'Data Sheet'!C44</f>
        <v/>
      </c>
      <c r="D7" s="223">
        <f>'Data Sheet'!D44</f>
        <v/>
      </c>
      <c r="E7" s="223">
        <f>'Data Sheet'!E44</f>
        <v/>
      </c>
      <c r="F7" s="223">
        <f>'Data Sheet'!F44</f>
        <v/>
      </c>
      <c r="G7" s="223">
        <f>'Data Sheet'!G44</f>
        <v/>
      </c>
      <c r="H7" s="223">
        <f>'Data Sheet'!H44</f>
        <v/>
      </c>
      <c r="I7" s="223">
        <f>'Data Sheet'!I44</f>
        <v/>
      </c>
      <c r="J7" s="223">
        <f>'Data Sheet'!J44</f>
        <v/>
      </c>
      <c r="K7" s="223">
        <f>'Data Sheet'!K44</f>
        <v/>
      </c>
    </row>
    <row r="8">
      <c r="A8" t="inlineStr">
        <is>
          <t>Depreciation</t>
        </is>
      </c>
      <c r="B8" s="223">
        <f>'Data Sheet'!B45</f>
        <v/>
      </c>
      <c r="C8" s="223">
        <f>'Data Sheet'!C45</f>
        <v/>
      </c>
      <c r="D8" s="223">
        <f>'Data Sheet'!D45</f>
        <v/>
      </c>
      <c r="E8" s="223">
        <f>'Data Sheet'!E45</f>
        <v/>
      </c>
      <c r="F8" s="223">
        <f>'Data Sheet'!F45</f>
        <v/>
      </c>
      <c r="G8" s="223">
        <f>'Data Sheet'!G45</f>
        <v/>
      </c>
      <c r="H8" s="223">
        <f>'Data Sheet'!H45</f>
        <v/>
      </c>
      <c r="I8" s="223">
        <f>'Data Sheet'!I45</f>
        <v/>
      </c>
      <c r="J8" s="223">
        <f>'Data Sheet'!J45</f>
        <v/>
      </c>
      <c r="K8" s="223">
        <f>'Data Sheet'!K45</f>
        <v/>
      </c>
    </row>
    <row r="9">
      <c r="A9" t="inlineStr">
        <is>
          <t>Interest</t>
        </is>
      </c>
      <c r="B9" s="223">
        <f>'Data Sheet'!B46</f>
        <v/>
      </c>
      <c r="C9" s="223">
        <f>'Data Sheet'!C46</f>
        <v/>
      </c>
      <c r="D9" s="223">
        <f>'Data Sheet'!D46</f>
        <v/>
      </c>
      <c r="E9" s="223">
        <f>'Data Sheet'!E46</f>
        <v/>
      </c>
      <c r="F9" s="223">
        <f>'Data Sheet'!F46</f>
        <v/>
      </c>
      <c r="G9" s="223">
        <f>'Data Sheet'!G46</f>
        <v/>
      </c>
      <c r="H9" s="223">
        <f>'Data Sheet'!H46</f>
        <v/>
      </c>
      <c r="I9" s="223">
        <f>'Data Sheet'!I46</f>
        <v/>
      </c>
      <c r="J9" s="223">
        <f>'Data Sheet'!J46</f>
        <v/>
      </c>
      <c r="K9" s="223">
        <f>'Data Sheet'!K46</f>
        <v/>
      </c>
    </row>
    <row r="10">
      <c r="A10" t="inlineStr">
        <is>
          <t>Profit before tax</t>
        </is>
      </c>
      <c r="B10" s="223">
        <f>'Data Sheet'!B47</f>
        <v/>
      </c>
      <c r="C10" s="223">
        <f>'Data Sheet'!C47</f>
        <v/>
      </c>
      <c r="D10" s="223">
        <f>'Data Sheet'!D47</f>
        <v/>
      </c>
      <c r="E10" s="223">
        <f>'Data Sheet'!E47</f>
        <v/>
      </c>
      <c r="F10" s="223">
        <f>'Data Sheet'!F47</f>
        <v/>
      </c>
      <c r="G10" s="223">
        <f>'Data Sheet'!G47</f>
        <v/>
      </c>
      <c r="H10" s="223">
        <f>'Data Sheet'!H47</f>
        <v/>
      </c>
      <c r="I10" s="223">
        <f>'Data Sheet'!I47</f>
        <v/>
      </c>
      <c r="J10" s="223">
        <f>'Data Sheet'!J47</f>
        <v/>
      </c>
      <c r="K10" s="223">
        <f>'Data Sheet'!K47</f>
        <v/>
      </c>
    </row>
    <row r="11">
      <c r="A11" t="inlineStr">
        <is>
          <t>Tax</t>
        </is>
      </c>
      <c r="B11" s="223">
        <f>'Data Sheet'!B48</f>
        <v/>
      </c>
      <c r="C11" s="223">
        <f>'Data Sheet'!C48</f>
        <v/>
      </c>
      <c r="D11" s="223">
        <f>'Data Sheet'!D48</f>
        <v/>
      </c>
      <c r="E11" s="223">
        <f>'Data Sheet'!E48</f>
        <v/>
      </c>
      <c r="F11" s="223">
        <f>'Data Sheet'!F48</f>
        <v/>
      </c>
      <c r="G11" s="223">
        <f>'Data Sheet'!G48</f>
        <v/>
      </c>
      <c r="H11" s="223">
        <f>'Data Sheet'!H48</f>
        <v/>
      </c>
      <c r="I11" s="223">
        <f>'Data Sheet'!I48</f>
        <v/>
      </c>
      <c r="J11" s="223">
        <f>'Data Sheet'!J48</f>
        <v/>
      </c>
      <c r="K11" s="223">
        <f>'Data Sheet'!K48</f>
        <v/>
      </c>
    </row>
    <row r="12" customFormat="1" s="37">
      <c r="A12" s="37" t="inlineStr">
        <is>
          <t>Net profit</t>
        </is>
      </c>
      <c r="B12" s="222">
        <f>'Data Sheet'!B49</f>
        <v/>
      </c>
      <c r="C12" s="222">
        <f>'Data Sheet'!C49</f>
        <v/>
      </c>
      <c r="D12" s="222">
        <f>'Data Sheet'!D49</f>
        <v/>
      </c>
      <c r="E12" s="222">
        <f>'Data Sheet'!E49</f>
        <v/>
      </c>
      <c r="F12" s="222">
        <f>'Data Sheet'!F49</f>
        <v/>
      </c>
      <c r="G12" s="222">
        <f>'Data Sheet'!G49</f>
        <v/>
      </c>
      <c r="H12" s="222">
        <f>'Data Sheet'!H49</f>
        <v/>
      </c>
      <c r="I12" s="222">
        <f>'Data Sheet'!I49</f>
        <v/>
      </c>
      <c r="J12" s="222">
        <f>'Data Sheet'!J49</f>
        <v/>
      </c>
      <c r="K12" s="222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1" min="1" max="1"/>
    <col width="13.44140625" customWidth="1" style="171" min="2" max="2"/>
    <col width="15.44140625" customWidth="1" style="171" min="3" max="11"/>
    <col width="8.77734375" customWidth="1" style="171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1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226">
        <f>'Data Sheet'!B57</f>
        <v/>
      </c>
      <c r="C4" s="226">
        <f>'Data Sheet'!C57</f>
        <v/>
      </c>
      <c r="D4" s="226">
        <f>'Data Sheet'!D57</f>
        <v/>
      </c>
      <c r="E4" s="226">
        <f>'Data Sheet'!E57</f>
        <v/>
      </c>
      <c r="F4" s="226">
        <f>'Data Sheet'!F57</f>
        <v/>
      </c>
      <c r="G4" s="226">
        <f>'Data Sheet'!G57</f>
        <v/>
      </c>
      <c r="H4" s="226">
        <f>'Data Sheet'!H57</f>
        <v/>
      </c>
      <c r="I4" s="226">
        <f>'Data Sheet'!I57</f>
        <v/>
      </c>
      <c r="J4" s="226">
        <f>'Data Sheet'!J57</f>
        <v/>
      </c>
      <c r="K4" s="226">
        <f>'Data Sheet'!K57</f>
        <v/>
      </c>
    </row>
    <row r="5" s="171">
      <c r="A5" t="inlineStr">
        <is>
          <t>Reserves</t>
        </is>
      </c>
      <c r="B5" s="226">
        <f>'Data Sheet'!B58</f>
        <v/>
      </c>
      <c r="C5" s="226">
        <f>'Data Sheet'!C58</f>
        <v/>
      </c>
      <c r="D5" s="226">
        <f>'Data Sheet'!D58</f>
        <v/>
      </c>
      <c r="E5" s="226">
        <f>'Data Sheet'!E58</f>
        <v/>
      </c>
      <c r="F5" s="226">
        <f>'Data Sheet'!F58</f>
        <v/>
      </c>
      <c r="G5" s="226">
        <f>'Data Sheet'!G58</f>
        <v/>
      </c>
      <c r="H5" s="226">
        <f>'Data Sheet'!H58</f>
        <v/>
      </c>
      <c r="I5" s="226">
        <f>'Data Sheet'!I58</f>
        <v/>
      </c>
      <c r="J5" s="226">
        <f>'Data Sheet'!J58</f>
        <v/>
      </c>
      <c r="K5" s="226">
        <f>'Data Sheet'!K58</f>
        <v/>
      </c>
    </row>
    <row r="6">
      <c r="A6" t="inlineStr">
        <is>
          <t>Borrowings</t>
        </is>
      </c>
      <c r="B6" s="226">
        <f>'Data Sheet'!B59</f>
        <v/>
      </c>
      <c r="C6" s="226">
        <f>'Data Sheet'!C59</f>
        <v/>
      </c>
      <c r="D6" s="226">
        <f>'Data Sheet'!D59</f>
        <v/>
      </c>
      <c r="E6" s="226">
        <f>'Data Sheet'!E59</f>
        <v/>
      </c>
      <c r="F6" s="226">
        <f>'Data Sheet'!F59</f>
        <v/>
      </c>
      <c r="G6" s="226">
        <f>'Data Sheet'!G59</f>
        <v/>
      </c>
      <c r="H6" s="226">
        <f>'Data Sheet'!H59</f>
        <v/>
      </c>
      <c r="I6" s="226">
        <f>'Data Sheet'!I59</f>
        <v/>
      </c>
      <c r="J6" s="226">
        <f>'Data Sheet'!J59</f>
        <v/>
      </c>
      <c r="K6" s="226">
        <f>'Data Sheet'!K59</f>
        <v/>
      </c>
    </row>
    <row r="7" s="171">
      <c r="A7" t="inlineStr">
        <is>
          <t>Other Liabilities</t>
        </is>
      </c>
      <c r="B7" s="226">
        <f>'Data Sheet'!B60</f>
        <v/>
      </c>
      <c r="C7" s="226">
        <f>'Data Sheet'!C60</f>
        <v/>
      </c>
      <c r="D7" s="226">
        <f>'Data Sheet'!D60</f>
        <v/>
      </c>
      <c r="E7" s="226">
        <f>'Data Sheet'!E60</f>
        <v/>
      </c>
      <c r="F7" s="226">
        <f>'Data Sheet'!F60</f>
        <v/>
      </c>
      <c r="G7" s="226">
        <f>'Data Sheet'!G60</f>
        <v/>
      </c>
      <c r="H7" s="226">
        <f>'Data Sheet'!H60</f>
        <v/>
      </c>
      <c r="I7" s="226">
        <f>'Data Sheet'!I60</f>
        <v/>
      </c>
      <c r="J7" s="226">
        <f>'Data Sheet'!J60</f>
        <v/>
      </c>
      <c r="K7" s="226">
        <f>'Data Sheet'!K60</f>
        <v/>
      </c>
    </row>
    <row r="8" customFormat="1" s="37">
      <c r="A8" s="37" t="inlineStr">
        <is>
          <t>Total</t>
        </is>
      </c>
      <c r="B8" s="227">
        <f>'Data Sheet'!B61</f>
        <v/>
      </c>
      <c r="C8" s="227">
        <f>'Data Sheet'!C61</f>
        <v/>
      </c>
      <c r="D8" s="227">
        <f>'Data Sheet'!D61</f>
        <v/>
      </c>
      <c r="E8" s="227">
        <f>'Data Sheet'!E61</f>
        <v/>
      </c>
      <c r="F8" s="227">
        <f>'Data Sheet'!F61</f>
        <v/>
      </c>
      <c r="G8" s="227">
        <f>'Data Sheet'!G61</f>
        <v/>
      </c>
      <c r="H8" s="227">
        <f>'Data Sheet'!H61</f>
        <v/>
      </c>
      <c r="I8" s="227">
        <f>'Data Sheet'!I61</f>
        <v/>
      </c>
      <c r="J8" s="227">
        <f>'Data Sheet'!J61</f>
        <v/>
      </c>
      <c r="K8" s="227">
        <f>'Data Sheet'!K61</f>
        <v/>
      </c>
    </row>
    <row r="9" customFormat="1" s="37">
      <c r="B9" s="227" t="n"/>
      <c r="C9" s="227" t="n"/>
      <c r="D9" s="227" t="n"/>
      <c r="E9" s="227" t="n"/>
      <c r="F9" s="227" t="n"/>
      <c r="G9" s="227" t="n"/>
      <c r="H9" s="227" t="n"/>
      <c r="I9" s="227" t="n"/>
      <c r="J9" s="227" t="n"/>
      <c r="K9" s="227" t="n"/>
    </row>
    <row r="10">
      <c r="A10" t="inlineStr">
        <is>
          <t>Net Block</t>
        </is>
      </c>
      <c r="B10" s="226">
        <f>'Data Sheet'!B62</f>
        <v/>
      </c>
      <c r="C10" s="226">
        <f>'Data Sheet'!C62</f>
        <v/>
      </c>
      <c r="D10" s="226">
        <f>'Data Sheet'!D62</f>
        <v/>
      </c>
      <c r="E10" s="226">
        <f>'Data Sheet'!E62</f>
        <v/>
      </c>
      <c r="F10" s="226">
        <f>'Data Sheet'!F62</f>
        <v/>
      </c>
      <c r="G10" s="226">
        <f>'Data Sheet'!G62</f>
        <v/>
      </c>
      <c r="H10" s="226">
        <f>'Data Sheet'!H62</f>
        <v/>
      </c>
      <c r="I10" s="226">
        <f>'Data Sheet'!I62</f>
        <v/>
      </c>
      <c r="J10" s="226">
        <f>'Data Sheet'!J62</f>
        <v/>
      </c>
      <c r="K10" s="226">
        <f>'Data Sheet'!K62</f>
        <v/>
      </c>
    </row>
    <row r="11">
      <c r="A11" t="inlineStr">
        <is>
          <t>Capital Work in Progress</t>
        </is>
      </c>
      <c r="B11" s="226">
        <f>'Data Sheet'!B63</f>
        <v/>
      </c>
      <c r="C11" s="226">
        <f>'Data Sheet'!C63</f>
        <v/>
      </c>
      <c r="D11" s="226">
        <f>'Data Sheet'!D63</f>
        <v/>
      </c>
      <c r="E11" s="226">
        <f>'Data Sheet'!E63</f>
        <v/>
      </c>
      <c r="F11" s="226">
        <f>'Data Sheet'!F63</f>
        <v/>
      </c>
      <c r="G11" s="226">
        <f>'Data Sheet'!G63</f>
        <v/>
      </c>
      <c r="H11" s="226">
        <f>'Data Sheet'!H63</f>
        <v/>
      </c>
      <c r="I11" s="226">
        <f>'Data Sheet'!I63</f>
        <v/>
      </c>
      <c r="J11" s="226">
        <f>'Data Sheet'!J63</f>
        <v/>
      </c>
      <c r="K11" s="226">
        <f>'Data Sheet'!K63</f>
        <v/>
      </c>
    </row>
    <row r="12">
      <c r="A12" t="inlineStr">
        <is>
          <t>Investments</t>
        </is>
      </c>
      <c r="B12" s="226">
        <f>'Data Sheet'!B64</f>
        <v/>
      </c>
      <c r="C12" s="226">
        <f>'Data Sheet'!C64</f>
        <v/>
      </c>
      <c r="D12" s="226">
        <f>'Data Sheet'!D64</f>
        <v/>
      </c>
      <c r="E12" s="226">
        <f>'Data Sheet'!E64</f>
        <v/>
      </c>
      <c r="F12" s="226">
        <f>'Data Sheet'!F64</f>
        <v/>
      </c>
      <c r="G12" s="226">
        <f>'Data Sheet'!G64</f>
        <v/>
      </c>
      <c r="H12" s="226">
        <f>'Data Sheet'!H64</f>
        <v/>
      </c>
      <c r="I12" s="226">
        <f>'Data Sheet'!I64</f>
        <v/>
      </c>
      <c r="J12" s="226">
        <f>'Data Sheet'!J64</f>
        <v/>
      </c>
      <c r="K12" s="226">
        <f>'Data Sheet'!K64</f>
        <v/>
      </c>
    </row>
    <row r="13">
      <c r="A13" t="inlineStr">
        <is>
          <t>Other Assets</t>
        </is>
      </c>
      <c r="B13" s="226">
        <f>'Data Sheet'!B65</f>
        <v/>
      </c>
      <c r="C13" s="226">
        <f>'Data Sheet'!C65</f>
        <v/>
      </c>
      <c r="D13" s="226">
        <f>'Data Sheet'!D65</f>
        <v/>
      </c>
      <c r="E13" s="226">
        <f>'Data Sheet'!E65</f>
        <v/>
      </c>
      <c r="F13" s="226">
        <f>'Data Sheet'!F65</f>
        <v/>
      </c>
      <c r="G13" s="226">
        <f>'Data Sheet'!G65</f>
        <v/>
      </c>
      <c r="H13" s="226">
        <f>'Data Sheet'!H65</f>
        <v/>
      </c>
      <c r="I13" s="226">
        <f>'Data Sheet'!I65</f>
        <v/>
      </c>
      <c r="J13" s="226">
        <f>'Data Sheet'!J65</f>
        <v/>
      </c>
      <c r="K13" s="226">
        <f>'Data Sheet'!K65</f>
        <v/>
      </c>
    </row>
    <row r="14" customFormat="1" s="37">
      <c r="A14" s="37" t="inlineStr">
        <is>
          <t>Total</t>
        </is>
      </c>
      <c r="B14" s="226">
        <f>'Data Sheet'!B66</f>
        <v/>
      </c>
      <c r="C14" s="226">
        <f>'Data Sheet'!C66</f>
        <v/>
      </c>
      <c r="D14" s="226">
        <f>'Data Sheet'!D66</f>
        <v/>
      </c>
      <c r="E14" s="226">
        <f>'Data Sheet'!E66</f>
        <v/>
      </c>
      <c r="F14" s="226">
        <f>'Data Sheet'!F66</f>
        <v/>
      </c>
      <c r="G14" s="226">
        <f>'Data Sheet'!G66</f>
        <v/>
      </c>
      <c r="H14" s="226">
        <f>'Data Sheet'!H66</f>
        <v/>
      </c>
      <c r="I14" s="226">
        <f>'Data Sheet'!I66</f>
        <v/>
      </c>
      <c r="J14" s="226">
        <f>'Data Sheet'!J66</f>
        <v/>
      </c>
      <c r="K14" s="226">
        <f>'Data Sheet'!K66</f>
        <v/>
      </c>
    </row>
    <row r="15">
      <c r="B15" s="228" t="n"/>
      <c r="C15" s="228" t="n"/>
      <c r="D15" s="228" t="n"/>
      <c r="E15" s="228" t="n"/>
      <c r="F15" s="228" t="n"/>
      <c r="G15" s="228" t="n"/>
      <c r="H15" s="228" t="n"/>
      <c r="I15" s="228" t="n"/>
      <c r="J15" s="228" t="n"/>
      <c r="K15" s="228" t="n"/>
    </row>
    <row r="16">
      <c r="A16" t="inlineStr">
        <is>
          <t>Working Capital</t>
        </is>
      </c>
      <c r="B16" s="228">
        <f>B13-B7</f>
        <v/>
      </c>
      <c r="C16" s="228">
        <f>C13-C7</f>
        <v/>
      </c>
      <c r="D16" s="228">
        <f>D13-D7</f>
        <v/>
      </c>
      <c r="E16" s="228">
        <f>E13-E7</f>
        <v/>
      </c>
      <c r="F16" s="228">
        <f>F13-F7</f>
        <v/>
      </c>
      <c r="G16" s="228">
        <f>G13-G7</f>
        <v/>
      </c>
      <c r="H16" s="228">
        <f>H13-H7</f>
        <v/>
      </c>
      <c r="I16" s="228">
        <f>I13-I7</f>
        <v/>
      </c>
      <c r="J16" s="228">
        <f>J13-J7</f>
        <v/>
      </c>
      <c r="K16" s="228">
        <f>K13-K7</f>
        <v/>
      </c>
    </row>
    <row r="17">
      <c r="A17" t="inlineStr">
        <is>
          <t>Debtors</t>
        </is>
      </c>
      <c r="B17" s="228">
        <f>'Data Sheet'!B67</f>
        <v/>
      </c>
      <c r="C17" s="228">
        <f>'Data Sheet'!C67</f>
        <v/>
      </c>
      <c r="D17" s="228">
        <f>'Data Sheet'!D67</f>
        <v/>
      </c>
      <c r="E17" s="228">
        <f>'Data Sheet'!E67</f>
        <v/>
      </c>
      <c r="F17" s="228">
        <f>'Data Sheet'!F67</f>
        <v/>
      </c>
      <c r="G17" s="228">
        <f>'Data Sheet'!G67</f>
        <v/>
      </c>
      <c r="H17" s="228">
        <f>'Data Sheet'!H67</f>
        <v/>
      </c>
      <c r="I17" s="228">
        <f>'Data Sheet'!I67</f>
        <v/>
      </c>
      <c r="J17" s="228">
        <f>'Data Sheet'!J67</f>
        <v/>
      </c>
      <c r="K17" s="228">
        <f>'Data Sheet'!K67</f>
        <v/>
      </c>
    </row>
    <row r="18">
      <c r="A18" t="inlineStr">
        <is>
          <t>Inventory</t>
        </is>
      </c>
      <c r="B18" s="228">
        <f>'Data Sheet'!B68</f>
        <v/>
      </c>
      <c r="C18" s="228">
        <f>'Data Sheet'!C68</f>
        <v/>
      </c>
      <c r="D18" s="228">
        <f>'Data Sheet'!D68</f>
        <v/>
      </c>
      <c r="E18" s="228">
        <f>'Data Sheet'!E68</f>
        <v/>
      </c>
      <c r="F18" s="228">
        <f>'Data Sheet'!F68</f>
        <v/>
      </c>
      <c r="G18" s="228">
        <f>'Data Sheet'!G68</f>
        <v/>
      </c>
      <c r="H18" s="228">
        <f>'Data Sheet'!H68</f>
        <v/>
      </c>
      <c r="I18" s="228">
        <f>'Data Sheet'!I68</f>
        <v/>
      </c>
      <c r="J18" s="228">
        <f>'Data Sheet'!J68</f>
        <v/>
      </c>
      <c r="K18" s="228">
        <f>'Data Sheet'!K68</f>
        <v/>
      </c>
    </row>
    <row r="20">
      <c r="A20" t="inlineStr">
        <is>
          <t>Debtor Days</t>
        </is>
      </c>
      <c r="B20" s="228">
        <f>IF('Profit &amp; Loss'!B4&gt;0,'Balance Sheet'!B17/('Profit &amp; Loss'!B4/365),0)</f>
        <v/>
      </c>
      <c r="C20" s="228">
        <f>IF('Profit &amp; Loss'!C4&gt;0,'Balance Sheet'!C17/('Profit &amp; Loss'!C4/365),0)</f>
        <v/>
      </c>
      <c r="D20" s="228">
        <f>IF('Profit &amp; Loss'!D4&gt;0,'Balance Sheet'!D17/('Profit &amp; Loss'!D4/365),0)</f>
        <v/>
      </c>
      <c r="E20" s="228">
        <f>IF('Profit &amp; Loss'!E4&gt;0,'Balance Sheet'!E17/('Profit &amp; Loss'!E4/365),0)</f>
        <v/>
      </c>
      <c r="F20" s="228">
        <f>IF('Profit &amp; Loss'!F4&gt;0,'Balance Sheet'!F17/('Profit &amp; Loss'!F4/365),0)</f>
        <v/>
      </c>
      <c r="G20" s="228">
        <f>IF('Profit &amp; Loss'!G4&gt;0,'Balance Sheet'!G17/('Profit &amp; Loss'!G4/365),0)</f>
        <v/>
      </c>
      <c r="H20" s="228">
        <f>IF('Profit &amp; Loss'!H4&gt;0,'Balance Sheet'!H17/('Profit &amp; Loss'!H4/365),0)</f>
        <v/>
      </c>
      <c r="I20" s="228">
        <f>IF('Profit &amp; Loss'!I4&gt;0,'Balance Sheet'!I17/('Profit &amp; Loss'!I4/365),0)</f>
        <v/>
      </c>
      <c r="J20" s="228">
        <f>IF('Profit &amp; Loss'!J4&gt;0,'Balance Sheet'!J17/('Profit &amp; Loss'!J4/365),0)</f>
        <v/>
      </c>
      <c r="K20" s="228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28">
        <f>IF('Balance Sheet'!B18&gt;0,'Profit &amp; Loss'!B4/'Balance Sheet'!B18,0)</f>
        <v/>
      </c>
      <c r="C21" s="228">
        <f>IF('Balance Sheet'!C18&gt;0,'Profit &amp; Loss'!C4/'Balance Sheet'!C18,0)</f>
        <v/>
      </c>
      <c r="D21" s="228">
        <f>IF('Balance Sheet'!D18&gt;0,'Profit &amp; Loss'!D4/'Balance Sheet'!D18,0)</f>
        <v/>
      </c>
      <c r="E21" s="228">
        <f>IF('Balance Sheet'!E18&gt;0,'Profit &amp; Loss'!E4/'Balance Sheet'!E18,0)</f>
        <v/>
      </c>
      <c r="F21" s="228">
        <f>IF('Balance Sheet'!F18&gt;0,'Profit &amp; Loss'!F4/'Balance Sheet'!F18,0)</f>
        <v/>
      </c>
      <c r="G21" s="228">
        <f>IF('Balance Sheet'!G18&gt;0,'Profit &amp; Loss'!G4/'Balance Sheet'!G18,0)</f>
        <v/>
      </c>
      <c r="H21" s="228">
        <f>IF('Balance Sheet'!H18&gt;0,'Profit &amp; Loss'!H4/'Balance Sheet'!H18,0)</f>
        <v/>
      </c>
      <c r="I21" s="228">
        <f>IF('Balance Sheet'!I18&gt;0,'Profit &amp; Loss'!I4/'Balance Sheet'!I18,0)</f>
        <v/>
      </c>
      <c r="J21" s="228">
        <f>IF('Balance Sheet'!J18&gt;0,'Profit &amp; Loss'!J4/'Balance Sheet'!J18,0)</f>
        <v/>
      </c>
      <c r="K21" s="228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1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1" min="1" max="1"/>
    <col width="13.44140625" customWidth="1" style="171" min="2" max="6"/>
    <col width="13.44140625" bestFit="1" customWidth="1" style="171" min="7" max="11"/>
    <col width="8.77734375" customWidth="1" style="171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222">
        <f>'Data Sheet'!B82</f>
        <v/>
      </c>
      <c r="C4" s="222">
        <f>'Data Sheet'!C82</f>
        <v/>
      </c>
      <c r="D4" s="222">
        <f>'Data Sheet'!D82</f>
        <v/>
      </c>
      <c r="E4" s="222">
        <f>'Data Sheet'!E82</f>
        <v/>
      </c>
      <c r="F4" s="222">
        <f>'Data Sheet'!F82</f>
        <v/>
      </c>
      <c r="G4" s="222">
        <f>'Data Sheet'!G82</f>
        <v/>
      </c>
      <c r="H4" s="222">
        <f>'Data Sheet'!H82</f>
        <v/>
      </c>
      <c r="I4" s="222">
        <f>'Data Sheet'!I82</f>
        <v/>
      </c>
      <c r="J4" s="222">
        <f>'Data Sheet'!J82</f>
        <v/>
      </c>
      <c r="K4" s="222">
        <f>'Data Sheet'!K82</f>
        <v/>
      </c>
    </row>
    <row r="5">
      <c r="A5" t="inlineStr">
        <is>
          <t>Cash from Investing Activity</t>
        </is>
      </c>
      <c r="B5" s="223">
        <f>'Data Sheet'!B83</f>
        <v/>
      </c>
      <c r="C5" s="223">
        <f>'Data Sheet'!C83</f>
        <v/>
      </c>
      <c r="D5" s="223">
        <f>'Data Sheet'!D83</f>
        <v/>
      </c>
      <c r="E5" s="223">
        <f>'Data Sheet'!E83</f>
        <v/>
      </c>
      <c r="F5" s="223">
        <f>'Data Sheet'!F83</f>
        <v/>
      </c>
      <c r="G5" s="223">
        <f>'Data Sheet'!G83</f>
        <v/>
      </c>
      <c r="H5" s="223">
        <f>'Data Sheet'!H83</f>
        <v/>
      </c>
      <c r="I5" s="223">
        <f>'Data Sheet'!I83</f>
        <v/>
      </c>
      <c r="J5" s="223">
        <f>'Data Sheet'!J83</f>
        <v/>
      </c>
      <c r="K5" s="223">
        <f>'Data Sheet'!K83</f>
        <v/>
      </c>
    </row>
    <row r="6">
      <c r="A6" t="inlineStr">
        <is>
          <t>Cash from Financing Activity</t>
        </is>
      </c>
      <c r="B6" s="223">
        <f>'Data Sheet'!B84</f>
        <v/>
      </c>
      <c r="C6" s="223">
        <f>'Data Sheet'!C84</f>
        <v/>
      </c>
      <c r="D6" s="223">
        <f>'Data Sheet'!D84</f>
        <v/>
      </c>
      <c r="E6" s="223">
        <f>'Data Sheet'!E84</f>
        <v/>
      </c>
      <c r="F6" s="223">
        <f>'Data Sheet'!F84</f>
        <v/>
      </c>
      <c r="G6" s="223">
        <f>'Data Sheet'!G84</f>
        <v/>
      </c>
      <c r="H6" s="223">
        <f>'Data Sheet'!H84</f>
        <v/>
      </c>
      <c r="I6" s="223">
        <f>'Data Sheet'!I84</f>
        <v/>
      </c>
      <c r="J6" s="223">
        <f>'Data Sheet'!J84</f>
        <v/>
      </c>
      <c r="K6" s="223">
        <f>'Data Sheet'!K84</f>
        <v/>
      </c>
    </row>
    <row r="7" customFormat="1" s="37">
      <c r="A7" s="37" t="inlineStr">
        <is>
          <t>Net Cash Flow</t>
        </is>
      </c>
      <c r="B7" s="222">
        <f>'Data Sheet'!B85</f>
        <v/>
      </c>
      <c r="C7" s="222">
        <f>'Data Sheet'!C85</f>
        <v/>
      </c>
      <c r="D7" s="222">
        <f>'Data Sheet'!D85</f>
        <v/>
      </c>
      <c r="E7" s="222">
        <f>'Data Sheet'!E85</f>
        <v/>
      </c>
      <c r="F7" s="222">
        <f>'Data Sheet'!F85</f>
        <v/>
      </c>
      <c r="G7" s="222">
        <f>'Data Sheet'!G85</f>
        <v/>
      </c>
      <c r="H7" s="222">
        <f>'Data Sheet'!H85</f>
        <v/>
      </c>
      <c r="I7" s="222">
        <f>'Data Sheet'!I85</f>
        <v/>
      </c>
      <c r="J7" s="222">
        <f>'Data Sheet'!J85</f>
        <v/>
      </c>
      <c r="K7" s="222">
        <f>'Data Sheet'!K85</f>
        <v/>
      </c>
    </row>
    <row r="8">
      <c r="B8" s="223" t="n"/>
      <c r="C8" s="223" t="n"/>
      <c r="D8" s="223" t="n"/>
      <c r="E8" s="223" t="n"/>
      <c r="F8" s="223" t="n"/>
      <c r="G8" s="223" t="n"/>
      <c r="H8" s="223" t="n"/>
      <c r="I8" s="223" t="n"/>
      <c r="J8" s="223" t="n"/>
      <c r="K8" s="223" t="n"/>
    </row>
    <row r="24" s="171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1" min="2" max="2"/>
    <col width="13.33203125" customWidth="1" style="26" min="3" max="3"/>
    <col width="8.77734375" customWidth="1" style="171" min="4" max="5"/>
    <col width="6.77734375" customWidth="1" style="171" min="6" max="6"/>
    <col width="8.77734375" customWidth="1" style="171" min="7" max="16384"/>
  </cols>
  <sheetData>
    <row r="1" ht="21" customHeight="1" s="171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1" min="1" max="1"/>
    <col width="27.33203125" customWidth="1" style="171" min="2" max="2"/>
    <col width="9.6640625" bestFit="1" customWidth="1" style="171" min="3" max="3"/>
  </cols>
  <sheetData>
    <row r="2">
      <c r="B2" s="161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1"/>
    <row r="6">
      <c r="B6" s="229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230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230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230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230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230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230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230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230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230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230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230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230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230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230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230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1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1"/>
    <row r="27">
      <c r="B27" s="229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230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230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230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230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229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230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230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230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230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230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230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230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228" min="1" max="1"/>
    <col width="13.44140625" bestFit="1" customWidth="1" style="228" min="2" max="11"/>
    <col width="8.77734375" customWidth="1" style="228" min="12" max="16384"/>
  </cols>
  <sheetData>
    <row r="1" customFormat="1" s="222">
      <c r="A1" s="222" t="inlineStr">
        <is>
          <t>COMPANY NAME</t>
        </is>
      </c>
      <c r="B1" s="222" t="inlineStr">
        <is>
          <t>TATA MOTORS LTD</t>
        </is>
      </c>
      <c r="E1" s="231">
        <f>IF(B2&lt;&gt;B3, "A NEW VERSION OF THE WORKSHEET IS AVAILABLE", "")</f>
        <v/>
      </c>
    </row>
    <row r="2">
      <c r="A2" s="222" t="inlineStr">
        <is>
          <t>LATEST VERSION</t>
        </is>
      </c>
      <c r="B2" s="228" t="n">
        <v>2.1</v>
      </c>
      <c r="E2" s="232" t="inlineStr">
        <is>
          <t>PLEASE DO NOT MAKE ANY CHANGES TO THIS SHEET</t>
        </is>
      </c>
    </row>
    <row r="3">
      <c r="A3" s="222" t="inlineStr">
        <is>
          <t>CURRENT VERSION</t>
        </is>
      </c>
      <c r="B3" s="228" t="n">
        <v>2.1</v>
      </c>
    </row>
    <row r="4">
      <c r="A4" s="222" t="n"/>
    </row>
    <row r="5">
      <c r="A5" s="222" t="inlineStr">
        <is>
          <t>META</t>
        </is>
      </c>
    </row>
    <row r="6">
      <c r="A6" s="228" t="inlineStr">
        <is>
          <t>Number of shares</t>
        </is>
      </c>
      <c r="B6" s="228">
        <f>IF(B9&gt;0, B9/B8, 0)</f>
        <v/>
      </c>
    </row>
    <row r="7">
      <c r="A7" s="228" t="inlineStr">
        <is>
          <t>Face Value</t>
        </is>
      </c>
      <c r="B7" t="n">
        <v>2</v>
      </c>
    </row>
    <row r="8">
      <c r="A8" s="228" t="inlineStr">
        <is>
          <t>Current Price</t>
        </is>
      </c>
      <c r="B8" t="n">
        <v>399</v>
      </c>
    </row>
    <row r="9">
      <c r="A9" s="228" t="inlineStr">
        <is>
          <t>Market Capitalization</t>
        </is>
      </c>
      <c r="B9" t="n">
        <v>147031.5</v>
      </c>
    </row>
    <row r="15">
      <c r="A15" s="222" t="inlineStr">
        <is>
          <t>PROFIT &amp; LOSS</t>
        </is>
      </c>
    </row>
    <row r="16" customFormat="1" s="24">
      <c r="A16" s="23" t="inlineStr">
        <is>
          <t>Report Date</t>
        </is>
      </c>
      <c r="B16" s="16" t="inlineStr">
        <is>
          <t>Mar 2025  10m</t>
        </is>
      </c>
      <c r="C16" s="16" t="n">
        <v>46082</v>
      </c>
      <c r="D16" s="16" t="inlineStr">
        <is>
          <t>TTM</t>
        </is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223">
      <c r="A17" s="223" t="inlineStr">
        <is>
          <t>Sales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58217</v>
      </c>
      <c r="K17" t="n">
        <v>83855</v>
      </c>
    </row>
    <row r="18" customFormat="1" s="223">
      <c r="A18" s="228" t="inlineStr">
        <is>
          <t>Raw Material Cost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37181</v>
      </c>
      <c r="K18" t="n">
        <v>57024</v>
      </c>
    </row>
    <row r="19" customFormat="1" s="223">
      <c r="A19" s="228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-2015</v>
      </c>
      <c r="K19" t="n">
        <v>292</v>
      </c>
    </row>
    <row r="20" customFormat="1" s="223">
      <c r="A20" s="228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232.87</v>
      </c>
      <c r="K20" t="n">
        <v>335.42</v>
      </c>
    </row>
    <row r="21" customFormat="1" s="223">
      <c r="A21" s="228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2095.81</v>
      </c>
      <c r="K21" t="n">
        <v>3018.78</v>
      </c>
    </row>
    <row r="22" customFormat="1" s="223">
      <c r="A22" s="228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4075.19</v>
      </c>
      <c r="K22" t="n">
        <v>5869.85</v>
      </c>
    </row>
    <row r="23" customFormat="1" s="223">
      <c r="A23" s="228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4657.36</v>
      </c>
      <c r="K23" t="n">
        <v>8050.08</v>
      </c>
    </row>
    <row r="24" customFormat="1" s="223">
      <c r="A24" s="228" t="inlineStr">
        <is>
          <t>Other Expenses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5817.77</v>
      </c>
      <c r="K24" t="n">
        <v>1647.87</v>
      </c>
    </row>
    <row r="25" customFormat="1" s="223">
      <c r="A25" s="223" t="inlineStr">
        <is>
          <t>Other Income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685</v>
      </c>
      <c r="K25" t="n">
        <v>-135</v>
      </c>
    </row>
    <row r="26" customFormat="1" s="223">
      <c r="A26" s="223" t="inlineStr">
        <is>
          <t>Depreciation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1690</v>
      </c>
      <c r="K26" t="n">
        <v>1945</v>
      </c>
    </row>
    <row r="27" customFormat="1" s="223">
      <c r="A27" s="223" t="inlineStr">
        <is>
          <t>Interest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1079</v>
      </c>
      <c r="K27" t="n">
        <v>874</v>
      </c>
    </row>
    <row r="28" customFormat="1" s="223">
      <c r="A28" s="223" t="inlineStr">
        <is>
          <t>Profit before tax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4088</v>
      </c>
      <c r="K28" t="n">
        <v>4663</v>
      </c>
    </row>
    <row r="29" customFormat="1" s="223">
      <c r="A29" s="223" t="inlineStr">
        <is>
          <t>Tax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</v>
      </c>
      <c r="K29" t="n">
        <v>1633</v>
      </c>
    </row>
    <row r="30" customFormat="1" s="223">
      <c r="A30" s="223" t="inlineStr">
        <is>
          <t>Net profit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3195</v>
      </c>
      <c r="K30" t="n">
        <v>3030</v>
      </c>
    </row>
    <row r="31" customFormat="1" s="223">
      <c r="A31" s="223" t="inlineStr">
        <is>
          <t>Dividend Amount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1484.7</v>
      </c>
    </row>
    <row r="32" customFormat="1" s="223">
      <c r="A32" s="223" t="inlineStr">
        <is>
          <t>EBITDA</t>
        </is>
      </c>
      <c r="B32" s="223">
        <f>SUM(B26:B28)</f>
        <v/>
      </c>
      <c r="C32" s="223">
        <f>SUM(C26:C28)</f>
        <v/>
      </c>
      <c r="D32" s="223">
        <f>SUM(D26:D28)</f>
        <v/>
      </c>
      <c r="E32" s="223">
        <f>SUM(E26:E28)</f>
        <v/>
      </c>
      <c r="F32" s="223">
        <f>SUM(F26:F28)</f>
        <v/>
      </c>
      <c r="G32" s="223">
        <f>SUM(G26:G28)</f>
        <v/>
      </c>
      <c r="H32" s="223">
        <f>SUM(H26:H28)</f>
        <v/>
      </c>
      <c r="I32" s="223">
        <f>SUM(I26:I28)</f>
        <v/>
      </c>
      <c r="J32" s="223">
        <f>SUM(J26:J28)</f>
        <v/>
      </c>
      <c r="K32" s="223">
        <f>SUM(K26:K28)</f>
        <v/>
      </c>
    </row>
    <row r="33">
      <c r="A33" s="223" t="n"/>
      <c r="B33" s="228" t="n">
        <v>0</v>
      </c>
      <c r="C33" s="228" t="n">
        <v>0</v>
      </c>
      <c r="D33" s="228" t="n">
        <v>0</v>
      </c>
      <c r="E33" s="228" t="n">
        <v>0</v>
      </c>
      <c r="F33" s="228" t="n">
        <v>0</v>
      </c>
      <c r="G33" s="228" t="n">
        <v>0</v>
      </c>
      <c r="H33" s="228" t="n">
        <v>0</v>
      </c>
      <c r="I33" s="228" t="n">
        <v>0</v>
      </c>
      <c r="J33" s="228" t="n">
        <v>0</v>
      </c>
      <c r="K33" s="228" t="n">
        <v>0</v>
      </c>
    </row>
    <row r="34">
      <c r="A34" s="223" t="n"/>
    </row>
    <row r="35">
      <c r="A35" s="223" t="n"/>
    </row>
    <row r="36">
      <c r="A36" s="223" t="n"/>
    </row>
    <row r="37">
      <c r="A37" s="223" t="n"/>
    </row>
    <row r="38">
      <c r="A38" s="223" t="n"/>
    </row>
    <row r="39">
      <c r="A39" s="223" t="n"/>
    </row>
    <row r="40">
      <c r="A40" s="222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45536</v>
      </c>
      <c r="C41" s="16" t="n">
        <v>45565</v>
      </c>
      <c r="D41" s="16" t="n">
        <v>45657</v>
      </c>
      <c r="E41" s="16" t="n">
        <v>45747</v>
      </c>
      <c r="F41" s="16" t="n">
        <v>45838</v>
      </c>
      <c r="G41" s="16" t="n">
        <v>45930</v>
      </c>
      <c r="H41" s="16" t="n">
        <v>46022</v>
      </c>
      <c r="I41" s="16" t="n">
        <v>46112</v>
      </c>
      <c r="J41" s="16" t="n">
        <v>46203</v>
      </c>
      <c r="K41" s="16" t="n">
        <v>46295</v>
      </c>
    </row>
    <row r="42" customFormat="1" s="223">
      <c r="A42" s="223" t="inlineStr">
        <is>
          <t>Sales</t>
        </is>
      </c>
      <c r="B42" t="n">
        <v>0</v>
      </c>
      <c r="C42" t="n">
        <v>17535</v>
      </c>
      <c r="D42" t="n">
        <v>18819</v>
      </c>
      <c r="E42" t="n">
        <v>21863</v>
      </c>
      <c r="F42" t="n">
        <v>17324</v>
      </c>
      <c r="G42" t="n">
        <v>18585</v>
      </c>
      <c r="H42" t="n">
        <v>21847</v>
      </c>
      <c r="I42" t="n">
        <v>26098</v>
      </c>
      <c r="J42" t="n">
        <v>20667</v>
      </c>
      <c r="K42" t="n">
        <v>25338</v>
      </c>
    </row>
    <row r="43" customFormat="1" s="223">
      <c r="A43" s="223" t="inlineStr">
        <is>
          <t>Expenses</t>
        </is>
      </c>
      <c r="B43" t="n">
        <v>0</v>
      </c>
      <c r="C43" t="n">
        <v>15828</v>
      </c>
      <c r="D43" t="n">
        <v>16786</v>
      </c>
      <c r="E43" t="n">
        <v>19432</v>
      </c>
      <c r="F43" t="n">
        <v>15248</v>
      </c>
      <c r="G43" t="n">
        <v>16553</v>
      </c>
      <c r="H43" t="n">
        <v>19260</v>
      </c>
      <c r="I43" t="n">
        <v>22771</v>
      </c>
      <c r="J43" t="n">
        <v>18530</v>
      </c>
      <c r="K43" t="n">
        <v>22690</v>
      </c>
    </row>
    <row r="44" customFormat="1" s="223">
      <c r="A44" s="223" t="inlineStr">
        <is>
          <t>Other Income</t>
        </is>
      </c>
      <c r="B44" t="n">
        <v>0</v>
      </c>
      <c r="C44" t="n">
        <v>206</v>
      </c>
      <c r="D44" t="n">
        <v>407</v>
      </c>
      <c r="E44" t="n">
        <v>72</v>
      </c>
      <c r="F44" t="n">
        <v>332</v>
      </c>
      <c r="G44" t="n">
        <v>-1865</v>
      </c>
      <c r="H44" t="n">
        <v>-981</v>
      </c>
      <c r="I44" t="n">
        <v>-28</v>
      </c>
      <c r="J44" t="n">
        <v>1476</v>
      </c>
      <c r="K44" t="n">
        <v>-11</v>
      </c>
    </row>
    <row r="45" customFormat="1" s="223">
      <c r="A45" s="223" t="inlineStr">
        <is>
          <t>Depreciation</t>
        </is>
      </c>
      <c r="B45" t="n">
        <v>0</v>
      </c>
      <c r="C45" t="n">
        <v>541</v>
      </c>
      <c r="D45" t="n">
        <v>557</v>
      </c>
      <c r="E45" t="n">
        <v>592</v>
      </c>
      <c r="F45" t="n">
        <v>480</v>
      </c>
      <c r="G45" t="n">
        <v>472</v>
      </c>
      <c r="H45" t="n">
        <v>483</v>
      </c>
      <c r="I45" t="n">
        <v>510</v>
      </c>
      <c r="J45" t="n">
        <v>508</v>
      </c>
      <c r="K45" t="n">
        <v>539</v>
      </c>
    </row>
    <row r="46" customFormat="1" s="223">
      <c r="A46" s="223" t="inlineStr">
        <is>
          <t>Interest</t>
        </is>
      </c>
      <c r="B46" t="n">
        <v>0</v>
      </c>
      <c r="C46" t="n">
        <v>408</v>
      </c>
      <c r="D46" t="n">
        <v>352</v>
      </c>
      <c r="E46" t="n">
        <v>319</v>
      </c>
      <c r="F46" t="n">
        <v>254</v>
      </c>
      <c r="G46" t="n">
        <v>256</v>
      </c>
      <c r="H46" t="n">
        <v>198</v>
      </c>
      <c r="I46" t="n">
        <v>166</v>
      </c>
      <c r="J46" t="n">
        <v>135</v>
      </c>
      <c r="K46" t="n">
        <v>100</v>
      </c>
    </row>
    <row r="47" customFormat="1" s="223">
      <c r="A47" s="223" t="inlineStr">
        <is>
          <t>Profit before tax</t>
        </is>
      </c>
      <c r="B47" t="n">
        <v>0</v>
      </c>
      <c r="C47" t="n">
        <v>964</v>
      </c>
      <c r="D47" t="n">
        <v>1531</v>
      </c>
      <c r="E47" t="n">
        <v>1592</v>
      </c>
      <c r="F47" t="n">
        <v>1674</v>
      </c>
      <c r="G47" t="n">
        <v>-561</v>
      </c>
      <c r="H47" t="n">
        <v>925</v>
      </c>
      <c r="I47" t="n">
        <v>2623</v>
      </c>
      <c r="J47" t="n">
        <v>2970</v>
      </c>
      <c r="K47" t="n">
        <v>1998</v>
      </c>
    </row>
    <row r="48" customFormat="1" s="223">
      <c r="A48" s="223" t="inlineStr">
        <is>
          <t>Tax</t>
        </is>
      </c>
      <c r="B48" t="n">
        <v>0</v>
      </c>
      <c r="C48" t="n">
        <v>241</v>
      </c>
      <c r="D48" t="n">
        <v>176</v>
      </c>
      <c r="E48" t="n">
        <v>252</v>
      </c>
      <c r="F48" t="n">
        <v>277</v>
      </c>
      <c r="G48" t="n">
        <v>0</v>
      </c>
      <c r="H48" t="n">
        <v>220</v>
      </c>
      <c r="I48" t="n">
        <v>830</v>
      </c>
      <c r="J48" t="n">
        <v>414</v>
      </c>
      <c r="K48" t="n">
        <v>744</v>
      </c>
    </row>
    <row r="49" customFormat="1" s="223">
      <c r="A49" s="223" t="inlineStr">
        <is>
          <t>Net profit</t>
        </is>
      </c>
      <c r="B49" t="n">
        <v>0</v>
      </c>
      <c r="C49" t="n">
        <v>723</v>
      </c>
      <c r="D49" t="n">
        <v>1355</v>
      </c>
      <c r="E49" t="n">
        <v>1340</v>
      </c>
      <c r="F49" t="n">
        <v>1397</v>
      </c>
      <c r="G49" t="n">
        <v>-561</v>
      </c>
      <c r="H49" t="n">
        <v>705</v>
      </c>
      <c r="I49" t="n">
        <v>1793</v>
      </c>
      <c r="J49" t="n">
        <v>2556</v>
      </c>
      <c r="K49" t="n">
        <v>1254</v>
      </c>
    </row>
    <row r="50">
      <c r="A50" s="223" t="inlineStr">
        <is>
          <t>Operating Profit</t>
        </is>
      </c>
      <c r="B50" t="n">
        <v>0</v>
      </c>
      <c r="C50" t="n">
        <v>1707</v>
      </c>
      <c r="D50" t="n">
        <v>2033</v>
      </c>
      <c r="E50" t="n">
        <v>2431</v>
      </c>
      <c r="F50" t="n">
        <v>2076</v>
      </c>
      <c r="G50" t="n">
        <v>2032</v>
      </c>
      <c r="H50" t="n">
        <v>2587</v>
      </c>
      <c r="I50" t="n">
        <v>3327</v>
      </c>
      <c r="J50" t="n">
        <v>2137</v>
      </c>
      <c r="K50" t="n">
        <v>2648</v>
      </c>
    </row>
    <row r="51">
      <c r="A51" s="223" t="n"/>
    </row>
    <row r="52">
      <c r="A52" s="223" t="n"/>
    </row>
    <row r="53">
      <c r="A53" s="223" t="n"/>
    </row>
    <row r="54">
      <c r="A54" s="223" t="n"/>
    </row>
    <row r="55">
      <c r="A55" s="222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45717</v>
      </c>
      <c r="C56" s="16" t="n">
        <v>46082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45747</v>
      </c>
      <c r="J56" s="16" t="n">
        <v>46112</v>
      </c>
      <c r="K56" s="16" t="n">
        <v>46295</v>
      </c>
    </row>
    <row r="57">
      <c r="A57" s="223" t="inlineStr">
        <is>
          <t>Equity Share Capital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736</v>
      </c>
      <c r="K57" t="n">
        <v>737</v>
      </c>
    </row>
    <row r="58">
      <c r="A58" s="223" t="inlineStr">
        <is>
          <t>Reserves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10533</v>
      </c>
      <c r="J58" t="n">
        <v>11998</v>
      </c>
      <c r="K58" t="n">
        <v>14551</v>
      </c>
    </row>
    <row r="59">
      <c r="A59" s="223" t="inlineStr">
        <is>
          <t>Borrowings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9925</v>
      </c>
      <c r="J59" t="n">
        <v>5615</v>
      </c>
      <c r="K59" t="n">
        <v>3780</v>
      </c>
    </row>
    <row r="60">
      <c r="A60" s="223" t="inlineStr">
        <is>
          <t>Other Liabilities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26393</v>
      </c>
      <c r="J60" t="n">
        <v>33960</v>
      </c>
      <c r="K60" t="n">
        <v>38385</v>
      </c>
    </row>
    <row r="61" customFormat="1" s="222">
      <c r="A61" s="222" t="inlineStr">
        <is>
          <t>Total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46851</v>
      </c>
      <c r="J61" t="n">
        <v>52309</v>
      </c>
      <c r="K61" t="n">
        <v>57453</v>
      </c>
    </row>
    <row r="62">
      <c r="A62" s="223" t="inlineStr">
        <is>
          <t>Net Block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13664</v>
      </c>
      <c r="J62" t="n">
        <v>13962</v>
      </c>
      <c r="K62" t="n">
        <v>15966</v>
      </c>
    </row>
    <row r="63">
      <c r="A63" s="223" t="inlineStr">
        <is>
          <t>Capital Work in Progress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1875</v>
      </c>
      <c r="J63" t="n">
        <v>2026</v>
      </c>
      <c r="K63" t="n">
        <v>674</v>
      </c>
    </row>
    <row r="64">
      <c r="A64" s="223" t="inlineStr">
        <is>
          <t>Investments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5282</v>
      </c>
      <c r="J64" t="n">
        <v>13283</v>
      </c>
      <c r="K64" t="n">
        <v>12467</v>
      </c>
    </row>
    <row r="65">
      <c r="A65" s="223" t="inlineStr">
        <is>
          <t>Other Assets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26030</v>
      </c>
      <c r="J65" t="n">
        <v>23038</v>
      </c>
      <c r="K65" t="n">
        <v>28346</v>
      </c>
    </row>
    <row r="66" customFormat="1" s="222">
      <c r="A66" s="222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46851</v>
      </c>
      <c r="J66" t="n">
        <v>52309</v>
      </c>
      <c r="K66" t="n">
        <v>57453</v>
      </c>
    </row>
    <row r="67" customFormat="1" s="223">
      <c r="A67" s="223" t="inlineStr">
        <is>
          <t>Receivables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3064</v>
      </c>
      <c r="J67" t="n">
        <v>2721</v>
      </c>
      <c r="K67" t="n">
        <v>3620</v>
      </c>
    </row>
    <row r="68">
      <c r="A68" s="223" t="inlineStr">
        <is>
          <t>Inventory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4625</v>
      </c>
      <c r="J68" t="n">
        <v>5448</v>
      </c>
      <c r="K68" t="n">
        <v>8217</v>
      </c>
    </row>
    <row r="69">
      <c r="A69" s="228" t="inlineStr">
        <is>
          <t>Cash &amp; Bank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2266</v>
      </c>
      <c r="J69" t="n">
        <v>7776</v>
      </c>
      <c r="K69" t="n">
        <v>7964</v>
      </c>
    </row>
    <row r="70">
      <c r="A70" s="228" t="inlineStr">
        <is>
          <t>No. of Equity Shares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3680000000</v>
      </c>
      <c r="K70" t="n">
        <v>3685000000</v>
      </c>
    </row>
    <row r="71">
      <c r="A71" s="228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28" t="inlineStr">
        <is>
          <t>Face value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</v>
      </c>
      <c r="K72" t="n">
        <v>2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23" t="inlineStr">
        <is>
          <t>Other Assets</t>
        </is>
      </c>
      <c r="B74" s="228">
        <f>B65-SUM(B67:B69)</f>
        <v/>
      </c>
      <c r="C74" s="228">
        <f>C65-SUM(C67:C69)</f>
        <v/>
      </c>
      <c r="D74" s="228">
        <f>D65-SUM(D67:D69)</f>
        <v/>
      </c>
      <c r="E74" s="228">
        <f>E65-SUM(E67:E69)</f>
        <v/>
      </c>
      <c r="F74" s="228">
        <f>F65-SUM(F67:F69)</f>
        <v/>
      </c>
      <c r="G74" s="228">
        <f>G65-SUM(G67:G69)</f>
        <v/>
      </c>
      <c r="H74" s="228">
        <f>H65-SUM(H67:H69)</f>
        <v/>
      </c>
      <c r="I74" s="228">
        <f>I65-SUM(I67:I69)</f>
        <v/>
      </c>
      <c r="J74" s="228">
        <f>J65-SUM(J67:J69)</f>
        <v/>
      </c>
      <c r="K74" s="228">
        <f>K65-SUM(K67:K69)</f>
        <v/>
      </c>
    </row>
    <row r="75">
      <c r="A75" s="223" t="n"/>
      <c r="B75" s="228" t="n">
        <v>0</v>
      </c>
      <c r="C75" s="228" t="n">
        <v>0</v>
      </c>
      <c r="D75" s="228" t="n">
        <v>0</v>
      </c>
      <c r="E75" s="228" t="n">
        <v>0</v>
      </c>
      <c r="F75" s="228" t="n">
        <v>0</v>
      </c>
      <c r="G75" s="228" t="n">
        <v>0</v>
      </c>
      <c r="H75" s="228" t="n">
        <v>0</v>
      </c>
      <c r="I75" s="228" t="n">
        <v>0</v>
      </c>
      <c r="J75" s="228" t="n">
        <v>0</v>
      </c>
      <c r="K75" s="228" t="n">
        <v>0</v>
      </c>
    </row>
    <row r="76">
      <c r="A76" s="223" t="n"/>
    </row>
    <row r="77">
      <c r="A77" s="223" t="n"/>
    </row>
    <row r="78">
      <c r="A78" s="223" t="n"/>
    </row>
    <row r="79">
      <c r="A79" s="223" t="n"/>
    </row>
    <row r="80">
      <c r="A80" s="222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45717</v>
      </c>
      <c r="C81" s="16" t="n">
        <v>46082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222">
      <c r="A82" s="223" t="inlineStr">
        <is>
          <t>Cash from Operating Activity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8547</v>
      </c>
      <c r="K82" t="n">
        <v>14981</v>
      </c>
    </row>
    <row r="83" customFormat="1" s="223">
      <c r="A83" s="223" t="inlineStr">
        <is>
          <t>Cash from Investing Activity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456</v>
      </c>
      <c r="K83" t="n">
        <v>-3892</v>
      </c>
    </row>
    <row r="84" customFormat="1" s="223">
      <c r="A84" s="223" t="inlineStr">
        <is>
          <t>Cash from Financing Activity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-7970</v>
      </c>
      <c r="K84" t="n">
        <v>-5223</v>
      </c>
    </row>
    <row r="85" customFormat="1" s="222">
      <c r="A85" s="223" t="inlineStr">
        <is>
          <t>Net Cash Flow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1033</v>
      </c>
      <c r="K85" t="n">
        <v>5866</v>
      </c>
    </row>
    <row r="86">
      <c r="A86" s="223" t="n"/>
    </row>
    <row r="87">
      <c r="A87" s="223" t="n"/>
    </row>
    <row r="88">
      <c r="A88" s="223" t="n"/>
    </row>
    <row r="89">
      <c r="A89" s="223" t="n"/>
    </row>
    <row r="90" customFormat="1" s="222">
      <c r="A90" s="222" t="inlineStr">
        <is>
          <t>PRICE:</t>
        </is>
      </c>
      <c r="B90" t="n">
        <v>443</v>
      </c>
      <c r="C90" t="n">
        <v>443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399</v>
      </c>
      <c r="J90" t="n">
        <v>399</v>
      </c>
      <c r="K90" t="n">
        <v>399</v>
      </c>
    </row>
    <row r="92" customFormat="1" s="222">
      <c r="A92" s="222" t="inlineStr">
        <is>
          <t>DERIVED:</t>
        </is>
      </c>
    </row>
    <row r="93">
      <c r="A93" s="228" t="inlineStr">
        <is>
          <t>Adjusted Equity Shares in Cr</t>
        </is>
      </c>
      <c r="B93" s="233" t="n">
        <v>368.5</v>
      </c>
      <c r="C93" s="233" t="n">
        <v>368.5</v>
      </c>
      <c r="D93" s="233" t="n">
        <v>368.5</v>
      </c>
      <c r="E93" s="233" t="n">
        <v>368.5</v>
      </c>
      <c r="F93" s="233" t="n">
        <v>368.5</v>
      </c>
      <c r="G93" s="233" t="n">
        <v>368.5</v>
      </c>
      <c r="H93" s="233" t="n">
        <v>368.5</v>
      </c>
      <c r="I93" s="233" t="n">
        <v>368.5</v>
      </c>
      <c r="J93" s="233" t="n">
        <v>368.5</v>
      </c>
      <c r="K93" s="233" t="n">
        <v>368.5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1" min="1" max="1"/>
    <col width="26.44140625" customWidth="1" style="171" min="2" max="2"/>
    <col width="18.77734375" customWidth="1" style="171" min="16" max="16"/>
  </cols>
  <sheetData>
    <row r="2">
      <c r="B2" s="161" t="inlineStr">
        <is>
          <t>Cash Flow Statement - TATA MOTORS LTD</t>
        </is>
      </c>
    </row>
    <row r="4">
      <c r="B4" s="49" t="inlineStr">
        <is>
          <t>Particulars</t>
        </is>
      </c>
      <c r="C4" s="50" t="inlineStr">
        <is>
          <t>Mar 2025</t>
        </is>
      </c>
      <c r="D4" s="50" t="inlineStr">
        <is>
          <t>Mar 2026</t>
        </is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1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8547</v>
      </c>
      <c r="D6" s="73" t="n">
        <v>14981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6729</v>
      </c>
      <c r="D7" s="73" t="n">
        <v>9266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-533</v>
      </c>
      <c r="D8" t="n">
        <v>325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2295</v>
      </c>
      <c r="D9" t="n">
        <v>-782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-556</v>
      </c>
      <c r="D10" t="n">
        <v>1237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1838</v>
      </c>
      <c r="D11" t="n">
        <v>6657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-20</v>
      </c>
      <c r="D12" s="73" t="n">
        <v>-942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456</v>
      </c>
      <c r="D13" s="73" t="n">
        <v>-3892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-1663</v>
      </c>
      <c r="D14" s="73" t="n">
        <v>-2248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121</v>
      </c>
      <c r="D15" t="n">
        <v>145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-2376</v>
      </c>
      <c r="D16" s="73" t="n">
        <v>-2797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35</v>
      </c>
      <c r="D17" s="73" t="n">
        <v>594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411</v>
      </c>
      <c r="D18" t="n">
        <v>506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50</v>
      </c>
      <c r="D19" t="n">
        <v>104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-1121</v>
      </c>
      <c r="D20" t="n">
        <v>-5938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-127</v>
      </c>
      <c r="D21" t="n">
        <v>-138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20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4005</v>
      </c>
      <c r="D23" s="73" t="n">
        <v>-78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-7970</v>
      </c>
      <c r="D24" s="73" t="n">
        <v>-5223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2470</v>
      </c>
      <c r="D26" t="n">
        <v>341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-9231</v>
      </c>
      <c r="D27" t="n">
        <v>-4454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-1006</v>
      </c>
      <c r="D28" t="n">
        <v>-884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0</v>
      </c>
      <c r="D29" s="73" t="n">
        <v>0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-203</v>
      </c>
      <c r="D30" t="n">
        <v>-226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0</v>
      </c>
      <c r="D31" t="n">
        <v>0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1033</v>
      </c>
      <c r="D32" t="n">
        <v>5866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1" min="1" max="1"/>
    <col width="30.33203125" customWidth="1" style="171" min="2" max="2"/>
    <col width="12.109375" bestFit="1" customWidth="1" style="171" min="3" max="3"/>
    <col width="10.44140625" bestFit="1" customWidth="1" style="171" min="4" max="12"/>
  </cols>
  <sheetData>
    <row r="2">
      <c r="B2" s="161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230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230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230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230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230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230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230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230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230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230">
        <f>'Data Sheet'!L74</f>
        <v/>
      </c>
      <c r="N60" s="230">
        <f>'Data Sheet'!M74</f>
        <v/>
      </c>
      <c r="O60" s="230">
        <f>'Data Sheet'!N74</f>
        <v/>
      </c>
    </row>
    <row r="61">
      <c r="B61" s="230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230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230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230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230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230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230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1" min="1" max="1"/>
    <col width="28.6640625" customWidth="1" style="171" min="2" max="2"/>
    <col width="10" bestFit="1" customWidth="1" style="171" min="3" max="5"/>
    <col width="10" bestFit="1" customWidth="1" style="171" min="14" max="14"/>
  </cols>
  <sheetData>
    <row r="2">
      <c r="B2" s="161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1" min="1" max="1"/>
    <col width="11.109375" bestFit="1" customWidth="1" style="171" min="2" max="2"/>
    <col width="9.6640625" bestFit="1" customWidth="1" style="171" min="3" max="3"/>
    <col width="12" customWidth="1" style="171" min="4" max="4"/>
    <col width="13.21875" customWidth="1" style="171" min="5" max="5"/>
    <col width="2" customWidth="1" style="171" min="6" max="6"/>
    <col width="11.21875" customWidth="1" style="171" min="7" max="7"/>
    <col width="12.109375" customWidth="1" style="171" min="9" max="9"/>
    <col width="12.44140625" customWidth="1" style="171" min="10" max="10"/>
    <col width="2" customWidth="1" style="171" min="11" max="11"/>
    <col width="12.33203125" customWidth="1" style="171" min="12" max="12"/>
    <col width="9.6640625" bestFit="1" customWidth="1" style="171" min="13" max="13"/>
    <col width="10.33203125" customWidth="1" style="171" min="14" max="14"/>
    <col width="15" customWidth="1" style="171" min="15" max="15"/>
  </cols>
  <sheetData>
    <row r="2">
      <c r="B2" s="164">
        <f>'Data Sheet'!$B$1&amp;" -"&amp;'Data Sheet'!A17&amp;" Forecasting"</f>
        <v/>
      </c>
      <c r="G2" s="164">
        <f>'Data Sheet'!$B$1&amp;" -"&amp;'Historical FS'!B19&amp;" Forecasting"</f>
        <v/>
      </c>
      <c r="L2" s="164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64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46082</v>
      </c>
      <c r="D6" s="107" t="n">
        <v>83855</v>
      </c>
      <c r="E6" s="36">
        <f>D6/D5-1</f>
        <v/>
      </c>
      <c r="G6">
        <f>G5+1</f>
        <v/>
      </c>
      <c r="H6" s="54" t="n">
        <v>46082</v>
      </c>
      <c r="I6" s="107" t="n">
        <v>83855</v>
      </c>
      <c r="J6" s="36">
        <f>I6/I5-1</f>
        <v/>
      </c>
      <c r="L6">
        <f>L5+1</f>
        <v/>
      </c>
      <c r="M6" s="54" t="n">
        <v>46082</v>
      </c>
      <c r="N6" s="107" t="n">
        <v>76373</v>
      </c>
      <c r="O6" s="36">
        <f>N6/N5-1</f>
        <v/>
      </c>
    </row>
    <row r="7">
      <c r="B7">
        <f>B6+1</f>
        <v/>
      </c>
      <c r="C7" s="54" t="inlineStr">
        <is>
          <t>TTM</t>
        </is>
      </c>
      <c r="D7" s="107" t="n">
        <v>87197</v>
      </c>
      <c r="E7" s="36">
        <f>D7/D6-1</f>
        <v/>
      </c>
      <c r="G7">
        <f>G6+1</f>
        <v/>
      </c>
      <c r="H7" s="54" t="inlineStr">
        <is>
          <t>TTM</t>
        </is>
      </c>
      <c r="I7" s="107" t="n">
        <v>87197</v>
      </c>
      <c r="J7" s="36">
        <f>I7/I6-1</f>
        <v/>
      </c>
      <c r="L7">
        <f>L6+1</f>
        <v/>
      </c>
      <c r="M7" s="54" t="inlineStr">
        <is>
          <t>TTM</t>
        </is>
      </c>
      <c r="N7" s="107" t="n">
        <v>78512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49387.7</v>
      </c>
      <c r="J8" s="36">
        <f>I8/I7-1</f>
        <v/>
      </c>
      <c r="L8">
        <f>L7+1</f>
        <v/>
      </c>
      <c r="M8" s="54" t="n">
        <v>43921</v>
      </c>
      <c r="N8" s="107" t="n">
        <v>43219.62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49257.45</v>
      </c>
      <c r="J9" s="36">
        <f>I9/I8-1</f>
        <v/>
      </c>
      <c r="L9">
        <f>L8+1</f>
        <v/>
      </c>
      <c r="M9" s="54" t="n">
        <v>44286</v>
      </c>
      <c r="N9" s="107" t="n">
        <v>42998.6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60644.54</v>
      </c>
      <c r="J10" s="36">
        <f>I10/I9-1</f>
        <v/>
      </c>
      <c r="L10">
        <f>L9+1</f>
        <v/>
      </c>
      <c r="M10" s="54" t="n">
        <v>44651</v>
      </c>
      <c r="N10" s="107" t="n">
        <v>53614.8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70919.03</v>
      </c>
      <c r="J11" s="36">
        <f>I11/I10-1</f>
        <v/>
      </c>
      <c r="L11">
        <f>L10+1</f>
        <v/>
      </c>
      <c r="M11" s="54" t="n">
        <v>45016</v>
      </c>
      <c r="N11" s="107" t="n">
        <v>62593.85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67931.94</v>
      </c>
      <c r="J12" s="36">
        <f>I12/I11-1</f>
        <v/>
      </c>
      <c r="L12">
        <f>L11+1</f>
        <v/>
      </c>
      <c r="M12" s="54" t="n">
        <v>45382</v>
      </c>
      <c r="N12" s="107" t="n">
        <v>60165.32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75323.34</v>
      </c>
      <c r="J13" s="36">
        <f>I13/I12-1</f>
        <v/>
      </c>
      <c r="L13">
        <f>L12+1</f>
        <v/>
      </c>
      <c r="M13" s="54" t="n">
        <v>45747</v>
      </c>
      <c r="N13" s="107" t="n">
        <v>66741.48999999999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78868.39999999999</v>
      </c>
      <c r="E14" s="36">
        <f>D14/D13-1</f>
        <v/>
      </c>
      <c r="G14">
        <f>G13+1</f>
        <v/>
      </c>
      <c r="H14" s="54">
        <f>H13+365</f>
        <v/>
      </c>
      <c r="I14" s="107" t="n">
        <v>78868.39999999999</v>
      </c>
      <c r="J14" s="36">
        <f>I14/I13-1</f>
        <v/>
      </c>
      <c r="L14">
        <f>L13+1</f>
        <v/>
      </c>
      <c r="M14" s="54">
        <f>M13+365</f>
        <v/>
      </c>
      <c r="N14" s="107" t="n">
        <v>70057.45999999999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1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1" min="1" max="1"/>
    <col width="11.5546875" customWidth="1" style="171" min="2" max="2"/>
    <col width="11.6640625" bestFit="1" customWidth="1" style="171" min="3" max="3"/>
    <col width="14.21875" customWidth="1" style="171" min="4" max="4"/>
    <col width="11.33203125" customWidth="1" style="171" min="6" max="6"/>
    <col width="12.33203125" customWidth="1" style="171" min="7" max="7"/>
    <col width="13.44140625" customWidth="1" style="171" min="8" max="8"/>
    <col width="13.6640625" customWidth="1" style="171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1">
        <f>Control!C13&amp;" Daily Returns"</f>
        <v/>
      </c>
      <c r="J7" s="161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64" t="inlineStr">
        <is>
          <t>-</t>
        </is>
      </c>
      <c r="F10" s="34">
        <f>'Raw Data'!G6</f>
        <v/>
      </c>
      <c r="G10">
        <f>'Raw Data'!J6</f>
        <v/>
      </c>
      <c r="H10" s="164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 t="n"/>
    </row>
    <row r="254">
      <c r="B254" s="34" t="n"/>
    </row>
    <row r="255">
      <c r="B255" s="34" t="n"/>
    </row>
    <row r="256">
      <c r="B256" s="34" t="n"/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1" min="1" max="1"/>
    <col width="19.33203125" customWidth="1" style="171" min="2" max="2"/>
    <col width="12.44140625" customWidth="1" style="171" min="3" max="3"/>
    <col width="10.77734375" customWidth="1" style="171" min="4" max="4"/>
    <col width="10.109375" bestFit="1" customWidth="1" style="171" min="5" max="5"/>
    <col width="11.88671875" bestFit="1" customWidth="1" style="171" min="6" max="6"/>
    <col width="10" customWidth="1" style="171" min="10" max="10"/>
    <col width="10.88671875" customWidth="1" style="171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1"/>
    <row r="10">
      <c r="B10" t="inlineStr">
        <is>
          <t>Peer Comps</t>
        </is>
      </c>
    </row>
    <row r="11">
      <c r="B11" s="57" t="n"/>
      <c r="C11" s="57" t="n"/>
      <c r="D11" s="57" t="n"/>
      <c r="E11" s="234" t="inlineStr">
        <is>
          <t>Total Debt</t>
        </is>
      </c>
      <c r="F11" s="234" t="inlineStr">
        <is>
          <t>Total Equity</t>
        </is>
      </c>
      <c r="G11" s="57" t="n"/>
      <c r="H11" s="234" t="inlineStr">
        <is>
          <t>Debt /Equity</t>
        </is>
      </c>
      <c r="I11" s="234" t="inlineStr">
        <is>
          <t>Debt /Capital</t>
        </is>
      </c>
      <c r="J11" s="234" t="inlineStr">
        <is>
          <t>Levered Beta</t>
        </is>
      </c>
      <c r="K11" s="234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6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1.22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0.8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0.8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1.08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1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1" min="1" max="1"/>
    <col width="14" customWidth="1" style="171" min="2" max="2"/>
    <col width="10.44140625" bestFit="1" customWidth="1" style="171" min="8" max="8"/>
    <col width="11.44140625" customWidth="1" style="171" min="9" max="9"/>
    <col width="10.44140625" bestFit="1" customWidth="1" style="171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1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1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1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1" thickBot="1"/>
    <row r="21" ht="15" customHeight="1" s="171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1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1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1" thickBot="1"/>
    <row r="40" ht="15" customHeight="1" s="171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IFERROR(IF(H37&gt;0, H38*(1-'Raw Data'!$T$24)/H37, 0.15), 0.15)</f>
        <v/>
      </c>
      <c r="I40" s="144">
        <f>IFERROR(IF(I37&gt;0, I38*(1-'Raw Data'!$T$24)/I37, 0.15), 0.15)</f>
        <v/>
      </c>
      <c r="J40" s="144">
        <f>IFERROR(IF(J37&gt;0, J38*(1-'Raw Data'!$T$24)/J37, 0.15), 0.15)</f>
        <v/>
      </c>
      <c r="K40" s="144">
        <f>IFERROR(IF(K37&gt;0, K38*(1-'Raw Data'!$T$24)/K37, 0.15), 0.15)</f>
        <v/>
      </c>
      <c r="L40" s="144">
        <f>IFERROR(IF(L37&gt;0, L38*(1-'Raw Data'!$T$24)/L37, 0.15), 0.15)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4" t="inlineStr">
        <is>
          <t>-</t>
        </is>
      </c>
      <c r="I51" s="107">
        <f>IF(H37&gt;0, I37-H37, 0)</f>
        <v/>
      </c>
      <c r="J51" s="107">
        <f>IF(I37&gt;0, J37-I37, 0)</f>
        <v/>
      </c>
      <c r="K51" s="107">
        <f>IF(J37&gt;0, K37-J37, 0)</f>
        <v/>
      </c>
      <c r="L51" s="107">
        <f>IF(K37&gt;0, L37-K37, 0)</f>
        <v/>
      </c>
    </row>
    <row r="52" ht="15" customHeight="1" s="171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IFERROR(IF(AND(H37&gt;0, I49&gt;0), MIN(0.85, MAX(0.10, I51/I49)), 0.35), 0.35)</f>
        <v/>
      </c>
      <c r="J52" s="143">
        <f>IFERROR(IF(AND(I37&gt;0, J49&gt;0), MIN(0.85, MAX(0.10, J51/J49)), 0.35), 0.35)</f>
        <v/>
      </c>
      <c r="K52" s="143">
        <f>IFERROR(IF(AND(J37&gt;0, K49&gt;0), MIN(0.85, MAX(0.10, K51/K49)), 0.35), 0.35)</f>
        <v/>
      </c>
      <c r="L52" s="143">
        <f>IFERROR(IF(AND(K37&gt;0, L49&gt;0), MIN(0.85, MAX(0.10, L51/L49)), 0.35), 0.35)</f>
        <v/>
      </c>
    </row>
    <row r="54">
      <c r="J54" s="37" t="inlineStr">
        <is>
          <t>4 Year Average</t>
        </is>
      </c>
      <c r="K54" s="37" t="n"/>
      <c r="L54" s="114">
        <f>IFERROR(AVERAGE(I52:L52), 0.35)</f>
        <v/>
      </c>
    </row>
    <row r="55">
      <c r="J55" s="186" t="inlineStr">
        <is>
          <t>4 Col Median (I:L)</t>
        </is>
      </c>
      <c r="K55" s="37" t="n"/>
      <c r="L55" s="114">
        <f>IFERROR(MEDIAN(I52:L52), 0.35)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1"/>
    <row r="62" ht="15" customHeight="1" s="171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IFERROR(I52*I40, 0.05)</f>
        <v/>
      </c>
      <c r="J62" s="135">
        <f>IFERROR(J52*J40, 0.05)</f>
        <v/>
      </c>
      <c r="K62" s="135">
        <f>IFERROR(K52*K40, 0.05)</f>
        <v/>
      </c>
      <c r="L62" s="135">
        <f>IFERROR(L52*L40, 0.05)</f>
        <v/>
      </c>
    </row>
    <row r="64">
      <c r="J64" s="37" t="inlineStr">
        <is>
          <t>4 Year Average</t>
        </is>
      </c>
      <c r="K64" s="37" t="n"/>
      <c r="L64" s="114">
        <f>IFERROR(AVERAGE(I62:L62), 0.05)</f>
        <v/>
      </c>
    </row>
    <row r="65">
      <c r="J65" s="186" t="inlineStr">
        <is>
          <t>4 Col Median (I:L)</t>
        </is>
      </c>
      <c r="K65" s="37" t="n"/>
      <c r="L65" s="114">
        <f>IFERROR(MEDIAN(I62:L62), 0.05)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189">
        <f>I44+I45</f>
        <v/>
      </c>
      <c r="J68" s="189">
        <f>J44+J45</f>
        <v/>
      </c>
      <c r="K68" s="189">
        <f>K44+K45</f>
        <v/>
      </c>
      <c r="L68" s="189">
        <f>L44+L45</f>
        <v/>
      </c>
    </row>
    <row r="69">
      <c r="B69" t="inlineStr">
        <is>
          <t>Organic Reinvestment Rate (on NOPAT)</t>
        </is>
      </c>
      <c r="I69" s="235">
        <f>I68/I49</f>
        <v/>
      </c>
      <c r="J69" s="235">
        <f>J68/J49</f>
        <v/>
      </c>
      <c r="K69" s="235">
        <f>K68/K49</f>
        <v/>
      </c>
      <c r="L69" s="235">
        <f>L68/L49</f>
        <v/>
      </c>
    </row>
    <row r="70">
      <c r="B70" t="inlineStr">
        <is>
          <t>Organic 4-Year Median</t>
        </is>
      </c>
      <c r="L70" s="235">
        <f>MEDIAN(I69:L69)</f>
        <v/>
      </c>
    </row>
    <row r="71">
      <c r="B71" t="inlineStr">
        <is>
          <t>Currently used in DCF (L55 - median of I:L; acquisition-year spikes can distort it)</t>
        </is>
      </c>
      <c r="L71" s="235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1" min="1" max="1"/>
    <col width="21.109375" customWidth="1" style="171" min="2" max="2"/>
    <col width="13.21875" customWidth="1" style="171" min="4" max="4"/>
    <col width="10.44140625" bestFit="1" customWidth="1" style="171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36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1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IFERROR('Intrinsic Valuation'!L38, INDEX('Data Sheet'!$B28:$K28, Control!$C$26))</f>
        <v/>
      </c>
      <c r="I8" s="130">
        <f>IFERROR(H8*(1+I11*MAX(0.01, 'Intrinsic Valuation'!$L$40)*Control!$K$10), H8*1.05)</f>
        <v/>
      </c>
      <c r="J8" s="130">
        <f>IFERROR(I8*(1+J11*MAX(0.01, 'Intrinsic Valuation'!$L$40)*Control!$K$10), I8*1.05)</f>
        <v/>
      </c>
      <c r="K8" s="130">
        <f>IFERROR(J8*(1+K11*MAX(0.01, 'Intrinsic Valuation'!$L$40)*Control!$K$10), J8*1.05)</f>
        <v/>
      </c>
      <c r="L8" s="130">
        <f>IFERROR(K8*(1+L11*MAX(0.01, 'Intrinsic Valuation'!$L$40)*Control!$K$10), K8*1.05)</f>
        <v/>
      </c>
      <c r="M8" s="130">
        <f>IFERROR(L8*(1+M11*MAX(0.01, 'Intrinsic Valuation'!$L$40)*Control!$K$10), L8*1.05)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IFERROR(MIN(Control!$C$22, MAX(0.10, 'Intrinsic Valuation'!$L$55)), 0.35)</f>
        <v/>
      </c>
      <c r="J11" s="81">
        <f>IFERROR(MIN(Control!$C$22, $I$11+($M$11-$I$11)/4*1), 0.35)</f>
        <v/>
      </c>
      <c r="K11" s="81">
        <f>IFERROR(MIN(Control!$C$22, $I$11+($M$11-$I$11)/4*2), 0.35)</f>
        <v/>
      </c>
      <c r="L11" s="81">
        <f>IFERROR(MIN(Control!$C$22, $I$11+($M$11-$I$11)/4*3), 0.35)</f>
        <v/>
      </c>
      <c r="M11" s="81">
        <f>IFERROR(MIN(Control!$C$22, D21), 0.335)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1"/>
    <row r="16" ht="15" customHeight="1" s="171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IFERROR(D19/MAX(0.01, D22), 0.335)</f>
        <v/>
      </c>
    </row>
    <row r="22">
      <c r="B22" t="inlineStr">
        <is>
          <t>Terminal ROIC (Stable)</t>
        </is>
      </c>
      <c r="D22">
        <f>IFERROR(MAX('Intrinsic Valuation'!L40, D20), D20)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1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186" t="inlineStr">
        <is>
          <t>Less: Minority Interest</t>
        </is>
      </c>
      <c r="C39" s="37" t="n"/>
      <c r="D39" s="237">
        <f>IF(Control!$C$24="Market Multiple", INDEX('Data Sheet'!$B73:$K73, Control!$C$26)*1.2, INDEX('Data Sheet'!$B73:$K73, Control!$C$26))</f>
        <v/>
      </c>
    </row>
    <row r="40">
      <c r="B40" s="186" t="inlineStr">
        <is>
          <t>Equity Value</t>
        </is>
      </c>
      <c r="D40" s="237">
        <f>D35+D37-D38-D39</f>
        <v/>
      </c>
    </row>
    <row r="41">
      <c r="B41" s="195" t="inlineStr">
        <is>
          <t>No. of Shares</t>
        </is>
      </c>
      <c r="D41" s="238">
        <f>INDEX('Data Sheet'!$B70:$K70, Control!$C$26)/Control!$C$9</f>
        <v/>
      </c>
    </row>
    <row r="42" ht="15" customHeight="1" s="171" thickBot="1">
      <c r="B42" s="239" t="n"/>
      <c r="C42" s="239" t="n"/>
      <c r="D42" s="239" t="n"/>
    </row>
    <row r="43">
      <c r="B43" s="240" t="inlineStr">
        <is>
          <t>Equity Value per Share</t>
        </is>
      </c>
      <c r="D43" s="241">
        <f>IFERROR(D40/MAX(0.01, D41), 0)</f>
        <v/>
      </c>
    </row>
    <row r="44">
      <c r="B44" s="239" t="n"/>
      <c r="C44" s="239" t="n"/>
      <c r="D44" s="239" t="n"/>
    </row>
    <row r="45">
      <c r="B45" s="239" t="inlineStr">
        <is>
          <t>Share Price</t>
        </is>
      </c>
      <c r="D45" s="242">
        <f>'Data Sheet'!B8</f>
        <v/>
      </c>
    </row>
    <row r="46">
      <c r="B46" s="239" t="inlineStr">
        <is>
          <t>Upside / (Downside)</t>
        </is>
      </c>
      <c r="D46" s="243">
        <f>IFERROR(D43/MAX(0.01, D45)-1, 0)</f>
        <v/>
      </c>
    </row>
    <row r="47">
      <c r="B47" s="244" t="n"/>
      <c r="C47" s="244" t="n"/>
      <c r="D47" s="244" t="n"/>
    </row>
    <row r="48"/>
    <row r="49">
      <c r="B49" s="204" t="inlineStr">
        <is>
          <t>2D SENSITIVITY ANALYSIS: IMPLIED SHARE PRICE (INR)</t>
        </is>
      </c>
    </row>
    <row r="50">
      <c r="B50" s="191" t="inlineStr">
        <is>
          <t>WACC \ Terminal Growth (g)</t>
        </is>
      </c>
      <c r="E50" s="245">
        <f>D19+(-0.01)</f>
        <v/>
      </c>
      <c r="F50" s="245">
        <f>D19+(-0.005)</f>
        <v/>
      </c>
      <c r="G50" s="245">
        <f>D19+(0)</f>
        <v/>
      </c>
      <c r="H50" s="245">
        <f>D19+(0.005)</f>
        <v/>
      </c>
      <c r="I50" s="245">
        <f>D19+(0.01)</f>
        <v/>
      </c>
    </row>
    <row r="51">
      <c r="B51" s="245">
        <f>D20+(-0.01)</f>
        <v/>
      </c>
      <c r="E51" s="246">
        <f>IF($B51&lt;=E$50,"n/a",MAX(0,(SUMPRODUCT($I$12:$M$12,(1+$B51)^(-$I$13:$M$13))+($M$10*(1+E$50)*(1-MIN(Control!$C$22,E$50/$D$22)))/($B51-E$50)*(1+$B51)^(-$M$13)+$D$37-$D$38-$D$39)/$D$41))</f>
        <v/>
      </c>
      <c r="F51" s="246">
        <f>IF($B51&lt;=F$50,"n/a",MAX(0,(SUMPRODUCT($I$12:$M$12,(1+$B51)^(-$I$13:$M$13))+($M$10*(1+F$50)*(1-MIN(Control!$C$22,F$50/$D$22)))/($B51-F$50)*(1+$B51)^(-$M$13)+$D$37-$D$38-$D$39)/$D$41))</f>
        <v/>
      </c>
      <c r="G51" s="246">
        <f>IF($B51&lt;=G$50,"n/a",MAX(0,(SUMPRODUCT($I$12:$M$12,(1+$B51)^(-$I$13:$M$13))+($M$10*(1+G$50)*(1-MIN(Control!$C$22,G$50/$D$22)))/($B51-G$50)*(1+$B51)^(-$M$13)+$D$37-$D$38-$D$39)/$D$41))</f>
        <v/>
      </c>
      <c r="H51" s="246">
        <f>IF($B51&lt;=H$50,"n/a",MAX(0,(SUMPRODUCT($I$12:$M$12,(1+$B51)^(-$I$13:$M$13))+($M$10*(1+H$50)*(1-MIN(Control!$C$22,H$50/$D$22)))/($B51-H$50)*(1+$B51)^(-$M$13)+$D$37-$D$38-$D$39)/$D$41))</f>
        <v/>
      </c>
      <c r="I51" s="246">
        <f>IF($B51&lt;=I$50,"n/a",MAX(0,(SUMPRODUCT($I$12:$M$12,(1+$B51)^(-$I$13:$M$13))+($M$10*(1+I$50)*(1-MIN(Control!$C$22,I$50/$D$22)))/($B51-I$50)*(1+$B51)^(-$M$13)+$D$37-$D$38-$D$39)/$D$41))</f>
        <v/>
      </c>
    </row>
    <row r="52">
      <c r="B52" s="245">
        <f>D20+(-0.005)</f>
        <v/>
      </c>
      <c r="E52" s="246">
        <f>IF($B52&lt;=E$50,"n/a",MAX(0,(SUMPRODUCT($I$12:$M$12,(1+$B52)^(-$I$13:$M$13))+($M$10*(1+E$50)*(1-MIN(Control!$C$22,E$50/$D$22)))/($B52-E$50)*(1+$B52)^(-$M$13)+$D$37-$D$38-$D$39)/$D$41))</f>
        <v/>
      </c>
      <c r="F52" s="246">
        <f>IF($B52&lt;=F$50,"n/a",MAX(0,(SUMPRODUCT($I$12:$M$12,(1+$B52)^(-$I$13:$M$13))+($M$10*(1+F$50)*(1-MIN(Control!$C$22,F$50/$D$22)))/($B52-F$50)*(1+$B52)^(-$M$13)+$D$37-$D$38-$D$39)/$D$41))</f>
        <v/>
      </c>
      <c r="G52" s="246">
        <f>IF($B52&lt;=G$50,"n/a",MAX(0,(SUMPRODUCT($I$12:$M$12,(1+$B52)^(-$I$13:$M$13))+($M$10*(1+G$50)*(1-MIN(Control!$C$22,G$50/$D$22)))/($B52-G$50)*(1+$B52)^(-$M$13)+$D$37-$D$38-$D$39)/$D$41))</f>
        <v/>
      </c>
      <c r="H52" s="246">
        <f>IF($B52&lt;=H$50,"n/a",MAX(0,(SUMPRODUCT($I$12:$M$12,(1+$B52)^(-$I$13:$M$13))+($M$10*(1+H$50)*(1-MIN(Control!$C$22,H$50/$D$22)))/($B52-H$50)*(1+$B52)^(-$M$13)+$D$37-$D$38-$D$39)/$D$41))</f>
        <v/>
      </c>
      <c r="I52" s="246">
        <f>IF($B52&lt;=I$50,"n/a",MAX(0,(SUMPRODUCT($I$12:$M$12,(1+$B52)^(-$I$13:$M$13))+($M$10*(1+I$50)*(1-MIN(Control!$C$22,I$50/$D$22)))/($B52-I$50)*(1+$B52)^(-$M$13)+$D$37-$D$38-$D$39)/$D$41))</f>
        <v/>
      </c>
    </row>
    <row r="53">
      <c r="B53" s="245">
        <f>D20+(0)</f>
        <v/>
      </c>
      <c r="E53" s="246">
        <f>IF($B53&lt;=E$50,"n/a",MAX(0,(SUMPRODUCT($I$12:$M$12,(1+$B53)^(-$I$13:$M$13))+($M$10*(1+E$50)*(1-MIN(Control!$C$22,E$50/$D$22)))/($B53-E$50)*(1+$B53)^(-$M$13)+$D$37-$D$38-$D$39)/$D$41))</f>
        <v/>
      </c>
      <c r="F53" s="246">
        <f>IF($B53&lt;=F$50,"n/a",MAX(0,(SUMPRODUCT($I$12:$M$12,(1+$B53)^(-$I$13:$M$13))+($M$10*(1+F$50)*(1-MIN(Control!$C$22,F$50/$D$22)))/($B53-F$50)*(1+$B53)^(-$M$13)+$D$37-$D$38-$D$39)/$D$41))</f>
        <v/>
      </c>
      <c r="G53" s="246">
        <f>IF($B53&lt;=G$50,"n/a",MAX(0,(SUMPRODUCT($I$12:$M$12,(1+$B53)^(-$I$13:$M$13))+($M$10*(1+G$50)*(1-MIN(Control!$C$22,G$50/$D$22)))/($B53-G$50)*(1+$B53)^(-$M$13)+$D$37-$D$38-$D$39)/$D$41))</f>
        <v/>
      </c>
      <c r="H53" s="246">
        <f>IF($B53&lt;=H$50,"n/a",MAX(0,(SUMPRODUCT($I$12:$M$12,(1+$B53)^(-$I$13:$M$13))+($M$10*(1+H$50)*(1-MIN(Control!$C$22,H$50/$D$22)))/($B53-H$50)*(1+$B53)^(-$M$13)+$D$37-$D$38-$D$39)/$D$41))</f>
        <v/>
      </c>
      <c r="I53" s="246">
        <f>IF($B53&lt;=I$50,"n/a",MAX(0,(SUMPRODUCT($I$12:$M$12,(1+$B53)^(-$I$13:$M$13))+($M$10*(1+I$50)*(1-MIN(Control!$C$22,I$50/$D$22)))/($B53-I$50)*(1+$B53)^(-$M$13)+$D$37-$D$38-$D$39)/$D$41))</f>
        <v/>
      </c>
    </row>
    <row r="54">
      <c r="B54" s="245">
        <f>D20+(0.005)</f>
        <v/>
      </c>
      <c r="E54" s="246">
        <f>IF($B54&lt;=E$50,"n/a",MAX(0,(SUMPRODUCT($I$12:$M$12,(1+$B54)^(-$I$13:$M$13))+($M$10*(1+E$50)*(1-MIN(Control!$C$22,E$50/$D$22)))/($B54-E$50)*(1+$B54)^(-$M$13)+$D$37-$D$38-$D$39)/$D$41))</f>
        <v/>
      </c>
      <c r="F54" s="246">
        <f>IF($B54&lt;=F$50,"n/a",MAX(0,(SUMPRODUCT($I$12:$M$12,(1+$B54)^(-$I$13:$M$13))+($M$10*(1+F$50)*(1-MIN(Control!$C$22,F$50/$D$22)))/($B54-F$50)*(1+$B54)^(-$M$13)+$D$37-$D$38-$D$39)/$D$41))</f>
        <v/>
      </c>
      <c r="G54" s="246">
        <f>IF($B54&lt;=G$50,"n/a",MAX(0,(SUMPRODUCT($I$12:$M$12,(1+$B54)^(-$I$13:$M$13))+($M$10*(1+G$50)*(1-MIN(Control!$C$22,G$50/$D$22)))/($B54-G$50)*(1+$B54)^(-$M$13)+$D$37-$D$38-$D$39)/$D$41))</f>
        <v/>
      </c>
      <c r="H54" s="246">
        <f>IF($B54&lt;=H$50,"n/a",MAX(0,(SUMPRODUCT($I$12:$M$12,(1+$B54)^(-$I$13:$M$13))+($M$10*(1+H$50)*(1-MIN(Control!$C$22,H$50/$D$22)))/($B54-H$50)*(1+$B54)^(-$M$13)+$D$37-$D$38-$D$39)/$D$41))</f>
        <v/>
      </c>
      <c r="I54" s="246">
        <f>IF($B54&lt;=I$50,"n/a",MAX(0,(SUMPRODUCT($I$12:$M$12,(1+$B54)^(-$I$13:$M$13))+($M$10*(1+I$50)*(1-MIN(Control!$C$22,I$50/$D$22)))/($B54-I$50)*(1+$B54)^(-$M$13)+$D$37-$D$38-$D$39)/$D$41))</f>
        <v/>
      </c>
    </row>
    <row r="55">
      <c r="B55" s="245">
        <f>D20+(0.01)</f>
        <v/>
      </c>
      <c r="E55" s="246">
        <f>IF($B55&lt;=E$50,"n/a",MAX(0,(SUMPRODUCT($I$12:$M$12,(1+$B55)^(-$I$13:$M$13))+($M$10*(1+E$50)*(1-MIN(Control!$C$22,E$50/$D$22)))/($B55-E$50)*(1+$B55)^(-$M$13)+$D$37-$D$38-$D$39)/$D$41))</f>
        <v/>
      </c>
      <c r="F55" s="246">
        <f>IF($B55&lt;=F$50,"n/a",MAX(0,(SUMPRODUCT($I$12:$M$12,(1+$B55)^(-$I$13:$M$13))+($M$10*(1+F$50)*(1-MIN(Control!$C$22,F$50/$D$22)))/($B55-F$50)*(1+$B55)^(-$M$13)+$D$37-$D$38-$D$39)/$D$41))</f>
        <v/>
      </c>
      <c r="G55" s="246">
        <f>IF($B55&lt;=G$50,"n/a",MAX(0,(SUMPRODUCT($I$12:$M$12,(1+$B55)^(-$I$13:$M$13))+($M$10*(1+G$50)*(1-MIN(Control!$C$22,G$50/$D$22)))/($B55-G$50)*(1+$B55)^(-$M$13)+$D$37-$D$38-$D$39)/$D$41))</f>
        <v/>
      </c>
      <c r="H55" s="246">
        <f>IF($B55&lt;=H$50,"n/a",MAX(0,(SUMPRODUCT($I$12:$M$12,(1+$B55)^(-$I$13:$M$13))+($M$10*(1+H$50)*(1-MIN(Control!$C$22,H$50/$D$22)))/($B55-H$50)*(1+$B55)^(-$M$13)+$D$37-$D$38-$D$39)/$D$41))</f>
        <v/>
      </c>
      <c r="I55" s="246">
        <f>IF($B55&lt;=I$50,"n/a",MAX(0,(SUMPRODUCT($I$12:$M$12,(1+$B55)^(-$I$13:$M$13))+($M$10*(1+I$50)*(1-MIN(Control!$C$22,I$50/$D$22)))/($B55-I$50)*(1+$B55)^(-$M$13)+$D$37-$D$38-$D$39)/$D$41))</f>
        <v/>
      </c>
    </row>
    <row r="58">
      <c r="B58" s="204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77">
        <f>IF(ISNUMBER(Control!$C$33),Control!$C$33,$I$8/$H$8-1)</f>
        <v/>
      </c>
    </row>
    <row r="61">
      <c r="B61" t="inlineStr">
        <is>
          <t>Starting incremental ROIC</t>
        </is>
      </c>
      <c r="D61" s="177">
        <f>IF(ISNUMBER(Control!$C$36),Control!$C$36,'Intrinsic Valuation'!$L$40)</f>
        <v/>
      </c>
    </row>
    <row r="64">
      <c r="B64" t="inlineStr">
        <is>
          <t>Year</t>
        </is>
      </c>
      <c r="D64" s="164" t="n">
        <v>1</v>
      </c>
      <c r="E64" s="164" t="n">
        <v>2</v>
      </c>
      <c r="F64" s="164" t="n">
        <v>3</v>
      </c>
      <c r="G64" s="164" t="n">
        <v>4</v>
      </c>
      <c r="H64" s="164" t="n">
        <v>5</v>
      </c>
      <c r="I64" s="164" t="n">
        <v>6</v>
      </c>
      <c r="J64" s="164" t="n">
        <v>7</v>
      </c>
      <c r="K64" s="164" t="n">
        <v>8</v>
      </c>
      <c r="L64" s="164" t="n">
        <v>9</v>
      </c>
      <c r="M64" s="164" t="n">
        <v>10</v>
      </c>
    </row>
    <row r="65">
      <c r="B65" t="inlineStr">
        <is>
          <t>EBIT growth (fades to terminal g)</t>
        </is>
      </c>
      <c r="D65" s="177">
        <f>$D$60+($D$19-$D$60)*(D64-1)/9</f>
        <v/>
      </c>
      <c r="E65" s="177">
        <f>$D$60+($D$19-$D$60)*(E64-1)/9</f>
        <v/>
      </c>
      <c r="F65" s="177">
        <f>$D$60+($D$19-$D$60)*(F64-1)/9</f>
        <v/>
      </c>
      <c r="G65" s="177">
        <f>$D$60+($D$19-$D$60)*(G64-1)/9</f>
        <v/>
      </c>
      <c r="H65" s="177">
        <f>$D$60+($D$19-$D$60)*(H64-1)/9</f>
        <v/>
      </c>
      <c r="I65" s="177">
        <f>$D$60+($D$19-$D$60)*(I64-1)/9</f>
        <v/>
      </c>
      <c r="J65" s="177">
        <f>$D$60+($D$19-$D$60)*(J64-1)/9</f>
        <v/>
      </c>
      <c r="K65" s="177">
        <f>$D$60+($D$19-$D$60)*(K64-1)/9</f>
        <v/>
      </c>
      <c r="L65" s="177">
        <f>$D$60+($D$19-$D$60)*(L64-1)/9</f>
        <v/>
      </c>
      <c r="M65" s="177">
        <f>$D$60+($D$19-$D$60)*(M64-1)/9</f>
        <v/>
      </c>
    </row>
    <row r="66">
      <c r="B66" t="inlineStr">
        <is>
          <t>ROIC (converges to terminal ROIC)</t>
        </is>
      </c>
      <c r="D66" s="177">
        <f>$D$61+($D$22-$D$61)*(D64-1)/9</f>
        <v/>
      </c>
      <c r="E66" s="177">
        <f>$D$61+($D$22-$D$61)*(E64-1)/9</f>
        <v/>
      </c>
      <c r="F66" s="177">
        <f>$D$61+($D$22-$D$61)*(F64-1)/9</f>
        <v/>
      </c>
      <c r="G66" s="177">
        <f>$D$61+($D$22-$D$61)*(G64-1)/9</f>
        <v/>
      </c>
      <c r="H66" s="177">
        <f>$D$61+($D$22-$D$61)*(H64-1)/9</f>
        <v/>
      </c>
      <c r="I66" s="177">
        <f>$D$61+($D$22-$D$61)*(I64-1)/9</f>
        <v/>
      </c>
      <c r="J66" s="177">
        <f>$D$61+($D$22-$D$61)*(J64-1)/9</f>
        <v/>
      </c>
      <c r="K66" s="177">
        <f>$D$61+($D$22-$D$61)*(K64-1)/9</f>
        <v/>
      </c>
      <c r="L66" s="177">
        <f>$D$61+($D$22-$D$61)*(L64-1)/9</f>
        <v/>
      </c>
      <c r="M66" s="177">
        <f>$D$61+($D$22-$D$61)*(M64-1)/9</f>
        <v/>
      </c>
    </row>
    <row r="67">
      <c r="B67" t="inlineStr">
        <is>
          <t>Reinvestment rate (g / ROIC, capped)</t>
        </is>
      </c>
      <c r="D67" s="177">
        <f>MIN(Control!$C$22,MAX(0,D65/D66))</f>
        <v/>
      </c>
      <c r="E67" s="177">
        <f>MIN(Control!$C$22,MAX(0,E65/E66))</f>
        <v/>
      </c>
      <c r="F67" s="177">
        <f>MIN(Control!$C$22,MAX(0,F65/F66))</f>
        <v/>
      </c>
      <c r="G67" s="177">
        <f>MIN(Control!$C$22,MAX(0,G65/G66))</f>
        <v/>
      </c>
      <c r="H67" s="177">
        <f>MIN(Control!$C$22,MAX(0,H65/H66))</f>
        <v/>
      </c>
      <c r="I67" s="177">
        <f>MIN(Control!$C$22,MAX(0,I65/I66))</f>
        <v/>
      </c>
      <c r="J67" s="177">
        <f>MIN(Control!$C$22,MAX(0,J65/J66))</f>
        <v/>
      </c>
      <c r="K67" s="177">
        <f>MIN(Control!$C$22,MAX(0,K65/K66))</f>
        <v/>
      </c>
      <c r="L67" s="177">
        <f>MIN(Control!$C$22,MAX(0,L65/L66))</f>
        <v/>
      </c>
      <c r="M67" s="177">
        <f>MIN(Control!$C$22,MAX(0,M65/M66))</f>
        <v/>
      </c>
    </row>
    <row r="68">
      <c r="B68" t="inlineStr">
        <is>
          <t>EBIT</t>
        </is>
      </c>
      <c r="D68" s="189">
        <f>$H$8*(1+D65)</f>
        <v/>
      </c>
      <c r="E68" s="189">
        <f>D68*(1+E65)</f>
        <v/>
      </c>
      <c r="F68" s="189">
        <f>E68*(1+F65)</f>
        <v/>
      </c>
      <c r="G68" s="189">
        <f>F68*(1+G65)</f>
        <v/>
      </c>
      <c r="H68" s="189">
        <f>G68*(1+H65)</f>
        <v/>
      </c>
      <c r="I68" s="189">
        <f>H68*(1+I65)</f>
        <v/>
      </c>
      <c r="J68" s="189">
        <f>I68*(1+J65)</f>
        <v/>
      </c>
      <c r="K68" s="189">
        <f>J68*(1+K65)</f>
        <v/>
      </c>
      <c r="L68" s="189">
        <f>K68*(1+L65)</f>
        <v/>
      </c>
      <c r="M68" s="189">
        <f>L68*(1+M65)</f>
        <v/>
      </c>
    </row>
    <row r="69">
      <c r="B69" t="inlineStr">
        <is>
          <t>NOPAT</t>
        </is>
      </c>
      <c r="D69" s="189">
        <f>D68*(1-$H$9)</f>
        <v/>
      </c>
      <c r="E69" s="189">
        <f>E68*(1-$H$9)</f>
        <v/>
      </c>
      <c r="F69" s="189">
        <f>F68*(1-$H$9)</f>
        <v/>
      </c>
      <c r="G69" s="189">
        <f>G68*(1-$H$9)</f>
        <v/>
      </c>
      <c r="H69" s="189">
        <f>H68*(1-$H$9)</f>
        <v/>
      </c>
      <c r="I69" s="189">
        <f>I68*(1-$H$9)</f>
        <v/>
      </c>
      <c r="J69" s="189">
        <f>J68*(1-$H$9)</f>
        <v/>
      </c>
      <c r="K69" s="189">
        <f>K68*(1-$H$9)</f>
        <v/>
      </c>
      <c r="L69" s="189">
        <f>L68*(1-$H$9)</f>
        <v/>
      </c>
      <c r="M69" s="189">
        <f>M68*(1-$H$9)</f>
        <v/>
      </c>
    </row>
    <row r="70">
      <c r="B70" t="inlineStr">
        <is>
          <t>FCFF</t>
        </is>
      </c>
      <c r="D70" s="189">
        <f>D69*(1-D67)</f>
        <v/>
      </c>
      <c r="E70" s="189">
        <f>E69*(1-E67)</f>
        <v/>
      </c>
      <c r="F70" s="189">
        <f>F69*(1-F67)</f>
        <v/>
      </c>
      <c r="G70" s="189">
        <f>G69*(1-G67)</f>
        <v/>
      </c>
      <c r="H70" s="189">
        <f>H69*(1-H67)</f>
        <v/>
      </c>
      <c r="I70" s="189">
        <f>I69*(1-I67)</f>
        <v/>
      </c>
      <c r="J70" s="189">
        <f>J69*(1-J67)</f>
        <v/>
      </c>
      <c r="K70" s="189">
        <f>K69*(1-K67)</f>
        <v/>
      </c>
      <c r="L70" s="189">
        <f>L69*(1-L67)</f>
        <v/>
      </c>
      <c r="M70" s="189">
        <f>M69*(1-M67)</f>
        <v/>
      </c>
    </row>
    <row r="71">
      <c r="B71" t="inlineStr">
        <is>
          <t>Discounting factor (mid-year)</t>
        </is>
      </c>
      <c r="D71" s="185">
        <f>(1+$D$20)^(-(D64-0.5))</f>
        <v/>
      </c>
      <c r="E71" s="185">
        <f>(1+$D$20)^(-(E64-0.5))</f>
        <v/>
      </c>
      <c r="F71" s="185">
        <f>(1+$D$20)^(-(F64-0.5))</f>
        <v/>
      </c>
      <c r="G71" s="185">
        <f>(1+$D$20)^(-(G64-0.5))</f>
        <v/>
      </c>
      <c r="H71" s="185">
        <f>(1+$D$20)^(-(H64-0.5))</f>
        <v/>
      </c>
      <c r="I71" s="185">
        <f>(1+$D$20)^(-(I64-0.5))</f>
        <v/>
      </c>
      <c r="J71" s="185">
        <f>(1+$D$20)^(-(J64-0.5))</f>
        <v/>
      </c>
      <c r="K71" s="185">
        <f>(1+$D$20)^(-(K64-0.5))</f>
        <v/>
      </c>
      <c r="L71" s="185">
        <f>(1+$D$20)^(-(L64-0.5))</f>
        <v/>
      </c>
      <c r="M71" s="185">
        <f>(1+$D$20)^(-(M64-0.5))</f>
        <v/>
      </c>
    </row>
    <row r="72">
      <c r="B72" t="inlineStr">
        <is>
          <t>PV of FCFF</t>
        </is>
      </c>
      <c r="D72" s="189">
        <f>D70*D71</f>
        <v/>
      </c>
      <c r="E72" s="189">
        <f>E70*E71</f>
        <v/>
      </c>
      <c r="F72" s="189">
        <f>F70*F71</f>
        <v/>
      </c>
      <c r="G72" s="189">
        <f>G70*G71</f>
        <v/>
      </c>
      <c r="H72" s="189">
        <f>H70*H71</f>
        <v/>
      </c>
      <c r="I72" s="189">
        <f>I70*I71</f>
        <v/>
      </c>
      <c r="J72" s="189">
        <f>J70*J71</f>
        <v/>
      </c>
      <c r="K72" s="189">
        <f>K70*K71</f>
        <v/>
      </c>
      <c r="L72" s="189">
        <f>L70*L71</f>
        <v/>
      </c>
      <c r="M72" s="189">
        <f>M70*M71</f>
        <v/>
      </c>
    </row>
    <row r="74">
      <c r="B74" t="inlineStr">
        <is>
          <t>Terminal value - Gordon Growth</t>
        </is>
      </c>
      <c r="D74" s="189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189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189">
        <f>IF(D76="Exit Multiple",D75*(1+$D$20)^(-10),D74*M71)</f>
        <v/>
      </c>
    </row>
    <row r="78">
      <c r="B78" t="inlineStr">
        <is>
          <t>PV of 10-year FCFF</t>
        </is>
      </c>
      <c r="D78" s="189">
        <f>SUM(D72:M72)</f>
        <v/>
      </c>
    </row>
    <row r="79">
      <c r="B79" t="inlineStr">
        <is>
          <t>Enterprise value</t>
        </is>
      </c>
      <c r="D79" s="189">
        <f>D77+D78</f>
        <v/>
      </c>
    </row>
    <row r="80">
      <c r="B80" t="inlineStr">
        <is>
          <t>Equity value</t>
        </is>
      </c>
      <c r="D80" s="189">
        <f>D79+$D$37-$D$38-$D$39</f>
        <v/>
      </c>
    </row>
    <row r="81">
      <c r="B81" s="186" t="inlineStr">
        <is>
          <t>Alt DCF value per share</t>
        </is>
      </c>
      <c r="D81" s="237">
        <f>D80/$D$41</f>
        <v/>
      </c>
    </row>
    <row r="82">
      <c r="B82" t="inlineStr">
        <is>
          <t>Upside / (Downside) vs price</t>
        </is>
      </c>
      <c r="D82" s="177">
        <f>D81/$D$45-1</f>
        <v/>
      </c>
    </row>
    <row r="83">
      <c r="B83" t="inlineStr">
        <is>
          <t>Terminal value % of EV</t>
        </is>
      </c>
      <c r="D83" s="177">
        <f>D77/D79</f>
        <v/>
      </c>
    </row>
    <row r="84">
      <c r="B84" t="inlineStr">
        <is>
          <t>Market-implied exit EV/EBIT multiple (Year 10)</t>
        </is>
      </c>
      <c r="D84" s="247">
        <f>IFERROR(($D$45*$D$41+$D$38+$D$39-$D$37-$D$78)/($M$68*(1+$D$20)^(-10)),"n/a")</f>
        <v/>
      </c>
    </row>
    <row r="85">
      <c r="B85" t="inlineStr">
        <is>
          <t>EV / latest EBIT at current price</t>
        </is>
      </c>
      <c r="D85" s="247">
        <f>IFERROR(($D$45*$D$41+$D$38+$D$39-$D$37)/$H$8,"n/a")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71" min="1" max="1"/>
    <col width="9.88671875" bestFit="1" customWidth="1" style="171" min="7" max="7"/>
    <col width="12.33203125" bestFit="1" customWidth="1" style="171" min="14" max="14"/>
    <col width="14.6640625" bestFit="1" customWidth="1" style="171" min="15" max="15"/>
    <col width="13.21875" bestFit="1" customWidth="1" style="171" min="18" max="18"/>
    <col width="13.6640625" bestFit="1" customWidth="1" style="171" min="20" max="20"/>
    <col width="10.77734375" bestFit="1" customWidth="1" style="171" min="23" max="23"/>
    <col width="12.6640625" bestFit="1" customWidth="1" style="171" min="24" max="24"/>
  </cols>
  <sheetData>
    <row r="6">
      <c r="B6" t="n">
        <v>2025</v>
      </c>
      <c r="C6" s="46" t="n">
        <v>0.1051</v>
      </c>
      <c r="G6" s="34" t="inlineStr">
        <is>
          <t>2026-10-27</t>
        </is>
      </c>
      <c r="H6" t="n">
        <v>399.2</v>
      </c>
      <c r="J6" t="n">
        <v>22749.75</v>
      </c>
    </row>
    <row r="7">
      <c r="B7" t="n">
        <v>2024</v>
      </c>
      <c r="C7" s="46" t="n">
        <v>0.08749999999999999</v>
      </c>
      <c r="G7" s="34" t="inlineStr">
        <is>
          <t>2026-10-26</t>
        </is>
      </c>
      <c r="H7" t="n">
        <v>384.05</v>
      </c>
      <c r="J7" t="n">
        <v>22753.2</v>
      </c>
    </row>
    <row r="8">
      <c r="B8" t="n">
        <v>2023</v>
      </c>
      <c r="C8" s="46" t="n">
        <v>0.1942</v>
      </c>
      <c r="G8" s="34" t="inlineStr">
        <is>
          <t>2026-10-23</t>
        </is>
      </c>
      <c r="H8" t="n">
        <v>396</v>
      </c>
      <c r="J8" t="n">
        <v>22600</v>
      </c>
    </row>
    <row r="9">
      <c r="B9" t="n">
        <v>2022</v>
      </c>
      <c r="C9" s="46" t="n">
        <v>0.0432</v>
      </c>
      <c r="G9" s="34" t="inlineStr">
        <is>
          <t>2026-10-22</t>
        </is>
      </c>
      <c r="H9" t="n">
        <v>414.25</v>
      </c>
      <c r="J9" t="n">
        <v>22687.65</v>
      </c>
    </row>
    <row r="10">
      <c r="B10" t="n">
        <v>2021</v>
      </c>
      <c r="C10" s="46" t="n">
        <v>0.2412</v>
      </c>
      <c r="G10" s="34" t="inlineStr">
        <is>
          <t>2026-10-21</t>
        </is>
      </c>
      <c r="H10" t="n">
        <v>417.5</v>
      </c>
      <c r="J10" t="n">
        <v>22811.35</v>
      </c>
    </row>
    <row r="11">
      <c r="B11" t="n">
        <v>2020</v>
      </c>
      <c r="C11" s="46" t="n">
        <v>0.149</v>
      </c>
      <c r="G11" s="34" t="inlineStr">
        <is>
          <t>2026-10-19</t>
        </is>
      </c>
      <c r="H11" t="n">
        <v>418.75</v>
      </c>
      <c r="J11" t="n">
        <v>22888.95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2026-10-16</t>
        </is>
      </c>
      <c r="H12" t="n">
        <v>421.05</v>
      </c>
      <c r="J12" t="n">
        <v>23146.15</v>
      </c>
      <c r="N12" t="n">
        <v>1</v>
      </c>
      <c r="O12" t="inlineStr">
        <is>
          <t>Ashok Leyland</t>
        </is>
      </c>
      <c r="P12" t="n">
        <v>142</v>
      </c>
      <c r="Q12">
        <f>IF(P12&gt;0, R12/P12, 0)</f>
        <v/>
      </c>
      <c r="R12" t="n">
        <v>83350</v>
      </c>
      <c r="S12" t="n">
        <v>63936</v>
      </c>
      <c r="T12" t="n">
        <v>7467</v>
      </c>
      <c r="U12">
        <f>R12+S12-T12</f>
        <v/>
      </c>
      <c r="V12" t="n">
        <v>52278.4</v>
      </c>
      <c r="W12">
        <f>IF(X12&gt;0, U12/X12, "N/A")</f>
        <v/>
      </c>
      <c r="X12" t="n">
        <v>3724.31</v>
      </c>
    </row>
    <row r="13">
      <c r="B13" t="n">
        <v>2018</v>
      </c>
      <c r="C13" s="46" t="n">
        <v>0.0315</v>
      </c>
      <c r="G13" s="34" t="inlineStr">
        <is>
          <t>2026-10-15</t>
        </is>
      </c>
      <c r="H13" t="n">
        <v>422.8</v>
      </c>
      <c r="J13" t="n">
        <v>22997.35</v>
      </c>
      <c r="N13" t="n">
        <v>2</v>
      </c>
      <c r="O13" t="inlineStr">
        <is>
          <t>CG Power &amp; Ind</t>
        </is>
      </c>
      <c r="P13" t="n">
        <v>835.4</v>
      </c>
      <c r="Q13">
        <f>IF(P13&gt;0, R13/P13, 0)</f>
        <v/>
      </c>
      <c r="R13" t="n">
        <v>131654.6</v>
      </c>
      <c r="S13" t="n">
        <v>169</v>
      </c>
      <c r="T13" t="n">
        <v>384</v>
      </c>
      <c r="U13">
        <f>R13+S13-T13</f>
        <v/>
      </c>
      <c r="V13" t="n">
        <v>15206.2</v>
      </c>
      <c r="W13">
        <f>IF(X13&gt;0, U13/X13, "N/A")</f>
        <v/>
      </c>
      <c r="X13" t="n">
        <v>1398.05</v>
      </c>
    </row>
    <row r="14">
      <c r="B14" t="n">
        <v>2017</v>
      </c>
      <c r="C14" s="46" t="n">
        <v>0.2865</v>
      </c>
      <c r="G14" s="34" t="inlineStr">
        <is>
          <t>2026-10-14</t>
        </is>
      </c>
      <c r="H14" t="n">
        <v>415.25</v>
      </c>
      <c r="J14" t="n">
        <v>22622.7</v>
      </c>
      <c r="N14" t="n">
        <v>3</v>
      </c>
      <c r="O14">
        <f>'Data Sheet'!B1</f>
        <v/>
      </c>
      <c r="P14" t="n">
        <v>399</v>
      </c>
      <c r="Q14">
        <f>IF(P14&gt;0, R14/P14, 0)</f>
        <v/>
      </c>
      <c r="R14" t="n">
        <v>147228</v>
      </c>
      <c r="S14" t="n">
        <v>3780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2026-10-13</t>
        </is>
      </c>
      <c r="H15" t="n">
        <v>416.95</v>
      </c>
      <c r="J15" t="n">
        <v>22721.95</v>
      </c>
      <c r="N15" t="n">
        <v>4</v>
      </c>
      <c r="O15" t="inlineStr">
        <is>
          <t>Hitachi Energy</t>
        </is>
      </c>
      <c r="P15" t="n">
        <v>28395</v>
      </c>
      <c r="Q15">
        <f>IF(P15&gt;0, R15/P15, 0)</f>
        <v/>
      </c>
      <c r="R15" t="n">
        <v>126422</v>
      </c>
      <c r="S15" t="n">
        <v>86</v>
      </c>
      <c r="T15" t="n">
        <v>0</v>
      </c>
      <c r="U15">
        <f>R15+S15-T15</f>
        <v/>
      </c>
      <c r="V15" t="n">
        <v>9974.799999999999</v>
      </c>
      <c r="W15">
        <f>IF(X15&gt;0, U15/X15, "N/A")</f>
        <v/>
      </c>
      <c r="X15" t="n">
        <v>1191.2</v>
      </c>
    </row>
    <row r="16">
      <c r="B16" t="n">
        <v>2015</v>
      </c>
      <c r="C16" s="46" t="n">
        <v>-0.0406</v>
      </c>
      <c r="G16" s="34" t="inlineStr">
        <is>
          <t>2026-10-12</t>
        </is>
      </c>
      <c r="H16" t="n">
        <v>404.5</v>
      </c>
      <c r="J16" t="n">
        <v>22363.35</v>
      </c>
      <c r="N16" t="n">
        <v>5</v>
      </c>
      <c r="O16" t="inlineStr">
        <is>
          <t>Cummins India</t>
        </is>
      </c>
      <c r="P16" t="n">
        <v>4532</v>
      </c>
      <c r="Q16">
        <f>IF(P16&gt;0, R16/P16, 0)</f>
        <v/>
      </c>
      <c r="R16" t="n">
        <v>126117.4</v>
      </c>
      <c r="S16" t="n">
        <v>37</v>
      </c>
      <c r="T16" t="n">
        <v>2153</v>
      </c>
      <c r="U16">
        <f>R16+S16-T16</f>
        <v/>
      </c>
      <c r="V16" t="n">
        <v>13704</v>
      </c>
      <c r="W16">
        <f>IF(X16&gt;0, U16/X16, "N/A")</f>
        <v/>
      </c>
      <c r="X16" t="n">
        <v>2439.41</v>
      </c>
    </row>
    <row r="17">
      <c r="B17" t="n">
        <v>2014</v>
      </c>
      <c r="C17" s="46" t="n">
        <v>0.3139</v>
      </c>
      <c r="G17" s="34" t="inlineStr">
        <is>
          <t>2026-10-09</t>
        </is>
      </c>
      <c r="H17" t="n">
        <v>410.3</v>
      </c>
      <c r="J17" t="n">
        <v>22520.45</v>
      </c>
      <c r="N17" t="n">
        <v>6</v>
      </c>
      <c r="O17" t="inlineStr">
        <is>
          <t>Siemens</t>
        </is>
      </c>
      <c r="P17" t="n">
        <v>3339.5</v>
      </c>
      <c r="Q17">
        <f>IF(P17&gt;0, R17/P17, 0)</f>
        <v/>
      </c>
      <c r="R17" t="n">
        <v>119064.4</v>
      </c>
      <c r="S17" t="n">
        <v>307</v>
      </c>
      <c r="T17" t="n">
        <v>1</v>
      </c>
      <c r="U17">
        <f>R17+S17-T17</f>
        <v/>
      </c>
      <c r="V17" t="n">
        <v>18854.8</v>
      </c>
      <c r="W17">
        <f>IF(X17&gt;0, U17/X17, "N/A")</f>
        <v/>
      </c>
      <c r="X17" t="n">
        <v>1503.34</v>
      </c>
    </row>
    <row r="18">
      <c r="B18" t="n">
        <v>2013</v>
      </c>
      <c r="C18" s="46" t="n">
        <v>0.06759999999999999</v>
      </c>
      <c r="G18" s="34" t="inlineStr">
        <is>
          <t>2026-10-08</t>
        </is>
      </c>
      <c r="H18" t="n">
        <v>413.2</v>
      </c>
      <c r="J18" t="n">
        <v>22231.8</v>
      </c>
      <c r="N18" t="n">
        <v>7</v>
      </c>
      <c r="O18" t="inlineStr">
        <is>
          <t>Siemens Ener.Ind</t>
        </is>
      </c>
      <c r="P18" t="n">
        <v>2843.9</v>
      </c>
      <c r="Q18">
        <f>IF(P18&gt;0, R18/P18, 0)</f>
        <v/>
      </c>
      <c r="R18" t="n">
        <v>101948.8</v>
      </c>
      <c r="S18" t="n">
        <v>307</v>
      </c>
      <c r="T18" t="n">
        <v>1</v>
      </c>
      <c r="U18">
        <f>R18+S18-T18</f>
        <v/>
      </c>
      <c r="V18" t="n">
        <v>9942.4</v>
      </c>
      <c r="W18">
        <f>IF(X18&gt;0, U18/X18, "N/A")</f>
        <v/>
      </c>
      <c r="X18" t="n">
        <v>1526.41</v>
      </c>
    </row>
    <row r="19">
      <c r="B19" t="n">
        <v>2012</v>
      </c>
      <c r="C19" s="46" t="n">
        <v>0.277</v>
      </c>
      <c r="G19" s="34" t="inlineStr">
        <is>
          <t>2026-10-07</t>
        </is>
      </c>
      <c r="H19" t="n">
        <v>427.9</v>
      </c>
      <c r="J19" t="n">
        <v>22603.05</v>
      </c>
      <c r="N19" t="n">
        <v>8</v>
      </c>
      <c r="O19" t="inlineStr">
        <is>
          <t>Suzlon Energy</t>
        </is>
      </c>
      <c r="P19" t="n">
        <v>36.92</v>
      </c>
      <c r="Q19">
        <f>IF(P19&gt;0, R19/P19, 0)</f>
        <v/>
      </c>
      <c r="R19" t="n">
        <v>50440.6</v>
      </c>
      <c r="S19" t="n">
        <v>556</v>
      </c>
      <c r="T19" t="n">
        <v>217</v>
      </c>
      <c r="U19">
        <f>R19+S19-T19</f>
        <v/>
      </c>
      <c r="V19" t="n">
        <v>15316.4</v>
      </c>
      <c r="W19">
        <f>IF(X19&gt;0, U19/X19, "N/A")</f>
        <v/>
      </c>
      <c r="X19" t="n">
        <v>3144.68</v>
      </c>
    </row>
    <row r="20">
      <c r="B20" t="n">
        <v>2011</v>
      </c>
      <c r="C20" s="46" t="n">
        <v>-0.2462</v>
      </c>
      <c r="G20" s="34" t="inlineStr">
        <is>
          <t>2026-10-06</t>
        </is>
      </c>
      <c r="H20" t="n">
        <v>433.8</v>
      </c>
      <c r="J20" t="n">
        <v>22776.1</v>
      </c>
      <c r="N20" t="n">
        <v>9</v>
      </c>
      <c r="O20" t="inlineStr">
        <is>
          <t>Aditya Infotech</t>
        </is>
      </c>
      <c r="P20" t="n">
        <v>3968.2</v>
      </c>
      <c r="Q20">
        <f>IF(P20&gt;0, R20/P20, 0)</f>
        <v/>
      </c>
      <c r="R20" t="n">
        <v>48648.2</v>
      </c>
      <c r="S20" t="n">
        <v>256</v>
      </c>
      <c r="T20" t="n">
        <v>1</v>
      </c>
      <c r="U20">
        <f>R20+S20-T20</f>
        <v/>
      </c>
      <c r="V20" t="n">
        <v>5609.7</v>
      </c>
      <c r="W20">
        <f>IF(X20&gt;0, U20/X20, "N/A")</f>
        <v/>
      </c>
      <c r="X20" t="n">
        <v>477.27</v>
      </c>
    </row>
    <row r="21">
      <c r="B21" t="n">
        <v>2010</v>
      </c>
      <c r="C21" s="46" t="n">
        <v>0.1795</v>
      </c>
      <c r="G21" s="34" t="inlineStr">
        <is>
          <t>2026-10-05</t>
        </is>
      </c>
      <c r="H21" t="n">
        <v>426.8</v>
      </c>
      <c r="J21" t="n">
        <v>22555.75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2026-10-01</t>
        </is>
      </c>
      <c r="H22" t="n">
        <v>415.5</v>
      </c>
      <c r="J22" t="n">
        <v>22421.95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2026-09-30</t>
        </is>
      </c>
      <c r="H23" t="n">
        <v>421.65</v>
      </c>
      <c r="J23" t="n">
        <v>22620.45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2026-09-29</t>
        </is>
      </c>
      <c r="H24" t="n">
        <v>430.15</v>
      </c>
      <c r="J24" t="n">
        <v>22716.2</v>
      </c>
      <c r="O24" t="inlineStr">
        <is>
          <t>Ashok Leyland</t>
        </is>
      </c>
      <c r="Q24" t="inlineStr">
        <is>
          <t>India</t>
        </is>
      </c>
      <c r="R24" t="n">
        <v>63936</v>
      </c>
      <c r="S24" t="n">
        <v>83350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2026-09-28</t>
        </is>
      </c>
      <c r="H25" t="n">
        <v>432.95</v>
      </c>
      <c r="J25" t="n">
        <v>22780.25</v>
      </c>
      <c r="O25" t="inlineStr">
        <is>
          <t>CG Power &amp; Ind</t>
        </is>
      </c>
      <c r="Q25">
        <f>Q24</f>
        <v/>
      </c>
      <c r="R25" t="n">
        <v>169</v>
      </c>
      <c r="S25" t="n">
        <v>131654.6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2026-09-25</t>
        </is>
      </c>
      <c r="H26" t="n">
        <v>441.5</v>
      </c>
      <c r="J26" t="n">
        <v>23140.5</v>
      </c>
      <c r="O26">
        <f>'Data Sheet'!B1</f>
        <v/>
      </c>
      <c r="Q26">
        <f>Q25</f>
        <v/>
      </c>
      <c r="R26" t="n">
        <v>3780</v>
      </c>
      <c r="S26" t="n">
        <v>147228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2026-09-24</t>
        </is>
      </c>
      <c r="H27" t="n">
        <v>437.15</v>
      </c>
      <c r="J27" t="n">
        <v>23063.1</v>
      </c>
      <c r="O27" t="inlineStr">
        <is>
          <t>Hitachi Energy</t>
        </is>
      </c>
      <c r="Q27">
        <f>Q26</f>
        <v/>
      </c>
      <c r="R27" t="n">
        <v>86</v>
      </c>
      <c r="S27" t="n">
        <v>126422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2026-09-23</t>
        </is>
      </c>
      <c r="H28" t="n">
        <v>450.2</v>
      </c>
      <c r="J28" t="n">
        <v>23446.8</v>
      </c>
      <c r="O28" t="inlineStr">
        <is>
          <t>Cummins India</t>
        </is>
      </c>
      <c r="Q28">
        <f>Q27</f>
        <v/>
      </c>
      <c r="R28" t="n">
        <v>37</v>
      </c>
      <c r="S28" t="n">
        <v>126117.4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2026-09-22</t>
        </is>
      </c>
      <c r="H29" t="n">
        <v>440.1</v>
      </c>
      <c r="J29" t="n">
        <v>23329</v>
      </c>
    </row>
    <row r="30">
      <c r="G30" s="34" t="inlineStr">
        <is>
          <t>2026-09-21</t>
        </is>
      </c>
      <c r="H30" t="n">
        <v>444.5</v>
      </c>
      <c r="J30" t="n">
        <v>23414.3</v>
      </c>
    </row>
    <row r="31">
      <c r="G31" s="34" t="inlineStr">
        <is>
          <t>2026-09-18</t>
        </is>
      </c>
      <c r="H31" t="n">
        <v>442.9</v>
      </c>
      <c r="J31" t="n">
        <v>23346.4</v>
      </c>
    </row>
    <row r="32">
      <c r="G32" s="34" t="inlineStr">
        <is>
          <t>2026-09-17</t>
        </is>
      </c>
      <c r="H32" t="n">
        <v>436.1</v>
      </c>
      <c r="J32" t="n">
        <v>23270.6</v>
      </c>
    </row>
    <row r="33">
      <c r="G33" s="34" t="inlineStr">
        <is>
          <t>2026-09-16</t>
        </is>
      </c>
      <c r="H33" t="n">
        <v>424.25</v>
      </c>
      <c r="J33" t="n">
        <v>23217.6</v>
      </c>
    </row>
    <row r="34">
      <c r="G34" s="34" t="inlineStr">
        <is>
          <t>2026-09-15</t>
        </is>
      </c>
      <c r="H34" t="n">
        <v>427.15</v>
      </c>
      <c r="J34" t="n">
        <v>23118.6</v>
      </c>
    </row>
    <row r="35">
      <c r="G35" s="34" t="inlineStr">
        <is>
          <t>2026-09-11</t>
        </is>
      </c>
      <c r="H35" t="n">
        <v>434.55</v>
      </c>
      <c r="J35" t="n">
        <v>23398.1</v>
      </c>
    </row>
    <row r="36">
      <c r="G36" s="34" t="inlineStr">
        <is>
          <t>2026-09-10</t>
        </is>
      </c>
      <c r="H36" t="n">
        <v>439.25</v>
      </c>
      <c r="J36" t="n">
        <v>23477.8</v>
      </c>
    </row>
    <row r="37">
      <c r="G37" s="34" t="inlineStr">
        <is>
          <t>2026-09-09</t>
        </is>
      </c>
      <c r="H37" t="n">
        <v>444.95</v>
      </c>
      <c r="J37" t="n">
        <v>23431.5</v>
      </c>
    </row>
    <row r="38">
      <c r="G38" s="34" t="inlineStr">
        <is>
          <t>2026-09-08</t>
        </is>
      </c>
      <c r="H38" t="n">
        <v>456.05</v>
      </c>
      <c r="J38" t="n">
        <v>23635.1</v>
      </c>
    </row>
    <row r="39">
      <c r="G39" s="34" t="inlineStr">
        <is>
          <t>2026-09-07</t>
        </is>
      </c>
      <c r="H39" t="n">
        <v>459.65</v>
      </c>
      <c r="J39" t="n">
        <v>23779.15</v>
      </c>
    </row>
    <row r="40">
      <c r="G40" s="34" t="inlineStr">
        <is>
          <t>2026-09-04</t>
        </is>
      </c>
      <c r="H40" t="n">
        <v>458.2</v>
      </c>
      <c r="J40" t="n">
        <v>23897.7</v>
      </c>
    </row>
    <row r="41">
      <c r="G41" s="34" t="inlineStr">
        <is>
          <t>2026-09-03</t>
        </is>
      </c>
      <c r="H41" t="n">
        <v>460.35</v>
      </c>
      <c r="J41" t="n">
        <v>23873.45</v>
      </c>
    </row>
    <row r="42">
      <c r="G42" s="34" t="inlineStr">
        <is>
          <t>2026-09-02</t>
        </is>
      </c>
      <c r="H42" t="n">
        <v>447.45</v>
      </c>
      <c r="J42" t="n">
        <v>23914.45</v>
      </c>
    </row>
    <row r="43">
      <c r="G43" s="34" t="inlineStr">
        <is>
          <t>2026-09-01</t>
        </is>
      </c>
      <c r="H43" t="n">
        <v>464.35</v>
      </c>
      <c r="J43" t="n">
        <v>24055.8</v>
      </c>
    </row>
    <row r="44">
      <c r="G44" s="34" t="inlineStr">
        <is>
          <t>2026-08-31</t>
        </is>
      </c>
      <c r="H44" t="n">
        <v>471.1</v>
      </c>
      <c r="J44" t="n">
        <v>24080.4</v>
      </c>
    </row>
    <row r="45">
      <c r="G45" s="34" t="inlineStr">
        <is>
          <t>2026-08-28</t>
        </is>
      </c>
      <c r="H45" t="n">
        <v>466.3</v>
      </c>
      <c r="J45" t="n">
        <v>24175.65</v>
      </c>
    </row>
    <row r="46">
      <c r="G46" s="34" t="inlineStr">
        <is>
          <t>2026-08-27</t>
        </is>
      </c>
      <c r="H46" t="n">
        <v>473.1</v>
      </c>
      <c r="J46" t="n">
        <v>24090.85</v>
      </c>
    </row>
    <row r="47">
      <c r="G47" s="34" t="inlineStr">
        <is>
          <t>2026-08-26</t>
        </is>
      </c>
      <c r="H47" t="n">
        <v>483.75</v>
      </c>
      <c r="J47" t="n">
        <v>24207.75</v>
      </c>
    </row>
    <row r="48">
      <c r="G48" s="34" t="inlineStr">
        <is>
          <t>2026-08-25</t>
        </is>
      </c>
      <c r="H48" t="n">
        <v>474.9</v>
      </c>
      <c r="J48" t="n">
        <v>24334.55</v>
      </c>
    </row>
    <row r="49">
      <c r="G49" s="34" t="inlineStr">
        <is>
          <t>2026-08-24</t>
        </is>
      </c>
      <c r="H49" t="n">
        <v>475.05</v>
      </c>
      <c r="J49" t="n">
        <v>24219.05</v>
      </c>
    </row>
    <row r="50">
      <c r="G50" s="34" t="inlineStr">
        <is>
          <t>2026-08-21</t>
        </is>
      </c>
      <c r="H50" t="n">
        <v>472.55</v>
      </c>
      <c r="J50" t="n">
        <v>24252</v>
      </c>
    </row>
    <row r="51">
      <c r="G51" s="34" t="inlineStr">
        <is>
          <t>2026-08-20</t>
        </is>
      </c>
      <c r="H51" t="n">
        <v>477.6</v>
      </c>
      <c r="J51" t="n">
        <v>24231.85</v>
      </c>
    </row>
    <row r="52">
      <c r="G52" s="34" t="inlineStr">
        <is>
          <t>2026-08-19</t>
        </is>
      </c>
      <c r="H52" t="n">
        <v>478.3</v>
      </c>
      <c r="J52" t="n">
        <v>24078.3</v>
      </c>
    </row>
    <row r="53">
      <c r="G53" s="34" t="inlineStr">
        <is>
          <t>2026-08-18</t>
        </is>
      </c>
      <c r="H53" t="n">
        <v>471.65</v>
      </c>
      <c r="J53" t="n">
        <v>24154.9</v>
      </c>
    </row>
    <row r="54">
      <c r="G54" s="34" t="inlineStr">
        <is>
          <t>2026-08-17</t>
        </is>
      </c>
      <c r="H54" t="n">
        <v>470.4</v>
      </c>
      <c r="J54" t="n">
        <v>24287.65</v>
      </c>
    </row>
    <row r="55">
      <c r="G55" s="34" t="inlineStr">
        <is>
          <t>2026-08-14</t>
        </is>
      </c>
      <c r="H55" t="n">
        <v>474.3</v>
      </c>
      <c r="J55" t="n">
        <v>24366</v>
      </c>
    </row>
    <row r="56">
      <c r="G56" s="34" t="inlineStr">
        <is>
          <t>2026-08-13</t>
        </is>
      </c>
      <c r="H56" t="n">
        <v>474.8</v>
      </c>
      <c r="J56" t="n">
        <v>24395.85</v>
      </c>
    </row>
    <row r="57">
      <c r="G57" s="34" t="inlineStr">
        <is>
          <t>2026-08-12</t>
        </is>
      </c>
      <c r="H57" t="n">
        <v>457.05</v>
      </c>
      <c r="J57" t="n">
        <v>24435.95</v>
      </c>
    </row>
    <row r="58">
      <c r="G58" s="34" t="inlineStr">
        <is>
          <t>2026-08-11</t>
        </is>
      </c>
      <c r="H58" t="n">
        <v>450.05</v>
      </c>
      <c r="J58" t="n">
        <v>24471.7</v>
      </c>
    </row>
    <row r="59">
      <c r="G59" s="34" t="inlineStr">
        <is>
          <t>2026-08-10</t>
        </is>
      </c>
      <c r="H59" t="n">
        <v>450.2</v>
      </c>
      <c r="J59" t="n">
        <v>24583.8</v>
      </c>
    </row>
    <row r="60">
      <c r="G60" s="34" t="inlineStr">
        <is>
          <t>2026-08-07</t>
        </is>
      </c>
      <c r="H60" t="n">
        <v>453.1</v>
      </c>
      <c r="J60" t="n">
        <v>24570.65</v>
      </c>
    </row>
    <row r="61">
      <c r="G61" s="34" t="inlineStr">
        <is>
          <t>2026-08-06</t>
        </is>
      </c>
      <c r="H61" t="n">
        <v>459.65</v>
      </c>
      <c r="J61" t="n">
        <v>24636</v>
      </c>
    </row>
    <row r="62">
      <c r="G62" s="34" t="inlineStr">
        <is>
          <t>2026-08-05</t>
        </is>
      </c>
      <c r="H62" t="n">
        <v>450.2</v>
      </c>
      <c r="J62" t="n">
        <v>24624.65</v>
      </c>
    </row>
    <row r="63">
      <c r="G63" s="34" t="inlineStr">
        <is>
          <t>2026-08-04</t>
        </is>
      </c>
      <c r="H63" t="n">
        <v>446.75</v>
      </c>
      <c r="J63" t="n">
        <v>24614.9</v>
      </c>
    </row>
    <row r="64">
      <c r="G64" s="34" t="inlineStr">
        <is>
          <t>2026-08-03</t>
        </is>
      </c>
      <c r="H64" t="n">
        <v>452.5</v>
      </c>
      <c r="J64" t="n">
        <v>24774.3</v>
      </c>
    </row>
    <row r="65">
      <c r="G65" s="34" t="inlineStr">
        <is>
          <t>2026-07-31</t>
        </is>
      </c>
      <c r="H65" t="n">
        <v>436.8</v>
      </c>
      <c r="J65" t="n">
        <v>24383.6</v>
      </c>
    </row>
    <row r="66">
      <c r="G66" s="34" t="inlineStr">
        <is>
          <t>2026-07-30</t>
        </is>
      </c>
      <c r="H66" t="n">
        <v>414.95</v>
      </c>
      <c r="J66" t="n">
        <v>24317.15</v>
      </c>
    </row>
    <row r="67">
      <c r="G67" s="34" t="inlineStr">
        <is>
          <t>2026-07-29</t>
        </is>
      </c>
      <c r="H67" t="n">
        <v>411.4</v>
      </c>
      <c r="J67" t="n">
        <v>24250.2</v>
      </c>
    </row>
    <row r="68">
      <c r="G68" s="34" t="inlineStr">
        <is>
          <t>2026-07-28</t>
        </is>
      </c>
      <c r="H68" t="n">
        <v>416.7</v>
      </c>
      <c r="J68" t="n">
        <v>23985.35</v>
      </c>
    </row>
    <row r="69">
      <c r="G69" s="34" t="inlineStr">
        <is>
          <t>2026-07-27</t>
        </is>
      </c>
      <c r="H69" t="n">
        <v>411.1</v>
      </c>
      <c r="J69" t="n">
        <v>23995.95</v>
      </c>
    </row>
    <row r="70">
      <c r="G70" s="34" t="inlineStr">
        <is>
          <t>2026-07-24</t>
        </is>
      </c>
      <c r="H70" t="n">
        <v>406.15</v>
      </c>
      <c r="J70" t="n">
        <v>23767.45</v>
      </c>
    </row>
    <row r="71">
      <c r="G71" s="34" t="inlineStr">
        <is>
          <t>2026-07-23</t>
        </is>
      </c>
      <c r="H71" t="n">
        <v>407.9</v>
      </c>
      <c r="J71" t="n">
        <v>23869.6</v>
      </c>
    </row>
    <row r="72">
      <c r="G72" s="34" t="inlineStr">
        <is>
          <t>2026-07-22</t>
        </is>
      </c>
      <c r="H72" t="n">
        <v>405.45</v>
      </c>
      <c r="J72" t="n">
        <v>23996.25</v>
      </c>
    </row>
    <row r="73">
      <c r="G73" s="34" t="inlineStr">
        <is>
          <t>2026-07-21</t>
        </is>
      </c>
      <c r="H73" t="n">
        <v>411.75</v>
      </c>
      <c r="J73" t="n">
        <v>24187.7</v>
      </c>
    </row>
    <row r="74">
      <c r="G74" s="34" t="inlineStr">
        <is>
          <t>2026-07-20</t>
        </is>
      </c>
      <c r="H74" t="n">
        <v>409.35</v>
      </c>
      <c r="J74" t="n">
        <v>24238.5</v>
      </c>
    </row>
    <row r="75">
      <c r="G75" s="34" t="inlineStr">
        <is>
          <t>2026-07-17</t>
        </is>
      </c>
      <c r="H75" t="n">
        <v>414.65</v>
      </c>
      <c r="J75" t="n">
        <v>24334.3</v>
      </c>
    </row>
    <row r="76">
      <c r="G76" s="34" t="inlineStr">
        <is>
          <t>2026-07-16</t>
        </is>
      </c>
      <c r="H76" t="n">
        <v>412.55</v>
      </c>
      <c r="J76" t="n">
        <v>24072.75</v>
      </c>
    </row>
    <row r="77">
      <c r="G77" s="34" t="inlineStr">
        <is>
          <t>2026-07-15</t>
        </is>
      </c>
      <c r="H77" t="n">
        <v>423.55</v>
      </c>
      <c r="J77" t="n">
        <v>24078.5</v>
      </c>
    </row>
    <row r="78">
      <c r="G78" s="34" t="inlineStr">
        <is>
          <t>2026-07-14</t>
        </is>
      </c>
      <c r="H78" t="n">
        <v>417.4</v>
      </c>
      <c r="J78" t="n">
        <v>24052.05</v>
      </c>
    </row>
    <row r="79">
      <c r="G79" s="34" t="inlineStr">
        <is>
          <t>2026-07-13</t>
        </is>
      </c>
      <c r="H79" t="n">
        <v>420.75</v>
      </c>
      <c r="J79" t="n">
        <v>24211</v>
      </c>
    </row>
    <row r="80">
      <c r="G80" s="34" t="inlineStr">
        <is>
          <t>2026-07-10</t>
        </is>
      </c>
      <c r="H80" t="n">
        <v>422.5</v>
      </c>
      <c r="J80" t="n">
        <v>24206.9</v>
      </c>
    </row>
    <row r="81">
      <c r="G81" s="34" t="inlineStr">
        <is>
          <t>2026-07-09</t>
        </is>
      </c>
      <c r="H81" t="n">
        <v>419.85</v>
      </c>
      <c r="J81" t="n">
        <v>23962.8</v>
      </c>
    </row>
    <row r="82">
      <c r="G82" s="34" t="inlineStr">
        <is>
          <t>2026-07-08</t>
        </is>
      </c>
      <c r="H82" t="n">
        <v>416.75</v>
      </c>
      <c r="J82" t="n">
        <v>23882.05</v>
      </c>
    </row>
    <row r="83">
      <c r="G83" s="34" t="inlineStr">
        <is>
          <t>2026-07-07</t>
        </is>
      </c>
      <c r="H83" t="n">
        <v>425</v>
      </c>
      <c r="J83" t="n">
        <v>24398.7</v>
      </c>
    </row>
    <row r="84">
      <c r="G84" s="34" t="inlineStr">
        <is>
          <t>2026-07-06</t>
        </is>
      </c>
      <c r="H84" t="n">
        <v>429.9</v>
      </c>
      <c r="J84" t="n">
        <v>24430.35</v>
      </c>
    </row>
    <row r="85">
      <c r="G85" s="34" t="inlineStr">
        <is>
          <t>2026-07-03</t>
        </is>
      </c>
      <c r="H85" t="n">
        <v>432</v>
      </c>
      <c r="J85" t="n">
        <v>24270.85</v>
      </c>
    </row>
    <row r="86">
      <c r="G86" s="34" t="inlineStr">
        <is>
          <t>2026-07-02</t>
        </is>
      </c>
      <c r="H86" t="n">
        <v>440.5</v>
      </c>
      <c r="J86" t="n">
        <v>24175.7</v>
      </c>
    </row>
    <row r="87">
      <c r="G87" s="34" t="inlineStr">
        <is>
          <t>2026-07-01</t>
        </is>
      </c>
      <c r="H87" t="n">
        <v>431.45</v>
      </c>
      <c r="J87" t="n">
        <v>24005.85</v>
      </c>
    </row>
    <row r="88">
      <c r="G88" s="34" t="inlineStr">
        <is>
          <t>2026-06-30</t>
        </is>
      </c>
      <c r="H88" t="n">
        <v>422.95</v>
      </c>
      <c r="J88" t="n">
        <v>23865.75</v>
      </c>
    </row>
    <row r="89">
      <c r="G89" s="34" t="inlineStr">
        <is>
          <t>2026-06-29</t>
        </is>
      </c>
      <c r="H89" t="n">
        <v>423.1</v>
      </c>
      <c r="J89" t="n">
        <v>23946.25</v>
      </c>
    </row>
    <row r="90">
      <c r="G90" s="34" t="inlineStr">
        <is>
          <t>2026-06-25</t>
        </is>
      </c>
      <c r="H90" t="n">
        <v>431.9</v>
      </c>
      <c r="J90" t="n">
        <v>24056</v>
      </c>
    </row>
    <row r="91">
      <c r="G91" s="34" t="inlineStr">
        <is>
          <t>2026-06-24</t>
        </is>
      </c>
      <c r="H91" t="n">
        <v>411.4</v>
      </c>
      <c r="J91" t="n">
        <v>24021.65</v>
      </c>
    </row>
    <row r="92">
      <c r="G92" s="34" t="inlineStr">
        <is>
          <t>2026-06-23</t>
        </is>
      </c>
      <c r="H92" t="n">
        <v>400.05</v>
      </c>
      <c r="J92" t="n">
        <v>23824.1</v>
      </c>
    </row>
    <row r="93">
      <c r="G93" s="34" t="inlineStr">
        <is>
          <t>2026-06-22</t>
        </is>
      </c>
      <c r="H93" t="n">
        <v>408.35</v>
      </c>
      <c r="J93" t="n">
        <v>24102.9</v>
      </c>
    </row>
    <row r="94">
      <c r="G94" s="34" t="inlineStr">
        <is>
          <t>2026-06-19</t>
        </is>
      </c>
      <c r="H94" t="n">
        <v>402.1</v>
      </c>
      <c r="J94" t="n">
        <v>24013.1</v>
      </c>
    </row>
    <row r="95">
      <c r="G95" s="34" t="inlineStr">
        <is>
          <t>2026-06-18</t>
        </is>
      </c>
      <c r="H95" t="n">
        <v>407.05</v>
      </c>
      <c r="J95" t="n">
        <v>24168</v>
      </c>
    </row>
    <row r="96">
      <c r="G96" s="34" t="inlineStr">
        <is>
          <t>2026-06-17</t>
        </is>
      </c>
      <c r="H96" t="n">
        <v>402.8</v>
      </c>
      <c r="J96" t="n">
        <v>24085.7</v>
      </c>
    </row>
    <row r="97">
      <c r="G97" s="34" t="inlineStr">
        <is>
          <t>2026-06-16</t>
        </is>
      </c>
      <c r="H97" t="n">
        <v>406.7</v>
      </c>
      <c r="J97" t="n">
        <v>23989.15</v>
      </c>
    </row>
    <row r="98">
      <c r="G98" s="34" t="inlineStr">
        <is>
          <t>2026-06-15</t>
        </is>
      </c>
      <c r="H98" t="n">
        <v>406.6</v>
      </c>
      <c r="J98" t="n">
        <v>23853.9</v>
      </c>
    </row>
    <row r="99">
      <c r="G99" s="34" t="inlineStr">
        <is>
          <t>2026-06-12</t>
        </is>
      </c>
      <c r="H99" t="n">
        <v>390.3</v>
      </c>
      <c r="J99" t="n">
        <v>23622.9</v>
      </c>
    </row>
    <row r="100">
      <c r="G100" s="34" t="inlineStr">
        <is>
          <t>2026-06-11</t>
        </is>
      </c>
      <c r="H100" t="n">
        <v>358.35</v>
      </c>
      <c r="J100" t="n">
        <v>23161.6</v>
      </c>
    </row>
    <row r="101">
      <c r="G101" s="34" t="inlineStr">
        <is>
          <t>2026-06-10</t>
        </is>
      </c>
      <c r="H101" t="n">
        <v>364.9</v>
      </c>
      <c r="J101" t="n">
        <v>23214.95</v>
      </c>
    </row>
    <row r="102">
      <c r="G102" s="34" t="inlineStr">
        <is>
          <t>2026-06-09</t>
        </is>
      </c>
      <c r="H102" t="n">
        <v>363.3</v>
      </c>
      <c r="J102" t="n">
        <v>23242.1</v>
      </c>
    </row>
    <row r="103">
      <c r="G103" s="34" t="inlineStr">
        <is>
          <t>2026-06-08</t>
        </is>
      </c>
      <c r="H103" t="n">
        <v>363</v>
      </c>
      <c r="J103" t="n">
        <v>23123</v>
      </c>
    </row>
    <row r="104">
      <c r="G104" s="34" t="inlineStr">
        <is>
          <t>2026-06-05</t>
        </is>
      </c>
      <c r="H104" t="n">
        <v>369.15</v>
      </c>
      <c r="J104" t="n">
        <v>23366.7</v>
      </c>
    </row>
    <row r="105">
      <c r="G105" s="34" t="inlineStr">
        <is>
          <t>2026-06-04</t>
        </is>
      </c>
      <c r="H105" t="n">
        <v>373.6</v>
      </c>
      <c r="J105" t="n">
        <v>23416.55</v>
      </c>
    </row>
    <row r="106">
      <c r="G106" s="34" t="inlineStr">
        <is>
          <t>2026-06-03</t>
        </is>
      </c>
      <c r="H106" t="n">
        <v>373.95</v>
      </c>
      <c r="J106" t="n">
        <v>23405.6</v>
      </c>
    </row>
    <row r="107">
      <c r="G107" s="34" t="inlineStr">
        <is>
          <t>2026-06-02</t>
        </is>
      </c>
      <c r="H107" t="n">
        <v>370.55</v>
      </c>
      <c r="J107" t="n">
        <v>23483.55</v>
      </c>
    </row>
    <row r="108">
      <c r="G108" s="34" t="inlineStr">
        <is>
          <t>2026-06-01</t>
        </is>
      </c>
      <c r="H108" t="n">
        <v>374.25</v>
      </c>
      <c r="J108" t="n">
        <v>23382.6</v>
      </c>
    </row>
    <row r="109">
      <c r="G109" s="34" t="inlineStr">
        <is>
          <t>2026-05-29</t>
        </is>
      </c>
      <c r="H109" t="n">
        <v>379.5</v>
      </c>
      <c r="J109" t="n">
        <v>23547.75</v>
      </c>
    </row>
    <row r="110">
      <c r="G110" s="34" t="inlineStr">
        <is>
          <t>2026-05-27</t>
        </is>
      </c>
      <c r="H110" t="n">
        <v>383.85</v>
      </c>
      <c r="J110" t="n">
        <v>23907.15</v>
      </c>
    </row>
    <row r="111">
      <c r="G111" s="34" t="inlineStr">
        <is>
          <t>2026-05-26</t>
        </is>
      </c>
      <c r="H111" t="n">
        <v>385.1</v>
      </c>
      <c r="J111" t="n">
        <v>23913.7</v>
      </c>
    </row>
    <row r="112">
      <c r="G112" s="34" t="inlineStr">
        <is>
          <t>2026-05-25</t>
        </is>
      </c>
      <c r="H112" t="n">
        <v>395.65</v>
      </c>
      <c r="J112" t="n">
        <v>24031.7</v>
      </c>
    </row>
    <row r="113">
      <c r="G113" s="34" t="inlineStr">
        <is>
          <t>2026-05-22</t>
        </is>
      </c>
      <c r="H113" t="n">
        <v>382.95</v>
      </c>
      <c r="J113" t="n">
        <v>23719.3</v>
      </c>
    </row>
    <row r="114">
      <c r="G114" s="34" t="inlineStr">
        <is>
          <t>2026-05-21</t>
        </is>
      </c>
      <c r="H114" t="n">
        <v>379.9</v>
      </c>
      <c r="J114" t="n">
        <v>23654.7</v>
      </c>
    </row>
    <row r="115">
      <c r="G115" s="34" t="inlineStr">
        <is>
          <t>2026-05-20</t>
        </is>
      </c>
      <c r="H115" t="n">
        <v>379.7</v>
      </c>
      <c r="J115" t="n">
        <v>23659</v>
      </c>
    </row>
    <row r="116">
      <c r="G116" s="34" t="inlineStr">
        <is>
          <t>2026-05-19</t>
        </is>
      </c>
      <c r="H116" t="n">
        <v>378.65</v>
      </c>
      <c r="J116" t="n">
        <v>23618</v>
      </c>
    </row>
    <row r="117">
      <c r="G117" s="34" t="inlineStr">
        <is>
          <t>2026-05-18</t>
        </is>
      </c>
      <c r="H117" t="n">
        <v>379.8</v>
      </c>
      <c r="J117" t="n">
        <v>23649.95</v>
      </c>
    </row>
    <row r="118">
      <c r="G118" s="34" t="inlineStr">
        <is>
          <t>2026-05-15</t>
        </is>
      </c>
      <c r="H118" t="n">
        <v>377.95</v>
      </c>
      <c r="J118" t="n">
        <v>23643.5</v>
      </c>
    </row>
    <row r="119">
      <c r="G119" s="34" t="inlineStr">
        <is>
          <t>2026-05-14</t>
        </is>
      </c>
      <c r="H119" t="n">
        <v>379.45</v>
      </c>
      <c r="J119" t="n">
        <v>23689.6</v>
      </c>
    </row>
    <row r="120">
      <c r="G120" s="34" t="inlineStr">
        <is>
          <t>2026-05-13</t>
        </is>
      </c>
      <c r="H120" t="n">
        <v>384.25</v>
      </c>
      <c r="J120" t="n">
        <v>23412.6</v>
      </c>
    </row>
    <row r="121">
      <c r="G121" s="34" t="inlineStr">
        <is>
          <t>2026-05-12</t>
        </is>
      </c>
      <c r="H121" t="n">
        <v>387.05</v>
      </c>
      <c r="J121" t="n">
        <v>23379.55</v>
      </c>
    </row>
    <row r="122">
      <c r="G122" s="34" t="inlineStr">
        <is>
          <t>2026-05-11</t>
        </is>
      </c>
      <c r="H122" t="n">
        <v>411</v>
      </c>
      <c r="J122" t="n">
        <v>23815.85</v>
      </c>
    </row>
    <row r="123">
      <c r="G123" s="34" t="inlineStr">
        <is>
          <t>2026-05-08</t>
        </is>
      </c>
      <c r="H123" t="n">
        <v>431</v>
      </c>
      <c r="J123" t="n">
        <v>24176.15</v>
      </c>
    </row>
    <row r="124">
      <c r="G124" s="34" t="inlineStr">
        <is>
          <t>2026-05-07</t>
        </is>
      </c>
      <c r="H124" t="n">
        <v>434.05</v>
      </c>
      <c r="J124" t="n">
        <v>24326.65</v>
      </c>
    </row>
    <row r="125">
      <c r="G125" s="34" t="inlineStr">
        <is>
          <t>2026-05-06</t>
        </is>
      </c>
      <c r="H125" t="n">
        <v>429.75</v>
      </c>
      <c r="J125" t="n">
        <v>24330.95</v>
      </c>
    </row>
    <row r="126">
      <c r="G126" s="34" t="inlineStr">
        <is>
          <t>2026-05-05</t>
        </is>
      </c>
      <c r="H126" t="n">
        <v>406.55</v>
      </c>
      <c r="J126" t="n">
        <v>24032.8</v>
      </c>
    </row>
    <row r="127">
      <c r="G127" s="34" t="inlineStr">
        <is>
          <t>2026-05-04</t>
        </is>
      </c>
      <c r="H127" t="n">
        <v>412.9</v>
      </c>
      <c r="J127" t="n">
        <v>24119.3</v>
      </c>
    </row>
    <row r="128">
      <c r="G128" s="34" t="inlineStr">
        <is>
          <t>2026-04-30</t>
        </is>
      </c>
      <c r="H128" t="n">
        <v>409.9</v>
      </c>
      <c r="J128" t="n">
        <v>23997.55</v>
      </c>
    </row>
    <row r="129">
      <c r="G129" s="34" t="inlineStr">
        <is>
          <t>2026-04-29</t>
        </is>
      </c>
      <c r="H129" t="n">
        <v>416.95</v>
      </c>
      <c r="J129" t="n">
        <v>24177.65</v>
      </c>
    </row>
    <row r="130">
      <c r="G130" s="34" t="inlineStr">
        <is>
          <t>2026-04-28</t>
        </is>
      </c>
      <c r="H130" t="n">
        <v>418.3</v>
      </c>
      <c r="J130" t="n">
        <v>23995.7</v>
      </c>
    </row>
    <row r="131">
      <c r="G131" s="34" t="inlineStr">
        <is>
          <t>2026-04-27</t>
        </is>
      </c>
      <c r="H131" t="n">
        <v>420.75</v>
      </c>
      <c r="J131" t="n">
        <v>24092.7</v>
      </c>
    </row>
    <row r="132">
      <c r="G132" s="34" t="inlineStr">
        <is>
          <t>2026-04-24</t>
        </is>
      </c>
      <c r="H132" t="n">
        <v>424.55</v>
      </c>
      <c r="J132" t="n">
        <v>23897.95</v>
      </c>
    </row>
    <row r="133">
      <c r="G133" s="34" t="inlineStr">
        <is>
          <t>2026-04-23</t>
        </is>
      </c>
      <c r="H133" t="n">
        <v>431.85</v>
      </c>
      <c r="J133" t="n">
        <v>24173.05</v>
      </c>
    </row>
    <row r="134">
      <c r="G134" s="34" t="inlineStr">
        <is>
          <t>2026-04-22</t>
        </is>
      </c>
      <c r="H134" t="n">
        <v>447.8</v>
      </c>
      <c r="J134" t="n">
        <v>24378.1</v>
      </c>
    </row>
    <row r="135">
      <c r="G135" s="34" t="inlineStr">
        <is>
          <t>2026-04-21</t>
        </is>
      </c>
      <c r="H135" t="n">
        <v>442.55</v>
      </c>
      <c r="J135" t="n">
        <v>24576.6</v>
      </c>
    </row>
    <row r="136">
      <c r="G136" s="34" t="inlineStr">
        <is>
          <t>2026-04-20</t>
        </is>
      </c>
      <c r="H136" t="n">
        <v>438.4</v>
      </c>
      <c r="J136" t="n">
        <v>24364.85</v>
      </c>
    </row>
    <row r="137">
      <c r="G137" s="34" t="inlineStr">
        <is>
          <t>2026-04-17</t>
        </is>
      </c>
      <c r="H137" t="n">
        <v>439.1</v>
      </c>
      <c r="J137" t="n">
        <v>24353.55</v>
      </c>
    </row>
    <row r="138">
      <c r="G138" s="34" t="inlineStr">
        <is>
          <t>2026-04-16</t>
        </is>
      </c>
      <c r="H138" t="n">
        <v>442</v>
      </c>
      <c r="J138" t="n">
        <v>24196.75</v>
      </c>
    </row>
    <row r="139">
      <c r="G139" s="34" t="inlineStr">
        <is>
          <t>2026-04-15</t>
        </is>
      </c>
      <c r="H139" t="n">
        <v>435.2</v>
      </c>
      <c r="J139" t="n">
        <v>24231.3</v>
      </c>
    </row>
    <row r="140">
      <c r="G140" s="34" t="inlineStr">
        <is>
          <t>2026-04-13</t>
        </is>
      </c>
      <c r="H140" t="n">
        <v>429.8</v>
      </c>
      <c r="J140" t="n">
        <v>23842.65</v>
      </c>
    </row>
    <row r="141">
      <c r="G141" s="34" t="inlineStr">
        <is>
          <t>2026-04-10</t>
        </is>
      </c>
      <c r="H141" t="n">
        <v>444.55</v>
      </c>
      <c r="J141" t="n">
        <v>24050.6</v>
      </c>
    </row>
    <row r="142">
      <c r="G142" s="34" t="inlineStr">
        <is>
          <t>2026-04-09</t>
        </is>
      </c>
      <c r="H142" t="n">
        <v>425.6</v>
      </c>
      <c r="J142" t="n">
        <v>23775.1</v>
      </c>
    </row>
    <row r="143">
      <c r="G143" s="34" t="inlineStr">
        <is>
          <t>2026-04-08</t>
        </is>
      </c>
      <c r="H143" t="n">
        <v>434.05</v>
      </c>
      <c r="J143" t="n">
        <v>23997.35</v>
      </c>
    </row>
    <row r="144">
      <c r="G144" s="34" t="inlineStr">
        <is>
          <t>2026-04-07</t>
        </is>
      </c>
      <c r="H144" t="n">
        <v>396.05</v>
      </c>
      <c r="J144" t="n">
        <v>23123.65</v>
      </c>
    </row>
    <row r="145">
      <c r="G145" s="34" t="inlineStr">
        <is>
          <t>2026-04-06</t>
        </is>
      </c>
      <c r="H145" t="n">
        <v>391.3</v>
      </c>
      <c r="J145" t="n">
        <v>22968.25</v>
      </c>
    </row>
    <row r="146">
      <c r="G146" s="34" t="inlineStr">
        <is>
          <t>2026-04-02</t>
        </is>
      </c>
      <c r="H146" t="n">
        <v>388.1</v>
      </c>
      <c r="J146" t="n">
        <v>22713.1</v>
      </c>
    </row>
    <row r="147">
      <c r="G147" s="34" t="inlineStr">
        <is>
          <t>2026-04-01</t>
        </is>
      </c>
      <c r="H147" t="n">
        <v>396.05</v>
      </c>
      <c r="J147" t="n">
        <v>22679.4</v>
      </c>
    </row>
    <row r="148">
      <c r="G148" s="34" t="inlineStr">
        <is>
          <t>2026-03-30</t>
        </is>
      </c>
      <c r="H148" t="n">
        <v>394.8</v>
      </c>
      <c r="J148" t="n">
        <v>22331.4</v>
      </c>
    </row>
    <row r="149">
      <c r="G149" s="34" t="inlineStr">
        <is>
          <t>2026-03-27</t>
        </is>
      </c>
      <c r="H149" t="n">
        <v>427.6</v>
      </c>
      <c r="J149" t="n">
        <v>22819.6</v>
      </c>
    </row>
    <row r="150">
      <c r="G150" s="34" t="inlineStr">
        <is>
          <t>2026-03-25</t>
        </is>
      </c>
      <c r="H150" t="n">
        <v>431.85</v>
      </c>
      <c r="J150" t="n">
        <v>23306.45</v>
      </c>
    </row>
    <row r="151">
      <c r="G151" s="34" t="inlineStr">
        <is>
          <t>2026-03-24</t>
        </is>
      </c>
      <c r="H151" t="n">
        <v>415.7</v>
      </c>
      <c r="J151" t="n">
        <v>22912.4</v>
      </c>
    </row>
    <row r="152">
      <c r="G152" s="34" t="inlineStr">
        <is>
          <t>2026-03-23</t>
        </is>
      </c>
      <c r="H152" t="n">
        <v>394.45</v>
      </c>
      <c r="J152" t="n">
        <v>22512.65</v>
      </c>
    </row>
    <row r="153">
      <c r="G153" s="34" t="inlineStr">
        <is>
          <t>2026-03-20</t>
        </is>
      </c>
      <c r="H153" t="n">
        <v>419.65</v>
      </c>
      <c r="J153" t="n">
        <v>23114.5</v>
      </c>
    </row>
    <row r="154">
      <c r="G154" s="34" t="inlineStr">
        <is>
          <t>2026-03-19</t>
        </is>
      </c>
      <c r="H154" t="n">
        <v>417.25</v>
      </c>
      <c r="J154" t="n">
        <v>23002.15</v>
      </c>
    </row>
    <row r="155">
      <c r="G155" s="34" t="inlineStr">
        <is>
          <t>2026-03-18</t>
        </is>
      </c>
      <c r="H155" t="n">
        <v>447.65</v>
      </c>
      <c r="J155" t="n">
        <v>23777.8</v>
      </c>
    </row>
    <row r="156">
      <c r="G156" s="34" t="inlineStr">
        <is>
          <t>2026-03-17</t>
        </is>
      </c>
      <c r="H156" t="n">
        <v>441.95</v>
      </c>
      <c r="J156" t="n">
        <v>23581.15</v>
      </c>
    </row>
    <row r="157">
      <c r="G157" s="34" t="inlineStr">
        <is>
          <t>2026-03-16</t>
        </is>
      </c>
      <c r="H157" t="n">
        <v>437.6</v>
      </c>
      <c r="J157" t="n">
        <v>23408.8</v>
      </c>
    </row>
    <row r="158">
      <c r="G158" s="34" t="inlineStr">
        <is>
          <t>2026-03-13</t>
        </is>
      </c>
      <c r="H158" t="n">
        <v>425.65</v>
      </c>
      <c r="J158" t="n">
        <v>23151.1</v>
      </c>
    </row>
    <row r="159">
      <c r="G159" s="34" t="inlineStr">
        <is>
          <t>2026-03-12</t>
        </is>
      </c>
      <c r="H159" t="n">
        <v>443.55</v>
      </c>
      <c r="J159" t="n">
        <v>23639.15</v>
      </c>
    </row>
    <row r="160">
      <c r="G160" s="34" t="inlineStr">
        <is>
          <t>2026-03-11</t>
        </is>
      </c>
      <c r="H160" t="n">
        <v>445.45</v>
      </c>
      <c r="J160" t="n">
        <v>23866.85</v>
      </c>
    </row>
    <row r="161">
      <c r="G161" s="34" t="inlineStr">
        <is>
          <t>2026-03-10</t>
        </is>
      </c>
      <c r="H161" t="n">
        <v>459.15</v>
      </c>
      <c r="J161" t="n">
        <v>24261.6</v>
      </c>
    </row>
    <row r="162">
      <c r="G162" s="34" t="inlineStr">
        <is>
          <t>2026-03-09</t>
        </is>
      </c>
      <c r="H162" t="n">
        <v>448.3</v>
      </c>
      <c r="J162" t="n">
        <v>24028.05</v>
      </c>
    </row>
    <row r="163">
      <c r="G163" s="34" t="inlineStr">
        <is>
          <t>2026-03-06</t>
        </is>
      </c>
      <c r="H163" t="n">
        <v>474.25</v>
      </c>
      <c r="J163" t="n">
        <v>24450.45</v>
      </c>
    </row>
    <row r="164">
      <c r="G164" s="34" t="inlineStr">
        <is>
          <t>2026-03-05</t>
        </is>
      </c>
      <c r="H164" t="n">
        <v>480.4</v>
      </c>
      <c r="J164" t="n">
        <v>24765.9</v>
      </c>
    </row>
    <row r="165">
      <c r="G165" s="34" t="inlineStr">
        <is>
          <t>2026-03-04</t>
        </is>
      </c>
      <c r="H165" t="n">
        <v>470.75</v>
      </c>
      <c r="J165" t="n">
        <v>24480.5</v>
      </c>
    </row>
    <row r="166">
      <c r="G166" s="34" t="inlineStr">
        <is>
          <t>2026-03-02</t>
        </is>
      </c>
      <c r="H166" t="n">
        <v>498</v>
      </c>
      <c r="J166" t="n">
        <v>24865.7</v>
      </c>
    </row>
    <row r="167">
      <c r="G167" s="34" t="inlineStr">
        <is>
          <t>2026-02-27</t>
        </is>
      </c>
      <c r="H167" t="n">
        <v>505.3</v>
      </c>
      <c r="J167" t="n">
        <v>25178.65</v>
      </c>
    </row>
    <row r="168">
      <c r="G168" s="34" t="inlineStr">
        <is>
          <t>2026-02-26</t>
        </is>
      </c>
      <c r="H168" t="n">
        <v>491.35</v>
      </c>
      <c r="J168" t="n">
        <v>25496.55</v>
      </c>
    </row>
    <row r="169">
      <c r="G169" s="34" t="inlineStr">
        <is>
          <t>2026-02-25</t>
        </is>
      </c>
      <c r="H169" t="n">
        <v>479.85</v>
      </c>
      <c r="J169" t="n">
        <v>25482.5</v>
      </c>
    </row>
    <row r="170">
      <c r="G170" s="34" t="inlineStr">
        <is>
          <t>2026-02-24</t>
        </is>
      </c>
      <c r="H170" t="n">
        <v>475.5</v>
      </c>
      <c r="J170" t="n">
        <v>25424.65</v>
      </c>
    </row>
    <row r="171">
      <c r="G171" s="34" t="inlineStr">
        <is>
          <t>2026-02-23</t>
        </is>
      </c>
      <c r="H171" t="n">
        <v>479.8</v>
      </c>
      <c r="J171" t="n">
        <v>25713</v>
      </c>
    </row>
    <row r="172">
      <c r="G172" s="34" t="inlineStr">
        <is>
          <t>2026-02-20</t>
        </is>
      </c>
      <c r="H172" t="n">
        <v>472.9</v>
      </c>
      <c r="J172" t="n">
        <v>25571.25</v>
      </c>
    </row>
    <row r="173">
      <c r="G173" s="34" t="inlineStr">
        <is>
          <t>2026-02-19</t>
        </is>
      </c>
      <c r="H173" t="n">
        <v>474.5</v>
      </c>
      <c r="J173" t="n">
        <v>25454.35</v>
      </c>
    </row>
    <row r="174">
      <c r="G174" s="34" t="inlineStr">
        <is>
          <t>2026-02-18</t>
        </is>
      </c>
      <c r="H174" t="n">
        <v>488.8</v>
      </c>
      <c r="J174" t="n">
        <v>25819.35</v>
      </c>
    </row>
    <row r="175">
      <c r="G175" s="34" t="inlineStr">
        <is>
          <t>2026-02-17</t>
        </is>
      </c>
      <c r="H175" t="n">
        <v>489.75</v>
      </c>
      <c r="J175" t="n">
        <v>25725.4</v>
      </c>
    </row>
    <row r="176">
      <c r="G176" s="34" t="inlineStr">
        <is>
          <t>2026-02-16</t>
        </is>
      </c>
      <c r="H176" t="n">
        <v>479.05</v>
      </c>
      <c r="J176" t="n">
        <v>25682.75</v>
      </c>
    </row>
    <row r="177">
      <c r="G177" s="34" t="inlineStr">
        <is>
          <t>2026-02-13</t>
        </is>
      </c>
      <c r="H177" t="n">
        <v>483.75</v>
      </c>
      <c r="J177" t="n">
        <v>25471.1</v>
      </c>
    </row>
    <row r="178">
      <c r="G178" s="34" t="inlineStr">
        <is>
          <t>2026-02-12</t>
        </is>
      </c>
      <c r="H178" t="n">
        <v>498.15</v>
      </c>
      <c r="J178" t="n">
        <v>25807.2</v>
      </c>
    </row>
    <row r="179">
      <c r="G179" s="34" t="inlineStr">
        <is>
          <t>2026-02-11</t>
        </is>
      </c>
      <c r="H179" t="n">
        <v>487.2</v>
      </c>
      <c r="J179" t="n">
        <v>25953.85</v>
      </c>
    </row>
    <row r="180">
      <c r="G180" s="34" t="inlineStr">
        <is>
          <t>2026-02-10</t>
        </is>
      </c>
      <c r="H180" t="n">
        <v>472.55</v>
      </c>
      <c r="J180" t="n">
        <v>25935.15</v>
      </c>
    </row>
    <row r="181">
      <c r="G181" s="34" t="inlineStr">
        <is>
          <t>2026-02-09</t>
        </is>
      </c>
      <c r="H181" t="n">
        <v>466.8</v>
      </c>
      <c r="J181" t="n">
        <v>25867.3</v>
      </c>
    </row>
    <row r="182">
      <c r="G182" s="34" t="inlineStr">
        <is>
          <t>2026-02-06</t>
        </is>
      </c>
      <c r="H182" t="n">
        <v>458.25</v>
      </c>
      <c r="J182" t="n">
        <v>25693.7</v>
      </c>
    </row>
    <row r="183">
      <c r="G183" s="34" t="inlineStr">
        <is>
          <t>2026-02-05</t>
        </is>
      </c>
      <c r="H183" t="n">
        <v>455.9</v>
      </c>
      <c r="J183" t="n">
        <v>25642.8</v>
      </c>
    </row>
    <row r="184">
      <c r="G184" s="34" t="inlineStr">
        <is>
          <t>2026-02-04</t>
        </is>
      </c>
      <c r="H184" t="n">
        <v>458.45</v>
      </c>
      <c r="J184" t="n">
        <v>25776</v>
      </c>
    </row>
    <row r="185">
      <c r="G185" s="34" t="inlineStr">
        <is>
          <t>2026-02-03</t>
        </is>
      </c>
      <c r="H185" t="n">
        <v>457.95</v>
      </c>
      <c r="J185" t="n">
        <v>25727.55</v>
      </c>
    </row>
    <row r="186">
      <c r="G186" s="34" t="inlineStr">
        <is>
          <t>2026-02-02</t>
        </is>
      </c>
      <c r="H186" t="n">
        <v>443.55</v>
      </c>
      <c r="J186" t="n">
        <v>25088.4</v>
      </c>
    </row>
    <row r="187">
      <c r="G187" s="34" t="inlineStr">
        <is>
          <t>2026-01-30</t>
        </is>
      </c>
      <c r="H187" t="n">
        <v>458.5</v>
      </c>
      <c r="J187" t="n">
        <v>25320.65</v>
      </c>
    </row>
    <row r="188">
      <c r="G188" s="34" t="inlineStr">
        <is>
          <t>2026-01-29</t>
        </is>
      </c>
      <c r="H188" t="n">
        <v>470.2</v>
      </c>
      <c r="J188" t="n">
        <v>25418.9</v>
      </c>
    </row>
    <row r="189">
      <c r="G189" s="34" t="inlineStr">
        <is>
          <t>2026-01-28</t>
        </is>
      </c>
      <c r="H189" t="n">
        <v>467.95</v>
      </c>
      <c r="J189" t="n">
        <v>25342.75</v>
      </c>
    </row>
    <row r="190">
      <c r="G190" s="34" t="inlineStr">
        <is>
          <t>2026-01-27</t>
        </is>
      </c>
      <c r="H190" t="n">
        <v>443.9</v>
      </c>
      <c r="J190" t="n">
        <v>25175.4</v>
      </c>
    </row>
    <row r="191">
      <c r="G191" s="34" t="inlineStr">
        <is>
          <t>2026-01-23</t>
        </is>
      </c>
      <c r="H191" t="n">
        <v>449.2</v>
      </c>
      <c r="J191" t="n">
        <v>25048.65</v>
      </c>
    </row>
    <row r="192">
      <c r="G192" s="34" t="inlineStr">
        <is>
          <t>2026-01-22</t>
        </is>
      </c>
      <c r="H192" t="n">
        <v>444.9</v>
      </c>
      <c r="J192" t="n">
        <v>25289.9</v>
      </c>
    </row>
    <row r="193">
      <c r="G193" s="34" t="inlineStr">
        <is>
          <t>2026-01-21</t>
        </is>
      </c>
      <c r="H193" t="n">
        <v>434.85</v>
      </c>
      <c r="J193" t="n">
        <v>25157.5</v>
      </c>
    </row>
    <row r="194">
      <c r="G194" s="34" t="inlineStr">
        <is>
          <t>2026-01-20</t>
        </is>
      </c>
      <c r="H194" t="n">
        <v>432.45</v>
      </c>
      <c r="J194" t="n">
        <v>25232.5</v>
      </c>
    </row>
    <row r="195">
      <c r="G195" s="34" t="inlineStr">
        <is>
          <t>2026-01-19</t>
        </is>
      </c>
      <c r="H195" t="n">
        <v>441.4</v>
      </c>
      <c r="J195" t="n">
        <v>25585.5</v>
      </c>
    </row>
    <row r="196">
      <c r="G196" s="34" t="inlineStr">
        <is>
          <t>2026-01-16</t>
        </is>
      </c>
      <c r="H196" t="n">
        <v>438.5</v>
      </c>
      <c r="J196" t="n">
        <v>25694.35</v>
      </c>
    </row>
    <row r="197">
      <c r="G197" s="34" t="inlineStr">
        <is>
          <t>2026-01-15</t>
        </is>
      </c>
      <c r="H197" t="n">
        <v>433.75</v>
      </c>
      <c r="J197" t="n">
        <v>25665.6</v>
      </c>
    </row>
    <row r="198">
      <c r="G198" s="34" t="inlineStr">
        <is>
          <t>2026-01-14</t>
        </is>
      </c>
      <c r="H198" t="n">
        <v>433.75</v>
      </c>
      <c r="J198" t="n">
        <v>25665.6</v>
      </c>
    </row>
    <row r="199">
      <c r="G199" s="34" t="inlineStr">
        <is>
          <t>2026-01-13</t>
        </is>
      </c>
      <c r="H199" t="n">
        <v>424.15</v>
      </c>
      <c r="J199" t="n">
        <v>25732.3</v>
      </c>
    </row>
    <row r="200">
      <c r="G200" s="34" t="inlineStr">
        <is>
          <t>2026-01-12</t>
        </is>
      </c>
      <c r="H200" t="n">
        <v>424.9</v>
      </c>
      <c r="J200" t="n">
        <v>25790.25</v>
      </c>
    </row>
    <row r="201">
      <c r="G201" s="34" t="inlineStr">
        <is>
          <t>2026-01-09</t>
        </is>
      </c>
      <c r="H201" t="n">
        <v>431.55</v>
      </c>
      <c r="J201" t="n">
        <v>25683.3</v>
      </c>
    </row>
    <row r="202">
      <c r="G202" s="34" t="inlineStr">
        <is>
          <t>2026-01-08</t>
        </is>
      </c>
      <c r="H202" t="n">
        <v>435.2</v>
      </c>
      <c r="J202" t="n">
        <v>25876.85</v>
      </c>
    </row>
    <row r="203">
      <c r="G203" s="34" t="inlineStr">
        <is>
          <t>2026-01-07</t>
        </is>
      </c>
      <c r="H203" t="n">
        <v>435.75</v>
      </c>
      <c r="J203" t="n">
        <v>26140.75</v>
      </c>
    </row>
    <row r="204">
      <c r="G204" s="34" t="inlineStr">
        <is>
          <t>2026-01-06</t>
        </is>
      </c>
      <c r="H204" t="n">
        <v>432.65</v>
      </c>
      <c r="J204" t="n">
        <v>26178.7</v>
      </c>
    </row>
    <row r="205">
      <c r="G205" s="34" t="inlineStr">
        <is>
          <t>2026-01-05</t>
        </is>
      </c>
      <c r="H205" t="n">
        <v>426.45</v>
      </c>
      <c r="J205" t="n">
        <v>26250.3</v>
      </c>
    </row>
    <row r="206">
      <c r="G206" s="34" t="inlineStr">
        <is>
          <t>2026-01-02</t>
        </is>
      </c>
      <c r="H206" t="n">
        <v>442.25</v>
      </c>
      <c r="J206" t="n">
        <v>26328.55</v>
      </c>
    </row>
    <row r="207">
      <c r="G207" s="34" t="inlineStr">
        <is>
          <t>2026-01-01</t>
        </is>
      </c>
      <c r="H207" t="n">
        <v>427.75</v>
      </c>
      <c r="J207" t="n">
        <v>26146.55</v>
      </c>
    </row>
    <row r="208">
      <c r="G208" s="34" t="inlineStr">
        <is>
          <t>2025-12-31</t>
        </is>
      </c>
      <c r="H208" t="n">
        <v>415.5</v>
      </c>
      <c r="J208" t="n">
        <v>26129.6</v>
      </c>
    </row>
    <row r="209">
      <c r="G209" s="34" t="inlineStr">
        <is>
          <t>2025-12-30</t>
        </is>
      </c>
      <c r="H209" t="n">
        <v>409.65</v>
      </c>
      <c r="J209" t="n">
        <v>25938.85</v>
      </c>
    </row>
    <row r="210">
      <c r="G210" s="34" t="inlineStr">
        <is>
          <t>2025-12-29</t>
        </is>
      </c>
      <c r="H210" t="n">
        <v>409.5</v>
      </c>
      <c r="J210" t="n">
        <v>25942.1</v>
      </c>
    </row>
    <row r="211">
      <c r="G211" s="34" t="inlineStr">
        <is>
          <t>2025-12-26</t>
        </is>
      </c>
      <c r="H211" t="n">
        <v>408.65</v>
      </c>
      <c r="J211" t="n">
        <v>26042.3</v>
      </c>
    </row>
    <row r="212">
      <c r="G212" s="34" t="inlineStr">
        <is>
          <t>2025-12-24</t>
        </is>
      </c>
      <c r="H212" t="n">
        <v>408.75</v>
      </c>
      <c r="J212" t="n">
        <v>26142.1</v>
      </c>
    </row>
    <row r="213">
      <c r="G213" s="34" t="inlineStr">
        <is>
          <t>2025-12-23</t>
        </is>
      </c>
      <c r="H213" t="n">
        <v>426.1</v>
      </c>
      <c r="J213" t="n">
        <v>26177.15</v>
      </c>
    </row>
    <row r="214">
      <c r="G214" s="34" t="inlineStr">
        <is>
          <t>2025-12-22</t>
        </is>
      </c>
      <c r="H214" t="n">
        <v>411.7</v>
      </c>
      <c r="J214" t="n">
        <v>26172.4</v>
      </c>
    </row>
    <row r="215">
      <c r="G215" s="34" t="inlineStr">
        <is>
          <t>2025-12-19</t>
        </is>
      </c>
      <c r="H215" t="n">
        <v>394.35</v>
      </c>
      <c r="J215" t="n">
        <v>25966.4</v>
      </c>
    </row>
    <row r="216">
      <c r="G216" s="34" t="inlineStr">
        <is>
          <t>2025-12-18</t>
        </is>
      </c>
      <c r="H216" t="n">
        <v>401.05</v>
      </c>
      <c r="J216" t="n">
        <v>25815.55</v>
      </c>
    </row>
    <row r="217">
      <c r="G217" s="34" t="inlineStr">
        <is>
          <t>2025-12-17</t>
        </is>
      </c>
      <c r="H217" t="n">
        <v>386.9</v>
      </c>
      <c r="J217" t="n">
        <v>25818.55</v>
      </c>
    </row>
    <row r="218">
      <c r="G218" s="34" t="inlineStr">
        <is>
          <t>2025-12-16</t>
        </is>
      </c>
      <c r="H218" t="n">
        <v>387.35</v>
      </c>
      <c r="J218" t="n">
        <v>25860.1</v>
      </c>
    </row>
    <row r="219">
      <c r="G219" s="34" t="inlineStr">
        <is>
          <t>2025-12-15</t>
        </is>
      </c>
      <c r="H219" t="n">
        <v>377.95</v>
      </c>
      <c r="J219" t="n">
        <v>26027.3</v>
      </c>
    </row>
    <row r="220">
      <c r="G220" s="34" t="inlineStr">
        <is>
          <t>2025-12-12</t>
        </is>
      </c>
      <c r="H220" t="n">
        <v>373.45</v>
      </c>
      <c r="J220" t="n">
        <v>26046.95</v>
      </c>
    </row>
    <row r="221">
      <c r="G221" s="34" t="inlineStr">
        <is>
          <t>2025-12-11</t>
        </is>
      </c>
      <c r="H221" t="n">
        <v>372.8</v>
      </c>
      <c r="J221" t="n">
        <v>25898.55</v>
      </c>
    </row>
    <row r="222">
      <c r="G222" s="34" t="inlineStr">
        <is>
          <t>2025-12-10</t>
        </is>
      </c>
      <c r="H222" t="n">
        <v>377.8</v>
      </c>
      <c r="J222" t="n">
        <v>25758</v>
      </c>
    </row>
    <row r="223">
      <c r="G223" s="34" t="inlineStr">
        <is>
          <t>2025-12-09</t>
        </is>
      </c>
      <c r="H223" t="n">
        <v>373.1</v>
      </c>
      <c r="J223" t="n">
        <v>25839.65</v>
      </c>
    </row>
    <row r="224">
      <c r="G224" s="34" t="inlineStr">
        <is>
          <t>2025-12-08</t>
        </is>
      </c>
      <c r="H224" t="n">
        <v>360.35</v>
      </c>
      <c r="J224" t="n">
        <v>25960.55</v>
      </c>
    </row>
    <row r="225">
      <c r="G225" s="34" t="inlineStr">
        <is>
          <t>2025-12-05</t>
        </is>
      </c>
      <c r="H225" t="n">
        <v>359.55</v>
      </c>
      <c r="J225" t="n">
        <v>26186.45</v>
      </c>
    </row>
    <row r="226">
      <c r="G226" s="34" t="inlineStr">
        <is>
          <t>2025-12-04</t>
        </is>
      </c>
      <c r="H226" t="n">
        <v>356.45</v>
      </c>
      <c r="J226" t="n">
        <v>26033.75</v>
      </c>
    </row>
    <row r="227">
      <c r="G227" s="34" t="inlineStr">
        <is>
          <t>2025-12-03</t>
        </is>
      </c>
      <c r="H227" t="n">
        <v>360.4</v>
      </c>
      <c r="J227" t="n">
        <v>25986</v>
      </c>
    </row>
    <row r="228">
      <c r="G228" s="34" t="inlineStr">
        <is>
          <t>2025-12-02</t>
        </is>
      </c>
      <c r="H228" t="n">
        <v>354.8</v>
      </c>
      <c r="J228" t="n">
        <v>26032.2</v>
      </c>
    </row>
    <row r="229">
      <c r="G229" s="34" t="inlineStr">
        <is>
          <t>2025-12-01</t>
        </is>
      </c>
      <c r="H229" t="n">
        <v>359.05</v>
      </c>
      <c r="J229" t="n">
        <v>26175.75</v>
      </c>
    </row>
    <row r="230">
      <c r="G230" s="34" t="inlineStr">
        <is>
          <t>2025-11-28</t>
        </is>
      </c>
      <c r="H230" t="n">
        <v>352</v>
      </c>
      <c r="J230" t="n">
        <v>26202.95</v>
      </c>
    </row>
    <row r="231">
      <c r="G231" s="34" t="inlineStr">
        <is>
          <t>2025-11-27</t>
        </is>
      </c>
      <c r="H231" t="n">
        <v>343.9</v>
      </c>
      <c r="J231" t="n">
        <v>26215.55</v>
      </c>
    </row>
    <row r="232">
      <c r="G232" s="34" t="inlineStr">
        <is>
          <t>2025-11-26</t>
        </is>
      </c>
      <c r="H232" t="n">
        <v>324.05</v>
      </c>
      <c r="J232" t="n">
        <v>26205.3</v>
      </c>
    </row>
    <row r="233">
      <c r="G233" s="34" t="inlineStr">
        <is>
          <t>2025-11-25</t>
        </is>
      </c>
      <c r="H233" t="n">
        <v>317.85</v>
      </c>
      <c r="J233" t="n">
        <v>25884.8</v>
      </c>
    </row>
    <row r="234">
      <c r="G234" s="34" t="inlineStr">
        <is>
          <t>2025-11-24</t>
        </is>
      </c>
      <c r="H234" t="n">
        <v>320.6</v>
      </c>
      <c r="J234" t="n">
        <v>25959.5</v>
      </c>
    </row>
    <row r="235">
      <c r="G235" s="34" t="inlineStr">
        <is>
          <t>2025-11-21</t>
        </is>
      </c>
      <c r="H235" t="n">
        <v>324.1</v>
      </c>
      <c r="J235" t="n">
        <v>26068.15</v>
      </c>
    </row>
    <row r="236">
      <c r="G236" s="34" t="inlineStr">
        <is>
          <t>2025-11-20</t>
        </is>
      </c>
      <c r="H236" t="n">
        <v>322.85</v>
      </c>
      <c r="J236" t="n">
        <v>26192.15</v>
      </c>
    </row>
    <row r="237">
      <c r="G237" s="34" t="inlineStr">
        <is>
          <t>2025-11-19</t>
        </is>
      </c>
      <c r="H237" t="n">
        <v>325.3</v>
      </c>
      <c r="J237" t="n">
        <v>26052.65</v>
      </c>
    </row>
    <row r="238">
      <c r="G238" s="34" t="inlineStr">
        <is>
          <t>2025-11-18</t>
        </is>
      </c>
      <c r="H238" t="n">
        <v>325.15</v>
      </c>
      <c r="J238" t="n">
        <v>25910.05</v>
      </c>
    </row>
    <row r="239">
      <c r="G239" s="34" t="inlineStr">
        <is>
          <t>2025-11-17</t>
        </is>
      </c>
      <c r="H239" t="n">
        <v>322.6</v>
      </c>
      <c r="J239" t="n">
        <v>26013.45</v>
      </c>
    </row>
    <row r="240">
      <c r="G240" s="34" t="inlineStr">
        <is>
          <t>2025-11-14</t>
        </is>
      </c>
      <c r="H240" t="n">
        <v>317.6</v>
      </c>
      <c r="J240" t="n">
        <v>25910.05</v>
      </c>
    </row>
    <row r="241">
      <c r="G241" s="34" t="inlineStr">
        <is>
          <t>2025-11-13</t>
        </is>
      </c>
      <c r="H241" t="n">
        <v>320.75</v>
      </c>
      <c r="J241" t="n">
        <v>25879.15</v>
      </c>
    </row>
    <row r="242">
      <c r="G242" s="34" t="inlineStr">
        <is>
          <t>2025-11-12</t>
        </is>
      </c>
      <c r="H242" t="n">
        <v>329.45</v>
      </c>
      <c r="J242" t="n">
        <v>25875.8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1" min="1" max="1"/>
    <col width="18" customWidth="1" style="171" min="2" max="2"/>
    <col width="18" customWidth="1" style="171" min="3" max="3"/>
    <col width="18" bestFit="1" customWidth="1" style="171" min="4" max="4"/>
    <col width="18" customWidth="1" style="171" min="5" max="5"/>
    <col width="18" bestFit="1" customWidth="1" style="171" min="6" max="6"/>
    <col width="18" bestFit="1" customWidth="1" style="171" min="7" max="7"/>
    <col width="18" customWidth="1" style="171" min="8" max="8"/>
    <col width="18" customWidth="1" style="171" min="9" max="9"/>
    <col width="18" customWidth="1" style="171" min="10" max="10"/>
    <col width="18" bestFit="1" customWidth="1" style="171" min="11" max="13"/>
    <col width="18" customWidth="1" style="171" min="12" max="12"/>
    <col width="18" customWidth="1" style="171" min="13" max="13"/>
    <col width="18" customWidth="1" style="171" min="15" max="16"/>
    <col width="18" customWidth="1" style="171" min="16" max="16"/>
    <col width="18" bestFit="1" customWidth="1" style="171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1"/>
    <row r="9">
      <c r="B9" s="84" t="n"/>
      <c r="C9" s="84" t="n"/>
      <c r="D9" s="167" t="inlineStr">
        <is>
          <t>Market Data</t>
        </is>
      </c>
      <c r="E9" s="248" t="n"/>
      <c r="F9" s="248" t="n"/>
      <c r="G9" s="248" t="n"/>
      <c r="H9" s="248" t="n"/>
      <c r="I9" s="248" t="n"/>
      <c r="J9" s="84" t="n"/>
      <c r="K9" s="167" t="inlineStr">
        <is>
          <t>Financials</t>
        </is>
      </c>
      <c r="L9" s="248" t="n"/>
      <c r="M9" s="248" t="n"/>
      <c r="N9" s="84" t="n"/>
      <c r="O9" s="167" t="inlineStr">
        <is>
          <t>Valuation</t>
        </is>
      </c>
      <c r="P9" s="248" t="n"/>
      <c r="Q9" s="248" t="n"/>
    </row>
    <row r="10" ht="30" customHeight="1" s="171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71">
      <c r="B11" s="191">
        <f>IF(COUNTA(C12:C26)&gt;=4, "Peers &gt;= 4 (Valid Sample)", "WARNING: Insufficient Peers (&lt; 4)")</f>
        <v/>
      </c>
    </row>
    <row r="12">
      <c r="B12" s="150">
        <f>'Raw FS'!L57</f>
        <v/>
      </c>
      <c r="C12" s="150" t="inlineStr">
        <is>
          <t>ASHOKLEY</t>
        </is>
      </c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FS'!AS57</f>
        <v/>
      </c>
      <c r="H12" s="155">
        <f>'Raw FS'!AT57</f>
        <v/>
      </c>
      <c r="I12" s="150">
        <f>IF(OR(ISBLANK(K12), K12&lt;=0), "N/A", IFERROR($H12/K12, "N/A"))</f>
        <v/>
      </c>
      <c r="J12" s="150">
        <f>IF(OR(ISBLANK(L12), L12&lt;=0), "N/A", IFERROR($H12/L12, "N/A"))</f>
        <v/>
      </c>
      <c r="K12" s="155">
        <f>'Raw FS'!AU57</f>
        <v/>
      </c>
      <c r="L12" s="155">
        <f>'Raw FS'!AV57</f>
        <v/>
      </c>
      <c r="M12" s="155">
        <f>'Raw FS'!AW57</f>
        <v/>
      </c>
      <c r="N12" s="150" t="n"/>
      <c r="O12" s="151">
        <f>IF(OR(ISBLANK(K12), K12&lt;=0), "N/A", IFERROR($H12/K12, "N/A"))</f>
        <v/>
      </c>
      <c r="P12" s="151">
        <f>IF(OR(ISBLANK(L12), L12&lt;=0), "N/A", IFERROR($H12/L12, "N/A"))</f>
        <v/>
      </c>
      <c r="Q12" s="151">
        <f>IF(OR(ISBLANK(M12), M12&lt;=0), "N/A", IFERROR(F12/M12, "N/A"))</f>
        <v/>
      </c>
    </row>
    <row r="13">
      <c r="B13" s="150">
        <f>'Raw FS'!L58</f>
        <v/>
      </c>
      <c r="C13" s="150" t="inlineStr">
        <is>
          <t>CGPOWER</t>
        </is>
      </c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FS'!AS58</f>
        <v/>
      </c>
      <c r="H13" s="155">
        <f>'Raw FS'!AT58</f>
        <v/>
      </c>
      <c r="I13" s="150">
        <f>IF(OR(ISBLANK(K13), K13&lt;=0), "N/A", IFERROR($H13/K13, "N/A"))</f>
        <v/>
      </c>
      <c r="J13" s="150">
        <f>IF(OR(ISBLANK(L13), L13&lt;=0), "N/A", IFERROR($H13/L13, "N/A"))</f>
        <v/>
      </c>
      <c r="K13" s="155">
        <f>'Raw FS'!AU58</f>
        <v/>
      </c>
      <c r="L13" s="155">
        <f>'Raw FS'!AV58</f>
        <v/>
      </c>
      <c r="M13" s="155">
        <f>'Raw FS'!AW58</f>
        <v/>
      </c>
      <c r="N13" s="150" t="n"/>
      <c r="O13" s="151">
        <f>IF(OR(ISBLANK(K13), K13&lt;=0), "N/A", IFERROR($H13/K13, "N/A"))</f>
        <v/>
      </c>
      <c r="P13" s="151">
        <f>IF(OR(ISBLANK(L13), L13&lt;=0), "N/A", IFERROR($H13/L13, "N/A"))</f>
        <v/>
      </c>
      <c r="Q13" s="151">
        <f>IF(OR(ISBLANK(M13), M13&lt;=0), "N/A", IFERROR(F13/M13, "N/A"))</f>
        <v/>
      </c>
    </row>
    <row r="14">
      <c r="B14" s="150">
        <f>'Raw FS'!L59</f>
        <v/>
      </c>
      <c r="C14" s="150" t="inlineStr">
        <is>
          <t>POWERINDIA</t>
        </is>
      </c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FS'!AS59</f>
        <v/>
      </c>
      <c r="H14" s="155">
        <f>'Raw FS'!AT59</f>
        <v/>
      </c>
      <c r="I14" s="150">
        <f>IF(OR(ISBLANK(K14), K14&lt;=0), "N/A", IFERROR($H14/K14, "N/A"))</f>
        <v/>
      </c>
      <c r="J14" s="150">
        <f>IF(OR(ISBLANK(L14), L14&lt;=0), "N/A", IFERROR($H14/L14, "N/A"))</f>
        <v/>
      </c>
      <c r="K14" s="155">
        <f>'Raw FS'!AU59</f>
        <v/>
      </c>
      <c r="L14" s="155">
        <f>'Raw FS'!AV59</f>
        <v/>
      </c>
      <c r="M14" s="155">
        <f>'Raw FS'!AW59</f>
        <v/>
      </c>
      <c r="N14" s="150" t="n"/>
      <c r="O14" s="151">
        <f>IF(OR(ISBLANK(K14), K14&lt;=0), "N/A", IFERROR($H14/K14, "N/A"))</f>
        <v/>
      </c>
      <c r="P14" s="151">
        <f>IF(OR(ISBLANK(L14), L14&lt;=0), "N/A", IFERROR($H14/L14, "N/A"))</f>
        <v/>
      </c>
      <c r="Q14" s="151">
        <f>IF(OR(ISBLANK(M14), M14&lt;=0), "N/A", IFERROR(F14/M14, "N/A"))</f>
        <v/>
      </c>
    </row>
    <row r="15">
      <c r="B15" s="150">
        <f>'Raw FS'!L60</f>
        <v/>
      </c>
      <c r="C15" s="150" t="inlineStr">
        <is>
          <t>CUMMINSIND</t>
        </is>
      </c>
      <c r="D15" s="155">
        <f>'Raw FS'!M60</f>
        <v/>
      </c>
      <c r="E15" s="155">
        <f>'Raw FS'!N60</f>
        <v/>
      </c>
      <c r="F15" s="155">
        <f>D15*E15</f>
        <v/>
      </c>
      <c r="G15" s="155">
        <f>'Raw FS'!AS60</f>
        <v/>
      </c>
      <c r="H15" s="155">
        <f>'Raw FS'!AT60</f>
        <v/>
      </c>
      <c r="I15" s="150">
        <f>IF(OR(ISBLANK(K15), K15&lt;=0), "N/A", IFERROR($H15/K15, "N/A"))</f>
        <v/>
      </c>
      <c r="J15" s="150">
        <f>IF(OR(ISBLANK(L15), L15&lt;=0), "N/A", IFERROR($H15/L15, "N/A"))</f>
        <v/>
      </c>
      <c r="K15" s="155">
        <f>'Raw FS'!AU60</f>
        <v/>
      </c>
      <c r="L15" s="155">
        <f>'Raw FS'!AV60</f>
        <v/>
      </c>
      <c r="M15" s="155">
        <f>'Raw FS'!AW60</f>
        <v/>
      </c>
      <c r="N15" s="150" t="n"/>
      <c r="O15" s="151">
        <f>IF(OR(ISBLANK(K15), K15&lt;=0), "N/A", IFERROR($H15/K15, "N/A"))</f>
        <v/>
      </c>
      <c r="P15" s="151">
        <f>IF(OR(ISBLANK(L15), L15&lt;=0), "N/A", IFERROR($H15/L15, "N/A"))</f>
        <v/>
      </c>
      <c r="Q15" s="151">
        <f>IF(OR(ISBLANK(M15), M15&lt;=0), "N/A", IFERROR(F15/M15, "N/A"))</f>
        <v/>
      </c>
    </row>
    <row r="16">
      <c r="B16" s="150">
        <f>'Raw FS'!L61</f>
        <v/>
      </c>
      <c r="C16" s="150" t="inlineStr">
        <is>
          <t>SIEMENS</t>
        </is>
      </c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FS'!AS61</f>
        <v/>
      </c>
      <c r="H16" s="155">
        <f>'Raw FS'!AT61</f>
        <v/>
      </c>
      <c r="I16" s="150">
        <f>IF(OR(ISBLANK(K16), K16&lt;=0), "N/A", IFERROR($H16/K16, "N/A"))</f>
        <v/>
      </c>
      <c r="J16" s="150">
        <f>IF(OR(ISBLANK(L16), L16&lt;=0), "N/A", IFERROR($H16/L16, "N/A"))</f>
        <v/>
      </c>
      <c r="K16" s="155">
        <f>'Raw FS'!AU61</f>
        <v/>
      </c>
      <c r="L16" s="155">
        <f>'Raw FS'!AV61</f>
        <v/>
      </c>
      <c r="M16" s="155">
        <f>'Raw FS'!AW61</f>
        <v/>
      </c>
      <c r="N16" s="150" t="n"/>
      <c r="O16" s="151">
        <f>IF(OR(ISBLANK(K16), K16&lt;=0), "N/A", IFERROR($H16/K16, "N/A"))</f>
        <v/>
      </c>
      <c r="P16" s="151">
        <f>IF(OR(ISBLANK(L16), L16&lt;=0), "N/A", IFERROR($H16/L16, "N/A"))</f>
        <v/>
      </c>
      <c r="Q16" s="151">
        <f>IF(OR(ISBLANK(M16), M16&lt;=0), "N/A", IFERROR(F16/M16, "N/A"))</f>
        <v/>
      </c>
    </row>
    <row r="17">
      <c r="B17" s="150">
        <f>'Raw FS'!L62</f>
        <v/>
      </c>
      <c r="C17" s="150" t="inlineStr">
        <is>
          <t>ENRIN</t>
        </is>
      </c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FS'!AS62</f>
        <v/>
      </c>
      <c r="H17" s="155">
        <f>'Raw FS'!AT62</f>
        <v/>
      </c>
      <c r="I17" s="150">
        <f>IF(OR(ISBLANK(K17), K17&lt;=0), "N/A", IFERROR($H17/K17, "N/A"))</f>
        <v/>
      </c>
      <c r="J17" s="150">
        <f>IF(OR(ISBLANK(L17), L17&lt;=0), "N/A", IFERROR($H17/L17, "N/A"))</f>
        <v/>
      </c>
      <c r="K17" s="155">
        <f>'Raw FS'!AU62</f>
        <v/>
      </c>
      <c r="L17" s="155">
        <f>'Raw FS'!AV62</f>
        <v/>
      </c>
      <c r="M17" s="155">
        <f>'Raw FS'!AW62</f>
        <v/>
      </c>
      <c r="N17" s="150" t="n"/>
      <c r="O17" s="151">
        <f>IF(OR(ISBLANK(K17), K17&lt;=0), "N/A", IFERROR($H17/K17, "N/A"))</f>
        <v/>
      </c>
      <c r="P17" s="151">
        <f>IF(OR(ISBLANK(L17), L17&lt;=0), "N/A", IFERROR($H17/L17, "N/A"))</f>
        <v/>
      </c>
      <c r="Q17" s="151">
        <f>IF(OR(ISBLANK(M17), M17&lt;=0), "N/A", IFERROR(F17/M17, "N/A"))</f>
        <v/>
      </c>
    </row>
    <row r="18">
      <c r="B18" s="150">
        <f>'Raw FS'!L63</f>
        <v/>
      </c>
      <c r="C18" s="150" t="inlineStr">
        <is>
          <t>SUZLON</t>
        </is>
      </c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FS'!AS63</f>
        <v/>
      </c>
      <c r="H18" s="155">
        <f>'Raw FS'!AT63</f>
        <v/>
      </c>
      <c r="I18" s="150">
        <f>IF(OR(ISBLANK(K18), K18&lt;=0), "N/A", IFERROR($H18/K18, "N/A"))</f>
        <v/>
      </c>
      <c r="J18" s="150">
        <f>IF(OR(ISBLANK(L18), L18&lt;=0), "N/A", IFERROR($H18/L18, "N/A"))</f>
        <v/>
      </c>
      <c r="K18" s="155">
        <f>'Raw FS'!AU63</f>
        <v/>
      </c>
      <c r="L18" s="155">
        <f>'Raw FS'!AV63</f>
        <v/>
      </c>
      <c r="M18" s="155">
        <f>'Raw FS'!AW63</f>
        <v/>
      </c>
      <c r="N18" s="150" t="n"/>
      <c r="O18" s="151">
        <f>IF(OR(ISBLANK(K18), K18&lt;=0), "N/A", IFERROR($H18/K18, "N/A"))</f>
        <v/>
      </c>
      <c r="P18" s="151">
        <f>IF(OR(ISBLANK(L18), L18&lt;=0), "N/A", IFERROR($H18/L18, "N/A"))</f>
        <v/>
      </c>
      <c r="Q18" s="151">
        <f>IF(OR(ISBLANK(M18), M18&lt;=0), "N/A", IFERROR(F18/M18, "N/A"))</f>
        <v/>
      </c>
    </row>
    <row r="19">
      <c r="B19" s="150">
        <f>'Raw FS'!L64</f>
        <v/>
      </c>
      <c r="C19" s="150" t="inlineStr">
        <is>
          <t>CPPLUS</t>
        </is>
      </c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FS'!AS64</f>
        <v/>
      </c>
      <c r="H19" s="155">
        <f>'Raw FS'!AT64</f>
        <v/>
      </c>
      <c r="I19" s="150">
        <f>IF(OR(ISBLANK(K19), K19&lt;=0), "N/A", IFERROR($H19/K19, "N/A"))</f>
        <v/>
      </c>
      <c r="J19" s="150">
        <f>IF(OR(ISBLANK(L19), L19&lt;=0), "N/A", IFERROR($H19/L19, "N/A"))</f>
        <v/>
      </c>
      <c r="K19" s="155">
        <f>'Raw FS'!AU64</f>
        <v/>
      </c>
      <c r="L19" s="155">
        <f>'Raw FS'!AV64</f>
        <v/>
      </c>
      <c r="M19" s="155">
        <f>'Raw FS'!AW64</f>
        <v/>
      </c>
      <c r="N19" s="150" t="n"/>
      <c r="O19" s="151">
        <f>IF(OR(ISBLANK(K19), K19&lt;=0), "N/A", IFERROR($H19/K19, "N/A"))</f>
        <v/>
      </c>
      <c r="P19" s="151">
        <f>IF(OR(ISBLANK(L19), L19&lt;=0), "N/A", IFERROR($H19/L19, "N/A"))</f>
        <v/>
      </c>
      <c r="Q19" s="151">
        <f>IF(OR(ISBLANK(M19), M19&lt;=0), "N/A", IFERROR(F19/M19, "N/A"))</f>
        <v/>
      </c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71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>
        <f>MAX(I12:I19)</f>
        <v/>
      </c>
      <c r="J23" s="79">
        <f>MAX(J12:J19)</f>
        <v/>
      </c>
      <c r="K23" s="79" t="n"/>
      <c r="L23" s="79" t="n"/>
      <c r="M23" s="79" t="n"/>
      <c r="N23" s="79" t="n"/>
      <c r="O23" s="86">
        <f>MAX(O12:O19)</f>
        <v/>
      </c>
      <c r="P23" s="86">
        <f>MAX(P12:P19)</f>
        <v/>
      </c>
      <c r="Q23" s="86">
        <f>MAX(Q12:Q19)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>
        <f>_xlfn.QUARTILE.INC(I12:I19,1)</f>
        <v/>
      </c>
      <c r="J24" s="79">
        <f>_xlfn.QUARTILE.INC(J12:J19,1)</f>
        <v/>
      </c>
      <c r="K24" s="79" t="n"/>
      <c r="L24" s="79" t="n"/>
      <c r="M24" s="79" t="n"/>
      <c r="N24" s="79" t="n"/>
      <c r="O24" s="87">
        <f>_xlfn.QUARTILE.INC(O12:O19,1)</f>
        <v/>
      </c>
      <c r="P24" s="87">
        <f>_xlfn.QUARTILE.INC(P12:P19,1)</f>
        <v/>
      </c>
      <c r="Q24" s="87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>
        <f>_xlfn.QUARTILE.INC(I12:I19,3)</f>
        <v/>
      </c>
      <c r="J27" s="79">
        <f>_xlfn.QUARTILE.INC(J12:J19,3)</f>
        <v/>
      </c>
      <c r="K27" s="79" t="n"/>
      <c r="L27" s="79" t="n"/>
      <c r="M27" s="79" t="n"/>
      <c r="N27" s="79" t="n"/>
      <c r="O27" s="87">
        <f>_xlfn.QUARTILE.INC(O12:O19,3)</f>
        <v/>
      </c>
      <c r="P27" s="87">
        <f>_xlfn.QUARTILE.INC(P12:P19,3)</f>
        <v/>
      </c>
      <c r="Q27" s="87">
        <f>_xlfn.QUARTILE.INC(Q12:Q19,3)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>
        <f>MIN(I12:I19)</f>
        <v/>
      </c>
      <c r="J28" s="79">
        <f>MIN(J12:J19)</f>
        <v/>
      </c>
      <c r="K28" s="79" t="n"/>
      <c r="L28" s="79" t="n"/>
      <c r="M28" s="79" t="n"/>
      <c r="N28" s="79" t="n"/>
      <c r="O28" s="86">
        <f>MIN(O12:O19)</f>
        <v/>
      </c>
      <c r="P28" s="86">
        <f>MIN(P12:P19)</f>
        <v/>
      </c>
      <c r="Q28" s="86">
        <f>MIN(Q12:Q19)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>
        <f>'Raw FS'!AU56*I25</f>
        <v/>
      </c>
      <c r="J32" s="150">
        <f>'Raw FS'!AV56*J25</f>
        <v/>
      </c>
      <c r="K32" s="150" t="n"/>
      <c r="L32" s="150" t="n"/>
      <c r="M32" s="150" t="n"/>
      <c r="N32" s="150" t="n"/>
      <c r="O32" s="155">
        <f>'Raw FS'!AU56*O25</f>
        <v/>
      </c>
      <c r="P32" s="155">
        <f>'Raw FS'!AV56*P25</f>
        <v/>
      </c>
      <c r="Q32" s="155">
        <f>'Raw FS'!AW56*Q25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>
        <f>'Raw FS'!AS56</f>
        <v/>
      </c>
      <c r="J33" s="150">
        <f>'Raw FS'!AS56</f>
        <v/>
      </c>
      <c r="K33" s="150" t="n"/>
      <c r="L33" s="150" t="n"/>
      <c r="M33" s="150" t="n"/>
      <c r="N33" s="150" t="n"/>
      <c r="O33" s="155">
        <f>'Raw FS'!AS56</f>
        <v/>
      </c>
      <c r="P33" s="155">
        <f>'Raw FS'!AS56</f>
        <v/>
      </c>
      <c r="Q33" s="155" t="n">
        <v>0</v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>
        <f>I32-I33</f>
        <v/>
      </c>
      <c r="J34" s="150">
        <f>J32-J33</f>
        <v/>
      </c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>
        <f>'Raw FS'!N56</f>
        <v/>
      </c>
      <c r="J35" s="150">
        <f>'Raw FS'!N56</f>
        <v/>
      </c>
      <c r="K35" s="150" t="n"/>
      <c r="L35" s="150" t="n"/>
      <c r="M35" s="150" t="n"/>
      <c r="N35" s="150" t="n"/>
      <c r="O35" s="155">
        <f>'Raw FS'!N56</f>
        <v/>
      </c>
      <c r="P35" s="155">
        <f>'Raw FS'!N56</f>
        <v/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1" min="1" max="1"/>
    <col width="26.77734375" customWidth="1" style="171" min="2" max="2"/>
    <col width="11" bestFit="1" customWidth="1" style="171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1">
      <c r="A2" s="93" t="n"/>
      <c r="B2" s="249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1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50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04">
        <f>"About the Company: "&amp;'Data Sheet'!B1&amp;" (Manual, Refresh Per Run)"</f>
        <v/>
      </c>
    </row>
    <row r="7" ht="4.2" customHeight="1" s="171">
      <c r="B7" s="37" t="n"/>
    </row>
    <row r="8">
      <c r="B8" s="168" t="inlineStr">
        <is>
          <t>Tata Motors Limited, also known as Tata Motors Commercial Vehicles, is an Indian multinational commercial vehicle manufacturer, headquartered in Mumbai and is a part of the Tata Group. The company produces trucks, vans, and buses.</t>
        </is>
      </c>
    </row>
    <row r="9"/>
    <row r="10"/>
    <row r="11"/>
    <row r="12"/>
    <row r="13" ht="5.4" customHeight="1" s="171"/>
    <row r="15" ht="21" customHeight="1" s="171">
      <c r="B15" s="99" t="inlineStr">
        <is>
          <t>Financial Summary</t>
        </is>
      </c>
    </row>
    <row r="35" ht="18" customHeight="1" s="171">
      <c r="B35" s="101" t="inlineStr">
        <is>
          <t>Recent Updates</t>
        </is>
      </c>
    </row>
    <row r="37">
      <c r="A37" t="inlineStr">
        <is>
          <t>•</t>
        </is>
      </c>
      <c r="B37" s="169" t="inlineStr">
        <is>
          <t>Tata Motors, Amazon partner to deploy 3,000 electric trucks for e-commerce logistics</t>
        </is>
      </c>
    </row>
    <row r="38"/>
    <row r="39">
      <c r="A39" t="inlineStr">
        <is>
          <t>•</t>
        </is>
      </c>
      <c r="B39" s="169" t="inlineStr">
        <is>
          <t>Tata Motors CV posts Rs 2,138 crore Q2 profit</t>
        </is>
      </c>
    </row>
    <row r="40"/>
    <row r="41">
      <c r="A41" t="inlineStr">
        <is>
          <t>•</t>
        </is>
      </c>
      <c r="B41" s="169" t="inlineStr">
        <is>
          <t>Tata Motors CV Q2 Results: Co swings to black with Rs 1,254 crore profit; revenue jumps 37% YoY</t>
        </is>
      </c>
    </row>
    <row r="42"/>
    <row r="43">
      <c r="A43" t="inlineStr">
        <is>
          <t>•</t>
        </is>
      </c>
      <c r="B43" s="169" t="inlineStr">
        <is>
          <t>Stellantis, Tata Motors ink passenger vehicle manufacturing pact for global markets</t>
        </is>
      </c>
    </row>
    <row r="44"/>
    <row r="45">
      <c r="A45" t="inlineStr">
        <is>
          <t>•</t>
        </is>
      </c>
      <c r="B45" s="169" t="inlineStr">
        <is>
          <t>Stocks in news: Reliance Industries, Wipro, Tata Motors, among 9 stocks that will be in focus today</t>
        </is>
      </c>
    </row>
    <row r="46"/>
    <row r="47">
      <c r="A47" t="inlineStr">
        <is>
          <t>•</t>
        </is>
      </c>
      <c r="B47" s="169" t="inlineStr">
        <is>
          <t>TATA MOTORS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1"/>
    <row r="54" ht="30.6" customHeight="1" s="171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1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1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1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1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1" min="1" max="1"/>
    <col width="26.77734375" customWidth="1" style="171" min="2" max="2"/>
    <col width="12.6640625" bestFit="1" customWidth="1" style="171" min="5" max="5"/>
    <col width="12.77734375" bestFit="1" customWidth="1" style="171" min="6" max="7"/>
    <col width="13.44140625" bestFit="1" customWidth="1" style="171" min="8" max="8"/>
    <col width="12.77734375" bestFit="1" customWidth="1" style="171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1">
      <c r="A2" s="93" t="n"/>
      <c r="B2" s="249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1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50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04">
        <f>"About the Company: "&amp;'Data Sheet'!B1&amp;" (Manual, Refresh Per Run)"</f>
        <v/>
      </c>
    </row>
    <row r="7" ht="6.6" customHeight="1" s="171"/>
    <row r="8">
      <c r="B8" s="168" t="inlineStr">
        <is>
          <t>Tata Motors Limited, also known as Tata Motors Commercial Vehicles, is an Indian multinational commercial vehicle manufacturer, headquartered in Mumbai and is a part of the Tata Group. The company produces trucks, vans, and buses.</t>
        </is>
      </c>
    </row>
    <row r="9"/>
    <row r="10"/>
    <row r="11"/>
    <row r="12" ht="5.4" customHeight="1" s="171"/>
    <row r="14" ht="21" customHeight="1" s="171">
      <c r="B14" s="99" t="inlineStr">
        <is>
          <t>Financial Summary</t>
        </is>
      </c>
    </row>
    <row r="34" ht="18" customHeight="1" s="171">
      <c r="B34" s="101" t="inlineStr">
        <is>
          <t>Recent Updates</t>
        </is>
      </c>
    </row>
    <row r="36">
      <c r="A36" t="inlineStr">
        <is>
          <t>•</t>
        </is>
      </c>
      <c r="B36" s="169" t="inlineStr">
        <is>
          <t>Tata Motors, Amazon partner to deploy 3,000 electric trucks for e-commerce logistics</t>
        </is>
      </c>
    </row>
    <row r="37"/>
    <row r="38" ht="14.4" customHeight="1" s="171">
      <c r="A38" t="inlineStr">
        <is>
          <t>•</t>
        </is>
      </c>
      <c r="B38" s="169" t="inlineStr">
        <is>
          <t>Tata Motors CV posts Rs 2,138 crore Q2 profit</t>
        </is>
      </c>
    </row>
    <row r="39"/>
    <row r="40" ht="20.4" customHeight="1" s="171">
      <c r="A40" t="inlineStr">
        <is>
          <t>•</t>
        </is>
      </c>
      <c r="B40" s="169" t="inlineStr">
        <is>
          <t>Tata Motors CV Q2 Results: Co swings to black with Rs 1,254 crore profit; revenue jumps 37% YoY</t>
        </is>
      </c>
    </row>
    <row r="41"/>
    <row r="42">
      <c r="A42" t="inlineStr">
        <is>
          <t>•</t>
        </is>
      </c>
      <c r="B42" s="169" t="inlineStr">
        <is>
          <t>Stellantis, Tata Motors ink passenger vehicle manufacturing pact for global markets</t>
        </is>
      </c>
    </row>
    <row r="43"/>
    <row r="44">
      <c r="A44" t="inlineStr">
        <is>
          <t>•</t>
        </is>
      </c>
      <c r="B44" s="169" t="inlineStr">
        <is>
          <t>Stocks in news: Reliance Industries, Wipro, Tata Motors, among 9 stocks that will be in focus today</t>
        </is>
      </c>
    </row>
    <row r="45"/>
    <row r="46">
      <c r="A46" t="inlineStr">
        <is>
          <t>•</t>
        </is>
      </c>
      <c r="B46" s="169" t="inlineStr">
        <is>
          <t>TATA MOTORS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1"/>
    <row r="53" ht="30.6" customHeight="1" s="171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1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1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1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1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1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1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70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1" min="1" max="1"/>
    <col width="22.77734375" bestFit="1" customWidth="1" style="171" min="2" max="2"/>
    <col width="9.44140625" customWidth="1" style="171" min="12" max="12"/>
    <col width="22.77734375" bestFit="1" customWidth="1" style="171" min="17" max="17"/>
    <col width="25.77734375" bestFit="1" customWidth="1" style="171" min="18" max="18"/>
    <col width="14.77734375" customWidth="1" style="171" min="46" max="46"/>
    <col width="11.6640625" customWidth="1" style="171" min="47" max="47"/>
    <col width="12.6640625" customWidth="1" style="171" min="48" max="48"/>
    <col width="13.21875" customWidth="1" style="171" min="50" max="50"/>
  </cols>
  <sheetData>
    <row r="3">
      <c r="B3" s="84" t="inlineStr">
        <is>
          <t>Particulars</t>
        </is>
      </c>
      <c r="C3" s="40" t="n">
        <v>45717</v>
      </c>
      <c r="D3" s="40" t="n">
        <v>46082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inlineStr">
        <is>
          <t>Mar 2025</t>
        </is>
      </c>
      <c r="M3" s="40" t="inlineStr">
        <is>
          <t>Mar 2026</t>
        </is>
      </c>
      <c r="N3" s="40" t="inlineStr">
        <is>
          <t>Sep 2026</t>
        </is>
      </c>
      <c r="O3" s="40" t="n"/>
      <c r="S3" s="35" t="inlineStr">
        <is>
          <t>Mar 2025  10m</t>
        </is>
      </c>
      <c r="T3" s="35" t="n">
        <v>46082</v>
      </c>
      <c r="U3" s="35" t="inlineStr">
        <is>
          <t>TTM</t>
        </is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inlineStr">
        <is>
          <t>Mar 2025 10m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0</v>
      </c>
      <c r="T4" s="73" t="n">
        <v>0</v>
      </c>
      <c r="U4" s="73" t="n">
        <v>0</v>
      </c>
      <c r="V4" s="73" t="n">
        <v>0</v>
      </c>
      <c r="W4" s="73" t="n">
        <v>0</v>
      </c>
      <c r="X4" s="73" t="n">
        <v>0</v>
      </c>
      <c r="Y4" s="73" t="n">
        <v>0</v>
      </c>
      <c r="Z4" s="73" t="n">
        <v>0</v>
      </c>
      <c r="AA4" s="73" t="n">
        <v>0</v>
      </c>
      <c r="AB4" s="73" t="n">
        <v>0</v>
      </c>
      <c r="AC4" s="73" t="n">
        <v>58217</v>
      </c>
      <c r="AD4" s="73" t="n">
        <v>83855</v>
      </c>
      <c r="AE4" s="73" t="n">
        <v>93950</v>
      </c>
    </row>
    <row r="5">
      <c r="B5" s="35" t="inlineStr">
        <is>
          <t>Equity Capital</t>
        </is>
      </c>
      <c r="C5" t="n">
        <v>0</v>
      </c>
      <c r="D5" s="47" t="n">
        <v>0</v>
      </c>
      <c r="E5" s="47" t="n">
        <v>0</v>
      </c>
      <c r="F5" s="47" t="n">
        <v>0</v>
      </c>
      <c r="G5" s="47" t="n">
        <v>0</v>
      </c>
      <c r="H5" s="47" t="n">
        <v>0</v>
      </c>
      <c r="I5" s="47" t="n">
        <v>0</v>
      </c>
      <c r="J5" s="47" t="n">
        <v>0</v>
      </c>
      <c r="K5" s="47" t="n">
        <v>0</v>
      </c>
      <c r="L5" s="47" t="n">
        <v>0</v>
      </c>
      <c r="M5" s="47" t="n">
        <v>736</v>
      </c>
      <c r="N5" s="47" t="n">
        <v>737</v>
      </c>
      <c r="R5" t="inlineStr">
        <is>
          <t>Expenses +</t>
        </is>
      </c>
      <c r="S5" s="73" t="n">
        <v>0</v>
      </c>
      <c r="T5" s="73" t="n">
        <v>0</v>
      </c>
      <c r="U5" s="73" t="n">
        <v>0</v>
      </c>
      <c r="V5" s="73" t="n">
        <v>0</v>
      </c>
      <c r="W5" s="73" t="n">
        <v>0</v>
      </c>
      <c r="X5" s="73" t="n">
        <v>0</v>
      </c>
      <c r="Y5" s="73" t="n">
        <v>0</v>
      </c>
      <c r="Z5" s="73" t="n">
        <v>0</v>
      </c>
      <c r="AA5" s="73" t="n">
        <v>0</v>
      </c>
      <c r="AB5" s="73" t="n">
        <v>0</v>
      </c>
      <c r="AC5" s="73" t="n">
        <v>52045</v>
      </c>
      <c r="AD5" s="73" t="n">
        <v>76238</v>
      </c>
      <c r="AE5" s="73" t="n">
        <v>83251</v>
      </c>
    </row>
    <row r="6">
      <c r="B6" t="inlineStr">
        <is>
          <t>Reserves</t>
        </is>
      </c>
      <c r="C6" s="73" t="n">
        <v>0</v>
      </c>
      <c r="D6" s="73" t="n">
        <v>0</v>
      </c>
      <c r="E6" s="73" t="n">
        <v>0</v>
      </c>
      <c r="F6" s="73" t="n">
        <v>0</v>
      </c>
      <c r="G6" s="73" t="n">
        <v>0</v>
      </c>
      <c r="H6" s="73" t="n">
        <v>0</v>
      </c>
      <c r="I6" s="73" t="n">
        <v>0</v>
      </c>
      <c r="J6" s="73" t="n">
        <v>0</v>
      </c>
      <c r="K6" s="73" t="n">
        <v>0</v>
      </c>
      <c r="L6" s="73" t="n">
        <v>10533</v>
      </c>
      <c r="M6" s="73" t="n">
        <v>11998</v>
      </c>
      <c r="N6" s="73" t="n">
        <v>14551</v>
      </c>
      <c r="O6" s="73" t="n"/>
      <c r="R6" t="inlineStr">
        <is>
          <t>Operating Profit</t>
        </is>
      </c>
      <c r="S6" s="73" t="n">
        <v>0</v>
      </c>
      <c r="T6" s="73" t="n">
        <v>0</v>
      </c>
      <c r="U6" s="73" t="n">
        <v>0</v>
      </c>
      <c r="V6" s="73" t="n">
        <v>0</v>
      </c>
      <c r="W6" s="73" t="n">
        <v>0</v>
      </c>
      <c r="X6" s="73" t="n">
        <v>0</v>
      </c>
      <c r="Y6" s="73" t="n">
        <v>0</v>
      </c>
      <c r="Z6" s="73" t="n">
        <v>0</v>
      </c>
      <c r="AA6" s="73" t="n">
        <v>0</v>
      </c>
      <c r="AB6" s="73" t="n">
        <v>0</v>
      </c>
      <c r="AC6" s="73" t="n">
        <v>6172</v>
      </c>
      <c r="AD6" s="73" t="n">
        <v>7617</v>
      </c>
      <c r="AE6" s="73" t="n">
        <v>10699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0</v>
      </c>
      <c r="F7" s="73" t="n">
        <v>0</v>
      </c>
      <c r="G7" s="73" t="n">
        <v>0</v>
      </c>
      <c r="H7" s="73" t="n">
        <v>0</v>
      </c>
      <c r="I7" s="73" t="n">
        <v>0</v>
      </c>
      <c r="J7" s="73" t="n">
        <v>0</v>
      </c>
      <c r="K7" s="73" t="n">
        <v>0</v>
      </c>
      <c r="L7" s="73" t="n">
        <v>9925</v>
      </c>
      <c r="M7" s="73" t="n">
        <v>5615</v>
      </c>
      <c r="N7" s="73" t="n">
        <v>3780</v>
      </c>
      <c r="O7" s="73" t="n"/>
      <c r="R7" t="inlineStr">
        <is>
          <t>OPM %</t>
        </is>
      </c>
      <c r="S7" s="75" t="n">
        <v>0</v>
      </c>
      <c r="T7" s="75" t="n">
        <v>0</v>
      </c>
      <c r="U7" s="75" t="n">
        <v>0</v>
      </c>
      <c r="V7" s="75" t="n">
        <v>0</v>
      </c>
      <c r="W7" s="75" t="n">
        <v>0</v>
      </c>
      <c r="X7" s="75" t="n">
        <v>0</v>
      </c>
      <c r="Y7" s="75" t="n">
        <v>0</v>
      </c>
      <c r="Z7" s="75" t="n">
        <v>0</v>
      </c>
      <c r="AA7" s="75" t="n">
        <v>0</v>
      </c>
      <c r="AB7" s="75" t="n">
        <v>0</v>
      </c>
      <c r="AC7" s="75" t="n">
        <v>11</v>
      </c>
      <c r="AD7" s="75" t="n">
        <v>9</v>
      </c>
      <c r="AE7" s="75" t="n">
        <v>11</v>
      </c>
    </row>
    <row r="8">
      <c r="B8" s="73" t="inlineStr">
        <is>
          <t>Long term Borrowings</t>
        </is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4540</v>
      </c>
      <c r="M8" s="73" t="n">
        <v>1344</v>
      </c>
      <c r="N8" s="73" t="n">
        <v>915</v>
      </c>
      <c r="R8" t="inlineStr">
        <is>
          <t>Other Income +</t>
        </is>
      </c>
      <c r="S8" s="73" t="n">
        <v>0</v>
      </c>
      <c r="T8" s="73" t="n">
        <v>0</v>
      </c>
      <c r="U8" s="73" t="n">
        <v>0</v>
      </c>
      <c r="V8" s="73" t="n">
        <v>0</v>
      </c>
      <c r="W8" s="73" t="n">
        <v>0</v>
      </c>
      <c r="X8" s="73" t="n">
        <v>0</v>
      </c>
      <c r="Y8" s="73" t="n">
        <v>0</v>
      </c>
      <c r="Z8" s="73" t="n">
        <v>0</v>
      </c>
      <c r="AA8" s="73" t="n">
        <v>0</v>
      </c>
      <c r="AB8" s="73" t="n">
        <v>0</v>
      </c>
      <c r="AC8" s="73" t="n">
        <v>685</v>
      </c>
      <c r="AD8" s="73" t="n">
        <v>-135</v>
      </c>
      <c r="AE8" s="73" t="n">
        <v>456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4616</v>
      </c>
      <c r="M9" t="n">
        <v>3473</v>
      </c>
      <c r="N9" s="73" t="n">
        <v>2027</v>
      </c>
      <c r="R9" t="inlineStr">
        <is>
          <t>Interest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1079</v>
      </c>
      <c r="AD9" t="n">
        <v>874</v>
      </c>
      <c r="AE9" t="n">
        <v>599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769</v>
      </c>
      <c r="M10" t="n">
        <v>798</v>
      </c>
      <c r="N10" t="n">
        <v>838</v>
      </c>
      <c r="O10" s="73" t="n"/>
      <c r="R10" t="inlineStr">
        <is>
          <t>Depreciation</t>
        </is>
      </c>
      <c r="S10" s="73" t="n">
        <v>0</v>
      </c>
      <c r="T10" s="73" t="n">
        <v>0</v>
      </c>
      <c r="U10" s="73" t="n">
        <v>0</v>
      </c>
      <c r="V10" s="73" t="n">
        <v>0</v>
      </c>
      <c r="W10" s="73" t="n">
        <v>0</v>
      </c>
      <c r="X10" s="73" t="n">
        <v>0</v>
      </c>
      <c r="Y10" s="73" t="n">
        <v>0</v>
      </c>
      <c r="Z10" s="73" t="n">
        <v>0</v>
      </c>
      <c r="AA10" s="73" t="n">
        <v>0</v>
      </c>
      <c r="AB10" s="73" t="n">
        <v>0</v>
      </c>
      <c r="AC10" s="73" t="n">
        <v>1690</v>
      </c>
      <c r="AD10" s="73" t="n">
        <v>1945</v>
      </c>
      <c r="AE10" s="73" t="n">
        <v>2040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0</v>
      </c>
      <c r="T11" s="73" t="n">
        <v>0</v>
      </c>
      <c r="U11" s="73" t="n">
        <v>0</v>
      </c>
      <c r="V11" s="73" t="n">
        <v>0</v>
      </c>
      <c r="W11" s="73" t="n">
        <v>0</v>
      </c>
      <c r="X11" s="73" t="n">
        <v>0</v>
      </c>
      <c r="Y11" s="73" t="n">
        <v>0</v>
      </c>
      <c r="Z11" s="73" t="n">
        <v>0</v>
      </c>
      <c r="AA11" s="73" t="n">
        <v>0</v>
      </c>
      <c r="AB11" s="73" t="n">
        <v>0</v>
      </c>
      <c r="AC11" s="73" t="n">
        <v>4088</v>
      </c>
      <c r="AD11" s="73" t="n">
        <v>4663</v>
      </c>
      <c r="AE11" s="73" t="n">
        <v>8516</v>
      </c>
    </row>
    <row r="12">
      <c r="B12" s="73" t="inlineStr">
        <is>
          <t>Other Liabilities -</t>
        </is>
      </c>
      <c r="C12" s="73" t="n">
        <v>0</v>
      </c>
      <c r="D12" s="73" t="n">
        <v>0</v>
      </c>
      <c r="E12" s="73" t="n">
        <v>0</v>
      </c>
      <c r="F12" s="73" t="n">
        <v>0</v>
      </c>
      <c r="G12" s="73" t="n">
        <v>0</v>
      </c>
      <c r="H12" s="73" t="n">
        <v>0</v>
      </c>
      <c r="I12" s="73" t="n">
        <v>0</v>
      </c>
      <c r="J12" s="73" t="n">
        <v>0</v>
      </c>
      <c r="K12" s="73" t="n">
        <v>0</v>
      </c>
      <c r="L12" s="73" t="n">
        <v>26393</v>
      </c>
      <c r="M12" s="73" t="n">
        <v>33960</v>
      </c>
      <c r="N12" s="73" t="n">
        <v>38385</v>
      </c>
      <c r="R12" t="inlineStr">
        <is>
          <t>Tax %</t>
        </is>
      </c>
      <c r="S12" s="75" t="n">
        <v>0</v>
      </c>
      <c r="T12" s="75" t="n">
        <v>0</v>
      </c>
      <c r="U12" s="75" t="n">
        <v>0</v>
      </c>
      <c r="V12" s="75" t="n">
        <v>0</v>
      </c>
      <c r="W12" s="75" t="n">
        <v>0</v>
      </c>
      <c r="X12" s="75" t="n">
        <v>0</v>
      </c>
      <c r="Y12" s="75" t="n">
        <v>0</v>
      </c>
      <c r="Z12" s="75" t="n">
        <v>0</v>
      </c>
      <c r="AA12" s="75" t="n">
        <v>0</v>
      </c>
      <c r="AB12" s="75" t="n">
        <v>0</v>
      </c>
      <c r="AC12" s="75" t="n">
        <v>22</v>
      </c>
      <c r="AD12" s="75" t="n">
        <v>35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75</v>
      </c>
      <c r="O13" s="73" t="n"/>
      <c r="R13" t="inlineStr">
        <is>
          <t>Net Profit +</t>
        </is>
      </c>
      <c r="S13" s="73" t="n">
        <v>0</v>
      </c>
      <c r="T13" s="73" t="n">
        <v>0</v>
      </c>
      <c r="U13" s="73" t="n">
        <v>0</v>
      </c>
      <c r="V13" s="73" t="n">
        <v>0</v>
      </c>
      <c r="W13" s="73" t="n">
        <v>0</v>
      </c>
      <c r="X13" s="73" t="n">
        <v>0</v>
      </c>
      <c r="Y13" s="73" t="n">
        <v>0</v>
      </c>
      <c r="Z13" s="73" t="n">
        <v>0</v>
      </c>
      <c r="AA13" s="73" t="n">
        <v>0</v>
      </c>
      <c r="AB13" s="73" t="n">
        <v>0</v>
      </c>
      <c r="AC13" s="73" t="n">
        <v>3195</v>
      </c>
      <c r="AD13" s="73" t="n">
        <v>3030</v>
      </c>
      <c r="AE13" s="73" t="n">
        <v>6308</v>
      </c>
    </row>
    <row r="14">
      <c r="B14" s="73" t="inlineStr">
        <is>
          <t>Trade Payables</t>
        </is>
      </c>
      <c r="C14" s="73" t="n">
        <v>0</v>
      </c>
      <c r="D14" s="73" t="n">
        <v>0</v>
      </c>
      <c r="E14" s="73" t="n">
        <v>0</v>
      </c>
      <c r="F14" s="73" t="n">
        <v>0</v>
      </c>
      <c r="G14" s="73" t="n">
        <v>0</v>
      </c>
      <c r="H14" s="73" t="n">
        <v>0</v>
      </c>
      <c r="I14" s="73" t="n">
        <v>0</v>
      </c>
      <c r="J14" s="73" t="n">
        <v>0</v>
      </c>
      <c r="K14" s="73" t="n">
        <v>0</v>
      </c>
      <c r="L14" s="73" t="n">
        <v>14376</v>
      </c>
      <c r="M14" s="73" t="n">
        <v>15704</v>
      </c>
      <c r="N14" s="73" t="n">
        <v>17544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8.23</v>
      </c>
      <c r="AE14" t="n">
        <v>17.14</v>
      </c>
    </row>
    <row r="15">
      <c r="B15" t="inlineStr">
        <is>
          <t>Advance from Customers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s="73" t="n">
        <v>0</v>
      </c>
      <c r="K15" s="73" t="n">
        <v>0</v>
      </c>
      <c r="L15" t="n">
        <v>0</v>
      </c>
      <c r="M15" s="73" t="n">
        <v>0</v>
      </c>
      <c r="N15" s="73" t="n">
        <v>0</v>
      </c>
      <c r="O15" s="73" t="n"/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49</v>
      </c>
      <c r="AE15" t="n">
        <v>0</v>
      </c>
    </row>
    <row r="16">
      <c r="B16" s="73" t="inlineStr">
        <is>
          <t>Other liability items</t>
        </is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12017</v>
      </c>
      <c r="M16" s="73" t="n">
        <v>18256</v>
      </c>
      <c r="N16" s="73" t="n">
        <v>20766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0</v>
      </c>
      <c r="D18" s="71" t="n">
        <v>0</v>
      </c>
      <c r="E18" s="71" t="n">
        <v>0</v>
      </c>
      <c r="F18" s="71" t="n">
        <v>0</v>
      </c>
      <c r="G18" s="71" t="n">
        <v>0</v>
      </c>
      <c r="H18" s="71" t="n">
        <v>0</v>
      </c>
      <c r="I18" s="71" t="n">
        <v>0</v>
      </c>
      <c r="J18" s="71" t="n">
        <v>0</v>
      </c>
      <c r="K18" s="71" t="n">
        <v>0</v>
      </c>
      <c r="L18" s="71" t="n">
        <v>46851</v>
      </c>
      <c r="M18" s="71" t="n">
        <v>52309</v>
      </c>
      <c r="N18" s="71" t="n">
        <v>57453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0</v>
      </c>
      <c r="T19" s="73" t="n">
        <v>0</v>
      </c>
      <c r="U19" s="73" t="n">
        <v>0</v>
      </c>
      <c r="V19" s="73" t="n">
        <v>0</v>
      </c>
      <c r="W19" s="73" t="n">
        <v>0</v>
      </c>
      <c r="X19" s="73" t="n">
        <v>0</v>
      </c>
      <c r="Y19" s="73" t="n">
        <v>0</v>
      </c>
      <c r="Z19" s="73" t="n">
        <v>0</v>
      </c>
      <c r="AA19" s="73" t="n">
        <v>0</v>
      </c>
      <c r="AB19" s="73" t="n">
        <v>0</v>
      </c>
      <c r="AC19" s="73" t="n">
        <v>8547</v>
      </c>
      <c r="AD19" s="73" t="n">
        <v>14981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0</v>
      </c>
      <c r="T20" s="73" t="n">
        <v>0</v>
      </c>
      <c r="U20" s="73" t="n">
        <v>0</v>
      </c>
      <c r="V20" s="73" t="n">
        <v>0</v>
      </c>
      <c r="W20" s="73" t="n">
        <v>0</v>
      </c>
      <c r="X20" s="73" t="n">
        <v>0</v>
      </c>
      <c r="Y20" s="73" t="n">
        <v>0</v>
      </c>
      <c r="Z20" s="73" t="n">
        <v>0</v>
      </c>
      <c r="AA20" s="73" t="n">
        <v>0</v>
      </c>
      <c r="AB20" s="73" t="n">
        <v>0</v>
      </c>
      <c r="AC20" s="73" t="n">
        <v>6729</v>
      </c>
      <c r="AD20" s="73" t="n">
        <v>9266</v>
      </c>
      <c r="AE20" t="n">
        <v>0</v>
      </c>
    </row>
    <row r="21">
      <c r="B21" s="73" t="inlineStr">
        <is>
          <t>Fixed Assets -</t>
        </is>
      </c>
      <c r="C21" s="73" t="n">
        <v>0</v>
      </c>
      <c r="D21" s="73" t="n">
        <v>0</v>
      </c>
      <c r="E21" s="73" t="n">
        <v>0</v>
      </c>
      <c r="F21" s="73" t="n">
        <v>0</v>
      </c>
      <c r="G21" s="73" t="n">
        <v>0</v>
      </c>
      <c r="H21" s="73" t="n">
        <v>0</v>
      </c>
      <c r="I21" s="73" t="n">
        <v>0</v>
      </c>
      <c r="J21" s="73" t="n">
        <v>0</v>
      </c>
      <c r="K21" s="73" t="n">
        <v>0</v>
      </c>
      <c r="L21" s="73" t="n">
        <v>13664</v>
      </c>
      <c r="M21" s="73" t="n">
        <v>13962</v>
      </c>
      <c r="N21" s="73" t="n">
        <v>15966</v>
      </c>
      <c r="R21" t="inlineStr">
        <is>
          <t>Receivables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s="73" t="n">
        <v>0</v>
      </c>
      <c r="Y21" t="n">
        <v>0</v>
      </c>
      <c r="Z21" t="n">
        <v>0</v>
      </c>
      <c r="AA21" t="n">
        <v>0</v>
      </c>
      <c r="AB21" t="n">
        <v>0</v>
      </c>
      <c r="AC21" s="73" t="n">
        <v>-533</v>
      </c>
      <c r="AD21" t="n">
        <v>325</v>
      </c>
      <c r="AE21" t="n">
        <v>0</v>
      </c>
    </row>
    <row r="22">
      <c r="B22" s="73" t="inlineStr">
        <is>
          <t>Land</t>
        </is>
      </c>
      <c r="C22" s="73" t="n">
        <v>0</v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2425</v>
      </c>
      <c r="M22" s="73" t="n">
        <v>2450</v>
      </c>
      <c r="N22" s="73" t="n">
        <v>0</v>
      </c>
      <c r="O22" s="73" t="n"/>
      <c r="R22" t="inlineStr">
        <is>
          <t>Inventory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73" t="n">
        <v>0</v>
      </c>
      <c r="Z22" t="n">
        <v>0</v>
      </c>
      <c r="AA22" s="73" t="n">
        <v>0</v>
      </c>
      <c r="AB22" s="73" t="n">
        <v>0</v>
      </c>
      <c r="AC22" s="73" t="n">
        <v>2295</v>
      </c>
      <c r="AD22" s="73" t="n">
        <v>-782</v>
      </c>
      <c r="AE22" t="n">
        <v>0</v>
      </c>
    </row>
    <row r="23">
      <c r="B23" s="73" t="inlineStr">
        <is>
          <t>Building</t>
        </is>
      </c>
      <c r="C23" s="73" t="n">
        <v>0</v>
      </c>
      <c r="D23" s="73" t="n">
        <v>0</v>
      </c>
      <c r="E23" s="73" t="n">
        <v>0</v>
      </c>
      <c r="F23" s="73" t="n">
        <v>0</v>
      </c>
      <c r="G23" s="73" t="n">
        <v>0</v>
      </c>
      <c r="H23" s="73" t="n">
        <v>0</v>
      </c>
      <c r="I23" s="73" t="n">
        <v>0</v>
      </c>
      <c r="J23" s="73" t="n">
        <v>0</v>
      </c>
      <c r="K23" s="73" t="n">
        <v>0</v>
      </c>
      <c r="L23" s="73" t="n">
        <v>4038</v>
      </c>
      <c r="M23" s="73" t="n">
        <v>4280</v>
      </c>
      <c r="N23" s="73" t="n">
        <v>0</v>
      </c>
      <c r="O23" s="73" t="n"/>
      <c r="R23" t="inlineStr">
        <is>
          <t>Payables</t>
        </is>
      </c>
      <c r="S23" t="n">
        <v>0</v>
      </c>
      <c r="T23" t="n">
        <v>0</v>
      </c>
      <c r="U23" t="n">
        <v>0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0</v>
      </c>
      <c r="AA23" s="73" t="n">
        <v>0</v>
      </c>
      <c r="AB23" t="n">
        <v>0</v>
      </c>
      <c r="AC23" s="73" t="n">
        <v>-556</v>
      </c>
      <c r="AD23" t="n">
        <v>1237</v>
      </c>
      <c r="AE23" t="n">
        <v>0</v>
      </c>
    </row>
    <row r="24">
      <c r="B24" s="73" t="inlineStr">
        <is>
          <t>Plant Machinery</t>
        </is>
      </c>
      <c r="C24" s="73" t="n">
        <v>0</v>
      </c>
      <c r="D24" s="73" t="n">
        <v>0</v>
      </c>
      <c r="E24" s="73" t="n">
        <v>0</v>
      </c>
      <c r="F24" s="73" t="n">
        <v>0</v>
      </c>
      <c r="G24" s="73" t="n">
        <v>0</v>
      </c>
      <c r="H24" s="73" t="n">
        <v>0</v>
      </c>
      <c r="I24" s="73" t="n">
        <v>0</v>
      </c>
      <c r="J24" s="73" t="n">
        <v>0</v>
      </c>
      <c r="K24" s="73" t="n">
        <v>0</v>
      </c>
      <c r="L24" s="73" t="n">
        <v>21360</v>
      </c>
      <c r="M24" s="73" t="n">
        <v>22220</v>
      </c>
      <c r="N24" s="73" t="n">
        <v>0</v>
      </c>
      <c r="R24" t="inlineStr">
        <is>
          <t>Working capital changes</t>
        </is>
      </c>
      <c r="S24" t="n">
        <v>0</v>
      </c>
      <c r="T24" t="n">
        <v>0</v>
      </c>
      <c r="U24" t="n">
        <v>0</v>
      </c>
      <c r="V24" s="73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s="73" t="n">
        <v>0</v>
      </c>
      <c r="AC24" s="73" t="n">
        <v>1838</v>
      </c>
      <c r="AD24" s="73" t="n">
        <v>6657</v>
      </c>
      <c r="AE24" t="n">
        <v>0</v>
      </c>
    </row>
    <row r="25">
      <c r="B25" t="inlineStr">
        <is>
          <t>Equipments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R25" t="inlineStr">
        <is>
          <t>Direct taxes</t>
        </is>
      </c>
      <c r="S25" s="73" t="n">
        <v>0</v>
      </c>
      <c r="T25" s="73" t="n">
        <v>0</v>
      </c>
      <c r="U25" s="73" t="n">
        <v>0</v>
      </c>
      <c r="V25" s="73" t="n">
        <v>0</v>
      </c>
      <c r="W25" s="73" t="n">
        <v>0</v>
      </c>
      <c r="X25" s="73" t="n">
        <v>0</v>
      </c>
      <c r="Y25" s="73" t="n">
        <v>0</v>
      </c>
      <c r="Z25" s="73" t="n">
        <v>0</v>
      </c>
      <c r="AA25" s="73" t="n">
        <v>0</v>
      </c>
      <c r="AB25" s="73" t="n">
        <v>0</v>
      </c>
      <c r="AC25" s="73" t="n">
        <v>-20</v>
      </c>
      <c r="AD25" s="73" t="n">
        <v>-942</v>
      </c>
      <c r="AE25" t="n">
        <v>0</v>
      </c>
    </row>
    <row r="26">
      <c r="B26" s="73" t="inlineStr">
        <is>
          <t>Furniture n fittings</t>
        </is>
      </c>
      <c r="C26" s="73" t="n">
        <v>0</v>
      </c>
      <c r="D26" s="73" t="n">
        <v>0</v>
      </c>
      <c r="E26" s="73" t="n">
        <v>0</v>
      </c>
      <c r="F26" s="73" t="n">
        <v>0</v>
      </c>
      <c r="G26" s="73" t="n">
        <v>0</v>
      </c>
      <c r="H26" s="73" t="n">
        <v>0</v>
      </c>
      <c r="I26" s="73" t="n">
        <v>0</v>
      </c>
      <c r="J26" s="73" t="n">
        <v>0</v>
      </c>
      <c r="K26" s="73" t="n">
        <v>0</v>
      </c>
      <c r="L26" s="73" t="n">
        <v>219</v>
      </c>
      <c r="M26" s="73" t="n">
        <v>239</v>
      </c>
      <c r="N26" s="73" t="n">
        <v>0</v>
      </c>
      <c r="R26" t="inlineStr">
        <is>
          <t>Cash from Investing Activity -</t>
        </is>
      </c>
      <c r="S26" s="73" t="n">
        <v>0</v>
      </c>
      <c r="T26" s="73" t="n">
        <v>0</v>
      </c>
      <c r="U26" s="73" t="n">
        <v>0</v>
      </c>
      <c r="V26" s="73" t="n">
        <v>0</v>
      </c>
      <c r="W26" s="73" t="n">
        <v>0</v>
      </c>
      <c r="X26" s="73" t="n">
        <v>0</v>
      </c>
      <c r="Y26" s="73" t="n">
        <v>0</v>
      </c>
      <c r="Z26" s="73" t="n">
        <v>0</v>
      </c>
      <c r="AA26" s="73" t="n">
        <v>0</v>
      </c>
      <c r="AB26" s="73" t="n">
        <v>0</v>
      </c>
      <c r="AC26" t="n">
        <v>456</v>
      </c>
      <c r="AD26" s="73" t="n">
        <v>-3892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0</v>
      </c>
      <c r="T27" s="73" t="n">
        <v>0</v>
      </c>
      <c r="U27" s="73" t="n">
        <v>0</v>
      </c>
      <c r="V27" s="73" t="n">
        <v>0</v>
      </c>
      <c r="W27" s="73" t="n">
        <v>0</v>
      </c>
      <c r="X27" s="73" t="n">
        <v>0</v>
      </c>
      <c r="Y27" s="73" t="n">
        <v>0</v>
      </c>
      <c r="Z27" s="73" t="n">
        <v>0</v>
      </c>
      <c r="AA27" s="73" t="n">
        <v>0</v>
      </c>
      <c r="AB27" s="73" t="n">
        <v>0</v>
      </c>
      <c r="AC27" s="73" t="n">
        <v>-1663</v>
      </c>
      <c r="AD27" s="73" t="n">
        <v>-2248</v>
      </c>
      <c r="AE27" t="n">
        <v>0</v>
      </c>
    </row>
    <row r="28">
      <c r="B28" t="inlineStr">
        <is>
          <t>Vehicles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638</v>
      </c>
      <c r="M28" t="n">
        <v>556</v>
      </c>
      <c r="N28" t="n">
        <v>0</v>
      </c>
      <c r="O28" s="73" t="n"/>
      <c r="R28" t="inlineStr">
        <is>
          <t>Fixed assets sold</t>
        </is>
      </c>
      <c r="S28" s="73" t="n">
        <v>0</v>
      </c>
      <c r="T28" s="73" t="n">
        <v>0</v>
      </c>
      <c r="U28" s="73" t="n">
        <v>0</v>
      </c>
      <c r="V28" s="73" t="n">
        <v>0</v>
      </c>
      <c r="W28" s="73" t="n">
        <v>0</v>
      </c>
      <c r="X28" s="73" t="n">
        <v>0</v>
      </c>
      <c r="Y28" s="73" t="n">
        <v>0</v>
      </c>
      <c r="Z28" s="73" t="n">
        <v>0</v>
      </c>
      <c r="AA28" s="73" t="n">
        <v>0</v>
      </c>
      <c r="AB28" t="n">
        <v>0</v>
      </c>
      <c r="AC28" s="73" t="n">
        <v>121</v>
      </c>
      <c r="AD28" s="73" t="n">
        <v>145</v>
      </c>
      <c r="AE28" t="n">
        <v>0</v>
      </c>
    </row>
    <row r="29">
      <c r="B29" t="inlineStr">
        <is>
          <t>Intangible Assets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446</v>
      </c>
      <c r="M29" s="73" t="n">
        <v>446</v>
      </c>
      <c r="N29" s="73" t="n">
        <v>3844</v>
      </c>
      <c r="R29" t="inlineStr">
        <is>
          <t>Investments purchased</t>
        </is>
      </c>
      <c r="S29" s="73" t="n">
        <v>0</v>
      </c>
      <c r="T29" s="73" t="n">
        <v>0</v>
      </c>
      <c r="U29" s="73" t="n">
        <v>0</v>
      </c>
      <c r="V29" s="73" t="n">
        <v>0</v>
      </c>
      <c r="W29" s="73" t="n">
        <v>0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-2376</v>
      </c>
      <c r="AD29" s="73" t="n">
        <v>-2797</v>
      </c>
      <c r="AE29" t="n">
        <v>0</v>
      </c>
    </row>
    <row r="30">
      <c r="B30" t="inlineStr">
        <is>
          <t>Other fixed assets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6741</v>
      </c>
      <c r="M30" t="n">
        <v>7602</v>
      </c>
      <c r="N30" s="73" t="n">
        <v>0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0</v>
      </c>
      <c r="AA30" s="73" t="n">
        <v>0</v>
      </c>
      <c r="AB30" s="73" t="n">
        <v>0</v>
      </c>
      <c r="AC30" s="73" t="n">
        <v>35</v>
      </c>
      <c r="AD30" s="73" t="n">
        <v>594</v>
      </c>
      <c r="AE30" t="n">
        <v>0</v>
      </c>
    </row>
    <row r="31">
      <c r="B31" t="inlineStr">
        <is>
          <t>Gross Block</t>
        </is>
      </c>
      <c r="C31" s="73" t="n">
        <v>0</v>
      </c>
      <c r="D31" s="73" t="n">
        <v>0</v>
      </c>
      <c r="E31" s="73" t="n">
        <v>0</v>
      </c>
      <c r="F31" s="73" t="n">
        <v>0</v>
      </c>
      <c r="G31" s="73" t="n">
        <v>0</v>
      </c>
      <c r="H31" s="73" t="n">
        <v>0</v>
      </c>
      <c r="I31" s="73" t="n">
        <v>0</v>
      </c>
      <c r="J31" s="73" t="n">
        <v>0</v>
      </c>
      <c r="K31" s="73" t="n">
        <v>0</v>
      </c>
      <c r="L31" s="73" t="n">
        <v>36563</v>
      </c>
      <c r="M31" s="73" t="n">
        <v>38500</v>
      </c>
      <c r="N31" s="73" t="n">
        <v>0</v>
      </c>
      <c r="O31" s="73" t="n"/>
      <c r="R31" t="inlineStr">
        <is>
          <t>Interest received</t>
        </is>
      </c>
      <c r="S31" t="n">
        <v>0</v>
      </c>
      <c r="T31" t="n">
        <v>0</v>
      </c>
      <c r="U31" s="73" t="n">
        <v>0</v>
      </c>
      <c r="V31" s="73" t="n">
        <v>0</v>
      </c>
      <c r="W31" s="73" t="n">
        <v>0</v>
      </c>
      <c r="X31" s="73" t="n">
        <v>0</v>
      </c>
      <c r="Y31" s="73" t="n">
        <v>0</v>
      </c>
      <c r="Z31" s="73" t="n">
        <v>0</v>
      </c>
      <c r="AA31" s="73" t="n">
        <v>0</v>
      </c>
      <c r="AB31" s="73" t="n">
        <v>0</v>
      </c>
      <c r="AC31" s="73" t="n">
        <v>411</v>
      </c>
      <c r="AD31" s="73" t="n">
        <v>506</v>
      </c>
      <c r="AE31" t="n">
        <v>0</v>
      </c>
    </row>
    <row r="32">
      <c r="B32" s="73" t="inlineStr">
        <is>
          <t>Accumulated Depreciation</t>
        </is>
      </c>
      <c r="C32" s="73" t="n">
        <v>0</v>
      </c>
      <c r="D32" s="73" t="n">
        <v>0</v>
      </c>
      <c r="E32" s="73" t="n">
        <v>0</v>
      </c>
      <c r="F32" s="73" t="n">
        <v>0</v>
      </c>
      <c r="G32" s="73" t="n">
        <v>0</v>
      </c>
      <c r="H32" s="73" t="n">
        <v>0</v>
      </c>
      <c r="I32" s="73" t="n">
        <v>0</v>
      </c>
      <c r="J32" s="73" t="n">
        <v>0</v>
      </c>
      <c r="K32" s="73" t="n">
        <v>0</v>
      </c>
      <c r="L32" s="73" t="n">
        <v>22899</v>
      </c>
      <c r="M32" s="73" t="n">
        <v>24538</v>
      </c>
      <c r="N32" s="73" t="n">
        <v>0</v>
      </c>
      <c r="O32" s="73" t="n"/>
      <c r="R32" t="inlineStr">
        <is>
          <t>Dividends received</t>
        </is>
      </c>
      <c r="S32" t="n">
        <v>0</v>
      </c>
      <c r="T32" t="n">
        <v>0</v>
      </c>
      <c r="U32" s="73" t="n">
        <v>0</v>
      </c>
      <c r="V32" t="n">
        <v>0</v>
      </c>
      <c r="W32" t="n">
        <v>0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50</v>
      </c>
      <c r="AD32" s="73" t="n">
        <v>104</v>
      </c>
      <c r="AE32" t="n">
        <v>0</v>
      </c>
    </row>
    <row r="33">
      <c r="B33" t="inlineStr">
        <is>
          <t>Net Block</t>
        </is>
      </c>
      <c r="C33" s="73" t="n">
        <v>0</v>
      </c>
      <c r="D33" s="73" t="n">
        <v>0</v>
      </c>
      <c r="E33" s="73" t="n">
        <v>0</v>
      </c>
      <c r="F33" s="73" t="n">
        <v>0</v>
      </c>
      <c r="G33" s="73" t="n">
        <v>0</v>
      </c>
      <c r="H33" s="73" t="n">
        <v>0</v>
      </c>
      <c r="I33" s="73" t="n">
        <v>0</v>
      </c>
      <c r="J33" s="73" t="n">
        <v>0</v>
      </c>
      <c r="K33" s="73" t="n">
        <v>0</v>
      </c>
      <c r="L33" s="73" t="n">
        <v>13664</v>
      </c>
      <c r="M33" s="73" t="n">
        <v>13962</v>
      </c>
      <c r="N33" s="73" t="n">
        <v>15966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-1121</v>
      </c>
      <c r="AD33" t="n">
        <v>-5938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-127</v>
      </c>
      <c r="AD34" s="73" t="n">
        <v>-138</v>
      </c>
      <c r="AE34" t="n">
        <v>0</v>
      </c>
    </row>
    <row r="35">
      <c r="B35" t="inlineStr">
        <is>
          <t>CWIP</t>
        </is>
      </c>
      <c r="C35" s="73" t="n">
        <v>0</v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1875</v>
      </c>
      <c r="M35" s="73" t="n">
        <v>2026</v>
      </c>
      <c r="N35" s="73" t="n">
        <v>674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20</v>
      </c>
      <c r="AE35" t="n">
        <v>0</v>
      </c>
    </row>
    <row r="36">
      <c r="B36" t="inlineStr">
        <is>
          <t>Investments</t>
        </is>
      </c>
      <c r="C36" s="73" t="n">
        <v>0</v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5282</v>
      </c>
      <c r="M36" s="73" t="n">
        <v>13283</v>
      </c>
      <c r="N36" s="73" t="n">
        <v>12467</v>
      </c>
      <c r="O36" s="73" t="n"/>
      <c r="R36" t="inlineStr">
        <is>
          <t>Other investing items</t>
        </is>
      </c>
      <c r="S36" s="73" t="n">
        <v>0</v>
      </c>
      <c r="T36" s="73" t="n">
        <v>0</v>
      </c>
      <c r="U36" s="73" t="n">
        <v>0</v>
      </c>
      <c r="V36" s="73" t="n">
        <v>0</v>
      </c>
      <c r="W36" s="73" t="n">
        <v>0</v>
      </c>
      <c r="X36" s="73" t="n">
        <v>0</v>
      </c>
      <c r="Y36" s="73" t="n">
        <v>0</v>
      </c>
      <c r="Z36" s="73" t="n">
        <v>0</v>
      </c>
      <c r="AA36" t="n">
        <v>0</v>
      </c>
      <c r="AB36" s="73" t="n">
        <v>0</v>
      </c>
      <c r="AC36" t="n">
        <v>4005</v>
      </c>
      <c r="AD36" s="73" t="n">
        <v>-78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0</v>
      </c>
      <c r="T37" s="73" t="n">
        <v>0</v>
      </c>
      <c r="U37" s="73" t="n">
        <v>0</v>
      </c>
      <c r="V37" s="73" t="n">
        <v>0</v>
      </c>
      <c r="W37" s="73" t="n">
        <v>0</v>
      </c>
      <c r="X37" s="73" t="n">
        <v>0</v>
      </c>
      <c r="Y37" s="73" t="n">
        <v>0</v>
      </c>
      <c r="Z37" s="73" t="n">
        <v>0</v>
      </c>
      <c r="AA37" s="73" t="n">
        <v>0</v>
      </c>
      <c r="AB37" s="73" t="n">
        <v>0</v>
      </c>
      <c r="AC37" s="73" t="n">
        <v>-7970</v>
      </c>
      <c r="AD37" s="73" t="n">
        <v>-5223</v>
      </c>
      <c r="AE37" t="n">
        <v>0</v>
      </c>
    </row>
    <row r="38">
      <c r="B38" t="inlineStr">
        <is>
          <t>Other Assets -</t>
        </is>
      </c>
      <c r="C38" s="73" t="n">
        <v>0</v>
      </c>
      <c r="D38" s="73" t="n">
        <v>0</v>
      </c>
      <c r="E38" s="73" t="n">
        <v>0</v>
      </c>
      <c r="F38" s="73" t="n">
        <v>0</v>
      </c>
      <c r="G38" s="73" t="n">
        <v>0</v>
      </c>
      <c r="H38" s="73" t="n">
        <v>0</v>
      </c>
      <c r="I38" s="73" t="n">
        <v>0</v>
      </c>
      <c r="J38" s="73" t="n">
        <v>0</v>
      </c>
      <c r="K38" s="73" t="n">
        <v>0</v>
      </c>
      <c r="L38" s="73" t="n">
        <v>26030</v>
      </c>
      <c r="M38" s="73" t="n">
        <v>23038</v>
      </c>
      <c r="N38" s="73" t="n">
        <v>28346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0</v>
      </c>
      <c r="D39" s="73" t="n">
        <v>0</v>
      </c>
      <c r="E39" s="73" t="n">
        <v>0</v>
      </c>
      <c r="F39" s="73" t="n">
        <v>0</v>
      </c>
      <c r="G39" s="73" t="n">
        <v>0</v>
      </c>
      <c r="H39" s="73" t="n">
        <v>0</v>
      </c>
      <c r="I39" s="73" t="n">
        <v>0</v>
      </c>
      <c r="J39" s="73" t="n">
        <v>0</v>
      </c>
      <c r="K39" s="73" t="n">
        <v>0</v>
      </c>
      <c r="L39" s="73" t="n">
        <v>4625</v>
      </c>
      <c r="M39" s="73" t="n">
        <v>5448</v>
      </c>
      <c r="N39" s="73" t="n">
        <v>8217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2470</v>
      </c>
      <c r="AD39" s="73" t="n">
        <v>341</v>
      </c>
      <c r="AE39" t="n">
        <v>0</v>
      </c>
    </row>
    <row r="40">
      <c r="B40" t="inlineStr">
        <is>
          <t>Trade receivables +</t>
        </is>
      </c>
      <c r="C40" s="73" t="n">
        <v>0</v>
      </c>
      <c r="D40" s="73" t="n">
        <v>0</v>
      </c>
      <c r="E40" s="73" t="n">
        <v>0</v>
      </c>
      <c r="F40" s="73" t="n">
        <v>0</v>
      </c>
      <c r="G40" s="73" t="n">
        <v>0</v>
      </c>
      <c r="H40" s="73" t="n">
        <v>0</v>
      </c>
      <c r="I40" s="73" t="n">
        <v>0</v>
      </c>
      <c r="J40" s="73" t="n">
        <v>0</v>
      </c>
      <c r="K40" s="73" t="n">
        <v>0</v>
      </c>
      <c r="L40" s="73" t="n">
        <v>3064</v>
      </c>
      <c r="M40" s="73" t="n">
        <v>2721</v>
      </c>
      <c r="N40" s="73" t="n">
        <v>3620</v>
      </c>
      <c r="O40" s="73" t="n"/>
      <c r="R40" t="inlineStr">
        <is>
          <t>Repayment of borrowings</t>
        </is>
      </c>
      <c r="S40" t="n">
        <v>0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0</v>
      </c>
      <c r="Z40" t="n">
        <v>0</v>
      </c>
      <c r="AA40" s="73" t="n">
        <v>0</v>
      </c>
      <c r="AB40" s="73" t="n">
        <v>0</v>
      </c>
      <c r="AC40" s="73" t="n">
        <v>-9231</v>
      </c>
      <c r="AD40" s="73" t="n">
        <v>-4454</v>
      </c>
      <c r="AE40" t="n">
        <v>0</v>
      </c>
    </row>
    <row r="41">
      <c r="B41" t="inlineStr">
        <is>
          <t>Cash Equivalents</t>
        </is>
      </c>
      <c r="C41" s="73" t="n">
        <v>0</v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2266</v>
      </c>
      <c r="M41" s="73" t="n">
        <v>7776</v>
      </c>
      <c r="N41" s="73" t="n">
        <v>7964</v>
      </c>
      <c r="O41" s="73" t="n"/>
      <c r="R41" t="inlineStr">
        <is>
          <t>Interest paid fin</t>
        </is>
      </c>
      <c r="S41" s="73" t="n">
        <v>0</v>
      </c>
      <c r="T41" s="73" t="n">
        <v>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0</v>
      </c>
      <c r="AC41" s="73" t="n">
        <v>-1006</v>
      </c>
      <c r="AD41" s="73" t="n">
        <v>-884</v>
      </c>
      <c r="AE41" t="n">
        <v>0</v>
      </c>
    </row>
    <row r="42">
      <c r="B42" t="inlineStr">
        <is>
          <t>Loans n Advances</t>
        </is>
      </c>
      <c r="C42" s="73" t="n">
        <v>0</v>
      </c>
      <c r="D42" s="73" t="n">
        <v>0</v>
      </c>
      <c r="E42" s="73" t="n">
        <v>0</v>
      </c>
      <c r="F42" s="73" t="n">
        <v>0</v>
      </c>
      <c r="G42" s="73" t="n">
        <v>0</v>
      </c>
      <c r="H42" s="73" t="n">
        <v>0</v>
      </c>
      <c r="I42" s="73" t="n">
        <v>0</v>
      </c>
      <c r="J42" s="73" t="n">
        <v>0</v>
      </c>
      <c r="K42" s="73" t="n">
        <v>0</v>
      </c>
      <c r="L42" s="73" t="n">
        <v>492</v>
      </c>
      <c r="M42" s="73" t="n">
        <v>541</v>
      </c>
      <c r="N42" s="73" t="n">
        <v>4347</v>
      </c>
      <c r="O42" s="73" t="n"/>
      <c r="R42" t="inlineStr">
        <is>
          <t>Dividends paid</t>
        </is>
      </c>
      <c r="S42" s="73" t="n">
        <v>0</v>
      </c>
      <c r="T42" s="73" t="n">
        <v>0</v>
      </c>
      <c r="U42" s="73" t="n">
        <v>0</v>
      </c>
      <c r="V42" s="73" t="n">
        <v>0</v>
      </c>
      <c r="W42" s="73" t="n">
        <v>0</v>
      </c>
      <c r="X42" s="73" t="n">
        <v>0</v>
      </c>
      <c r="Y42" s="73" t="n">
        <v>0</v>
      </c>
      <c r="Z42" s="73" t="n">
        <v>0</v>
      </c>
      <c r="AA42" s="73" t="n">
        <v>0</v>
      </c>
      <c r="AB42" s="73" t="n">
        <v>0</v>
      </c>
      <c r="AC42" s="73" t="n">
        <v>0</v>
      </c>
      <c r="AD42" s="73" t="n">
        <v>0</v>
      </c>
      <c r="AE42" t="n">
        <v>0</v>
      </c>
    </row>
    <row r="43">
      <c r="B43" t="inlineStr">
        <is>
          <t>Other asset items</t>
        </is>
      </c>
      <c r="C43" s="73" t="n">
        <v>0</v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15583</v>
      </c>
      <c r="M43" s="73" t="n">
        <v>6552</v>
      </c>
      <c r="N43" s="73" t="n">
        <v>4198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-203</v>
      </c>
      <c r="AD43" t="n">
        <v>-226</v>
      </c>
      <c r="AE43" t="n">
        <v>0</v>
      </c>
    </row>
    <row r="44">
      <c r="B44" s="57" t="inlineStr">
        <is>
          <t>Total Assets</t>
        </is>
      </c>
      <c r="C44" s="73" t="n">
        <v>0</v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46851</v>
      </c>
      <c r="M44" s="73" t="n">
        <v>52309</v>
      </c>
      <c r="N44" s="73" t="n">
        <v>57453</v>
      </c>
      <c r="R44" t="inlineStr">
        <is>
          <t>Other financing items</t>
        </is>
      </c>
      <c r="S44" t="n">
        <v>0</v>
      </c>
      <c r="T44" t="n">
        <v>0</v>
      </c>
      <c r="U44" s="73" t="n">
        <v>0</v>
      </c>
      <c r="V44" s="73" t="n">
        <v>0</v>
      </c>
      <c r="W44" s="73" t="n">
        <v>0</v>
      </c>
      <c r="X44" s="73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R45" t="inlineStr">
        <is>
          <t>Net Cash Flow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1033</v>
      </c>
      <c r="AD45" t="n">
        <v>5866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31.97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Ashok Leyland</t>
        </is>
      </c>
      <c r="M57" t="n">
        <v>142</v>
      </c>
      <c r="N57" t="n">
        <v>586.9718</v>
      </c>
      <c r="AR57" t="n">
        <v>83350</v>
      </c>
      <c r="AS57">
        <f>AZ57-BA57</f>
        <v/>
      </c>
      <c r="AT57">
        <f>AR57+AS57</f>
        <v/>
      </c>
      <c r="AU57" t="n">
        <v>52278.4</v>
      </c>
      <c r="AV57" t="n">
        <v>4006.6</v>
      </c>
      <c r="AW57" t="n">
        <v>3724.31</v>
      </c>
      <c r="AX57" t="n">
        <v>15</v>
      </c>
      <c r="AZ57" t="n">
        <v>63936</v>
      </c>
      <c r="BA57" t="n">
        <v>7467</v>
      </c>
    </row>
    <row r="58">
      <c r="K58" t="n">
        <v>2</v>
      </c>
      <c r="L58" t="inlineStr">
        <is>
          <t>CG Power &amp; Ind</t>
        </is>
      </c>
      <c r="M58" t="n">
        <v>835.4</v>
      </c>
      <c r="N58" t="n">
        <v>157.5947</v>
      </c>
      <c r="AR58" t="n">
        <v>131654.6</v>
      </c>
      <c r="AS58">
        <f>AZ58-BA58</f>
        <v/>
      </c>
      <c r="AT58">
        <f>AR58+AS58</f>
        <v/>
      </c>
      <c r="AU58" t="n">
        <v>15206.2</v>
      </c>
      <c r="AV58" t="n">
        <v>2454.5</v>
      </c>
      <c r="AW58" t="n">
        <v>1398.05</v>
      </c>
      <c r="AX58" t="n">
        <v>15</v>
      </c>
      <c r="AZ58" t="n">
        <v>169</v>
      </c>
      <c r="BA58" t="n">
        <v>384</v>
      </c>
    </row>
    <row r="59">
      <c r="K59" t="n">
        <v>3</v>
      </c>
      <c r="L59" t="inlineStr">
        <is>
          <t>Hitachi Energy</t>
        </is>
      </c>
      <c r="M59" t="n">
        <v>28395</v>
      </c>
      <c r="N59" t="n">
        <v>4.4523</v>
      </c>
      <c r="AR59" t="n">
        <v>126422</v>
      </c>
      <c r="AS59">
        <f>AZ59-BA59</f>
        <v/>
      </c>
      <c r="AT59">
        <f>AR59+AS59</f>
        <v/>
      </c>
      <c r="AU59" t="n">
        <v>9974.799999999999</v>
      </c>
      <c r="AV59" t="n">
        <v>1764.9</v>
      </c>
      <c r="AW59" t="n">
        <v>1191.2</v>
      </c>
      <c r="AX59" t="n">
        <v>15</v>
      </c>
      <c r="AZ59" t="n">
        <v>86</v>
      </c>
      <c r="BA59" t="n">
        <v>0</v>
      </c>
    </row>
    <row r="60">
      <c r="K60" t="n">
        <v>4</v>
      </c>
      <c r="L60" t="inlineStr">
        <is>
          <t>Cummins India</t>
        </is>
      </c>
      <c r="M60" t="n">
        <v>4532</v>
      </c>
      <c r="N60" t="n">
        <v>27.8282</v>
      </c>
      <c r="AR60" t="n">
        <v>126117.4</v>
      </c>
      <c r="AS60">
        <f>AZ60-BA60</f>
        <v/>
      </c>
      <c r="AT60">
        <f>AR60+AS60</f>
        <v/>
      </c>
      <c r="AU60" t="n">
        <v>13704</v>
      </c>
      <c r="AV60" t="n">
        <v>3655.8</v>
      </c>
      <c r="AW60" t="n">
        <v>2439.41</v>
      </c>
      <c r="AX60" t="n">
        <v>15</v>
      </c>
      <c r="AZ60" t="n">
        <v>37</v>
      </c>
      <c r="BA60" t="n">
        <v>2153</v>
      </c>
    </row>
    <row r="61">
      <c r="K61" t="n">
        <v>5</v>
      </c>
      <c r="L61" t="inlineStr">
        <is>
          <t>Siemens</t>
        </is>
      </c>
      <c r="M61" t="n">
        <v>3339.5</v>
      </c>
      <c r="N61" t="n">
        <v>35.6534</v>
      </c>
      <c r="AR61" t="n">
        <v>119064.4</v>
      </c>
      <c r="AS61">
        <f>AZ61-BA61</f>
        <v/>
      </c>
      <c r="AT61">
        <f>AR61+AS61</f>
        <v/>
      </c>
      <c r="AU61" t="n">
        <v>18854.8</v>
      </c>
      <c r="AV61" t="n">
        <v>12858.6</v>
      </c>
      <c r="AW61" t="n">
        <v>1503.34</v>
      </c>
      <c r="AX61" t="n">
        <v>15</v>
      </c>
      <c r="AZ61" t="n">
        <v>307</v>
      </c>
      <c r="BA61" t="n">
        <v>1</v>
      </c>
    </row>
    <row r="62">
      <c r="K62" t="n">
        <v>6</v>
      </c>
      <c r="L62" t="inlineStr">
        <is>
          <t>Siemens Ener.Ind</t>
        </is>
      </c>
      <c r="M62" t="n">
        <v>2843.9</v>
      </c>
      <c r="N62" t="n">
        <v>35.8482</v>
      </c>
      <c r="AR62" t="n">
        <v>101948.8</v>
      </c>
      <c r="AS62">
        <f>AZ62-BA62</f>
        <v/>
      </c>
      <c r="AT62">
        <f>AR62+AS62</f>
        <v/>
      </c>
      <c r="AU62" t="n">
        <v>9942.4</v>
      </c>
      <c r="AV62" t="n">
        <v>2645.4</v>
      </c>
      <c r="AW62" t="n">
        <v>1526.41</v>
      </c>
      <c r="AX62" t="n">
        <v>15</v>
      </c>
      <c r="AZ62" t="n">
        <v>307</v>
      </c>
      <c r="BA62" t="n">
        <v>1</v>
      </c>
    </row>
    <row r="63">
      <c r="K63" t="n">
        <v>7</v>
      </c>
      <c r="L63" t="inlineStr">
        <is>
          <t>Suzlon Energy</t>
        </is>
      </c>
      <c r="M63" t="n">
        <v>36.92</v>
      </c>
      <c r="N63" t="n">
        <v>1366.2134</v>
      </c>
      <c r="AR63" t="n">
        <v>50440.6</v>
      </c>
      <c r="AS63">
        <f>AZ63-BA63</f>
        <v/>
      </c>
      <c r="AT63">
        <f>AR63+AS63</f>
        <v/>
      </c>
      <c r="AU63" t="n">
        <v>15316.4</v>
      </c>
      <c r="AV63" t="n">
        <v>1831.3</v>
      </c>
      <c r="AW63" t="n">
        <v>3144.68</v>
      </c>
      <c r="AX63" t="n">
        <v>15</v>
      </c>
      <c r="AZ63" t="n">
        <v>556</v>
      </c>
      <c r="BA63" t="n">
        <v>217</v>
      </c>
    </row>
    <row r="64">
      <c r="K64" t="n">
        <v>8</v>
      </c>
      <c r="L64" t="inlineStr">
        <is>
          <t>Aditya Infotech</t>
        </is>
      </c>
      <c r="M64" t="n">
        <v>3968.2</v>
      </c>
      <c r="N64" t="n">
        <v>12.2595</v>
      </c>
      <c r="AR64" t="n">
        <v>48648.2</v>
      </c>
      <c r="AS64">
        <f>AZ64-BA64</f>
        <v/>
      </c>
      <c r="AT64">
        <f>AR64+AS64</f>
        <v/>
      </c>
      <c r="AU64" t="n">
        <v>5609.7</v>
      </c>
      <c r="AV64" t="n">
        <v>853.2</v>
      </c>
      <c r="AW64" t="n">
        <v>477.27</v>
      </c>
      <c r="AX64" t="n">
        <v>15</v>
      </c>
      <c r="AZ64" t="n">
        <v>256</v>
      </c>
      <c r="BA64" t="n">
        <v>1</v>
      </c>
    </row>
    <row r="65">
      <c r="K65" t="n">
        <v>9</v>
      </c>
      <c r="L65" t="inlineStr">
        <is>
          <t>Siemens</t>
        </is>
      </c>
      <c r="M65" t="n">
        <v>3913.9</v>
      </c>
      <c r="N65" t="n">
        <v>35.61</v>
      </c>
      <c r="AR65" t="n">
        <v>126580.93</v>
      </c>
      <c r="AS65">
        <f>AZ65-BA65</f>
        <v/>
      </c>
      <c r="AT65">
        <f>AR65+AS65</f>
        <v/>
      </c>
      <c r="AU65" t="n">
        <v>32838.92</v>
      </c>
      <c r="AV65">
        <f>AT65/AX65</f>
        <v/>
      </c>
      <c r="AW65" t="n">
        <v>3186.64</v>
      </c>
      <c r="AX65" t="n">
        <v>33.21</v>
      </c>
      <c r="AZ65" t="n">
        <v>31645.23</v>
      </c>
      <c r="BA65" t="n">
        <v>6329.05</v>
      </c>
    </row>
    <row r="66">
      <c r="K66" t="n">
        <v>10</v>
      </c>
      <c r="L66" t="inlineStr">
        <is>
          <t>Polycab India</t>
        </is>
      </c>
      <c r="M66" t="n">
        <v>8400</v>
      </c>
      <c r="N66" t="n">
        <v>15.07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1" min="2" max="2"/>
    <col width="23.44140625" customWidth="1" style="171" min="3" max="3"/>
    <col width="26.88671875" customWidth="1" style="171" min="4" max="4"/>
    <col width="24" customWidth="1" style="171" min="5" max="5"/>
  </cols>
  <sheetData>
    <row r="1" ht="15" customHeight="1" s="171" thickBot="1"/>
    <row r="2" ht="15" customHeight="1" s="171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1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1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1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1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1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1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1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1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1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1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1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1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1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1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1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1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1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1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1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1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1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1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1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1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1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1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1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1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1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1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1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1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1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1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1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1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1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1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1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1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1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1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1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1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1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1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1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1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1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1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1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1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1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1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1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1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1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1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1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1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1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1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1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1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1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1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1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1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1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1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1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1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1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1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1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1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1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1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1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1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1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1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1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1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1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1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1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1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1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1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1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1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1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1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1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1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1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1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1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1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1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1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1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1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1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1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1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1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1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1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1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1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1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1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1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1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1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1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1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1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1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1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1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1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1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1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1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1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1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1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1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1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1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1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1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1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1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1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1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1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1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1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1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1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1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1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1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1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1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1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1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1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1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1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1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1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1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1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1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1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1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1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1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1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1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1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1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1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1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1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1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1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1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1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1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1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1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1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1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1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1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1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1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1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1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1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1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1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1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1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1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1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1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1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1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1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1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1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1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1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1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1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1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1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1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1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1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1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1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1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1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1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1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1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1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1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1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1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1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1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1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1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1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1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1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1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1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1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1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1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1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1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1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1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1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1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1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1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1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1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1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1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1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1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1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1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1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1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1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1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1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1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1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1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1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1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1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1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1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1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1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1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1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1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1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1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1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1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1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1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1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1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1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1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1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1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1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1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1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1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1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1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1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1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1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1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1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1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1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1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1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1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1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1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1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1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1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1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1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1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1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1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1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1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1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1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1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1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1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1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1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1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1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1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1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1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1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1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1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1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1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1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1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1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1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1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1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1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1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1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1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1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1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1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1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1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1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1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1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1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1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1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1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1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1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1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1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1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1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1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1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1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1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1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1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1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1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1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1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1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1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1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1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1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1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1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1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1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1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1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1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1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1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1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1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1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1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1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1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1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1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1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1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1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1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1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1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1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1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1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1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1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1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1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1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1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1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1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1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1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1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1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1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1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1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1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1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1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1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1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1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1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1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1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1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1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1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1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1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1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1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1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1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1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1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1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1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1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1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1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1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1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1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1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1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1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1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1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1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1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1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1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1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1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1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1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1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1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1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1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1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1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1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1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1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1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1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1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1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1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1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1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1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1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1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1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1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1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1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1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1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1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1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1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1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1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1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1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1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1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1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1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1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1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1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1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1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1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1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1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1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1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1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1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1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1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1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1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1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1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1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1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1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1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1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1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1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1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1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1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1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1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1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1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1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1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1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1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1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1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1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1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1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1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1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1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1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1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1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1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1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1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1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1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1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1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1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1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1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1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1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1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1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1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1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1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1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1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1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1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1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1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1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1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1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1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1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1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1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1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1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1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1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1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1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1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1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1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1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1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1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1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1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1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1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1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1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1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1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1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1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1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1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1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1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1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1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1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1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1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1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1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1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1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1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1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1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1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1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1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1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1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1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1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1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1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1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1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1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1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1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1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1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1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1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1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1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1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1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1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1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1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1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1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1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1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1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1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1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1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1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1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1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1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1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1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1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1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1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1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1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1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1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1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1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1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1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1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1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1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1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1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1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1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1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1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1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1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1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1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1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1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1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1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1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1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1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1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1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1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1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1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1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1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1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1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1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1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1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1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1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1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1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1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1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1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1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1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1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1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1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1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1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1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1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1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1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1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1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1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1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1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1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1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1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1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1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1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1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1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1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1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1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1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1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1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1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1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1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1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1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1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1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1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1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1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1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1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1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1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1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1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1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1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1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1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1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1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1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1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1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1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1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1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1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1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1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1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1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1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1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1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1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1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1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1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1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1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1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1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1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1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1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1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1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1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1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1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1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1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1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1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1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1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1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1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1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1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1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1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1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1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1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1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1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1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1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1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1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1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1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1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1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1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1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1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1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1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1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1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1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1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1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1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1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1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1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1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1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1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1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1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1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1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1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1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1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1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1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1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1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1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1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1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1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1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1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1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1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1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1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1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1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1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1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1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1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1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1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1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1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1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1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1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1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1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1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1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1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1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1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1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1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1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1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1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1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1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1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1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1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1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1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1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1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1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1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1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1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1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1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1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1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1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1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1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1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1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1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1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1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1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1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1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1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1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1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1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1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1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1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1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1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1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1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1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1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1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1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1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1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1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1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1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1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1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1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1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1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1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1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1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1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1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1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1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1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1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1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1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1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1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1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1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1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1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1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1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1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1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1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1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1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1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1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1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1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1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1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1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1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1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1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1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1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1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1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1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1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1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1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1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1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1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1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1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1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1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1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1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1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1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1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1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1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1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1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1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1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1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1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1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1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1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1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1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1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1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1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1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1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1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1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1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1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1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1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1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1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1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1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1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1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1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1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1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1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1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1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1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1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1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1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1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1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1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1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1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1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1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1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1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1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1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1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1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1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1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1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1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1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1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1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1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1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1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1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1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1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1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1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1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1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1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1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1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1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1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1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1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1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1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1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1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1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1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1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1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1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1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1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1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1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1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1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1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1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1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1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1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1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1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1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1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1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1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1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1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1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1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1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1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1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1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1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1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1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1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1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1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1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1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1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1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1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1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1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1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1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1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1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1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1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1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1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1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1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1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1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1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1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1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1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1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1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1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1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1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1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1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1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1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1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1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1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1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1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1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1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1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1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1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1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1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1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1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1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1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1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1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1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1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1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1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1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1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1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1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1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1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1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1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1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1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1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1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1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1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1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1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1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1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1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1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1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1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1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1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1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1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1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1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1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1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1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1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1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1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1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1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1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1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1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1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1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1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1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1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1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1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1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1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1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1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1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1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1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1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1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1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1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1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1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1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1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1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1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1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1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1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1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1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1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1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1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1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1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1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1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1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1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1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1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1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1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1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1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1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1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1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1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1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1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1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1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1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1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1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1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1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1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1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1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1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1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1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1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1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1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1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1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1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1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1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1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1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1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1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1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1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1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1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1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1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1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1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1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1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1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1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1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1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1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1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1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1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1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1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1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1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1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1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1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1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1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1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1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1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1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1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1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1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1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1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1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1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1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1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1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1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1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1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1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1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1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1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1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1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1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1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1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1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1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1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1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1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1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1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1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1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1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1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1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1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1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1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1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1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1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1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1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1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1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1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1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1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1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1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1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1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1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1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1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1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1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1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1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1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1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1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1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1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1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1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1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1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1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1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1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1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1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1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1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1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1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1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1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1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1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1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1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1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1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1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1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1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1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1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1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1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1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1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1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1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1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1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1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1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1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1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1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1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1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1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1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1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1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1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1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1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1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1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1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1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1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1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1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1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1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1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1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1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1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1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1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1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1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1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1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1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1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1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1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1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1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1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1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1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1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1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1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1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1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1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1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1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1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1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1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1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1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1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1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1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1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1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1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1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1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1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1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1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1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1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1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1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1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1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1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1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1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1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1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1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1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1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1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1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1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1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1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1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1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1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1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1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1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1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1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1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1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1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1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1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1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1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1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1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1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1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1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1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1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1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1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1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1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1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1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1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1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1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1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1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1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1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1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1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1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1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1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1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1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1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1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1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1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1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1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1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1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1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1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1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1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1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1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1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1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1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1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1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1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1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1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1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1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1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1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1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1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1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1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1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1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1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1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1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1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1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1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1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1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1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1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1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1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1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1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1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1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1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1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1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1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1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1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1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1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1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1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1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1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1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1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1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1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1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1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1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1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1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1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1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1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1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1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1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1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1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1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1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1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1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1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1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1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1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1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1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1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1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1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1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1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1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1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1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1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1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1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1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1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1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1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1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1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1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1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1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1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1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1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1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1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1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1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1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1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1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1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1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1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1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1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1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1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1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1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1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1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1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1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1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1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1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1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1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1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1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1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1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1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1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1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1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1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1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1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1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1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1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1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1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1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1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1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1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1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1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1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1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1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1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1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1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1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1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1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1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1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1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1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1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1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1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1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1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1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1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1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1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1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1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1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1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1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1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1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1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1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1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1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1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1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1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1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1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1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1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1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1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1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1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1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1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1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1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1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1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1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1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1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1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1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1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1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1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1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1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1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1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1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1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1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1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1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1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1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1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1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1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1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1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1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1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1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1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1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1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1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1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1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1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1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1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1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1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1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1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1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1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1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1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1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1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1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1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1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1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1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1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1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1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1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1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1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1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1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1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1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1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1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1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1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1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1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1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1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1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1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1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1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1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1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1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1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1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1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1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1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1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1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1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1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1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1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1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1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1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1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1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1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1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1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1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1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1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1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1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1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1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1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1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1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1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1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1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1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1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1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1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1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1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1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1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1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1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1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1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1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1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1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1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1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1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1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1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1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1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1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1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1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1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1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1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1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1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1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1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1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1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1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1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1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1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1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1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1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1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1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1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1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1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1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1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1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1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1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1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1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1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1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1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1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1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1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1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1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1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1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1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1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1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1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1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1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1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1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1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1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1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1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1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1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1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1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1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1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1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1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1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1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1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1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1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1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1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1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1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1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1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1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1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1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1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1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1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1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1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1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1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1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1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1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1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1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1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1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1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1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1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1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1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1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1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1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1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1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1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1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1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1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1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1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1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1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1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1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1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1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1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1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1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1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1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1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1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1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1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1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1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1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1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1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1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1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1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1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1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1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1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1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1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1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1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1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1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1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1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1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1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1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1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1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1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1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1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1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1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1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1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1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1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1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1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1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1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1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1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1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1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1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1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1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1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1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1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1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1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1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1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1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1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1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1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1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1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1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1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1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1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1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1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1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1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1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1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1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1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1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1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1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1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1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1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1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1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1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1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1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1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1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1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1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1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1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1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1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1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1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1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1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1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1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1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1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1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1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1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1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1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1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1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1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1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1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1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1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1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1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1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1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1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1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1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1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1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1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1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1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1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1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1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1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1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1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1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1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1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1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1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1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1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1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1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1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1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1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1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1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1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1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1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1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1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1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1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1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1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1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1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1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1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1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1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1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1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1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1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1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1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1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1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1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1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1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1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1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1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1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1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1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1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1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1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1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1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1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1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1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1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1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1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1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1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1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1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1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1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1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1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1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1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1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1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1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1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1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1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1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1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1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1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1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1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1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1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1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1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1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1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1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1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1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1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1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1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1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1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1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1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1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1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1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1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1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1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1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1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1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1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1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1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1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1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1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1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1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1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1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1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1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1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1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1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1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1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1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1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1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1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1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1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1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1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1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1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1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1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1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1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1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1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1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1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1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1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1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1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1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1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1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1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1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1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1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1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1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1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1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1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1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1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1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1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1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1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1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1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1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1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1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1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1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1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1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1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1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1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1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1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1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1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1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1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1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1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1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1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1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1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1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1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1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1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1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1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1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1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1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1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1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1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1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1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1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1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1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1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1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1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1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1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1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1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1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1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1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1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1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1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1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1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1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1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1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1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1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1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1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1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1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1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1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1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1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1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1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1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1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1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1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1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1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1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1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1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1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1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1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1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1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1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1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1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1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1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1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1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1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1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1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1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1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1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1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1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1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1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1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1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1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1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1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1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1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1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1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1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1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1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1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1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1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1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1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1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1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1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1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1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1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1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1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1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1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1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1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1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1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1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1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1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1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1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1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1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1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1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1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1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1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1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1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1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1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1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1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1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1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1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1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1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1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1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1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1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1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1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1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1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1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1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1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1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1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1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1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1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1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1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1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1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1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1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1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1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1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1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1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1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1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1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1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1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1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1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1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1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1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1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1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1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1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1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1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1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1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1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1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1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1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1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1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1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1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1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1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1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1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1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1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1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1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1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1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1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1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1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1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1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1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1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1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1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1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1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1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1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1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1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1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1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1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1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1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1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1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1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1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1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1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1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1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1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1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1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1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1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1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1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1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1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1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1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1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1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1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1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1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1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1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1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1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1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1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1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1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1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1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1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1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1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1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1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1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1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1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1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1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1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1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1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1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1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1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1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1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1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1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1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1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1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1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1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1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1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1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1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1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1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1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1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1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1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1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1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1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1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1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1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1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1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1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1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1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1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1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1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1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1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1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1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1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1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1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1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1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1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1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1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1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1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1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1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1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1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1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1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1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1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1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1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1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1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1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1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1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1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1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1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1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1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1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1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1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1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1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1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1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1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1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1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1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1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1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1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1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1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1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1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1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1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1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1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1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1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1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1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1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1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1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1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1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1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1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1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1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1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1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1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1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1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1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1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1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1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1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1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1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1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1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1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1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1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1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1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1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1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1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1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1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1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1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1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1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1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1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1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1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1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1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1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1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1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1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1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1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1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1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1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1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1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1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1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1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1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1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1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1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1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1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1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1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1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1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1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1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1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1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1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1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1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1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1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1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1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1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1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1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1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1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1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1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1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1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1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1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1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1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1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1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1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1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1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1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1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1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1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1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1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1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1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1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1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1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1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1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1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1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1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1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1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1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1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1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1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1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1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1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1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1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1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1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1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1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1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1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1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1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1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1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1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1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1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1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1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1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1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1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1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1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1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1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1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1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1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1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1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1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1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1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1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1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1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1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1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1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1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1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1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1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1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1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1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1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1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1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1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1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1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1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1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1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1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1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1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1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1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1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1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1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1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1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1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1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1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1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1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1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1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1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1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1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1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1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1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1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1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1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1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1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1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1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1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1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1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1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1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1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1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1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1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1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1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1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1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1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1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1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1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1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1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1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1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1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1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1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1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1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1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1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1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1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1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1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1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1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1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1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1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1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1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1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1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1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1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1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1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1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1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1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1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1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1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1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1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1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1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1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1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1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1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1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1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1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1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1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1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1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1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1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1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1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1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1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1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1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1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1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1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1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1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1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1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1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1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1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1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1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1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1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1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1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1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1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1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1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1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1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1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1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1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1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1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1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1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1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1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1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1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1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1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1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1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1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1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1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1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1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1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1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1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1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1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1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1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1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1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1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1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1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1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1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1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1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1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1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1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1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1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1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1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1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1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1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1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1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1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1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1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1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1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1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1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1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1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1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1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1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1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1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1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1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1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1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1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1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1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1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1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1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1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1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1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1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1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1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1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1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1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1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1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1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1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1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1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1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1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1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1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1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1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1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1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1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1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1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1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1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1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1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1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1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1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1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1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1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1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1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1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1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1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1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1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1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1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1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1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1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1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1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1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1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1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1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1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1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1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1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1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1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1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1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1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1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1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1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1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1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1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1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1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1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1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1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1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1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1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1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1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1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1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1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1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1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1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1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1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1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1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1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1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1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1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1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1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1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1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1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1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1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1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1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1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1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1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1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1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1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1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1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1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1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1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1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1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1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1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1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1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1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1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1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1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1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1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1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1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1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1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1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1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1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1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1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1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1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1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1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1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1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1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1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1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1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1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1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1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1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1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1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1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1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1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1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1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1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1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1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1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1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1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1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1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1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1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1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1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1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1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1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1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1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1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1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1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1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1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1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1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1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1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1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1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1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1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1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1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1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1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1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1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1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1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1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1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1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1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1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1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1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1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1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1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1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1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1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1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1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1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1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1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1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1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1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1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1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1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1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1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1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1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1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1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1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1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1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1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1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1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1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1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1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1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1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1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1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1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1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1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1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1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1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1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1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1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1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1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1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1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1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1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1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1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1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1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1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1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1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1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1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1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1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1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1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1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1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1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1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1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1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1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1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1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1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1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1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1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1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1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1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1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1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1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1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1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1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1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1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1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1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1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1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1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1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1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1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1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1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1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1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1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1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1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1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1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1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1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1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1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1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1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1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1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1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1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1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1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1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1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1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1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1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1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1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1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1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1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1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1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1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1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1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1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1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1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1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1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1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1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1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1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1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1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1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1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1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1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1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1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1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1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1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1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1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1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1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1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1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1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1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1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1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1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1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1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1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1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1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1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1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1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1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1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1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1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1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1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1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1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1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1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1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1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1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1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1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1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1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1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1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1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1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1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1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1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1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1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1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1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1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1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1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1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1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1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1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1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1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1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1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1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1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1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1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1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1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1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1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1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1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1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1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1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1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1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1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1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1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1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1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1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1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1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1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1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1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1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1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1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1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1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1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1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1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1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1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1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1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1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1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1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1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1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1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1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1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1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1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1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1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1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1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1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1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1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1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1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1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1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1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1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1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1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1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1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1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1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1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1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1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1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1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1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1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1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1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1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1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1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1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1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1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1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1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1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1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1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1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1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1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1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1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1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1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1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1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1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1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1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1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1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1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1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1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1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1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1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1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1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1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1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1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1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1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1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1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1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1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1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1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1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1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1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1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1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1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1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1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1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1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1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1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1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1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1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1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1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1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1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1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1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1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1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1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1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1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1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1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1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1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1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1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1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1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1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1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1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1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1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1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1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1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1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1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1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1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1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1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1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1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1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1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1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1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1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1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1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1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1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1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1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1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1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1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1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1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1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1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1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1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1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1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1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1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1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1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1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1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1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1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1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1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1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1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1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1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1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1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1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1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1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1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1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1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1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1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1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1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1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1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1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1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1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1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1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1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1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1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1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1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1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1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1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1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1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1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1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1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1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1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1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1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1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1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1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1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1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1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1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1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1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1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1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1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1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1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1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1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1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1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1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1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1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1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1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1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1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1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1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1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1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1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1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1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1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1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1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1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1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1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1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1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1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1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1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1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1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1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1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1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1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1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1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1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1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1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1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1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1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1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1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1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1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1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1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1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1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1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1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1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1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1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1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1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1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1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1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1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1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1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1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1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1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1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1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1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1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1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1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1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1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1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1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1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1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1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1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1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1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1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1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1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1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1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1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1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1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1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1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1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1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1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1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1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1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1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1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1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1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1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1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1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1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1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1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1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1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1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1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1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1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1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1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1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1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1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1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1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1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1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1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1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1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1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1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1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1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1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1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1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1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1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1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1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1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1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1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1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1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1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1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1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1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1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1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1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1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1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1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1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1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1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1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1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1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1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1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1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1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1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1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1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1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1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1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1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1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1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1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1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1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1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1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1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1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1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1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1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1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1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1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1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1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1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1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1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1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1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1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1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1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1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1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1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1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1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1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1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1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1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1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1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1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1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1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1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1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1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1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1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1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1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1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1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1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1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1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1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1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1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1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1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1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1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1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1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1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1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1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1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1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1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1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1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1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1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1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1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1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1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1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1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1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1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1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1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1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1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1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1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1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1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1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1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1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1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1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1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1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1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1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1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1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1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1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1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1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1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1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1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1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1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1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1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1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1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1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1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1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1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1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1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1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1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1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1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1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1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1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1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1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1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1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1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1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1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1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1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1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1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1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1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1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1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1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1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1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1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1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1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1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1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1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1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1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1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1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1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1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1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1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1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1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1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1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1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1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1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1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1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1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1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1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1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1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1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1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1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1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1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1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1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1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1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1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1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1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1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1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1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1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1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1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1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1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1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1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1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1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1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1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1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1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1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1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1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1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1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1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1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1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1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1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1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1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1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1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1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1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1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1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1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1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1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1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1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1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1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1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1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1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1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1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1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1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1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1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1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1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1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1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1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1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1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1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1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1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1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1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1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1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1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1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1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1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1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1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1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1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1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1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1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1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1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1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1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1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1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1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1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1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1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1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1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1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1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1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1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1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1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1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1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1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1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1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1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1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1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1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1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1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1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1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1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1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1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1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1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1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1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1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1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1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1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1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1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1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1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1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1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1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1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1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1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1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1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1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1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1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1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1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1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1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1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1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1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1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1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1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1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1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1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1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1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1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1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1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1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1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1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1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1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1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1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1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1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1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1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1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1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1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1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1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1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1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1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1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1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1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1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1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1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1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1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1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1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1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1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1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1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1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1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1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1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1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1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1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1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1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1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1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1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1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1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1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1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1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1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1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1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1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1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1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1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1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1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1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1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1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1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1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1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1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1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1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1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1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1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1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1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1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1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1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1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1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1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1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1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1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1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1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1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1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1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1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1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1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1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1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1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1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1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1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1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1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1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1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1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1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1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1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1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1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1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1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1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1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1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1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1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1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1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1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1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1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1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1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1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1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1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1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1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1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1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1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1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1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1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1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1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1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1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1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1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1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1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1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1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1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1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1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1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1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1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1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1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1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1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1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1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1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1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1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1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1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1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1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1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1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1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1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1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1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1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1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1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1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1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1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1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1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1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1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1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1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1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1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1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1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1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1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1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1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1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1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1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1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1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1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1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1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1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1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1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1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1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1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1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1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1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1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1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1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1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1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1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1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1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1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1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1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1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1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1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1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1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1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1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1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1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1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1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1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1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1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1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1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1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1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1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1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1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1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1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1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1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1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1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1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1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1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1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1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1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1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1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1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1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1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1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1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1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1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1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1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1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1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1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1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1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1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1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1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1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1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1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1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1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1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1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1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1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1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1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1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1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1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1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1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1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1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1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1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1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1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1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1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1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1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1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1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1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1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1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1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1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1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1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1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1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1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1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1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1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1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1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1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1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1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1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1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1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1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1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1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1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1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1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1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1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1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1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1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1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1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1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1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1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1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1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1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1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1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1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1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1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1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1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1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1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1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1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1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1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1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1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1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1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1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1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1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1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1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1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1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1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1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1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1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1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1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1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1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1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1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1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1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1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1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1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1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1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1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1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1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1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1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1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1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1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1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1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1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1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1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1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1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1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1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1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1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1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1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1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1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1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1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1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1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1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1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1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1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1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1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1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1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1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1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1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1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1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1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1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1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1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1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1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1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1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1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1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1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1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1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1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1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1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1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1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1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1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1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1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1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1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1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1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1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1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1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1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1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1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1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1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1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1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1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1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1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1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1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1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1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1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1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1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1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1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1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1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1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1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1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1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1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1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1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1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1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1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1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1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1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1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1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1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1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1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1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1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1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1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1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1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1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1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1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1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1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1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1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1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1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1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1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1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1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1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1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1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1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1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1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1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1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1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1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1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1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1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1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1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1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1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1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1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1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1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1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1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1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1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1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1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1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1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1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1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1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1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1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1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1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1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1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1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1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1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1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1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1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1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1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1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1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1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1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1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1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1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1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1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1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1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1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1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1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1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1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1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1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1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1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1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1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1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1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1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1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1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1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1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1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1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1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1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1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1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1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1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1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1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1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1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1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1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1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1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1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1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1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1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1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1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1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1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1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1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1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1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1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1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1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1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1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1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1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1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1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1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1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1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1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1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1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1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1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1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1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1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1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1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1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1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1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1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1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1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1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1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1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1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1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1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1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1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1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1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1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1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1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1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1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1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1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1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1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1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1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1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1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1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1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1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1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1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1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1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1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1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1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1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1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1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1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1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1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1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1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1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1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1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1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1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1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1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1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1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1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1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1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1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1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1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1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1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1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1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1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1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1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1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1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1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1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1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1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1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1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1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1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1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1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1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1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1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1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1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1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1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1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1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1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1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1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1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1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1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1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1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1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1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1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1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1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1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1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1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1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1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1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1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1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1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1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1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1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1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1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1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1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1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1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1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1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1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1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1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1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1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1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1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1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1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1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1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1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1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1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1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1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1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1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1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1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1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1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1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1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1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1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1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1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1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1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1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1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1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1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1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1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1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1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1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1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1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1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1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1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1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1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1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1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1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1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1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1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1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1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1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1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1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1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1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1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1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1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1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1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1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1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1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1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1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1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1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1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1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1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1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1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1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1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1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1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1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1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1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1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1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1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1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1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1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1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1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1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1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1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1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1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1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1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1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1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1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1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1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1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1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1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1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1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1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1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1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1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1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1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1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1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1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1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1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1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1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1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1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1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1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1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1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1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1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1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1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1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1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1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1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1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1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1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1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1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1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1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1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1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1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1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1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1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1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1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1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1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1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1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1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1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1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1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1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1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1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1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1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1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1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1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1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1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1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1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1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1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1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1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1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1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1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1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1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1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1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1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1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1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1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1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1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1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1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1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1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1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1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1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1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1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1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1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1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1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1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1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1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1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1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1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1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1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1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1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1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1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1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1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1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1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1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1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1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1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1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1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1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1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1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1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1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1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1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1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1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1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1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1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1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1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1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1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1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1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1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1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1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1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1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1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1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1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1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1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1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1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1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1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1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1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1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1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1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1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1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1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1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1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1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1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1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1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1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1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1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1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1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1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1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1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1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1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1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1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1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1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1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1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1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1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1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1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1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1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1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1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1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1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1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1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1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1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1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1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1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1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1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1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1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1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1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1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1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1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1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1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1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1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1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1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1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1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1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1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1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1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1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1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1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1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1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1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1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1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1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1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1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1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1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1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1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1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1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1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1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1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1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1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1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1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1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1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1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1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1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1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1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1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1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1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1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1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1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1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1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1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1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1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1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1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1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1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1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1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1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1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1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1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1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1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1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1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1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1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1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1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1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1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1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1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1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1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1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1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1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1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1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1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1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1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1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1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1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1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1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1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1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1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1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1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1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1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1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1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1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1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1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1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1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1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1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1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1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1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1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1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1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1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1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1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1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1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1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1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1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1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1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1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1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1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1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1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1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1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1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1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1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1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1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1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1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1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1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1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1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1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1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1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1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1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1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1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1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1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1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1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1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1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1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1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1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1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1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1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1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1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1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1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1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1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1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1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1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1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1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1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1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1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1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1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1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1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1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1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1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1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1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1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1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1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1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1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1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1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1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1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1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1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1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1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1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1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1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1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1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1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1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1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1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1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1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1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1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1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2026-10-27T16:44:18Z</dcterms:modified>
  <cp:lastModifiedBy>Loveish</cp:lastModifiedBy>
  <cp:lastPrinted>2012-12-06T18:14:13Z</cp:lastPrinted>
</cp:coreProperties>
</file>