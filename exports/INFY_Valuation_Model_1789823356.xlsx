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A277CDA8-9A2B-4761-9DF2-14B74C257267}"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11" i="14"/>
  <c r="B12" i="19" l="1"/>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10" i="14"/>
  <c r="H11" i="14"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10"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164" i="14"/>
  <c r="B165" i="14"/>
  <c r="B166" i="14"/>
  <c r="B167" i="14"/>
  <c r="B168" i="14"/>
  <c r="B169" i="14"/>
  <c r="B170" i="14"/>
  <c r="B171" i="14"/>
  <c r="B172" i="14"/>
  <c r="B173" i="14"/>
  <c r="B174" i="14"/>
  <c r="B158" i="14"/>
  <c r="B159" i="14"/>
  <c r="B160" i="14"/>
  <c r="B161" i="14"/>
  <c r="B162" i="14"/>
  <c r="B163"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 i="14"/>
  <c r="Q33" i="19" l="1"/>
  <c r="P33" i="19"/>
  <c r="O33" i="19"/>
  <c r="Q28" i="19"/>
  <c r="Q27" i="19"/>
  <c r="Q26" i="19"/>
  <c r="Q25" i="19"/>
  <c r="Q24" i="19"/>
  <c r="Q23" i="19"/>
  <c r="Q35" i="19"/>
  <c r="P35" i="19"/>
  <c r="O35" i="19"/>
  <c r="Q32" i="19"/>
  <c r="Q34" i="19" s="1"/>
  <c r="Q37" i="19" s="1"/>
  <c r="Q39" i="19" s="1"/>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O12" i="14"/>
  <c r="O11" i="14"/>
  <c r="L9" i="14" s="1"/>
  <c r="L15" i="14" s="1"/>
  <c r="J15" i="15" s="1"/>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<sst xmlns="http://schemas.openxmlformats.org/spreadsheetml/2006/main" count="16988" uniqueCount="8671">
  <si>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</si>
  <si>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</si>
  <si>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</si>
  <si>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</si>
  <si>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</si>
  <si>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</si>
  <si>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</si>
  <si>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</si>
  <si>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</si>
  <si>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</si>
  <si>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</si>
  <si>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</si>
  <si>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</si>
  <si>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</si>
  <si>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</si>
  <si>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</si>
  <si>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</si>
  <si>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</si>
  <si>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</si>
  <si>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</si>
  <si>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</si>
  <si>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</si>
  <si>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</si>
  <si>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</si>
  <si>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</si>
  <si>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</si>
  <si>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</si>
  <si>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</si>
  <si>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</si>
  <si>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</si>
  <si>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</si>
  <si>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</si>
  <si>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</si>
  <si>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</si>
  <si>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</si>
  <si>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</si>
  <si>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</si>
  <si>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</si>
  <si>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</si>
  <si>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</si>
  <si>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</si>
  <si>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</si>
  <si>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</si>
  <si>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</si>
  <si>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</si>
  <si>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</si>
  <si>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</si>
  <si>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</si>
  <si>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</si>
  <si>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</si>
  <si>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</si>
  <si>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</si>
  <si>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</si>
  <si>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</si>
  <si>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</si>
  <si>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</si>
  <si>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</si>
  <si>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</si>
  <si>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</si>
  <si>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</si>
  <si>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</si>
  <si>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</si>
  <si>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</si>
  <si>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</si>
  <si>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</si>
  <si>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</si>
  <si>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</si>
  <si>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</si>
  <si>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</si>
  <si>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</si>
  <si>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</si>
  <si>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</si>
  <si>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</si>
  <si>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</si>
  <si>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</si>
  <si>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</si>
  <si>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</si>
  <si>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</si>
  <si>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</si>
  <si>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</si>
  <si>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</si>
  <si>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</si>
  <si>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</si>
  <si>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</si>
  <si>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</si>
  <si>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</si>
  <si>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</si>
  <si>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</si>
  <si>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</si>
  <si>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</si>
  <si>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</si>
  <si>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</si>
  <si>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</si>
  <si>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</si>
  <si>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</si>
  <si>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</si>
  <si>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</si>
  <si>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</si>
  <si>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</si>
  <si>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</si>
  <si>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</si>
  <si>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</si>
  <si>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</si>
  <si>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</si>
  <si>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</si>
  <si>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</si>
  <si>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</si>
  <si>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</si>
  <si>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</si>
  <si>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</si>
  <si>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</si>
  <si>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</si>
  <si>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</si>
  <si>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</si>
  <si>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</si>
  <si>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</si>
  <si>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</si>
  <si>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</si>
  <si>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</si>
  <si>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</si>
  <si>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</si>
  <si>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</si>
  <si>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</si>
  <si>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</si>
  <si>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</si>
  <si>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</si>
  <si>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</si>
  <si>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</si>
  <si>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</si>
  <si>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</si>
  <si>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</si>
  <si>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</si>
  <si>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</si>
  <si>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</si>
  <si>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</si>
  <si>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</si>
  <si>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</si>
  <si>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</si>
  <si>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</si>
  <si>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</si>
  <si>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</si>
  <si>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</si>
  <si>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</si>
  <si>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</si>
  <si>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</si>
  <si>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</si>
  <si>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</si>
  <si>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</si>
  <si>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</si>
  <si>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</si>
  <si>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</si>
  <si>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</si>
  <si>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</si>
  <si>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</si>
  <si>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</si>
  <si>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</si>
  <si>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</si>
  <si>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</si>
  <si>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</si>
  <si>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</si>
  <si>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</si>
  <si>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</si>
  <si>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</si>
  <si>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</si>
  <si>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</si>
  <si>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</si>
  <si>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</si>
  <si>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</si>
  <si>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</si>
  <si>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</si>
  <si>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</si>
  <si>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</si>
  <si>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</si>
  <si>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</si>
  <si>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</si>
  <si>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</si>
  <si>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</si>
  <si>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</si>
  <si>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</si>
  <si>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</si>
  <si>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</si>
  <si>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</si>
  <si>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</si>
  <si>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</si>
  <si>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</si>
  <si>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</si>
  <si>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</si>
  <si>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</si>
  <si>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</si>
  <si>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</si>
  <si>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</si>
  <si>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</si>
  <si>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</si>
  <si>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</si>
  <si>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</si>
  <si>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</si>
  <si>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</si>
  <si>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</si>
  <si>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</si>
  <si>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</si>
  <si>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</si>
  <si>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</si>
  <si>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</si>
  <si>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</si>
  <si>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</si>
  <si>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</si>
  <si>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</si>
  <si>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</si>
  <si>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</si>
  <si>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</si>
  <si>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</si>
  <si>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</si>
  <si>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</si>
  <si>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</si>
  <si>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</si>
  <si>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</si>
  <si>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</si>
  <si>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</si>
  <si>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</si>
  <si>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</si>
  <si>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</si>
  <si>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</si>
  <si>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</si>
  <si>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</si>
  <si>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</si>
  <si>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</si>
  <si>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</si>
  <si>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</si>
  <si>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</si>
  <si>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</si>
  <si>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</si>
  <si>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</si>
  <si>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</si>
  <si>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</si>
  <si>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</si>
  <si>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</si>
  <si>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</si>
  <si>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</si>
  <si>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</si>
  <si>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</si>
  <si>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</si>
  <si>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</si>
  <si>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</si>
  <si>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</si>
  <si>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</si>
  <si>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</si>
  <si>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</si>
  <si>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</si>
  <si>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</si>
  <si>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</si>
  <si>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</si>
  <si>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</si>
  <si>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</si>
  <si>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</si>
  <si>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</si>
  <si>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</si>
  <si>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</si>
  <si>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</si>
  <si>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</si>
  <si>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</si>
  <si>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</si>
  <si>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</si>
  <si>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</si>
  <si>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</si>
  <si>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</si>
  <si>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</si>
  <si>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</si>
  <si>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</si>
  <si>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</si>
  <si>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</si>
  <si>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</si>
  <si>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</si>
  <si>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</si>
  <si>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</si>
  <si>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</si>
  <si>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</si>
  <si>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</si>
  <si>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</si>
  <si>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</si>
  <si>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</si>
  <si>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</si>
  <si>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</si>
  <si>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</si>
  <si>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</si>
  <si>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</si>
  <si>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</si>
  <si>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</si>
  <si>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</si>
  <si>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</si>
  <si>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</si>
  <si>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</si>
  <si>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</si>
  <si>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</si>
  <si>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</si>
  <si>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</si>
  <si>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</si>
  <si>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</si>
  <si>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</si>
  <si>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</si>
  <si>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</si>
  <si>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</si>
  <si>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</si>
  <si>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</si>
  <si>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</si>
  <si>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</si>
  <si>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</si>
  <si>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</si>
  <si>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</si>
  <si>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</si>
  <si>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</si>
  <si>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</si>
  <si>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</si>
  <si>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</si>
  <si>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</si>
  <si>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</si>
  <si>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</si>
  <si>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</si>
  <si>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</si>
  <si>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</si>
  <si>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</si>
  <si>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</si>
  <si>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</si>
  <si>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</si>
  <si>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</si>
  <si>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</si>
  <si>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</si>
  <si>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</si>
  <si>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</si>
  <si>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</si>
  <si>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</si>
  <si>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</si>
  <si>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</si>
  <si>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</si>
  <si>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</si>
  <si>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</si>
  <si>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</si>
  <si>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</si>
  <si>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</si>
  <si>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</si>
  <si>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</si>
  <si>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</si>
  <si>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</si>
  <si>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</si>
  <si>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</si>
  <si>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</si>
  <si>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</si>
  <si>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</si>
  <si>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</si>
  <si>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</si>
  <si>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</si>
  <si>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</si>
  <si>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</si>
  <si>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</si>
  <si>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</si>
  <si>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</si>
  <si>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</si>
  <si>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</si>
  <si>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</si>
  <si>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</si>
  <si>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</si>
  <si>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</si>
  <si>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</si>
  <si>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</si>
  <si>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</si>
  <si>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</si>
  <si>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</si>
  <si>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</si>
  <si>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</si>
  <si>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</si>
  <si>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</si>
  <si>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</si>
  <si>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</si>
  <si>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</si>
  <si>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</si>
  <si>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</si>
  <si>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</si>
  <si>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</si>
  <si>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</si>
  <si>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</si>
  <si>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</si>
  <si>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</si>
  <si>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</si>
  <si>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</si>
  <si>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</si>
  <si>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</si>
  <si>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</si>
  <si>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</si>
  <si>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</si>
  <si>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</si>
  <si>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</si>
  <si>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</si>
  <si>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</si>
  <si>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</si>
  <si>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</si>
  <si>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</si>
  <si>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</si>
  <si>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</si>
  <si>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</si>
  <si>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</si>
  <si>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</si>
  <si>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</si>
  <si>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</si>
  <si>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</si>
  <si>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</si>
  <si>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</si>
  <si>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</si>
  <si>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</si>
  <si>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</si>
  <si>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</si>
  <si>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</si>
  <si>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</si>
  <si>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</si>
  <si>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</si>
  <si>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</si>
  <si>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</si>
  <si>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</si>
  <si>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</si>
  <si>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</si>
  <si>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</si>
  <si>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</si>
  <si>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</si>
  <si>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</si>
  <si>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</si>
  <si>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</si>
  <si>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</si>
  <si>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</si>
  <si>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</si>
  <si>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</si>
  <si>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</si>
  <si>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</si>
  <si>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</si>
  <si>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</si>
  <si>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</si>
  <si>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</si>
  <si>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</si>
  <si>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</si>
  <si>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</si>
  <si>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</si>
  <si>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</si>
  <si>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</si>
  <si>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</si>
  <si>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</si>
  <si>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</si>
  <si>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</si>
  <si>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</si>
  <si>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</si>
  <si>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</si>
  <si>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</si>
  <si>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</si>
  <si>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</si>
  <si>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</si>
  <si>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</si>
  <si>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</si>
  <si>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</si>
  <si>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</si>
  <si>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</si>
  <si>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</si>
  <si>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</si>
  <si>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</si>
  <si>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</si>
  <si>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</si>
  <si>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</si>
  <si>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</si>
  <si>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</si>
  <si>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</si>
  <si>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</si>
  <si>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</si>
  <si>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</si>
  <si>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</si>
  <si>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</si>
  <si>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</si>
  <si>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</si>
  <si>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</si>
  <si>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</si>
  <si>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</si>
  <si>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</si>
  <si>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</si>
  <si>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</si>
  <si>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</si>
  <si>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</si>
  <si>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</si>
  <si>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</si>
  <si>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</si>
  <si>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</si>
  <si>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</si>
  <si>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</si>
  <si>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</si>
  <si>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</si>
  <si>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</si>
  <si>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</si>
  <si>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</si>
  <si>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</si>
  <si>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</si>
  <si>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</si>
  <si>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</si>
  <si>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</si>
  <si>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</si>
  <si>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</si>
  <si>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</si>
  <si>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</si>
  <si>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</si>
  <si>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</si>
  <si>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</si>
  <si>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</si>
  <si>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</si>
  <si>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</si>
  <si>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</si>
  <si>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</si>
  <si>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</si>
  <si>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</si>
  <si>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</si>
  <si>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</si>
  <si>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</si>
  <si>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</si>
  <si>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</si>
  <si>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</si>
  <si>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</si>
  <si>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</si>
  <si>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</si>
  <si>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</si>
  <si>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</si>
  <si>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</si>
  <si>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</si>
  <si>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</si>
  <si>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</si>
  <si>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</si>
  <si>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</si>
  <si>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</si>
  <si>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</si>
  <si>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</si>
  <si>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</si>
  <si>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</si>
  <si>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</si>
  <si>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</si>
  <si>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</si>
  <si>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</si>
  <si>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</si>
  <si>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</si>
  <si>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</si>
  <si>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</si>
  <si>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</si>
  <si>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</si>
  <si>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</si>
  <si>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</si>
  <si>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</si>
  <si>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</si>
  <si>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</si>
  <si>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</si>
  <si>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</si>
  <si>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</si>
  <si>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</si>
  <si>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</si>
  <si>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</si>
  <si>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</si>
  <si>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</si>
  <si>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</si>
  <si>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</si>
  <si>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</si>
  <si>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</si>
  <si>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</si>
  <si>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</si>
  <si>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</si>
  <si>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</si>
  <si>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</si>
  <si>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</si>
  <si>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</si>
  <si>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</si>
  <si>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</si>
  <si>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</si>
  <si>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</si>
  <si>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</si>
  <si>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</si>
  <si>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</si>
  <si>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</si>
  <si>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</si>
  <si>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</si>
  <si>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</si>
  <si>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</si>
  <si>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</si>
  <si>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</si>
  <si>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</si>
  <si>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</si>
  <si>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</si>
  <si>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</si>
  <si>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</si>
  <si>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</si>
  <si>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</si>
  <si>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</si>
  <si>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</si>
  <si>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</si>
  <si>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</si>
  <si>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</si>
  <si>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</si>
  <si>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</si>
  <si>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</si>
  <si>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</si>
  <si>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</si>
  <si>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</si>
  <si>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</si>
  <si>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</si>
  <si>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</si>
  <si>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</si>
  <si>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</si>
  <si>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</si>
  <si>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</si>
  <si>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</si>
  <si>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</si>
  <si>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</si>
  <si>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</si>
  <si>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</si>
  <si>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</si>
  <si>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</si>
  <si>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</si>
  <si>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</si>
  <si>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</si>
  <si>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</si>
  <si>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</si>
  <si>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</si>
  <si>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</si>
  <si>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</si>
  <si>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</si>
  <si>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</si>
  <si>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</si>
  <si>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</si>
  <si>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</si>
  <si>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</si>
  <si>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</si>
  <si>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</si>
  <si>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</si>
  <si>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</si>
  <si>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</si>
  <si>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</si>
  <si>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</si>
  <si>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</si>
  <si>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</si>
  <si>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</si>
  <si>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</si>
  <si>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</si>
  <si>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</si>
  <si>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</si>
  <si>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</si>
  <si>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</si>
  <si>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</si>
  <si>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</si>
  <si>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</si>
  <si>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</si>
  <si>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</si>
  <si>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</si>
  <si>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</si>
  <si>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</si>
  <si>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</si>
  <si>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</si>
  <si>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</si>
  <si>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</si>
  <si>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</si>
  <si>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</si>
  <si>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</si>
  <si>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</si>
  <si>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</si>
  <si>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</si>
  <si>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</si>
  <si>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</si>
  <si>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</si>
  <si>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</si>
  <si>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</si>
  <si>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</si>
  <si>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</si>
  <si>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</si>
  <si>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</si>
  <si>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</si>
  <si>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</si>
  <si>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</si>
  <si>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</si>
  <si>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</si>
  <si>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</si>
  <si>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</si>
  <si>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</si>
  <si>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</si>
  <si>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</si>
  <si>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</si>
  <si>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</si>
  <si>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</si>
  <si>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</si>
  <si>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</si>
  <si>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</si>
  <si>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</si>
  <si>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</si>
  <si>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</si>
  <si>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</si>
  <si>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</si>
  <si>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</si>
  <si>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</si>
  <si>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</si>
  <si>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</si>
  <si>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</si>
  <si>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</si>
  <si>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</si>
  <si>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</si>
  <si>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</si>
  <si>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</si>
  <si>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</si>
  <si>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</si>
  <si>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</si>
  <si>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</si>
  <si>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</si>
  <si>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</si>
  <si>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</si>
  <si>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</si>
  <si>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</si>
  <si>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</si>
  <si>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</si>
  <si>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</si>
  <si>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</si>
  <si>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</si>
  <si>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</si>
  <si>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</si>
  <si>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</si>
  <si>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</si>
  <si>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</si>
  <si>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</si>
  <si>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</si>
  <si>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</si>
  <si>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</si>
  <si>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</si>
  <si>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</si>
  <si>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</si>
  <si>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</si>
  <si>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</si>
  <si>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</si>
  <si>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</si>
  <si>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</si>
  <si>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</si>
  <si>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</si>
  <si>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</si>
  <si>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</si>
  <si>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</si>
  <si>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</si>
  <si>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</si>
  <si>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</si>
  <si>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</si>
  <si>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</si>
  <si>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</si>
  <si>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</si>
  <si>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</si>
  <si>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</si>
  <si>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</si>
  <si>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</si>
  <si>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</si>
  <si>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</si>
  <si>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</si>
  <si>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</si>
  <si>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</si>
  <si>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</si>
  <si>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</si>
  <si>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</si>
  <si>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</si>
  <si>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</si>
  <si>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</si>
  <si>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</si>
  <si>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</si>
  <si>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</si>
  <si>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</si>
  <si>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</si>
  <si>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</si>
  <si>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</si>
  <si>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</si>
  <si>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</si>
  <si>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</si>
  <si>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</si>
  <si>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</si>
  <si>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</si>
  <si>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</si>
  <si>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</si>
  <si>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</si>
  <si>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</si>
  <si>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</si>
  <si>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</si>
  <si>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</si>
  <si>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</si>
  <si>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</si>
  <si>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</si>
  <si>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</si>
  <si>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</si>
  <si>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</si>
  <si>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</si>
  <si>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</si>
  <si>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</si>
  <si>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</si>
  <si>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</si>
  <si>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</si>
  <si>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</si>
  <si>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</si>
  <si>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</si>
  <si>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</si>
  <si>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</si>
  <si>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</si>
  <si>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</si>
  <si>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</si>
  <si>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</si>
  <si>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</si>
  <si>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</si>
  <si>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</si>
  <si>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</si>
  <si>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</si>
  <si>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</si>
  <si>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</si>
  <si>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</si>
  <si>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</si>
  <si>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</si>
  <si>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</si>
  <si>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</si>
  <si>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</si>
  <si>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</si>
  <si>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</si>
  <si>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</si>
  <si>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</si>
  <si>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</si>
  <si>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</si>
  <si>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</si>
  <si>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</si>
  <si>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</si>
  <si>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</si>
  <si>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</si>
  <si>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</si>
  <si>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</si>
  <si>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</si>
  <si>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</si>
  <si>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</si>
  <si>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</si>
  <si>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</si>
  <si>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</si>
  <si>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</si>
  <si>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</si>
  <si>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</si>
  <si>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</si>
  <si>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</si>
  <si>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</si>
  <si>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</si>
  <si>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</si>
  <si>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</si>
  <si>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</si>
  <si>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</si>
  <si>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</si>
  <si>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</si>
  <si>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</si>
  <si>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</si>
  <si>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</si>
  <si>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</si>
  <si>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</si>
  <si>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</si>
  <si>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</si>
  <si>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</si>
  <si>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</si>
  <si>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</si>
  <si>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</si>
  <si>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</si>
  <si>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</si>
  <si>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</si>
  <si>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</si>
  <si>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</si>
  <si>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</si>
  <si>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</si>
  <si>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</si>
  <si>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</si>
  <si>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</si>
  <si>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</si>
  <si>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</si>
  <si>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</si>
  <si>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</si>
  <si>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</si>
  <si>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</si>
  <si>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</si>
  <si>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</si>
  <si>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</si>
  <si>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</si>
  <si>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</si>
  <si>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</si>
  <si>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</si>
  <si>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</si>
  <si>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</si>
  <si>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</si>
  <si>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</si>
  <si>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</si>
  <si>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</si>
  <si>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</si>
  <si>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</si>
  <si>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</si>
  <si>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</si>
  <si>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</si>
  <si>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</si>
  <si>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</si>
  <si>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</si>
  <si>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</si>
  <si>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</si>
  <si>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</si>
  <si>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</si>
  <si>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</si>
  <si>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</si>
  <si>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</si>
  <si>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</si>
  <si>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</si>
  <si>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</si>
  <si>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</si>
  <si>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</si>
  <si>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</si>
  <si>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</si>
  <si>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</si>
  <si>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</si>
  <si>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</si>
  <si>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</si>
  <si>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</si>
  <si>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</si>
  <si>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</si>
  <si>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</si>
  <si>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</si>
  <si>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</si>
  <si>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</si>
  <si>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</si>
  <si>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</si>
  <si>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</si>
  <si>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</si>
  <si>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</si>
  <si>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</si>
  <si>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</si>
  <si>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</si>
  <si>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</si>
  <si>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</si>
  <si>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</si>
  <si>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</si>
  <si>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</si>
  <si>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</si>
  <si>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</si>
  <si>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</si>
  <si>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</si>
  <si>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</si>
  <si>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</si>
  <si>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</si>
  <si>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</si>
  <si>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</si>
  <si>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</si>
  <si>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</si>
  <si>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</si>
  <si>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</si>
  <si>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</si>
  <si>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</si>
  <si>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</si>
  <si>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</si>
  <si>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</si>
  <si>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</si>
  <si>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</si>
  <si>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</si>
  <si>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</si>
  <si>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</si>
  <si>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</si>
  <si>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</si>
  <si>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</si>
  <si>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</si>
  <si>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</si>
  <si>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</si>
  <si>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</si>
  <si>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</si>
  <si>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</si>
  <si>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</si>
  <si>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</si>
  <si>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</si>
  <si>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</si>
  <si>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</si>
  <si>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</si>
  <si>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</si>
  <si>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</si>
  <si>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</si>
  <si>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</si>
  <si>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</si>
  <si>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</si>
  <si>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</si>
  <si>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</si>
  <si>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</si>
  <si>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</si>
  <si>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</si>
  <si>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</si>
  <si>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</si>
  <si>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</si>
  <si>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</si>
  <si>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</si>
  <si>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</si>
  <si>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</si>
  <si>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</si>
  <si>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</si>
  <si>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</si>
  <si>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</si>
  <si>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</si>
  <si>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</si>
  <si>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</si>
  <si>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</si>
  <si>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</si>
  <si>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</si>
  <si>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</si>
  <si>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</si>
  <si>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</si>
  <si>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</si>
  <si>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</si>
  <si>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</si>
  <si>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</si>
  <si>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</si>
  <si>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</si>
  <si>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</si>
  <si>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</si>
  <si>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</si>
  <si>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</si>
  <si>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</si>
  <si>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</si>
  <si>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</si>
  <si>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</si>
  <si>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</si>
  <si>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</si>
  <si>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</si>
  <si>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</si>
  <si>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</si>
  <si>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</si>
  <si>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</si>
  <si>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</si>
  <si>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</si>
  <si>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</si>
  <si>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</si>
  <si>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</si>
  <si>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</si>
  <si>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</si>
  <si>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</si>
  <si>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</si>
  <si>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</si>
  <si>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</si>
  <si>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</si>
  <si>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</si>
  <si>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</si>
  <si>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</si>
  <si>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</si>
  <si>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</si>
  <si>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</si>
  <si>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</si>
  <si>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</si>
  <si>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</si>
  <si>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</si>
  <si>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</si>
  <si>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</si>
  <si>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</si>
  <si>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</si>
  <si>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</si>
  <si>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</si>
  <si>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</si>
  <si>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</si>
  <si>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</si>
  <si>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</si>
  <si>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</si>
  <si>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</si>
  <si>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</si>
  <si>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</si>
  <si>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</si>
  <si>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</si>
  <si>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</si>
  <si>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</si>
  <si>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</si>
  <si>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</si>
  <si>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</si>
  <si>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</si>
  <si>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</si>
  <si>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</si>
  <si>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</si>
  <si>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</si>
  <si>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</si>
  <si>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</si>
  <si>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</si>
  <si>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</si>
  <si>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</si>
  <si>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</si>
  <si>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</si>
  <si>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</si>
  <si>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</si>
  <si>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</si>
  <si>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</si>
  <si>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</si>
  <si>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</si>
  <si>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</si>
  <si>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</si>
  <si>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</si>
  <si>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</si>
  <si>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</si>
  <si>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</si>
  <si>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</si>
  <si>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</si>
  <si>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</si>
  <si>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</si>
  <si>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</si>
  <si>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</si>
  <si>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</si>
  <si>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</si>
  <si>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</si>
  <si>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</si>
  <si>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</si>
  <si>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</si>
  <si>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</si>
  <si>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</si>
  <si>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</si>
  <si>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</si>
  <si>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</si>
  <si>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</si>
  <si>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</si>
  <si>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</si>
  <si>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</si>
  <si>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</si>
  <si>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</si>
  <si>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</si>
  <si>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</si>
  <si>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</si>
  <si>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</si>
  <si>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</si>
  <si>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</si>
  <si>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</si>
  <si>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</si>
  <si>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</si>
  <si>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</si>
  <si>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</si>
  <si>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</si>
  <si>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</si>
  <si>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</si>
  <si>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</si>
  <si>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</si>
  <si>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</si>
  <si>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</si>
  <si>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</si>
  <si>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</si>
  <si>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</si>
  <si>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</si>
  <si>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</si>
  <si>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</si>
  <si>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</si>
  <si>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</si>
  <si>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</si>
  <si>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</si>
  <si>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</si>
  <si>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</si>
  <si>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</si>
  <si>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</si>
  <si>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</si>
  <si>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</si>
  <si>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</si>
  <si>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</si>
  <si>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</si>
  <si>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</si>
  <si>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</si>
  <si>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</si>
  <si>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</si>
  <si>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</si>
  <si>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</si>
  <si>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</si>
  <si>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</si>
  <si>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</si>
  <si>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</si>
  <si>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</si>
  <si>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</si>
  <si>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</si>
  <si>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</si>
  <si>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</si>
  <si>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</si>
  <si>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</si>
  <si>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</si>
  <si>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</si>
  <si>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</si>
  <si>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</si>
  <si>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</si>
  <si>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</si>
  <si>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</si>
  <si>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</si>
  <si>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</si>
  <si>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</si>
  <si>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</si>
  <si>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</si>
  <si>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</si>
  <si>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</si>
  <si>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</si>
  <si>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</si>
  <si>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</si>
  <si>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</si>
  <si>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</si>
  <si>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</si>
  <si>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</si>
  <si>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</si>
  <si>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</si>
  <si>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</si>
  <si>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</si>
  <si>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</si>
  <si>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</si>
  <si>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</si>
  <si>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</si>
  <si>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</si>
  <si>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</si>
  <si>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</si>
  <si>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</si>
  <si>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</si>
  <si>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</si>
  <si>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</si>
  <si>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</si>
  <si>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</si>
  <si>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</si>
  <si>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</si>
  <si>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</si>
  <si>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</si>
  <si>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</si>
  <si>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</si>
  <si>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</si>
  <si>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</si>
  <si>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</si>
  <si>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</si>
  <si>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</si>
  <si>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</si>
  <si>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</si>
  <si>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</si>
  <si>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</si>
  <si>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</si>
  <si>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</si>
  <si>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</si>
  <si>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</si>
  <si>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</si>
  <si>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</si>
  <si>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</si>
  <si>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</si>
  <si>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</si>
  <si>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</si>
  <si>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</si>
  <si>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</si>
  <si>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</si>
  <si>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</si>
  <si>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</si>
  <si>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</si>
  <si>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</si>
  <si>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</si>
  <si>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</si>
  <si>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</si>
  <si>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</si>
  <si>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</si>
  <si>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</si>
  <si>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</si>
  <si>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</si>
  <si>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</si>
  <si>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</si>
  <si>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</si>
  <si>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</si>
  <si>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</si>
  <si>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</si>
  <si>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</si>
  <si>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</si>
  <si>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</si>
  <si>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</si>
  <si>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</si>
  <si>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</si>
  <si>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</si>
  <si>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</si>
  <si>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</si>
  <si>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</si>
  <si>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</si>
  <si>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</si>
  <si>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</si>
  <si>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</si>
  <si>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</si>
  <si>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</si>
  <si>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</si>
  <si>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</si>
  <si>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</si>
  <si>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</si>
  <si>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</si>
  <si>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</si>
  <si>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</si>
  <si>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</si>
  <si>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</si>
  <si>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</si>
  <si>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</si>
  <si>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</si>
  <si>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</si>
  <si>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</si>
  <si>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</si>
  <si>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</si>
  <si>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</si>
  <si>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</si>
  <si>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</si>
  <si>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</si>
  <si>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</si>
  <si>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</si>
  <si>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</si>
  <si>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</si>
  <si>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</si>
  <si>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</si>
  <si>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</si>
  <si>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</si>
  <si>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</si>
  <si>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</si>
  <si>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</si>
  <si>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</si>
  <si>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</si>
  <si>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</si>
  <si>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</si>
  <si>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</si>
  <si>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</si>
  <si>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</si>
  <si>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</si>
  <si>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</si>
  <si>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</si>
  <si>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</si>
  <si>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</si>
  <si>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</si>
  <si>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</si>
  <si>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</si>
  <si>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</si>
  <si>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</si>
  <si>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</si>
  <si>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</si>
  <si>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</si>
  <si>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</si>
  <si>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</si>
  <si>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</si>
  <si>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</si>
  <si>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</si>
  <si>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</si>
  <si>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</si>
  <si>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</si>
  <si>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</si>
  <si>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</si>
  <si>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</si>
  <si>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</si>
  <si>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</si>
  <si>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</si>
  <si>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</si>
  <si>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</si>
  <si>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</si>
  <si>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</si>
  <si>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</si>
  <si>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</si>
  <si>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</si>
  <si>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</si>
  <si>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</si>
  <si>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</si>
  <si>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</si>
  <si>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</si>
  <si>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</si>
  <si>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</si>
  <si>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</si>
  <si>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</si>
  <si>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</si>
  <si>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</si>
  <si>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</si>
  <si>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</si>
  <si>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</si>
  <si>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</si>
  <si>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</si>
  <si>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</si>
  <si>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</si>
  <si>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</si>
  <si>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</si>
  <si>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</si>
  <si>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</si>
  <si>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</si>
  <si>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</si>
  <si>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</si>
  <si>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</si>
  <si>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</si>
  <si>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</si>
  <si>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</si>
  <si>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</si>
  <si>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</si>
  <si>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</si>
  <si>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</si>
  <si>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</si>
  <si>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</si>
  <si>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</si>
  <si>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</si>
  <si>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</si>
  <si>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</si>
  <si>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</si>
  <si>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</si>
  <si>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</si>
  <si>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</si>
  <si>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</si>
  <si>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</si>
  <si>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</si>
  <si>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</si>
  <si>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</si>
  <si>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</si>
  <si>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</si>
  <si>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</si>
  <si>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</si>
  <si>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</si>
  <si>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</si>
  <si>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</si>
  <si>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</si>
  <si>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</si>
  <si>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</si>
  <si>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</si>
  <si>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</si>
  <si>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</si>
  <si>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</si>
  <si>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</si>
  <si>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</si>
  <si>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</si>
  <si>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</si>
  <si>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</si>
  <si>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</si>
  <si>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</si>
  <si>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</si>
  <si>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</si>
  <si>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</si>
  <si>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</si>
  <si>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</si>
  <si>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</si>
  <si>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</si>
  <si>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</si>
  <si>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</si>
  <si>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</si>
  <si>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</si>
  <si>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</si>
  <si>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</si>
  <si>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</si>
  <si>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</si>
  <si>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</si>
  <si>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</si>
  <si>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</si>
  <si>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</si>
  <si>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</si>
  <si>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</si>
  <si>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</si>
  <si>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</si>
  <si>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</si>
  <si>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</si>
  <si>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</si>
  <si>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</si>
  <si>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</si>
  <si>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</si>
  <si>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</si>
  <si>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</si>
  <si>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</si>
  <si>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</si>
  <si>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</si>
  <si>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</si>
  <si>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</si>
  <si>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</si>
  <si>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</si>
  <si>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</si>
  <si>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</si>
  <si>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</si>
  <si>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</si>
  <si>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</si>
  <si>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</si>
  <si>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</si>
  <si>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</si>
  <si>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</si>
  <si>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</si>
  <si>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</si>
  <si>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</si>
  <si>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</si>
  <si>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</si>
  <si>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</si>
  <si>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</si>
  <si>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</si>
  <si>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</si>
  <si>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</si>
  <si>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</si>
  <si>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</si>
  <si>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</si>
  <si>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</si>
  <si>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</si>
  <si>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</si>
  <si>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</si>
  <si>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</si>
  <si>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</si>
  <si>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</si>
  <si>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</si>
  <si>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</si>
  <si>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</si>
  <si>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</si>
  <si>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</si>
  <si>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</si>
  <si>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</si>
  <si>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</si>
  <si>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</si>
  <si>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</si>
  <si>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</si>
  <si>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</si>
  <si>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</si>
  <si>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</si>
  <si>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</si>
  <si>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</si>
  <si>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</si>
  <si>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</si>
  <si>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</si>
  <si>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</si>
  <si>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</si>
  <si>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</si>
  <si>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</si>
  <si>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</si>
  <si>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</si>
  <si>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</si>
  <si>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</si>
  <si>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</si>
  <si>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</si>
  <si>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</si>
  <si>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</si>
  <si>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</si>
  <si>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</si>
  <si>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</si>
  <si>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</si>
  <si>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</si>
  <si>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</si>
  <si>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</si>
  <si>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</si>
  <si>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</si>
  <si>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</si>
  <si>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</si>
  <si>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</si>
  <si>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</si>
  <si>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</si>
  <si>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</si>
  <si>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</si>
  <si>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</si>
  <si>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</si>
  <si>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</si>
  <si>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</si>
  <si>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</si>
  <si>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</si>
  <si>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</si>
  <si>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</si>
  <si>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</si>
  <si>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</si>
  <si>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</si>
  <si>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</si>
  <si>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</si>
  <si>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</si>
  <si>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</si>
  <si>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</si>
  <si>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</si>
  <si>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</si>
  <si>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</si>
  <si>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</si>
  <si>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</si>
  <si>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</si>
  <si>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</si>
  <si>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</si>
  <si>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</si>
  <si>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</si>
  <si>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</si>
  <si>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</si>
  <si>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</si>
  <si>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</si>
  <si>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</si>
  <si>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</si>
  <si>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</si>
  <si>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</si>
  <si>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</si>
  <si>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</si>
  <si>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</si>
  <si>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</si>
  <si>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</si>
  <si>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</si>
  <si>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</si>
  <si>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</si>
  <si>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</si>
  <si>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</si>
  <si>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</si>
  <si>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</si>
  <si>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</si>
  <si>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</si>
  <si>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</si>
  <si>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</si>
  <si>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</si>
  <si>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</si>
  <si>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</si>
  <si>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</si>
  <si>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</si>
  <si>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</si>
  <si>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</si>
  <si>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</si>
  <si>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</si>
  <si>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</si>
  <si>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</si>
  <si>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</si>
  <si>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</si>
  <si>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</si>
  <si>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</si>
  <si>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</si>
  <si>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</si>
  <si>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</si>
  <si>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</si>
  <si>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</si>
  <si>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</si>
  <si>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</si>
  <si>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</si>
  <si>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</si>
  <si>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</si>
  <si>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</si>
  <si>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</si>
  <si>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</si>
  <si>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</si>
  <si>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</si>
  <si>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</si>
  <si>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</si>
  <si>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</si>
  <si>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</si>
  <si>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</si>
  <si>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</si>
  <si>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</si>
  <si>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</si>
  <si>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</si>
  <si>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</si>
  <si>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</si>
  <si>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</si>
  <si>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</si>
  <si>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</si>
  <si>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</si>
  <si>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</si>
  <si>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</si>
  <si>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</si>
  <si>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</si>
  <si>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</si>
  <si>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</si>
  <si>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</si>
  <si>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</si>
  <si>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</si>
  <si>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</si>
  <si>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</si>
  <si>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</si>
  <si>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</si>
  <si>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</si>
  <si>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</si>
  <si>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</si>
  <si>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</si>
  <si>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</si>
  <si>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</si>
  <si>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</si>
  <si>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</si>
  <si>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</si>
  <si>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</si>
  <si>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</si>
  <si>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</si>
  <si>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</si>
  <si>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</si>
  <si>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</si>
  <si>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</si>
  <si>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</si>
  <si>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</si>
  <si>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</si>
  <si>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</si>
  <si>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</si>
  <si>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</si>
  <si>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</si>
  <si>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</si>
  <si>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</si>
  <si>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</si>
  <si>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</si>
  <si>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</si>
  <si>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</si>
  <si>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</si>
  <si>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</si>
  <si>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</si>
  <si>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</si>
  <si>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</si>
  <si>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</si>
  <si>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</si>
  <si>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</si>
  <si>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</si>
  <si>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</si>
  <si>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</si>
  <si>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</si>
  <si>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</si>
  <si>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</si>
  <si>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</si>
  <si>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</si>
  <si>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</si>
  <si>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</si>
  <si>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</si>
  <si>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</si>
  <si>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</si>
  <si>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</si>
  <si>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</si>
  <si>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</si>
  <si>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</si>
  <si>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</si>
  <si>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</si>
  <si>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</si>
  <si>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</si>
  <si>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</si>
  <si>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</si>
  <si>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</si>
  <si>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</si>
  <si>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</si>
  <si>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</si>
  <si>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</si>
  <si>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</si>
  <si>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</si>
  <si>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</si>
  <si>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</si>
  <si>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</si>
  <si>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</si>
  <si>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</si>
  <si>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</si>
  <si>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</si>
  <si>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</si>
  <si>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</si>
  <si>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</si>
  <si>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</si>
  <si>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</si>
  <si>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</si>
  <si>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</si>
  <si>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</si>
  <si>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</si>
  <si>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</si>
  <si>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</si>
  <si>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</si>
  <si>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</si>
  <si>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</si>
  <si>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</si>
  <si>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</si>
  <si>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</si>
  <si>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</si>
  <si>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</si>
  <si>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</si>
  <si>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</si>
  <si>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</si>
  <si>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</si>
  <si>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</si>
  <si>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</si>
  <si>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</si>
  <si>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</si>
  <si>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</si>
  <si>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</si>
  <si>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</si>
  <si>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</si>
  <si>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</si>
  <si>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</si>
  <si>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</si>
  <si>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</si>
  <si>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</si>
  <si>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</si>
  <si>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</si>
  <si>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</si>
  <si>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</si>
  <si>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</si>
  <si>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</si>
  <si>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</si>
  <si>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</si>
  <si>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</si>
  <si>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</si>
  <si>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</si>
  <si>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</si>
  <si>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</si>
  <si>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</si>
  <si>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</si>
  <si>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</si>
  <si>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</si>
  <si>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</si>
  <si>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</si>
  <si>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</si>
  <si>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</si>
  <si>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</si>
  <si>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</si>
  <si>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</si>
  <si>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</si>
  <si>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</si>
  <si>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</si>
  <si>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</si>
  <si>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</si>
  <si>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</si>
  <si>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</si>
  <si>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</si>
  <si>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</si>
  <si>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</si>
  <si>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</si>
  <si>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</si>
  <si>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</si>
  <si>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</si>
  <si>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</si>
  <si>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</si>
  <si>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</si>
  <si>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</si>
  <si>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</si>
  <si>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</si>
  <si>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</si>
  <si>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</si>
  <si>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</si>
  <si>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</si>
  <si>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</si>
  <si>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</si>
  <si>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</si>
  <si>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</si>
  <si>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</si>
  <si>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</si>
  <si>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</si>
  <si>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</si>
  <si>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</si>
  <si>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</si>
  <si>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</si>
  <si>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</si>
  <si>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</si>
  <si>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</si>
  <si>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</si>
  <si>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</si>
  <si>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</si>
  <si>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</si>
  <si>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</si>
  <si>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</si>
  <si>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</si>
  <si>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</si>
  <si>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</si>
  <si>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</si>
  <si>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</si>
  <si>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</si>
  <si>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</si>
  <si>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</si>
  <si>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</si>
  <si>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</si>
  <si>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</si>
  <si>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</si>
  <si>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</si>
  <si>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</si>
  <si>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</si>
  <si>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</si>
  <si>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</si>
  <si>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</si>
  <si>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</si>
  <si>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</si>
  <si>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</si>
  <si>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</si>
  <si>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</si>
  <si>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</si>
  <si>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</si>
  <si>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</si>
  <si>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</si>
  <si>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</si>
  <si>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</si>
  <si>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</si>
  <si>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</si>
  <si>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</si>
  <si>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</si>
  <si>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</si>
  <si>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</si>
  <si>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</si>
  <si>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</si>
  <si>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</si>
  <si>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</si>
  <si>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</si>
  <si>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</si>
  <si>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</si>
  <si>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</si>
  <si>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</si>
  <si>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</si>
  <si>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</si>
  <si>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</si>
  <si>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</si>
  <si>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</si>
  <si>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</si>
  <si>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</si>
  <si>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</si>
  <si>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</si>
  <si>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</si>
  <si>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</si>
  <si>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</si>
  <si>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</si>
  <si>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</si>
  <si>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</si>
  <si>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</si>
  <si>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</si>
  <si>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</si>
  <si>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</si>
  <si>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</si>
  <si>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</si>
  <si>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</si>
  <si>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</si>
  <si>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</si>
  <si>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</si>
  <si>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</si>
  <si>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</si>
  <si>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</si>
  <si>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</si>
  <si>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</si>
  <si>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</si>
  <si>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</si>
  <si>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</si>
  <si>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</si>
  <si>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</si>
  <si>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</si>
  <si>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</si>
  <si>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</si>
  <si>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</si>
  <si>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</si>
  <si>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</si>
  <si>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</si>
  <si>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</si>
  <si>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</si>
  <si>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</si>
  <si>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</si>
  <si>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</si>
  <si>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</si>
  <si>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</si>
  <si>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</si>
  <si>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</si>
  <si>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</si>
  <si>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</si>
  <si>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</si>
  <si>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</si>
  <si>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</si>
  <si>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</si>
  <si>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</si>
  <si>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</si>
  <si>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</si>
  <si>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</si>
  <si>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</si>
  <si>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</si>
  <si>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</si>
  <si>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</si>
  <si>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</si>
  <si>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</si>
  <si>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</si>
  <si>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</si>
  <si>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</si>
  <si>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</si>
  <si>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</si>
  <si>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</si>
  <si>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</si>
  <si>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</si>
  <si>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</si>
  <si>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</si>
  <si>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</si>
  <si>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</si>
  <si>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</si>
  <si>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</si>
  <si>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</si>
  <si>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</si>
  <si>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</si>
  <si>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</si>
  <si>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</si>
  <si>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</si>
  <si>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</si>
  <si>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</si>
  <si>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</si>
  <si>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</si>
  <si>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</si>
  <si>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</si>
  <si>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</si>
  <si>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</si>
  <si>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</si>
  <si>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</si>
  <si>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</si>
  <si>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</si>
  <si>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</si>
  <si>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</si>
  <si>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</si>
  <si>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</si>
  <si>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</si>
  <si>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</si>
  <si>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</si>
  <si>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</si>
  <si>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</si>
  <si>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</si>
  <si>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</si>
  <si>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</si>
  <si>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</si>
  <si>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</si>
  <si>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</si>
  <si>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</si>
  <si>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</si>
  <si>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</si>
  <si>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</si>
  <si>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</si>
  <si>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</si>
  <si>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</si>
  <si>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</si>
  <si>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</si>
  <si>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</si>
  <si>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</si>
  <si>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</si>
  <si>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</si>
  <si>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</si>
  <si>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</si>
  <si>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</si>
  <si>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</si>
  <si>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</si>
  <si>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</si>
  <si>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</si>
  <si>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</si>
  <si>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</si>
  <si>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</si>
  <si>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</si>
  <si>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</si>
  <si>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</si>
  <si>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</si>
  <si>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</si>
  <si>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</si>
  <si>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</si>
  <si>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</si>
  <si>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</si>
  <si>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</si>
  <si>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</si>
  <si>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</si>
  <si>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</si>
  <si>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</si>
  <si>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</si>
  <si>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</si>
  <si>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</si>
  <si>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</si>
  <si>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</si>
  <si>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</si>
  <si>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</si>
  <si>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</si>
  <si>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</si>
  <si>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</si>
  <si>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</si>
  <si>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</si>
  <si>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</si>
  <si>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</si>
  <si>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</si>
  <si>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</si>
  <si>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</si>
  <si>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</si>
  <si>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</si>
  <si>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</si>
  <si>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</si>
  <si>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</si>
  <si>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</si>
  <si>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</si>
  <si>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</si>
  <si>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</si>
  <si>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</si>
  <si>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</si>
  <si>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</si>
  <si>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</si>
  <si>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</si>
  <si>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</si>
  <si>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</si>
  <si>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</si>
  <si>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</si>
  <si>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</si>
  <si>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</si>
  <si>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</si>
  <si>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</si>
  <si>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</si>
  <si>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</si>
  <si>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</si>
  <si>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</si>
  <si>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</si>
  <si>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</si>
  <si>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</si>
  <si>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</si>
  <si>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</si>
  <si>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</si>
  <si>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</si>
  <si>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</si>
  <si>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</si>
  <si>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</si>
  <si>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</si>
  <si>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</si>
  <si>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</si>
  <si>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</si>
  <si>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</si>
  <si>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</si>
  <si>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</si>
  <si>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</si>
  <si>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</si>
  <si>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</si>
  <si>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</si>
  <si>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</si>
  <si>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</si>
  <si>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</si>
  <si>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</si>
  <si>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</si>
  <si>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</si>
  <si>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</si>
  <si>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</si>
  <si>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</si>
  <si>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</si>
  <si>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</si>
  <si>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</si>
  <si>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</si>
  <si>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</si>
  <si>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</si>
  <si>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</si>
  <si>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</si>
  <si>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</si>
  <si>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</si>
  <si>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</si>
  <si>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</si>
  <si>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</si>
  <si>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</si>
  <si>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</si>
  <si>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</si>
  <si>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</si>
  <si>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</si>
  <si>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</si>
  <si>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</si>
  <si>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</si>
  <si>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</si>
  <si>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</si>
  <si>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</si>
  <si>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</si>
  <si>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</si>
  <si>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</si>
  <si>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</si>
  <si>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</si>
  <si>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</si>
  <si>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</si>
  <si>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</si>
  <si>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</si>
  <si>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</si>
  <si>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</si>
  <si>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</si>
  <si>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</si>
  <si>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</si>
  <si>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</si>
  <si>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</si>
  <si>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</si>
  <si>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</si>
  <si>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</si>
  <si>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</si>
  <si>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</si>
  <si>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</si>
  <si>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</si>
  <si>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</si>
  <si>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</si>
  <si>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</si>
  <si>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</si>
  <si>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</si>
  <si>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</si>
  <si>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</si>
  <si>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</si>
  <si>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</si>
  <si>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</si>
  <si>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</si>
  <si>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</si>
  <si>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</si>
  <si>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</si>
  <si>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</si>
  <si>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</si>
  <si>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</si>
  <si>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</si>
  <si>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</si>
  <si>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</si>
  <si>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</si>
  <si>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</si>
  <si>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</si>
  <si>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</si>
  <si>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</si>
  <si>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</si>
  <si>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</si>
  <si>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</si>
  <si>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</si>
  <si>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</si>
  <si>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</si>
  <si>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</si>
  <si>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</si>
  <si>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</si>
  <si>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</si>
  <si>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</si>
  <si>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</si>
  <si>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</si>
  <si>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</si>
  <si>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</si>
  <si>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</si>
  <si>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</si>
  <si>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</si>
  <si>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</si>
  <si>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</si>
  <si>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</si>
  <si>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</si>
  <si>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</si>
  <si>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</si>
  <si>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</si>
  <si>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</si>
  <si>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</si>
  <si>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</si>
  <si>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</si>
  <si>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</si>
  <si>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</si>
  <si>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</si>
  <si>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</si>
  <si>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</si>
  <si>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</si>
  <si>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</si>
  <si>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</si>
  <si>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</si>
  <si>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</si>
  <si>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</si>
  <si>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</si>
  <si>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</si>
  <si>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</si>
  <si>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</si>
  <si>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</si>
  <si>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</si>
  <si>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</si>
  <si>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</si>
  <si>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</si>
  <si>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</si>
  <si>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</si>
  <si>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</si>
  <si>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</si>
  <si>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</si>
  <si>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</si>
  <si>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</si>
  <si>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</si>
  <si>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</si>
  <si>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</si>
  <si>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</si>
  <si>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</si>
  <si>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</si>
  <si>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</si>
  <si>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</si>
  <si>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</si>
  <si>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</si>
  <si>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</si>
  <si>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</si>
  <si>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</si>
  <si>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</si>
  <si>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</si>
  <si>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</si>
  <si>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</si>
  <si>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</si>
  <si>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</si>
  <si>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</si>
  <si>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</si>
  <si>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</si>
  <si>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</si>
  <si>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</si>
  <si>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</si>
  <si>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</si>
  <si>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</si>
  <si>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</si>
  <si>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</si>
  <si>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</si>
  <si>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</si>
  <si>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</si>
  <si>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</si>
  <si>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</si>
  <si>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</si>
  <si>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</si>
  <si>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</si>
  <si>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</si>
  <si>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</si>
  <si>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</si>
  <si>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</si>
  <si>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</si>
  <si>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</si>
  <si>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</si>
  <si>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</si>
  <si>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</si>
  <si>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</si>
  <si>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</si>
  <si>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</si>
  <si>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</si>
  <si>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</si>
  <si>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</si>
  <si>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</si>
  <si>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</si>
  <si>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</si>
  <si>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</si>
  <si>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</si>
  <si>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</si>
  <si>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</si>
  <si>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</si>
  <si>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</si>
  <si>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</si>
  <si>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</si>
  <si>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</si>
  <si>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</si>
  <si>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</si>
  <si>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</si>
  <si>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</si>
  <si>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</si>
  <si>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</si>
  <si>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</si>
  <si>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</si>
  <si>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</si>
  <si>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</si>
  <si>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</si>
  <si>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</si>
  <si>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</si>
  <si>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</si>
  <si>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</si>
  <si>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</si>
  <si>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</si>
  <si>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</si>
  <si>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</si>
  <si>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</si>
  <si>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</si>
  <si>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</si>
  <si>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</si>
  <si>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</si>
  <si>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</si>
  <si>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</si>
  <si>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</si>
  <si>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</si>
  <si>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</si>
  <si>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</si>
  <si>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</si>
  <si>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</si>
  <si>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</si>
  <si>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</si>
  <si>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</si>
  <si>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</si>
  <si>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</si>
  <si>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</si>
  <si>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</si>
  <si>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</si>
  <si>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</si>
  <si>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</si>
  <si>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</si>
  <si>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</si>
  <si>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</si>
  <si>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</si>
  <si>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</si>
  <si>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</si>
  <si>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</si>
  <si>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</si>
  <si>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</si>
  <si>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</si>
  <si>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</si>
  <si>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</si>
  <si>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</si>
  <si>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</si>
  <si>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</si>
  <si>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</si>
  <si>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</si>
  <si>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</si>
  <si>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</si>
  <si>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</si>
  <si>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</si>
  <si>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</si>
  <si>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</si>
  <si>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</si>
  <si>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</si>
  <si>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</si>
  <si>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</si>
  <si>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</si>
  <si>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</si>
  <si>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</si>
  <si>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</si>
  <si>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</si>
  <si>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</si>
  <si>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</si>
  <si>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</si>
  <si>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</si>
  <si>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</si>
  <si>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</si>
  <si>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</si>
  <si>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</si>
  <si>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</si>
  <si>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</si>
  <si>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</si>
  <si>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</si>
  <si>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</si>
  <si>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</si>
  <si>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</si>
  <si>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</si>
  <si>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</si>
  <si>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</si>
  <si>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</si>
  <si>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</si>
  <si>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</si>
  <si>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</si>
  <si>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</si>
  <si>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</si>
  <si>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</si>
  <si>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</si>
  <si>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</si>
  <si>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</si>
  <si>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</si>
  <si>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</si>
  <si>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</si>
  <si>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</si>
  <si>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</si>
  <si>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</si>
  <si>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</si>
  <si>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</si>
  <si>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</si>
  <si>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</si>
  <si>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</si>
  <si>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</si>
  <si>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</si>
  <si>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</si>
  <si>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</si>
  <si>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</si>
  <si>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</si>
  <si>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</si>
  <si>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</si>
  <si>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</si>
  <si>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</si>
  <si>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</si>
  <si>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</si>
  <si>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</si>
  <si>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</si>
  <si>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</si>
  <si>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</si>
  <si>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</si>
  <si>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</si>
  <si>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</si>
  <si>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</si>
  <si>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</si>
  <si>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</si>
  <si>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</si>
  <si>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</si>
  <si>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</si>
  <si>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</si>
  <si>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</si>
  <si>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</si>
  <si>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</si>
  <si>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</si>
  <si>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</si>
  <si>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</si>
  <si>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</si>
  <si>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</si>
  <si>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</si>
  <si>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</si>
  <si>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</si>
  <si>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</si>
  <si>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</si>
  <si>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</si>
  <si>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</si>
  <si>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</si>
  <si>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</si>
  <si>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</si>
  <si>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</si>
  <si>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</si>
  <si>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</si>
  <si>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</si>
  <si>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</si>
  <si>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</si>
  <si>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</si>
  <si>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</si>
  <si>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</si>
  <si>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</si>
  <si>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</si>
  <si>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</si>
  <si>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</si>
  <si>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</si>
  <si>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</si>
  <si>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</si>
  <si>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</si>
  <si>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</si>
  <si>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</si>
  <si>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</si>
  <si>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</si>
  <si>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</si>
  <si>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</si>
  <si>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</si>
  <si>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</si>
  <si>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</si>
  <si>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</si>
  <si>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</si>
  <si>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</si>
  <si>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</si>
  <si>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</si>
  <si>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</si>
  <si>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</si>
  <si>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</si>
  <si>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</si>
  <si>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</si>
  <si>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</si>
  <si>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</si>
  <si>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</si>
  <si>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</si>
  <si>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</si>
  <si>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</si>
  <si>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</si>
  <si>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</si>
  <si>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</si>
  <si>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</si>
  <si>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</si>
  <si>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</si>
  <si>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</si>
  <si>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</si>
  <si>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</si>
  <si>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</si>
  <si>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</si>
  <si>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</si>
  <si>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</si>
  <si>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</si>
  <si>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</si>
  <si>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</si>
  <si>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</si>
  <si>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</si>
  <si>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</si>
  <si>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</si>
  <si>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</si>
  <si>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</si>
  <si>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</si>
  <si>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</si>
  <si>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</si>
  <si>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</si>
  <si>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</si>
  <si>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</si>
  <si>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</si>
  <si>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</si>
  <si>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</si>
  <si>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</si>
  <si>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</si>
  <si>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</si>
  <si>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</si>
  <si>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</si>
  <si>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</si>
  <si>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</si>
  <si>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</si>
  <si>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</si>
  <si>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</si>
  <si>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</si>
  <si>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</si>
  <si>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</si>
  <si>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</si>
  <si>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</si>
  <si>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</si>
  <si>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</si>
  <si>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</si>
  <si>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</si>
  <si>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</si>
  <si>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</si>
  <si>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</si>
  <si>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</si>
  <si>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</si>
  <si>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</si>
  <si>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</si>
  <si>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</si>
  <si>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</si>
  <si>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</si>
  <si>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</si>
  <si>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</si>
  <si>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</si>
  <si>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</si>
  <si>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</si>
  <si>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</si>
  <si>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</si>
  <si>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</si>
  <si>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</si>
  <si>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</si>
  <si>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</si>
  <si>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</si>
  <si>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</si>
  <si>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</si>
  <si>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</si>
  <si>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</si>
  <si>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</si>
  <si>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</si>
  <si>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</si>
  <si>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</si>
  <si>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</si>
  <si>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</si>
  <si>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</si>
  <si>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</si>
  <si>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</si>
  <si>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</si>
  <si>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</si>
  <si>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</si>
  <si>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</si>
  <si>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</si>
  <si>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</si>
  <si>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</si>
  <si>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</si>
  <si>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</si>
  <si>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</si>
  <si>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</si>
  <si>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</si>
  <si>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</si>
  <si>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</si>
  <si>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</si>
  <si>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</si>
  <si>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</si>
  <si>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</si>
  <si>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</si>
  <si>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</si>
  <si>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</si>
  <si>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</si>
  <si>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</si>
  <si>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</si>
  <si>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</si>
  <si>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</si>
  <si>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</si>
  <si>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</si>
  <si>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</si>
  <si>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</si>
  <si>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</si>
  <si>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</si>
  <si>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</si>
  <si>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</si>
  <si>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</si>
  <si>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</si>
  <si>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</si>
  <si>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</si>
  <si>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</si>
  <si>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</si>
  <si>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</si>
  <si>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</si>
  <si>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</si>
  <si>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</si>
  <si>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</si>
  <si>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</si>
  <si>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</si>
  <si>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</si>
  <si>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</si>
  <si>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</si>
  <si>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</si>
  <si>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</si>
  <si>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</si>
  <si>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</si>
  <si>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</si>
  <si>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</si>
  <si>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</si>
  <si>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</si>
  <si>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</si>
  <si>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</si>
  <si>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</si>
  <si>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</si>
  <si>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</si>
  <si>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</si>
  <si>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</si>
  <si>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</si>
  <si>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</si>
  <si>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</si>
  <si>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</si>
  <si>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</si>
  <si>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</si>
  <si>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</si>
  <si>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</si>
  <si>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</si>
  <si>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</si>
  <si>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</si>
  <si>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</si>
  <si>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</si>
  <si>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</si>
  <si>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</si>
  <si>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</si>
  <si>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</si>
  <si>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</si>
  <si>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</si>
  <si>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</si>
  <si>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</si>
  <si>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</si>
  <si>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</si>
  <si>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</si>
  <si>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</si>
  <si>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</si>
  <si>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</si>
  <si>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</si>
  <si>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</si>
  <si>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</si>
  <si>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</si>
  <si>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</si>
  <si>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</si>
  <si>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</si>
  <si>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</si>
  <si>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</si>
  <si>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</si>
  <si>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</si>
  <si>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</si>
  <si>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</si>
  <si>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</si>
  <si>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</si>
  <si>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</si>
  <si>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</si>
  <si>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</si>
  <si>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</si>
  <si>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</si>
  <si>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</si>
  <si>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</si>
  <si>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</si>
  <si>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</si>
  <si>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</si>
  <si>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</si>
  <si>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</si>
  <si>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</si>
  <si>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</si>
  <si>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</si>
  <si>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</si>
  <si>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</si>
  <si>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</si>
  <si>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</si>
  <si>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</si>
  <si>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</si>
  <si>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</si>
  <si>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</si>
  <si>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</si>
  <si>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</si>
  <si>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</si>
  <si>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</si>
  <si>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</si>
  <si>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</si>
  <si>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</si>
  <si>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</si>
  <si>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</si>
  <si>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</si>
  <si>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</si>
  <si>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</si>
  <si>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</si>
  <si>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</si>
  <si>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</si>
  <si>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</si>
  <si>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</si>
  <si>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</si>
  <si>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</si>
  <si>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</si>
  <si>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</si>
  <si>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</si>
  <si>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</si>
  <si>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</si>
  <si>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</si>
  <si>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</si>
  <si>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</si>
  <si>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</si>
  <si>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</si>
  <si>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</si>
  <si>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</si>
  <si>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</si>
  <si>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</si>
  <si>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</si>
  <si>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</si>
  <si>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</si>
  <si>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</si>
  <si>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</si>
  <si>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</si>
  <si>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</si>
  <si>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</si>
  <si>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</si>
  <si>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</si>
  <si>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</si>
  <si>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</si>
  <si>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</si>
  <si>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</si>
  <si>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</si>
  <si>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</si>
  <si>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</si>
  <si>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</si>
  <si>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</si>
  <si>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</si>
  <si>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</si>
  <si>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</si>
  <si>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</si>
  <si>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</si>
  <si>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</si>
  <si>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</si>
  <si>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</si>
  <si>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</si>
  <si>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</si>
  <si>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</si>
  <si>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</si>
  <si>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</si>
  <si>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</si>
  <si>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</si>
  <si>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</si>
  <si>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</si>
  <si>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</si>
  <si>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</si>
  <si>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</si>
  <si>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</si>
  <si>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</si>
  <si>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</si>
  <si>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</si>
  <si>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</si>
  <si>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</si>
  <si>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</si>
  <si>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</si>
  <si>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</si>
  <si>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</si>
  <si>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</si>
  <si>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</si>
  <si>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</si>
  <si>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</si>
  <si>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</si>
  <si>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</si>
  <si>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</si>
  <si>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</si>
  <si>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</si>
  <si>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</si>
  <si>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</si>
  <si>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</si>
  <si>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</si>
  <si>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</si>
  <si>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</si>
  <si>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</si>
  <si>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</si>
  <si>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</si>
  <si>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</si>
  <si>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</si>
  <si>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</si>
  <si>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</si>
  <si>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</si>
  <si>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</si>
  <si>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</si>
  <si>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</si>
  <si>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</si>
  <si>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</si>
  <si>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</si>
  <si>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</si>
  <si>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</si>
  <si>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</si>
  <si>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</si>
  <si>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</si>
  <si>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</si>
  <si>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</si>
  <si>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</si>
  <si>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</si>
  <si>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</si>
  <si>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</si>
  <si>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</si>
  <si>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</si>
  <si>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</si>
  <si>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</si>
  <si>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</si>
  <si>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</si>
  <si>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</si>
  <si>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</si>
  <si>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</si>
  <si>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</si>
  <si>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</si>
  <si>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</si>
  <si>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</si>
  <si>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</si>
  <si>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</si>
  <si>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</si>
  <si>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</si>
  <si>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</si>
  <si>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</si>
  <si>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</si>
  <si>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</si>
  <si>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</si>
  <si>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</si>
  <si>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</si>
  <si>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</si>
  <si>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</si>
  <si>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</si>
  <si>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</si>
  <si>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</si>
  <si>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</si>
  <si>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</si>
  <si>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</si>
  <si>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</si>
  <si>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</si>
  <si>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</si>
  <si>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</si>
  <si>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</si>
  <si>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</si>
  <si>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</si>
  <si>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</si>
  <si>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</si>
  <si>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</si>
  <si>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</si>
  <si>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</si>
  <si>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</si>
  <si>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</si>
  <si>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</si>
  <si>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</si>
  <si>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</si>
  <si>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</si>
  <si>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</si>
  <si>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</si>
  <si>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</si>
  <si>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</si>
  <si>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</si>
  <si>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</si>
  <si>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</si>
  <si>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</si>
  <si>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</si>
  <si>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</si>
  <si>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</si>
  <si>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</si>
  <si>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</si>
  <si>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</si>
  <si>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</si>
  <si>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</si>
  <si>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</si>
  <si>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</si>
  <si>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</si>
  <si>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</si>
  <si>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</si>
  <si>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</si>
  <si>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</si>
  <si>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</si>
  <si>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</si>
  <si>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</si>
  <si>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</si>
  <si>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</si>
  <si>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</si>
  <si>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</si>
  <si>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</si>
  <si>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</si>
  <si>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</si>
  <si>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</si>
  <si>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</si>
  <si>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</si>
  <si>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</si>
  <si>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</si>
  <si>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</si>
  <si>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</si>
  <si>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</si>
  <si>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</si>
  <si>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</si>
  <si>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</si>
  <si>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</si>
  <si>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</si>
  <si>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</si>
  <si>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</si>
  <si>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</si>
  <si>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</si>
  <si>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</si>
  <si>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</si>
  <si>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</si>
  <si>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</si>
  <si>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</si>
  <si>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</si>
  <si>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</si>
  <si>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</si>
  <si>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</si>
  <si>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</si>
  <si>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</si>
  <si>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</si>
  <si>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</si>
  <si>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</si>
  <si>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</si>
  <si>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</si>
  <si>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</si>
  <si>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</si>
  <si>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</si>
  <si>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</si>
  <si>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</si>
  <si>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</si>
  <si>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</si>
  <si>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</si>
  <si>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</si>
  <si>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</si>
  <si>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</si>
  <si>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</si>
  <si>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</si>
  <si>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</si>
  <si>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</si>
  <si>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</si>
  <si>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</si>
  <si>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</si>
  <si>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</si>
  <si>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</si>
  <si>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</si>
  <si>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</si>
  <si>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</si>
  <si>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</si>
  <si>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</si>
  <si>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</si>
  <si>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</si>
  <si>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</si>
  <si>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</si>
  <si>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</si>
  <si>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</si>
  <si>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</si>
  <si>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</si>
  <si>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</si>
  <si>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</si>
  <si>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</si>
  <si>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</si>
  <si>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</si>
  <si>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</si>
  <si>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</si>
  <si>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</si>
  <si>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</si>
  <si>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</si>
  <si>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</si>
  <si>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</si>
  <si>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</si>
  <si>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</si>
  <si>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</si>
  <si>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</si>
  <si>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</si>
  <si>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</si>
  <si>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</si>
  <si>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</si>
  <si>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</si>
  <si>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</si>
  <si>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</si>
  <si>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</si>
  <si>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</si>
  <si>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</si>
  <si>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</si>
  <si>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</si>
  <si>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</si>
  <si>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</si>
  <si>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</si>
  <si>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</si>
  <si>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</si>
  <si>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</si>
  <si>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</si>
  <si>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</si>
  <si>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</si>
  <si>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</si>
  <si>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</si>
  <si>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</si>
  <si>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</si>
  <si>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</si>
  <si>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</si>
  <si>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</si>
  <si>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</si>
  <si>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</si>
  <si>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</si>
  <si>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</si>
  <si>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</si>
  <si>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</si>
  <si>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</si>
  <si>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</si>
  <si>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</si>
  <si>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</si>
  <si>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</si>
  <si>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</si>
  <si>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</si>
  <si>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</si>
  <si>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</si>
  <si>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</si>
  <si>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</si>
  <si>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</si>
  <si>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</si>
  <si>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</si>
  <si>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</si>
  <si>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</si>
  <si>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</si>
  <si>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</si>
  <si>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</si>
  <si>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</si>
  <si>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</si>
  <si>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</si>
  <si>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</si>
  <si>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</si>
  <si>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</si>
  <si>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</si>
  <si>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</si>
  <si>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</si>
  <si>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</si>
  <si>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</si>
  <si>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</si>
  <si>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</si>
  <si>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</si>
  <si>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</si>
  <si>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</si>
  <si>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</si>
  <si>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</si>
  <si>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</si>
  <si>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</si>
  <si>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</si>
  <si>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</si>
  <si>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</si>
  <si>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</si>
  <si>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</si>
  <si>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</si>
  <si>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</si>
  <si>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</si>
  <si>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</si>
  <si>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</si>
  <si>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</si>
  <si>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</si>
  <si>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</si>
  <si>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</si>
  <si>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</si>
  <si>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</si>
  <si>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</si>
  <si>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</si>
  <si>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</si>
  <si>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</si>
  <si>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</si>
  <si>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</si>
  <si>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</si>
  <si>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</si>
  <si>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</si>
  <si>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</si>
  <si>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</si>
  <si>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</si>
  <si>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</si>
  <si>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</si>
  <si>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</si>
  <si>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</si>
  <si>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</si>
  <si>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</si>
  <si>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</si>
  <si>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</si>
  <si>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</si>
  <si>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</si>
  <si>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</si>
  <si>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</si>
  <si>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</si>
  <si>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</si>
  <si>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</si>
  <si>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</si>
  <si>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</si>
  <si>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</si>
  <si>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</si>
  <si>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</si>
  <si>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</si>
  <si>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</si>
  <si>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</si>
  <si>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</si>
  <si>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</si>
  <si>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</si>
  <si>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</si>
  <si>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</si>
  <si>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</si>
  <si>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</si>
  <si>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</si>
  <si>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</si>
  <si>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</si>
  <si>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</si>
  <si>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</si>
  <si>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</si>
  <si>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</si>
  <si>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</si>
  <si>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</si>
  <si>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</si>
  <si>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</si>
  <si>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</si>
  <si>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</si>
  <si>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</si>
  <si>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</si>
  <si>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</si>
  <si>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</si>
  <si>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</si>
  <si>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</si>
  <si>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</si>
  <si>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</si>
  <si>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</si>
  <si>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</si>
  <si>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</si>
  <si>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</si>
  <si>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</si>
  <si>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</si>
  <si>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</si>
  <si>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</si>
  <si>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</si>
  <si>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</si>
  <si>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</si>
  <si>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</si>
  <si>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</si>
  <si>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</si>
  <si>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</si>
  <si>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</si>
  <si>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</si>
  <si>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</si>
  <si>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</si>
  <si>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</si>
  <si>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</si>
  <si>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</si>
  <si>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</si>
  <si>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</si>
  <si>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</si>
  <si>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</si>
  <si>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</si>
  <si>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</si>
  <si>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</si>
  <si>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</si>
  <si>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</si>
  <si>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</si>
  <si>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</si>
  <si>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</si>
  <si>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</si>
  <si>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</si>
  <si>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</si>
  <si>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</si>
  <si>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</si>
  <si>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</si>
  <si>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</si>
  <si>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</si>
  <si>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</si>
  <si>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</si>
  <si>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</si>
  <si>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</si>
  <si>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</si>
  <si>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</si>
  <si>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</si>
  <si>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</si>
  <si>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</si>
  <si>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</si>
  <si>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</si>
  <si>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</si>
  <si>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</si>
  <si>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</si>
  <si>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</si>
  <si>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</si>
  <si>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</si>
  <si>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</si>
  <si>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</si>
  <si>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</si>
  <si>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</si>
  <si>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</si>
  <si>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</si>
  <si>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</si>
  <si>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</si>
  <si>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</si>
  <si>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</si>
  <si>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</si>
  <si>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</si>
  <si>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</si>
  <si>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</si>
  <si>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</si>
  <si>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</si>
  <si>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</si>
  <si>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</si>
  <si>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</si>
  <si>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</si>
  <si>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</si>
  <si>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</si>
  <si>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</si>
  <si>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</si>
  <si>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</si>
  <si>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</si>
  <si>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</si>
  <si>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</si>
  <si>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</si>
  <si>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</si>
  <si>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</si>
  <si>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</si>
  <si>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</si>
  <si>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</si>
  <si>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</si>
  <si>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</si>
  <si>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</si>
  <si>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</si>
  <si>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</si>
  <si>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</si>
  <si>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</si>
  <si>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</si>
  <si>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</si>
  <si>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</si>
  <si>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</si>
  <si>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</si>
  <si>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</si>
  <si>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</si>
  <si>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</si>
  <si>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</si>
  <si>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</si>
  <si>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</si>
  <si>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</si>
  <si>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</si>
  <si>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</si>
  <si>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</si>
  <si>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</si>
  <si>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</si>
  <si>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</si>
  <si>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</si>
  <si>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</si>
  <si>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</si>
  <si>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</si>
  <si>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</si>
  <si>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</si>
  <si>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</si>
  <si>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</si>
  <si>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</si>
  <si>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</si>
  <si>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</si>
  <si>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</si>
  <si>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</si>
  <si>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</si>
  <si>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</si>
  <si>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</si>
  <si>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</si>
  <si>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</si>
  <si>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</si>
  <si>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</si>
  <si>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</si>
  <si>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</si>
  <si>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</si>
  <si>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</si>
  <si>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</si>
  <si>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</si>
  <si>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</si>
  <si>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</si>
  <si>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</si>
  <si>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</si>
  <si>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</si>
  <si>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</si>
  <si>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</si>
  <si>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</si>
  <si>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</si>
  <si>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</si>
  <si>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</si>
  <si>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</si>
  <si>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</si>
  <si>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</si>
  <si>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</si>
  <si>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</si>
  <si>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</si>
  <si>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</si>
  <si>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</si>
  <si>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</si>
  <si>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</si>
  <si>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</si>
  <si>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</si>
  <si>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</si>
  <si>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</si>
  <si>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</si>
  <si>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</si>
  <si>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</si>
  <si>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</si>
  <si>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</si>
  <si>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</si>
  <si>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</si>
  <si>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</si>
  <si>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</si>
  <si>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</si>
  <si>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</si>
  <si>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</si>
  <si>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</si>
  <si>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</si>
  <si>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</si>
  <si>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</si>
  <si>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</si>
  <si>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</si>
  <si>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</si>
  <si>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</si>
  <si>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</si>
  <si>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</si>
  <si>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</si>
  <si>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</si>
  <si>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</si>
  <si>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</si>
  <si>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</si>
  <si>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</si>
  <si>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</si>
  <si>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</si>
  <si>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</si>
  <si>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</si>
  <si>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</si>
  <si>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</si>
  <si>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</si>
  <si>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</si>
  <si>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</si>
  <si>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</si>
  <si>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</si>
  <si>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</si>
  <si>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</si>
  <si>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</si>
  <si>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</si>
  <si>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</si>
  <si>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</si>
  <si>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</si>
  <si>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</si>
  <si>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</si>
  <si>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</si>
  <si>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</si>
  <si>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</si>
  <si>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</si>
  <si>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</si>
  <si>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</si>
  <si>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</si>
  <si>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</si>
  <si>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</si>
  <si>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</si>
  <si>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</si>
  <si>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</si>
  <si>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</si>
  <si>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</si>
  <si>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</si>
  <si>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</si>
  <si>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</si>
  <si>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</si>
  <si>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</si>
  <si>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</si>
  <si>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</si>
  <si>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</si>
  <si>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</si>
  <si>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</si>
  <si>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</si>
  <si>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</si>
  <si>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</si>
  <si>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</si>
  <si>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</si>
  <si>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</si>
  <si>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</si>
  <si>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</si>
  <si>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</si>
  <si>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</si>
  <si>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</si>
  <si>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</si>
  <si>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</si>
  <si>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</si>
  <si>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</si>
  <si>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</si>
  <si>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</si>
  <si>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</si>
  <si>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</si>
  <si>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</si>
  <si>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</si>
  <si>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</si>
  <si>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</si>
  <si>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</si>
  <si>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</si>
  <si>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</si>
  <si>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</si>
  <si>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</si>
  <si>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</si>
  <si>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</si>
  <si>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</si>
  <si>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</si>
  <si>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</si>
  <si>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</si>
  <si>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</si>
  <si>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</si>
  <si>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</si>
  <si>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</si>
  <si>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</si>
  <si>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</si>
  <si>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</si>
  <si>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</si>
  <si>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</si>
  <si>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</si>
  <si>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</si>
  <si>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</si>
  <si>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</si>
  <si>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</si>
  <si>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</si>
  <si>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</si>
  <si>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</si>
  <si>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</si>
  <si>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</si>
  <si>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</si>
  <si>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</si>
  <si>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</si>
  <si>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</si>
  <si>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</si>
  <si>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</si>
  <si>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</si>
  <si>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</si>
  <si>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</si>
  <si>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</si>
  <si>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</si>
  <si>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</si>
  <si>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</si>
  <si>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</si>
  <si>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</si>
  <si>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</si>
  <si>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</si>
  <si>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</si>
  <si>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</si>
  <si>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</si>
  <si>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</si>
  <si>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</si>
  <si>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</si>
  <si>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</si>
  <si>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</si>
  <si>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</si>
  <si>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</si>
  <si>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</si>
  <si>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</si>
  <si>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</si>
  <si>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</si>
  <si>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</si>
  <si>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</si>
  <si>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</si>
  <si>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</si>
  <si>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</si>
  <si>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</si>
  <si>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</si>
  <si>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</si>
  <si>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</si>
  <si>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</si>
  <si>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</si>
  <si>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</si>
  <si>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</si>
  <si>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</si>
  <si>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</si>
  <si>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</si>
  <si>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</si>
  <si>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</si>
  <si>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</si>
  <si>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</si>
  <si>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</si>
  <si>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</si>
  <si>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</si>
  <si>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</si>
  <si>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</si>
  <si>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</si>
  <si>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</si>
  <si>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</si>
  <si>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</si>
  <si>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</si>
  <si>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</si>
  <si>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</si>
  <si>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</si>
  <si>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</si>
  <si>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</si>
  <si>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</si>
  <si>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</si>
  <si>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</si>
  <si>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</si>
  <si>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</si>
  <si>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</si>
  <si>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</si>
  <si>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</si>
  <si>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</si>
  <si>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</si>
  <si>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</si>
  <si>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</si>
  <si>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</si>
  <si>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</si>
  <si>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</si>
  <si>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</si>
  <si>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</si>
  <si>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</si>
  <si>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</si>
  <si>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</si>
  <si>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</si>
  <si>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</si>
  <si>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</si>
  <si>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</si>
  <si>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</si>
  <si>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</si>
  <si>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</si>
  <si>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</si>
  <si>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</si>
  <si>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</si>
  <si>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</si>
  <si>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</si>
  <si>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</si>
  <si>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</si>
  <si>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</si>
  <si>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</si>
  <si>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</si>
  <si>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</si>
  <si>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</si>
  <si>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</si>
  <si>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</si>
  <si>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</si>
  <si>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</si>
  <si>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</si>
  <si>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</si>
  <si>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</si>
  <si>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</si>
  <si>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</si>
  <si>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</si>
  <si>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</si>
  <si>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</si>
  <si>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</si>
  <si>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</si>
  <si>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</si>
  <si>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</si>
  <si>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</si>
  <si>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</si>
  <si>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</si>
  <si>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</si>
  <si>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</si>
  <si>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</si>
  <si>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</si>
  <si>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</si>
  <si>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</si>
  <si>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</si>
  <si>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</si>
  <si>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</si>
  <si>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</si>
  <si>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</si>
  <si>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</si>
  <si>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</si>
  <si>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</si>
  <si>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</si>
  <si>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</si>
  <si>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</si>
  <si>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</si>
  <si>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</si>
  <si>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</si>
  <si>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</si>
  <si>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</si>
  <si>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</si>
  <si>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</si>
  <si>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</si>
  <si>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</si>
  <si>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</si>
  <si>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</si>
  <si>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</si>
  <si>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</si>
  <si>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</si>
  <si>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</si>
  <si>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</si>
  <si>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</si>
  <si>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</si>
  <si>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</si>
  <si>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</si>
  <si>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</si>
  <si>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</si>
  <si>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</si>
  <si>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</si>
  <si>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</si>
  <si>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</si>
  <si>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</si>
  <si>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</si>
  <si>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</si>
  <si>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</si>
  <si>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</si>
  <si>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</si>
  <si>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</si>
  <si>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</si>
  <si>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</si>
  <si>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</si>
  <si>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</si>
  <si>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</si>
  <si>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</si>
  <si>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</si>
  <si>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</si>
  <si>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</si>
  <si>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</si>
  <si>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</si>
  <si>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</si>
  <si>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</si>
  <si>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</si>
  <si>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</si>
  <si>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</si>
  <si>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</si>
  <si>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</si>
  <si>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</si>
  <si>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</si>
  <si>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</si>
  <si>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</si>
  <si>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</si>
  <si>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</si>
  <si>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</si>
  <si>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</si>
  <si>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</si>
  <si>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</si>
  <si>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</si>
  <si>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</si>
  <si>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</si>
  <si>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</si>
  <si>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</si>
  <si>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</si>
  <si>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</si>
  <si>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</si>
  <si>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</si>
  <si>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</si>
  <si>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</si>
  <si>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</si>
  <si>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</si>
  <si>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</si>
  <si>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</si>
  <si>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</si>
  <si>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</si>
  <si>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</si>
  <si>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</si>
  <si>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</si>
  <si>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</si>
  <si>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</si>
  <si>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</si>
  <si>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</si>
  <si>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</si>
  <si>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</si>
  <si>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</si>
  <si>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</si>
  <si>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</si>
  <si>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</si>
  <si>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</si>
  <si>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</si>
  <si>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</si>
  <si>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</si>
  <si>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</si>
  <si>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</si>
  <si>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</si>
  <si>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</si>
  <si>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</si>
  <si>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</si>
  <si>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</si>
  <si>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</si>
  <si>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</si>
  <si>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</si>
  <si>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</si>
  <si>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</si>
  <si>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</si>
  <si>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</si>
  <si>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</si>
  <si>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</si>
  <si>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</si>
  <si>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</si>
  <si>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</si>
  <si>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</si>
  <si>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</si>
  <si>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</si>
  <si>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</si>
  <si>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</si>
  <si>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</si>
  <si>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</si>
  <si>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</si>
  <si>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</si>
  <si>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</si>
  <si>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</si>
  <si>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</si>
  <si>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</si>
  <si>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</si>
  <si>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</si>
  <si>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</si>
  <si>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</si>
  <si>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</si>
  <si>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</si>
  <si>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</si>
  <si>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</si>
  <si>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</si>
  <si>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</si>
  <si>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</si>
  <si>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</si>
  <si>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</si>
  <si>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</si>
  <si>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</si>
  <si>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</si>
  <si>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</si>
  <si>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</si>
  <si>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</si>
  <si>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</si>
  <si>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</si>
  <si>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</si>
  <si>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</si>
  <si>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</si>
  <si>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</si>
  <si>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</si>
  <si>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</si>
  <si>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</si>
  <si>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</si>
  <si>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</si>
  <si>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</si>
  <si>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</si>
  <si>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</si>
  <si>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</si>
  <si>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</si>
  <si>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</si>
  <si>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</si>
  <si>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</si>
  <si>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</si>
  <si>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</si>
  <si>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</si>
  <si>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</si>
  <si>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</si>
  <si>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</si>
  <si>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</si>
  <si>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</si>
  <si>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</si>
  <si>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</si>
  <si>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</si>
  <si>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</si>
  <si>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</si>
  <si>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</si>
  <si>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</si>
  <si>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</si>
  <si>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</si>
  <si>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</si>
  <si>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</si>
  <si>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</si>
  <si>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</si>
  <si>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</si>
  <si>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</si>
  <si>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</si>
  <si>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</si>
  <si>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</si>
  <si>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</si>
  <si>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</si>
  <si>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</si>
  <si>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</si>
  <si>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</si>
  <si>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</si>
  <si>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</si>
  <si>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</si>
  <si>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</si>
  <si>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</si>
  <si>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</si>
  <si>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</si>
  <si>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</si>
  <si>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</si>
  <si>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</si>
  <si>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</si>
  <si>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</si>
  <si>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</si>
  <si>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</si>
  <si>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</si>
  <si>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</si>
  <si>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</si>
  <si>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</si>
  <si>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</si>
  <si>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</si>
  <si>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</si>
  <si>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</si>
  <si>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</si>
  <si>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</si>
  <si>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</si>
  <si>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</si>
  <si>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</si>
  <si>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</si>
  <si>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</si>
  <si>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</si>
  <si>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</si>
  <si>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</si>
  <si>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</si>
  <si>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</si>
  <si>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</si>
  <si>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</si>
  <si>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</si>
  <si>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</si>
  <si>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</si>
  <si>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</si>
  <si>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</si>
  <si>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</si>
  <si>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</si>
  <si>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</si>
  <si>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</si>
  <si>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</si>
  <si>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</si>
  <si>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</si>
  <si>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</si>
  <si>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</si>
  <si>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</si>
  <si>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</si>
  <si>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</si>
  <si>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</si>
  <si>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</si>
  <si>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</si>
  <si>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</si>
  <si>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</si>
  <si>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</si>
  <si>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</si>
  <si>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</si>
  <si>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</si>
  <si>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</si>
  <si>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</si>
  <si>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</si>
  <si>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</si>
  <si>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</si>
  <si>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</si>
  <si>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</si>
  <si>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</si>
  <si>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</si>
  <si>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</si>
  <si>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</si>
  <si>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</si>
  <si>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</si>
  <si>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</si>
  <si>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</si>
  <si>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</si>
  <si>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</si>
  <si>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</si>
  <si>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</si>
  <si>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</si>
  <si>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</si>
  <si>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</si>
  <si>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</si>
  <si>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</si>
  <si>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</si>
  <si>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</si>
  <si>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</si>
  <si>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</si>
  <si>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</si>
  <si>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</si>
  <si>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</si>
  <si>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</si>
  <si>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</si>
  <si>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</si>
  <si>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</si>
  <si>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</si>
  <si>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</si>
  <si>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</si>
  <si>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</si>
  <si>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</si>
  <si>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</si>
  <si>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</si>
  <si>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</si>
  <si>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</si>
  <si>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</si>
  <si>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</si>
  <si>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</si>
  <si>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</si>
  <si>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</si>
  <si>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</si>
  <si>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</si>
  <si>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</si>
  <si>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</si>
  <si>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</si>
  <si>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</si>
  <si>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</si>
  <si>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</si>
  <si>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</si>
  <si>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</si>
  <si>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</si>
  <si>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</si>
  <si>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</si>
  <si>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</si>
  <si>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</si>
  <si>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</si>
  <si>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</si>
  <si>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</si>
  <si>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</si>
  <si>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</si>
  <si>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</si>
  <si>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</si>
  <si>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</si>
  <si>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</si>
  <si>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</si>
  <si>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</si>
  <si>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</si>
  <si>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</si>
  <si>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</si>
  <si>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</si>
  <si>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</si>
  <si>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</si>
  <si>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</si>
  <si>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</si>
  <si>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</si>
  <si>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</si>
  <si>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</si>
  <si>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</si>
  <si>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</si>
  <si>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</si>
  <si>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</si>
  <si>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</si>
  <si>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</si>
  <si>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</si>
  <si>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</si>
  <si>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</si>
  <si>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</si>
  <si>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</si>
  <si>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</si>
  <si>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</si>
  <si>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</si>
  <si>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</si>
  <si>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</si>
  <si>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</si>
  <si>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</si>
  <si>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</si>
  <si>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</si>
  <si>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</si>
  <si>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</si>
  <si>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</si>
  <si>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</si>
  <si>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</si>
  <si>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</si>
  <si>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</si>
  <si>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</si>
  <si>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</si>
  <si>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</si>
  <si>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</si>
  <si>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</si>
  <si>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</si>
  <si>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</si>
  <si>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</si>
  <si>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</si>
  <si>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</si>
  <si>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</si>
  <si>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</si>
  <si>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</si>
  <si>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</si>
  <si>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</si>
  <si>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</si>
  <si>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</si>
  <si>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</si>
  <si>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</si>
  <si>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</si>
  <si>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</si>
  <si>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</si>
  <si>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</si>
  <si>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</si>
  <si>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</si>
  <si>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</si>
  <si>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</si>
  <si>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</si>
  <si>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</si>
  <si>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</si>
  <si>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</si>
  <si>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</si>
  <si>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</si>
  <si>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</si>
  <si>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</si>
  <si>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</si>
  <si>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</si>
  <si>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</si>
  <si>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</si>
  <si>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</si>
  <si>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</si>
  <si>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</si>
  <si>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</si>
  <si>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</si>
  <si>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</si>
  <si>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</si>
  <si>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</si>
  <si>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</si>
  <si>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</si>
  <si>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</si>
  <si>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</si>
  <si>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</si>
  <si>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</si>
  <si>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</si>
  <si>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</si>
  <si>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</si>
  <si>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</si>
  <si>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</si>
  <si>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</si>
  <si>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</si>
  <si>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</si>
  <si>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</si>
  <si>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</si>
  <si>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</si>
  <si>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</si>
  <si>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</si>
  <si>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</si>
  <si>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</si>
  <si>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</si>
  <si>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</si>
  <si>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</si>
  <si>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</si>
  <si>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</si>
  <si>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</si>
  <si>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</si>
  <si>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</si>
  <si>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</si>
  <si>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</si>
  <si>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</si>
  <si>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</si>
  <si>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</si>
  <si>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</si>
  <si>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</si>
  <si>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</si>
  <si>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</si>
  <si>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</si>
  <si>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</si>
  <si>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</si>
  <si>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</si>
  <si>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</si>
  <si>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</si>
  <si>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</si>
  <si>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</si>
  <si>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</si>
  <si>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</si>
  <si>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</si>
  <si>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</si>
  <si>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</si>
  <si>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</si>
  <si>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</si>
  <si>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</si>
  <si>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</si>
  <si>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</si>
  <si>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</si>
  <si>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</si>
  <si>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</si>
  <si>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</si>
  <si>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</si>
  <si>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</si>
  <si>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</si>
  <si>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</si>
  <si>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</si>
  <si>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</si>
  <si>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</si>
  <si>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</si>
  <si>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</si>
  <si>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</si>
  <si>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</si>
  <si>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</si>
  <si>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</si>
  <si>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</si>
  <si>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</si>
  <si>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</si>
  <si>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</si>
  <si>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</si>
  <si>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</si>
  <si>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</si>
  <si>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</si>
  <si>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</si>
  <si>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</si>
  <si>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</si>
  <si>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</si>
  <si>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</si>
  <si>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</si>
  <si>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</si>
  <si>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</si>
  <si>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</si>
  <si>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</si>
  <si>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</si>
  <si>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</si>
  <si>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</si>
  <si>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</si>
  <si>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</si>
  <si>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</si>
  <si>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</si>
  <si>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</si>
  <si>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</si>
  <si>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</si>
  <si>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</si>
  <si>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</si>
  <si>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</si>
  <si>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</si>
  <si>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</si>
  <si>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</si>
  <si>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</si>
  <si>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</si>
  <si>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</si>
  <si>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</si>
  <si>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</si>
  <si>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</si>
  <si>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</si>
  <si>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</si>
  <si>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</si>
  <si>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</si>
  <si>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</si>
  <si>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</si>
  <si>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</si>
  <si>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</si>
  <si>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</si>
  <si>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</si>
  <si>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</si>
  <si>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</si>
  <si>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</si>
  <si>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</si>
  <si>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</si>
  <si>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</si>
  <si>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</si>
  <si>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</si>
  <si>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</si>
  <si>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</si>
  <si>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</si>
  <si>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</si>
  <si>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</si>
  <si>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</si>
  <si>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</si>
  <si>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</si>
  <si>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</si>
  <si>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</si>
  <si>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</si>
  <si>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</si>
  <si>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</si>
  <si>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</si>
  <si>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</si>
  <si>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</si>
  <si>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</si>
  <si>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</si>
  <si>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</si>
  <si>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</si>
  <si>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</si>
  <si>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</si>
  <si>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</si>
  <si>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</si>
  <si>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</si>
  <si>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</si>
  <si>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</si>
  <si>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</si>
  <si>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</si>
  <si>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</si>
  <si>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</si>
  <si>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</si>
  <si>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</si>
  <si>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</si>
  <si>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</si>
  <si>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</si>
  <si>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</si>
  <si>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</si>
  <si>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</si>
  <si>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</si>
  <si>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</si>
  <si>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</si>
  <si>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</si>
  <si>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</si>
  <si>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</si>
  <si>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</si>
  <si>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</si>
  <si>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</si>
  <si>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</si>
  <si>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</si>
  <si>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</si>
  <si>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</si>
  <si>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</si>
  <si>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</si>
  <si>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</si>
  <si>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</si>
  <si>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</si>
  <si>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</si>
  <si>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</si>
  <si>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</si>
  <si>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</si>
  <si>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</si>
  <si>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</si>
  <si>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</si>
  <si>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</si>
  <si>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</si>
  <si>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</si>
  <si>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</si>
  <si>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</si>
  <si>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</si>
  <si>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</si>
  <si>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</si>
  <si>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</si>
  <si>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</si>
  <si>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</si>
  <si>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</si>
  <si>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</si>
  <si>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</si>
  <si>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</si>
  <si>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</si>
  <si>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</si>
  <si>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</si>
  <si>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</si>
  <si>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</si>
  <si>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</si>
  <si>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</si>
  <si>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</si>
  <si>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</si>
  <si>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</si>
  <si>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</si>
  <si>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</si>
  <si>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</si>
  <si>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</si>
  <si>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</si>
  <si>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</si>
  <si>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</si>
  <si>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</si>
  <si>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</si>
  <si>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</si>
  <si>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</si>
  <si>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</si>
  <si>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</si>
  <si>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</si>
  <si>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</si>
  <si>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</si>
  <si>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</si>
  <si>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</si>
  <si>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</si>
  <si>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</si>
  <si>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</si>
  <si>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</si>
  <si>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</si>
  <si>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</si>
  <si>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</si>
  <si>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</si>
  <si>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</si>
  <si>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</si>
  <si>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</si>
  <si>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</si>
  <si>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</si>
  <si>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</si>
  <si>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</si>
  <si>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</si>
  <si>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</si>
  <si>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</si>
  <si>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</si>
  <si>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</si>
  <si>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</si>
  <si>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</si>
  <si>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</si>
  <si>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</si>
  <si>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</si>
  <si>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</si>
  <si>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</si>
  <si>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</si>
  <si>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</si>
  <si>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</si>
  <si>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</si>
  <si>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</si>
  <si>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</si>
  <si>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</si>
  <si>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</si>
  <si>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</si>
  <si>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</si>
  <si>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</si>
  <si>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</si>
  <si>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</si>
  <si>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</si>
  <si>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</si>
  <si>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</si>
  <si>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</si>
  <si>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</si>
  <si>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</si>
  <si>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</si>
  <si>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</si>
  <si>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</si>
  <si>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</si>
  <si>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</si>
  <si>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</si>
  <si>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</si>
  <si>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</si>
  <si>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</si>
  <si>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</si>
  <si>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</si>
  <si>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</si>
  <si>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</si>
  <si>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</si>
  <si>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</si>
  <si>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</si>
  <si>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</si>
  <si>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</si>
  <si>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</si>
  <si>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</si>
  <si>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</si>
  <si>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</si>
  <si>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</si>
  <si>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</si>
  <si>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</si>
  <si>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</si>
  <si>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</si>
  <si>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</si>
  <si>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</si>
  <si>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</si>
  <si>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</si>
  <si>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</si>
  <si>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</si>
  <si>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</si>
  <si>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</si>
  <si>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</si>
  <si>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</si>
  <si>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</si>
  <si>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</si>
  <si>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</si>
  <si>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</si>
  <si>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</si>
  <si>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</si>
  <si>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</si>
  <si>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</si>
  <si>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</si>
  <si>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</si>
  <si>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</si>
  <si>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</si>
  <si>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</si>
  <si>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</si>
  <si>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</si>
  <si>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</si>
  <si>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</si>
  <si>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</si>
  <si>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</si>
  <si>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</si>
  <si>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</si>
  <si>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</si>
  <si>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</si>
  <si>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</si>
  <si>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</si>
  <si>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</si>
  <si>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</si>
  <si>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</si>
  <si>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</si>
  <si>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</si>
  <si>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</si>
  <si>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</si>
  <si>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</si>
  <si>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</si>
  <si>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</si>
  <si>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</si>
  <si>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</si>
  <si>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</si>
  <si>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</si>
  <si>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</si>
  <si>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</si>
  <si>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</si>
  <si>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</si>
  <si>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</si>
  <si>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</si>
  <si>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</si>
  <si>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</si>
  <si>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</si>
  <si>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</si>
  <si>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</si>
  <si>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</si>
  <si>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</si>
  <si>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</si>
  <si>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</si>
  <si>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</si>
  <si>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</si>
  <si>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</si>
  <si>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</si>
  <si>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</si>
  <si>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</si>
  <si>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</si>
  <si>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</si>
  <si>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</si>
  <si>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</si>
  <si>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</si>
  <si>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</si>
  <si>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</si>
  <si>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</si>
  <si>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</si>
  <si>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</si>
  <si>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</si>
  <si>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</si>
  <si>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</si>
  <si>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</si>
  <si>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</si>
  <si>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</si>
  <si>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</si>
  <si>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</si>
  <si>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</si>
  <si>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</si>
  <si>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</si>
  <si>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</si>
  <si>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</si>
  <si>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</si>
  <si>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</si>
  <si>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</si>
  <si>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</si>
  <si>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</si>
  <si>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</si>
  <si>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</si>
  <si>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</si>
  <si>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</si>
  <si>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</si>
  <si>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</si>
  <si>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</si>
  <si>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</si>
  <si>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</si>
  <si>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</si>
  <si>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</si>
  <si>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</si>
  <si>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</si>
  <si>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</si>
  <si>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</si>
  <si>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</si>
  <si>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</si>
  <si>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</si>
  <si>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</si>
  <si>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</si>
  <si>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</si>
  <si>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</si>
  <si>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</si>
  <si>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</si>
  <si>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</si>
  <si>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</si>
  <si>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</si>
  <si>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</si>
  <si>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</si>
  <si>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</si>
  <si>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</si>
  <si>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</si>
  <si>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</si>
  <si>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</si>
  <si>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</si>
  <si>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</si>
  <si>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</si>
  <si>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</si>
  <si>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</si>
  <si>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</si>
  <si>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</si>
  <si>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</si>
  <si>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</si>
  <si>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</si>
  <si>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</si>
  <si>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</si>
  <si>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</si>
  <si>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</si>
  <si>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</si>
  <si>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</si>
  <si>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</si>
  <si>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</si>
  <si>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</si>
  <si>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</si>
  <si>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</si>
  <si>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</si>
  <si>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</si>
  <si>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</si>
  <si>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</si>
  <si>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</si>
  <si>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</si>
  <si>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</si>
  <si>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</si>
  <si>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</si>
  <si>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</si>
  <si>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</si>
  <si>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</si>
  <si>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</si>
  <si>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</si>
  <si>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</si>
  <si>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</si>
  <si>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</si>
  <si>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</si>
  <si>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</si>
  <si>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</si>
  <si>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</si>
  <si>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</si>
  <si>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</si>
  <si>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</si>
  <si>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</si>
  <si>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</si>
  <si>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</si>
  <si>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</si>
  <si>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</si>
  <si>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</si>
  <si>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</si>
  <si>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</si>
  <si>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</si>
  <si>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</si>
  <si>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</si>
  <si>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</si>
  <si>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</si>
  <si>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</si>
  <si>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</si>
  <si>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</si>
  <si>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</si>
  <si>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</si>
  <si>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</si>
  <si>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</si>
  <si>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</si>
  <si>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</si>
  <si>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</si>
  <si>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</si>
  <si>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</si>
  <si>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</si>
  <si>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</si>
  <si>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</si>
  <si>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</si>
  <si>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</si>
  <si>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</si>
  <si>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</si>
  <si>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</si>
  <si>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</si>
  <si>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</si>
  <si>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</si>
  <si>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</si>
  <si>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</si>
  <si>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</si>
  <si>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</si>
  <si>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</si>
  <si>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</si>
  <si>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</si>
  <si>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</si>
  <si>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</si>
  <si>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</si>
  <si>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</si>
  <si>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</si>
  <si>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</si>
  <si>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</si>
  <si>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</si>
  <si>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</si>
  <si>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</si>
  <si>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</si>
  <si>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</si>
  <si>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</si>
  <si>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</si>
  <si>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</si>
  <si>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</si>
  <si>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</si>
  <si>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</si>
  <si>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</si>
  <si>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</si>
  <si>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</si>
  <si>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</si>
  <si>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</si>
  <si>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</si>
  <si>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</si>
  <si>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</si>
  <si>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</si>
  <si>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</si>
  <si>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</si>
  <si>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</si>
  <si>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</si>
  <si>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</si>
  <si>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</si>
  <si>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</si>
  <si>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</si>
  <si>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</si>
  <si>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</si>
  <si>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</si>
  <si>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</si>
  <si>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</si>
  <si>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</si>
  <si>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</si>
  <si>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</si>
  <si>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</si>
  <si>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</si>
  <si>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</si>
  <si>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</si>
  <si>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</si>
  <si>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</si>
  <si>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</si>
  <si>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</si>
  <si>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</si>
  <si>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</si>
  <si>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</si>
  <si>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</si>
  <si>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</si>
  <si>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</si>
  <si>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</si>
  <si>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</si>
  <si>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</si>
  <si>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</si>
  <si>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</si>
  <si>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</si>
  <si>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</si>
  <si>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</si>
  <si>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</si>
  <si>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</si>
  <si>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</si>
  <si>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</si>
  <si>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</si>
  <si>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</si>
  <si>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</si>
  <si>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</si>
  <si>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</si>
  <si>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</si>
  <si>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</si>
  <si>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</si>
  <si>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</si>
  <si>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</si>
  <si>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</si>
  <si>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</si>
  <si>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</si>
  <si>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</si>
  <si>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</si>
  <si>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</si>
  <si>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</si>
  <si>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</si>
  <si>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</si>
  <si>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</si>
  <si>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</si>
  <si>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</si>
  <si>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</si>
  <si>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</si>
  <si>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</si>
  <si>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</si>
  <si>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</si>
  <si>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</si>
  <si>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</si>
  <si>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</si>
  <si>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</si>
  <si>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</si>
  <si>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</si>
  <si>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</si>
  <si>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</si>
  <si>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</si>
  <si>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</si>
  <si>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</si>
  <si>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</si>
  <si>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</si>
  <si>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</si>
  <si>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</si>
  <si>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</si>
  <si>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</si>
  <si>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</si>
  <si>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</si>
  <si>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</si>
  <si>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</si>
  <si>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</si>
  <si>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</si>
  <si>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</si>
  <si>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</si>
  <si>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</si>
  <si>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</si>
  <si>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</si>
  <si>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</si>
  <si>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</si>
  <si>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</si>
  <si>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</si>
  <si>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</si>
  <si>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</si>
  <si>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</si>
  <si>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</si>
  <si>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</si>
  <si>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</si>
  <si>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</si>
  <si>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</si>
  <si>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</si>
  <si>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</si>
  <si>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</si>
  <si>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</si>
  <si>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</si>
  <si>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</si>
  <si>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</si>
  <si>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</si>
  <si>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</si>
  <si>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</si>
  <si>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</si>
  <si>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</si>
  <si>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</si>
  <si>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</si>
  <si>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</si>
  <si>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</si>
  <si>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</si>
  <si>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</si>
  <si>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</si>
  <si>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</si>
  <si>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</si>
  <si>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</si>
  <si>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</si>
  <si>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</si>
  <si>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</si>
  <si>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</si>
  <si>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</si>
  <si>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</si>
  <si>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</si>
  <si>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</si>
  <si>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</si>
  <si>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</si>
  <si>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</si>
  <si>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</si>
  <si>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</si>
  <si>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</si>
  <si>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</si>
  <si>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</si>
  <si>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</si>
  <si>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</si>
  <si>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</si>
  <si>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</si>
  <si>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</si>
  <si>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</si>
  <si>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</si>
  <si>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</si>
  <si>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</si>
  <si>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</si>
  <si>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</si>
  <si>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</si>
  <si>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</si>
  <si>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</si>
  <si>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</si>
  <si>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</si>
  <si>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</si>
  <si>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</si>
  <si>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</si>
  <si>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</si>
  <si>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</si>
  <si>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</si>
  <si>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</si>
  <si>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</si>
  <si>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</si>
  <si>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</si>
  <si>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</si>
  <si>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</si>
  <si>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</si>
  <si>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</si>
  <si>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</si>
  <si>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</si>
  <si>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</si>
  <si>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</si>
  <si>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</si>
  <si>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</si>
  <si>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</si>
  <si>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</si>
  <si>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</si>
  <si>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</si>
  <si>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</si>
  <si>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</si>
  <si>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</si>
  <si>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</si>
  <si>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</si>
  <si>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</si>
  <si>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</si>
  <si>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</si>
  <si>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</si>
  <si>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</si>
  <si>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</si>
  <si>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</si>
  <si>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</si>
  <si>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</si>
  <si>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</si>
  <si>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</si>
  <si>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</si>
  <si>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</si>
  <si>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</si>
  <si>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</si>
  <si>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</si>
  <si>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</si>
  <si>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</si>
  <si>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</si>
  <si>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</si>
  <si>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</si>
  <si>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</si>
  <si>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</si>
  <si>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</si>
  <si>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</si>
  <si>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</si>
  <si>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</si>
  <si>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</si>
  <si>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</si>
  <si>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</si>
  <si>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</si>
  <si>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</si>
  <si>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</si>
  <si>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</si>
  <si>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</si>
  <si>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</si>
  <si>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</si>
  <si>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</si>
  <si>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</si>
  <si>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</si>
  <si>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</si>
  <si>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</si>
  <si>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</si>
  <si>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</si>
  <si>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</si>
  <si>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</si>
  <si>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</si>
  <si>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</si>
  <si>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</si>
  <si>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</si>
  <si>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</si>
  <si>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</si>
  <si>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</si>
  <si>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</si>
  <si>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</si>
  <si>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</si>
  <si>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</si>
  <si>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</si>
  <si>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</si>
  <si>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</si>
  <si>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</si>
  <si>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</si>
  <si>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</si>
  <si>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</si>
  <si>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</si>
  <si>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</si>
  <si>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</si>
  <si>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</si>
  <si>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</si>
  <si>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</si>
  <si>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</si>
  <si>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</si>
  <si>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</si>
  <si>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</si>
  <si>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</si>
  <si>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</si>
  <si>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</si>
  <si>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</si>
  <si>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</si>
  <si>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</si>
  <si>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</si>
  <si>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</si>
  <si>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</si>
  <si>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</si>
  <si>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</si>
  <si>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</si>
  <si>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</si>
  <si>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</si>
  <si>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</si>
  <si>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</si>
  <si>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</si>
  <si>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</si>
  <si>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</si>
  <si>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</si>
  <si>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</si>
  <si>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</si>
  <si>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</si>
  <si>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</si>
  <si>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</si>
  <si>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</si>
  <si>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</si>
  <si>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</si>
  <si>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</si>
  <si>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</si>
  <si>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</si>
  <si>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</si>
  <si>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</si>
  <si>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</si>
  <si>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</si>
  <si>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</si>
  <si>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</si>
  <si>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</si>
  <si>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</si>
  <si>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</si>
  <si>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</si>
  <si>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</si>
  <si>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</si>
  <si>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</si>
  <si>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</si>
  <si>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</si>
  <si>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</si>
  <si>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</si>
  <si>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</si>
  <si>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</si>
  <si>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</si>
  <si>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</si>
  <si>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</si>
  <si>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</si>
  <si>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</si>
  <si>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</si>
  <si>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</si>
  <si>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</si>
  <si>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</si>
  <si>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</si>
  <si>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</si>
  <si>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</si>
  <si>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</si>
  <si>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</si>
  <si>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</si>
  <si>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</si>
  <si>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</si>
  <si>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</si>
  <si>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</si>
  <si>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</si>
  <si>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</si>
  <si>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</si>
  <si>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</si>
  <si>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</si>
  <si>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</si>
  <si>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</si>
  <si>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</si>
  <si>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</si>
  <si>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</si>
  <si>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</si>
  <si>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</si>
  <si>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</si>
  <si>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</si>
  <si>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</si>
  <si>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</si>
  <si>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</si>
  <si>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</si>
  <si>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</si>
  <si>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</si>
  <si>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</si>
  <si>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</si>
  <si>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</si>
  <si>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</si>
  <si>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</si>
  <si>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</si>
  <si>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</si>
  <si>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</si>
  <si>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</si>
  <si>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</si>
  <si>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</si>
  <si>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</si>
  <si>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</si>
  <si>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</si>
  <si>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</si>
  <si>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</si>
  <si>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</si>
  <si>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</si>
  <si>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</si>
  <si>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</si>
  <si>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</si>
  <si>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</si>
  <si>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</si>
  <si>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</si>
  <si>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</si>
  <si>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</si>
  <si>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</si>
  <si>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</si>
  <si>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</si>
  <si>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</si>
  <si>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</si>
  <si>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</si>
  <si>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</si>
  <si>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</si>
  <si>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</si>
  <si>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</si>
  <si>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</si>
  <si>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</si>
  <si>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</si>
  <si>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</si>
  <si>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</si>
  <si>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</si>
  <si>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</si>
  <si>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</si>
  <si>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</si>
  <si>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</si>
  <si>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</si>
  <si>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</si>
  <si>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</si>
  <si>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</si>
  <si>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</si>
  <si>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</si>
  <si>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</si>
  <si>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</si>
  <si>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</si>
  <si>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</si>
  <si>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</si>
  <si>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</si>
  <si>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</si>
  <si>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</si>
  <si>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</si>
  <si>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</si>
  <si>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</si>
  <si>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</si>
  <si>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</si>
  <si>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</si>
  <si>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</si>
  <si>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</si>
  <si>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</si>
  <si>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</si>
  <si>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</si>
  <si>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</si>
  <si>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</si>
  <si>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</si>
  <si>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</si>
  <si>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</si>
  <si>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</si>
  <si>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</si>
  <si>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</si>
  <si>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</si>
  <si>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</si>
  <si>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</si>
  <si>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</si>
  <si>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</si>
  <si>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</si>
  <si>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</si>
  <si>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</si>
  <si>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</si>
  <si>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</si>
  <si>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</si>
  <si>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</si>
  <si>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</si>
  <si>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</si>
  <si>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</si>
  <si>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</si>
  <si>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</si>
  <si>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</si>
  <si>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</si>
  <si>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</si>
  <si>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</si>
  <si>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</si>
  <si>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</si>
  <si>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</si>
  <si>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</si>
  <si>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</si>
  <si>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</si>
  <si>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</si>
  <si>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</si>
  <si>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</si>
  <si>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</si>
  <si>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</si>
  <si>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</si>
  <si>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</si>
  <si>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</si>
  <si>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</si>
  <si>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</si>
  <si>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</si>
  <si>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</si>
  <si>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</si>
  <si>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</si>
  <si>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</si>
  <si>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</si>
  <si>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</si>
  <si>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</si>
  <si>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</si>
  <si>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</si>
  <si>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</si>
  <si>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</si>
  <si>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</si>
  <si>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</si>
  <si>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</si>
  <si>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</si>
  <si>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</si>
  <si>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</si>
  <si>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</si>
  <si>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</si>
  <si>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</si>
  <si>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</si>
  <si>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</si>
  <si>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</si>
  <si>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</si>
  <si>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</si>
  <si>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</si>
  <si>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</si>
  <si>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</si>
  <si>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</si>
  <si>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</si>
  <si>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</si>
  <si>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</si>
  <si>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</si>
  <si>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</si>
  <si>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</si>
  <si>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</si>
  <si>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</si>
  <si>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</si>
  <si>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</si>
  <si>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</si>
  <si>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</si>
  <si>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</si>
  <si>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</si>
  <si>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</si>
  <si>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</si>
  <si>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</si>
  <si>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</si>
  <si>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</si>
  <si>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</si>
  <si>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</si>
  <si>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</si>
  <si>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</si>
  <si>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</si>
  <si>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</si>
  <si>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</si>
  <si>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</si>
  <si>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</si>
  <si>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</si>
  <si>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</si>
  <si>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</si>
  <si>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</si>
  <si>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</si>
  <si>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</si>
  <si>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</si>
  <si>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</si>
  <si>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</si>
  <si>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</si>
  <si>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</si>
  <si>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</si>
  <si>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</si>
  <si>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</si>
  <si>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</si>
  <si>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</si>
  <si>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</si>
  <si>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</si>
  <si>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</si>
  <si>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</si>
  <si>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</si>
  <si>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</si>
  <si>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</si>
  <si>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</si>
  <si>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</si>
  <si>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</si>
  <si>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</si>
  <si>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</si>
  <si>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</si>
  <si>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</si>
  <si>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</si>
  <si>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</si>
  <si>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</si>
  <si>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</si>
  <si>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</si>
  <si>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</si>
  <si>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</si>
  <si>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</si>
  <si>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</si>
  <si>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</si>
  <si>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</si>
  <si>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</si>
  <si>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</si>
  <si>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</si>
  <si>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</si>
  <si>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</si>
  <si>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</si>
  <si>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</si>
  <si>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</si>
  <si>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</si>
  <si>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</si>
  <si>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</si>
  <si>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</si>
  <si>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</si>
  <si>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</si>
  <si>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</si>
  <si>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</si>
  <si>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</si>
  <si>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</si>
  <si>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</si>
  <si>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</si>
  <si>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</si>
  <si>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</si>
  <si>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</si>
  <si>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</si>
  <si>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</si>
  <si>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</si>
  <si>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</si>
  <si>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</si>
  <si>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</si>
  <si>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</si>
  <si>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</si>
  <si>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</si>
  <si>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</si>
  <si>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</si>
  <si>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</si>
  <si>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</si>
  <si>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</si>
  <si>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</si>
  <si>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</si>
  <si>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</si>
  <si>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</si>
  <si>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</si>
  <si>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</si>
  <si>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</si>
  <si>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</si>
  <si>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</si>
  <si>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</si>
  <si>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</si>
  <si>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</si>
  <si>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</si>
  <si>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</si>
  <si>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</si>
  <si>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</si>
  <si>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</si>
  <si>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</si>
  <si>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</si>
  <si>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</si>
  <si>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</si>
  <si>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</si>
  <si>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</si>
  <si>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</si>
  <si>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</si>
  <si>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</si>
  <si>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</si>
  <si>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</si>
  <si>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</si>
  <si>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</si>
  <si>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</si>
  <si>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</si>
  <si>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</si>
  <si>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</si>
  <si>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</si>
  <si>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</si>
  <si>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</si>
  <si>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</si>
  <si>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</si>
  <si>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</si>
  <si>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</si>
  <si>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</si>
  <si>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</si>
  <si>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</si>
  <si>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</si>
  <si>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</si>
  <si>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</si>
  <si>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</si>
  <si>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</si>
  <si>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</si>
  <si>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</si>
  <si>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</si>
  <si>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</si>
  <si>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</si>
  <si>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</si>
  <si>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</si>
  <si>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</si>
  <si>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</si>
  <si>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</si>
  <si>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</si>
  <si>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</si>
  <si>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</si>
  <si>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</si>
  <si>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</si>
  <si>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</si>
  <si>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</si>
  <si>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</si>
  <si>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</si>
  <si>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</si>
  <si>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</si>
  <si>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</si>
  <si>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</si>
  <si>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</si>
  <si>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</si>
  <si>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</si>
  <si>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</si>
  <si>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</si>
  <si>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</si>
  <si>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</si>
  <si>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</si>
  <si>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</si>
  <si>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</si>
  <si>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</si>
  <si>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</si>
  <si>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</si>
  <si>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</si>
  <si>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</si>
  <si>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</si>
  <si>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</si>
  <si>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</si>
  <si>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</si>
  <si>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</si>
  <si>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</si>
  <si>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</si>
  <si>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</si>
  <si>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</si>
  <si>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</si>
  <si>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</si>
  <si>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</si>
  <si>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</si>
  <si>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</si>
  <si>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</si>
  <si>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</si>
  <si>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</si>
  <si>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</si>
  <si>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</si>
  <si>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</si>
  <si>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</si>
  <si>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</si>
  <si>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</si>
  <si>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</si>
  <si>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</si>
  <si>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</si>
  <si>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</si>
  <si>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</si>
  <si>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</si>
  <si>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</si>
  <si>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</si>
  <si>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</si>
  <si>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</si>
  <si>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</si>
  <si>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</si>
  <si>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</si>
  <si>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</si>
  <si>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</si>
  <si>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</si>
  <si>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</si>
  <si>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</si>
  <si>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</si>
  <si>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</si>
  <si>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</si>
  <si>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</si>
  <si>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</si>
  <si>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</si>
  <si>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</si>
  <si>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</si>
  <si>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</si>
  <si>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</si>
  <si>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</si>
  <si>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</si>
  <si>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</si>
  <si>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</si>
  <si>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</si>
  <si>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</si>
  <si>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</si>
  <si>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</si>
  <si>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</si>
  <si>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</si>
  <si>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</si>
  <si>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</si>
  <si>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</si>
  <si>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</si>
  <si>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</si>
  <si>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</si>
  <si>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</si>
  <si>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</si>
  <si>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</si>
  <si>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</si>
  <si>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</si>
  <si>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</si>
  <si>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</si>
  <si>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</si>
  <si>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</si>
  <si>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</si>
  <si>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</si>
  <si>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</si>
  <si>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</si>
  <si>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</si>
  <si>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</si>
  <si>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</si>
  <si>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</si>
  <si>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</si>
  <si>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</si>
  <si>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</si>
  <si>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</si>
  <si>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</si>
  <si>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</si>
  <si>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</si>
  <si>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</si>
  <si>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</si>
  <si>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</si>
  <si>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</si>
  <si>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</si>
  <si>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</si>
  <si>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</si>
  <si>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</si>
  <si>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</si>
  <si>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</si>
  <si>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</si>
  <si>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</si>
  <si>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</si>
  <si>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</si>
  <si>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</si>
  <si>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</si>
  <si>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</si>
  <si>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</si>
  <si>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</si>
  <si>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</si>
  <si>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</si>
  <si>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</si>
  <si>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</si>
  <si>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</si>
  <si>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</si>
  <si>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</si>
  <si>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</si>
  <si>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</si>
  <si>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</si>
  <si>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</si>
  <si>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</si>
  <si>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</si>
  <si>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</si>
  <si>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</si>
  <si>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</si>
  <si>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</si>
  <si>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</si>
  <si>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</si>
  <si>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</si>
  <si>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</si>
  <si>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</si>
  <si>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</si>
  <si>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</si>
  <si>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</si>
  <si>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</si>
  <si>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</si>
  <si>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</si>
  <si>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</si>
  <si>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</si>
  <si>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</si>
  <si>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</si>
  <si>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</si>
  <si>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</si>
  <si>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</si>
  <si>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</si>
  <si>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</si>
  <si>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</si>
  <si>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</si>
  <si>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</si>
  <si>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</si>
  <si>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</si>
  <si>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</si>
  <si>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</si>
  <si>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</si>
  <si>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</si>
  <si>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</si>
  <si>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</si>
  <si>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</si>
  <si>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</si>
  <si>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</si>
  <si>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</si>
  <si>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</si>
  <si>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</si>
  <si>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</si>
  <si>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</si>
  <si>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</si>
  <si>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</si>
  <si>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</si>
  <si>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</si>
  <si>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</si>
  <si>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</si>
  <si>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</si>
  <si>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</si>
  <si>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</si>
  <si>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</si>
  <si>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</si>
  <si>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</si>
  <si>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</si>
  <si>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</si>
  <si>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</si>
  <si>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</si>
  <si>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</si>
  <si>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</si>
  <si>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</si>
  <si>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</si>
  <si>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</si>
  <si>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</si>
  <si>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</si>
  <si>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</si>
  <si>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</si>
  <si>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</si>
  <si>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</si>
  <si>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</si>
  <si>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</si>
  <si>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</si>
  <si>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</si>
  <si>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</si>
  <si>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</si>
  <si>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</si>
  <si>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</si>
  <si>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</si>
  <si>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</si>
  <si>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</si>
  <si>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</si>
  <si>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</si>
  <si>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</si>
  <si>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</si>
  <si>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</si>
  <si>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</si>
  <si>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</si>
  <si>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</si>
  <si>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</si>
  <si>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</si>
  <si>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</si>
  <si>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</si>
  <si>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</si>
  <si>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</si>
  <si>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</si>
  <si>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</si>
  <si>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</si>
  <si>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</si>
  <si>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</si>
  <si>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</si>
  <si>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</si>
  <si>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</si>
  <si>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</si>
  <si>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</si>
  <si>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</si>
  <si>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</si>
  <si>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</si>
  <si>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</si>
  <si>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</si>
  <si>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</si>
  <si>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</si>
  <si>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</si>
  <si>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</si>
  <si>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</si>
  <si>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</si>
  <si>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</si>
  <si>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</si>
  <si>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</si>
  <si>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</si>
  <si>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</si>
  <si>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</si>
  <si>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</si>
  <si>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</si>
  <si>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</si>
  <si>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</si>
  <si>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</si>
  <si>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</si>
  <si>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</si>
  <si>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</si>
  <si>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</si>
  <si>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</si>
  <si>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</si>
  <si>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</si>
  <si>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</si>
  <si>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</si>
  <si>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</si>
  <si>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</si>
  <si>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</si>
  <si>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</si>
  <si>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</si>
  <si>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</si>
  <si>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</si>
  <si>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</si>
  <si>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</si>
  <si>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</si>
  <si>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</si>
  <si>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</si>
  <si>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</si>
  <si>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</si>
  <si>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</si>
  <si>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</si>
  <si>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</si>
  <si>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</si>
  <si>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</si>
  <si>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</si>
  <si>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</si>
  <si>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</si>
  <si>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</si>
  <si>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</si>
  <si>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</si>
  <si>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</si>
  <si>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</si>
  <si>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</si>
  <si>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</si>
  <si>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</si>
  <si>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</si>
  <si>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</si>
  <si>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</si>
  <si>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</si>
  <si>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</si>
  <si>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</si>
  <si>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</si>
  <si>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</si>
  <si>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</si>
  <si>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</si>
  <si>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</si>
  <si>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</si>
  <si>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</si>
  <si>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</si>
  <si>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</si>
  <si>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</si>
  <si>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</si>
  <si>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</si>
  <si>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</si>
  <si>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</si>
  <si>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</si>
  <si>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</si>
  <si>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</si>
  <si>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</si>
  <si>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</si>
  <si>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</si>
  <si>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</si>
  <si>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</si>
  <si>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</si>
  <si>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</si>
  <si>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</si>
  <si>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</si>
  <si>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</si>
  <si>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</si>
  <si>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</si>
  <si>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</si>
  <si>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</si>
  <si>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</si>
  <si>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</si>
  <si>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</si>
  <si>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</si>
  <si>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</si>
  <si>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</si>
  <si>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</si>
  <si>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</si>
  <si>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</si>
  <si>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</si>
  <si>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</si>
  <si>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</si>
  <si>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</si>
  <si>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</si>
  <si>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</si>
  <si>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</si>
  <si>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</si>
  <si>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</si>
  <si>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</si>
  <si>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</si>
  <si>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</si>
  <si>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</si>
  <si>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</si>
  <si>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</si>
  <si>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</si>
  <si>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</si>
  <si>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</si>
  <si>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</si>
  <si>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</si>
  <si>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</si>
  <si>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</si>
  <si>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</si>
  <si>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</si>
  <si>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</si>
  <si>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</si>
  <si>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</si>
  <si>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</si>
  <si>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</si>
  <si>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</si>
  <si>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</si>
  <si>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</si>
  <si>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</si>
  <si>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</si>
  <si>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</si>
  <si>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</si>
  <si>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</si>
  <si>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</si>
  <si>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</si>
  <si>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</si>
  <si>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</si>
  <si>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</si>
  <si>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</si>
  <si>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</si>
  <si>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</si>
  <si>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</si>
  <si>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</si>
  <si>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</si>
  <si>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</si>
  <si>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</si>
  <si>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</si>
  <si>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</si>
  <si>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</si>
  <si>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</si>
  <si>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</si>
  <si>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</si>
  <si>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</si>
  <si>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</si>
  <si>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</si>
  <si>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</si>
  <si>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</si>
  <si>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</si>
  <si>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</si>
  <si>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</si>
  <si>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</si>
  <si>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</si>
  <si>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</si>
  <si>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</si>
  <si>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</si>
  <si>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</si>
  <si>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</si>
  <si>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</si>
  <si>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</si>
  <si>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</si>
  <si>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</si>
  <si>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</si>
  <si>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</si>
  <si>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</si>
  <si>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</si>
  <si>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</si>
  <si>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</si>
  <si>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</si>
  <si>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</si>
  <si>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</si>
  <si>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</si>
  <si>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</si>
  <si>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</si>
  <si>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</si>
  <si>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</si>
  <si>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</si>
  <si>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</si>
  <si>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</si>
  <si>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</si>
  <si>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</si>
  <si>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</si>
  <si>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</si>
  <si>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</si>
  <si>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</si>
  <si>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</si>
  <si>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</si>
  <si>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</si>
  <si>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</si>
  <si>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</si>
  <si>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</si>
  <si>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</si>
  <si>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</si>
  <si>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</si>
  <si>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</si>
  <si>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</si>
  <si>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</si>
  <si>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</si>
  <si>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</si>
  <si>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</si>
  <si>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</si>
  <si>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</si>
  <si>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</si>
  <si>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</si>
  <si>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</si>
  <si>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</si>
  <si>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</si>
  <si>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</si>
  <si>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</si>
  <si>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</si>
  <si>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</si>
  <si>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</si>
  <si>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</si>
  <si>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</si>
  <si>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</si>
  <si>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</si>
  <si>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</si>
  <si>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</si>
  <si>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</si>
  <si>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</si>
  <si>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</si>
  <si>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</si>
  <si>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</si>
  <si>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</si>
  <si>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</si>
  <si>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</si>
  <si>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</si>
  <si>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</si>
  <si>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</si>
  <si>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</si>
  <si>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</si>
  <si>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</si>
  <si>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</si>
  <si>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</si>
  <si>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</si>
  <si>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</si>
  <si>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</si>
  <si>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</si>
  <si>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</si>
  <si>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</si>
  <si>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</si>
  <si>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</si>
  <si>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</si>
  <si>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</si>
  <si>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</si>
  <si>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</si>
  <si>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</si>
  <si>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</si>
  <si>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</si>
  <si>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</si>
  <si>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</si>
  <si>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</si>
  <si>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</si>
  <si>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</si>
  <si>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</si>
  <si>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</si>
  <si>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</si>
  <si>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</si>
  <si>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</si>
  <si>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</si>
  <si>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</si>
  <si>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</si>
  <si>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</si>
  <si>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</si>
  <si>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</si>
  <si>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</si>
  <si>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</si>
  <si>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</si>
  <si>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</si>
  <si>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</si>
  <si>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</si>
  <si>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</si>
  <si>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</si>
  <si>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</si>
  <si>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</si>
  <si>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</si>
  <si>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</si>
  <si>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</si>
  <si>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</si>
  <si>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</si>
  <si>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</si>
  <si>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</si>
  <si>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</si>
  <si>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</si>
  <si>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</si>
  <si>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</si>
  <si>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</si>
  <si>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</si>
  <si>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</si>
  <si>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</si>
  <si>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</si>
  <si>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</si>
  <si>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</si>
  <si>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</si>
  <si>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</si>
  <si>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</si>
  <si>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</si>
  <si>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</si>
  <si>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</si>
  <si>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</si>
  <si>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</si>
  <si>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</si>
  <si>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</si>
  <si>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</si>
  <si>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</si>
  <si>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</si>
  <si>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</si>
  <si>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</si>
  <si>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</si>
  <si>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</si>
  <si>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</si>
  <si>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</si>
  <si>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</si>
  <si>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</si>
  <si>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</si>
  <si>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</si>
  <si>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</si>
  <si>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</si>
  <si>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</si>
  <si>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</si>
  <si>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</si>
  <si>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</si>
  <si>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</si>
  <si>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</si>
  <si>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</si>
  <si>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</si>
  <si>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</si>
  <si>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</si>
  <si>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</si>
  <si>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</si>
  <si>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</si>
  <si>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</si>
  <si>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</si>
  <si>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</si>
  <si>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</si>
  <si>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</si>
  <si>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</si>
  <si>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</si>
  <si>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</si>
  <si>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</si>
  <si>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</si>
  <si>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</si>
  <si>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</si>
  <si>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</si>
  <si>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</si>
  <si>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</si>
  <si>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</si>
  <si>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</si>
  <si>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</si>
  <si>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</si>
  <si>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</si>
  <si>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</si>
  <si>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</si>
  <si>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</si>
  <si>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</si>
  <si>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</si>
  <si>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</si>
  <si>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</si>
  <si>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</si>
  <si>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</si>
  <si>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</si>
  <si>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</si>
  <si>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</si>
  <si>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</si>
  <si>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</si>
  <si>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</si>
  <si>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</si>
  <si>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</si>
  <si>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</si>
  <si>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</si>
  <si>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</si>
  <si>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</si>
  <si>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</si>
  <si>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</si>
  <si>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</si>
  <si>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</si>
  <si>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</si>
  <si>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</si>
  <si>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</si>
  <si>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</si>
  <si>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</si>
  <si>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</si>
  <si>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</si>
  <si>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</si>
  <si>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</si>
  <si>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</si>
  <si>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</si>
  <si>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</si>
  <si>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</si>
  <si>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</si>
  <si>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</si>
  <si>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</si>
  <si>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</si>
  <si>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</si>
  <si>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</si>
  <si>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</si>
  <si>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</si>
  <si>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</si>
  <si>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</si>
  <si>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</si>
  <si>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</si>
  <si>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</si>
  <si>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</si>
  <si>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</si>
  <si>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</si>
  <si>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</si>
  <si>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</si>
  <si>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</si>
  <si>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</si>
  <si>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</si>
  <si>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</si>
  <si>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</si>
  <si>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</si>
  <si>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</si>
  <si>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</si>
  <si>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</si>
  <si>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</si>
  <si>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</si>
  <si>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</si>
  <si>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</si>
  <si>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</si>
  <si>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</si>
  <si>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</si>
  <si>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</si>
  <si>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</si>
  <si>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</si>
  <si>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</si>
  <si>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</si>
  <si>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</si>
  <si>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</si>
  <si>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</si>
  <si>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</si>
  <si>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</si>
  <si>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</si>
  <si>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</si>
  <si>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</si>
  <si>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</si>
  <si>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</si>
  <si>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</si>
  <si>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</si>
  <si>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</si>
  <si>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</si>
  <si>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</si>
  <si>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</si>
  <si>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</si>
  <si>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</si>
  <si>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</si>
  <si>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</si>
  <si>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</si>
  <si>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</si>
  <si>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</si>
  <si>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</si>
  <si>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</si>
  <si>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</si>
  <si>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</si>
  <si>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</si>
  <si>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</si>
  <si>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</si>
  <si>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</si>
  <si>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</si>
  <si>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</si>
  <si>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</si>
  <si>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</si>
  <si>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</si>
  <si>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</si>
  <si>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</si>
  <si>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</si>
  <si>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</si>
  <si>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</si>
  <si>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</si>
  <si>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</si>
  <si>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</si>
  <si>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</si>
  <si>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</si>
  <si>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</si>
  <si>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</si>
  <si>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</si>
  <si>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</si>
  <si>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</si>
  <si>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</si>
  <si>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</si>
  <si>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</si>
  <si>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</si>
  <si>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</si>
  <si>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</si>
  <si>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</si>
  <si>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</si>
  <si>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</si>
  <si>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</si>
  <si>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</si>
  <si>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</si>
  <si>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</si>
  <si>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</si>
  <si>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</si>
  <si>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</si>
  <si>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</si>
  <si>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</si>
  <si>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</si>
  <si>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</si>
  <si>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</si>
  <si>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</si>
  <si>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</si>
  <si>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</si>
  <si>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</si>
  <si>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</si>
  <si>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</si>
  <si>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</si>
  <si>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</si>
  <si>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</si>
  <si>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</si>
  <si>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</si>
  <si>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</si>
  <si>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</si>
  <si>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</si>
  <si>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</si>
  <si>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</si>
  <si>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</si>
  <si>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</si>
  <si>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</si>
  <si>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</si>
  <si>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</si>
  <si>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</si>
  <si>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</si>
  <si>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</si>
  <si>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</si>
  <si>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</si>
  <si>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</si>
  <si>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</si>
  <si>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</si>
  <si>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</si>
  <si>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</si>
  <si>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</si>
  <si>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</si>
  <si>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</si>
  <si>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</si>
  <si>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</si>
  <si>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</si>
  <si>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</si>
  <si>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</si>
  <si>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</si>
  <si>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</si>
  <si>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</si>
  <si>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</si>
  <si>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</si>
  <si>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</si>
  <si>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</si>
  <si>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</si>
  <si>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</si>
  <si>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</si>
  <si>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</si>
  <si>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</si>
  <si>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</si>
  <si>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</si>
  <si>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</si>
  <si>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</si>
  <si>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</si>
  <si>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</si>
  <si>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</si>
  <si>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</si>
  <si>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</si>
  <si>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</si>
  <si>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</si>
  <si>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</si>
  <si>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</si>
  <si>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</si>
  <si>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</si>
  <si>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</si>
  <si>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</si>
  <si>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</si>
  <si>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</si>
  <si>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</si>
  <si>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</si>
  <si>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</si>
  <si>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</si>
  <si>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</si>
  <si>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</si>
  <si>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</si>
  <si>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</si>
  <si>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</si>
  <si>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</si>
  <si>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</si>
  <si>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</si>
  <si>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</si>
  <si>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</si>
  <si>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</si>
  <si>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</si>
  <si>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</si>
  <si>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</si>
  <si>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</si>
  <si>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</si>
  <si>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</si>
  <si>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</si>
  <si>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</si>
  <si>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</si>
  <si>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</si>
  <si>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</si>
  <si>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</si>
  <si>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</si>
  <si>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</si>
  <si>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</si>
  <si>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</si>
  <si>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</si>
  <si>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</si>
  <si>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</si>
  <si>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</si>
  <si>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</si>
  <si>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</si>
  <si>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</si>
  <si>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</si>
  <si>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</si>
  <si>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</si>
  <si>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</si>
  <si>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</si>
  <si>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</si>
  <si>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</si>
  <si>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</si>
  <si>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</si>
  <si>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</si>
  <si>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</si>
  <si>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</si>
  <si>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</si>
  <si>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</si>
  <si>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</si>
  <si>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</si>
  <si>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</si>
  <si>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</si>
  <si>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</si>
  <si>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</si>
  <si>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</si>
  <si>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</si>
  <si>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</si>
  <si>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</si>
  <si>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</si>
  <si>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</si>
  <si>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</si>
  <si>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</si>
  <si>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</si>
  <si>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</si>
  <si>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</si>
  <si>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</si>
  <si>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</si>
  <si>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</si>
  <si>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</si>
  <si>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</si>
  <si>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</si>
  <si>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</si>
  <si>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</si>
  <si>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</si>
  <si>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</si>
  <si>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</si>
  <si>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</si>
  <si>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</si>
  <si>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</si>
  <si>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</si>
  <si>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</si>
  <si>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</si>
  <si>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</si>
  <si>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</si>
  <si>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</si>
  <si>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</si>
  <si>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</si>
  <si>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</si>
  <si>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</si>
  <si>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</si>
  <si>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</si>
  <si>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</si>
  <si>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</si>
  <si>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</si>
  <si>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</si>
  <si>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</si>
  <si>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</si>
  <si>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</si>
  <si>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</si>
  <si>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</si>
  <si>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</si>
  <si>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</si>
  <si>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</si>
  <si>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</si>
  <si>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</si>
  <si>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</si>
  <si>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</si>
  <si>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</si>
  <si>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</si>
  <si>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</si>
  <si>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</si>
  <si>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</si>
  <si>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</si>
  <si>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</si>
  <si>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</si>
  <si>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</si>
  <si>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</si>
  <si>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</si>
  <si>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</si>
  <si>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</si>
  <si>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</si>
  <si>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</si>
  <si>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</si>
  <si>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</si>
  <si>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</si>
  <si>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</si>
  <si>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</si>
  <si>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</si>
  <si>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</si>
  <si>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</si>
  <si>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</si>
  <si>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</si>
  <si>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</si>
  <si>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</si>
  <si>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</si>
  <si>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</si>
  <si>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</si>
  <si>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</si>
  <si>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</si>
  <si>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</si>
  <si>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</si>
  <si>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</si>
  <si>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</si>
  <si>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</si>
  <si>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</si>
  <si>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</si>
  <si>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</si>
  <si>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</si>
  <si>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</si>
  <si>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</si>
  <si>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</si>
  <si>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</si>
  <si>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</si>
  <si>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</si>
  <si>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</si>
  <si>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</si>
  <si>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</si>
  <si>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</si>
  <si>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</si>
  <si>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</si>
  <si>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</si>
  <si>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</si>
  <si>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</si>
  <si>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</si>
  <si>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</si>
  <si>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</si>
  <si>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</si>
  <si>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</si>
  <si>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</si>
  <si>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</si>
  <si>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</si>
  <si>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</si>
  <si>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</si>
  <si>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</si>
  <si>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</si>
  <si>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</si>
  <si>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</si>
  <si>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</si>
  <si>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</si>
  <si>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</si>
  <si>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</si>
  <si>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</si>
  <si>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</si>
  <si>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</si>
  <si>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</si>
  <si>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</si>
  <si>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</si>
  <si>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</si>
  <si>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</si>
  <si>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</si>
  <si>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</si>
  <si>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</si>
  <si>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</si>
  <si>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</si>
  <si>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</si>
  <si>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</si>
  <si>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</si>
  <si>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</si>
  <si>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</si>
  <si>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</si>
  <si>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</si>
  <si>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</si>
  <si>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</si>
  <si>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</si>
  <si>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</si>
  <si>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</si>
  <si>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</si>
  <si>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</si>
  <si>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</si>
  <si>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</si>
  <si>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</si>
  <si>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</si>
  <si>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</si>
  <si>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</si>
  <si>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</si>
  <si>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</si>
  <si>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</si>
  <si>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</si>
  <si>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</si>
  <si>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</si>
  <si>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</si>
  <si>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</si>
  <si>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</si>
  <si>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</si>
  <si>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</si>
  <si>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</si>
  <si>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</si>
  <si>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</si>
  <si>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</si>
  <si>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</si>
  <si>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</si>
  <si>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</si>
  <si>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</si>
  <si>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</si>
  <si>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</si>
  <si>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</si>
  <si>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</si>
  <si>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</si>
  <si>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</si>
  <si>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</si>
  <si>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</si>
  <si>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</si>
  <si>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</si>
  <si>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</si>
  <si>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</si>
  <si>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</si>
  <si>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</si>
  <si>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</si>
  <si>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</si>
  <si>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</si>
  <si>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</si>
  <si>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</si>
  <si>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</si>
  <si>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</si>
  <si>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</si>
  <si>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</si>
  <si>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</si>
  <si>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</si>
  <si>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</si>
  <si>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</si>
  <si>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</si>
  <si>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</si>
  <si>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</si>
  <si>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</si>
  <si>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</si>
  <si>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</si>
  <si>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</si>
  <si>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</si>
  <si>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</si>
  <si>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</si>
  <si>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</si>
  <si>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</si>
  <si>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</si>
  <si>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</si>
  <si>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</si>
  <si>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</si>
  <si>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</si>
  <si>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</si>
  <si>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</si>
  <si>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</si>
  <si>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</si>
  <si>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</si>
  <si>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</si>
  <si>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</si>
  <si>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</si>
  <si>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</si>
  <si>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</si>
  <si>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</si>
  <si>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</si>
  <si>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</si>
  <si>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</si>
  <si>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</si>
  <si>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</si>
  <si>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</si>
  <si>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</si>
  <si>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</si>
  <si>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</si>
  <si>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</si>
  <si>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</si>
  <si>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</si>
  <si>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</si>
  <si>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</si>
  <si>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</si>
  <si>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</si>
  <si>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</si>
  <si>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</si>
  <si>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</si>
  <si>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</si>
  <si>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</si>
  <si>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</si>
  <si>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</si>
  <si>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</si>
  <si>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</si>
  <si>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</si>
  <si>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</si>
  <si>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</si>
  <si>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</si>
  <si>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</si>
  <si>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</si>
  <si>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</si>
  <si>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</si>
  <si>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</si>
  <si>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</si>
  <si>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</si>
  <si>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</si>
  <si>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</si>
  <si>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</si>
  <si>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</si>
  <si>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</si>
  <si>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</si>
  <si>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</si>
  <si>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</si>
  <si>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</si>
  <si>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</si>
  <si>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</si>
  <si>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</si>
  <si>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</si>
  <si>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</si>
  <si>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</si>
  <si>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</si>
  <si>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</si>
  <si>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</si>
  <si>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</si>
  <si>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</si>
  <si>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</si>
  <si>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</si>
  <si>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</si>
  <si>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</si>
  <si>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</si>
  <si>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</si>
  <si>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</si>
  <si>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</si>
  <si>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</si>
  <si>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</si>
  <si>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</si>
  <si>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</si>
  <si>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</si>
  <si>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</si>
  <si>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</si>
  <si>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</si>
  <si>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</si>
  <si>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</si>
  <si>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</si>
  <si>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</si>
  <si>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</si>
  <si>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</si>
  <si>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</si>
  <si>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</si>
  <si>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</si>
  <si>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</si>
  <si>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</si>
  <si>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</si>
  <si>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</si>
  <si>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</si>
  <si>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</si>
  <si>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</si>
  <si>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</si>
  <si>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</si>
  <si>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</si>
  <si>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</si>
  <si>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</si>
  <si>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</si>
  <si>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</si>
  <si>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</si>
  <si>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</si>
  <si>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</si>
  <si>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</si>
  <si>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</si>
  <si>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</si>
  <si>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</si>
  <si>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</si>
  <si>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</si>
  <si>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</si>
  <si>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</si>
  <si>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</si>
  <si>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</si>
  <si>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</si>
  <si>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</si>
  <si>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</si>
  <si>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</si>
  <si>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</si>
  <si>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</si>
  <si>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</si>
  <si>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</si>
  <si>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</si>
  <si>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</si>
  <si>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</si>
  <si>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</si>
  <si>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</si>
  <si>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</si>
  <si>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</si>
  <si>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</si>
  <si>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</si>
  <si>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</si>
  <si>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</si>
  <si>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</si>
  <si>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</si>
  <si>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</si>
  <si>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</si>
  <si>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</si>
  <si>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</si>
  <si>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</si>
  <si>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</si>
  <si>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</si>
  <si>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</si>
  <si>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</si>
  <si>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</si>
  <si>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</si>
  <si>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</si>
  <si>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</si>
  <si>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</si>
  <si>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</si>
  <si>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</si>
  <si>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</si>
  <si>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</si>
  <si>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</si>
  <si>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</si>
  <si>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</si>
  <si>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</si>
  <si>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</si>
  <si>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</si>
  <si>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</si>
  <si>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</si>
  <si>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</si>
  <si>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</si>
  <si>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</si>
  <si>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</si>
  <si>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</si>
  <si>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</si>
  <si>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</si>
  <si>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</si>
  <si>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</si>
  <si>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</si>
  <si>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</si>
  <si>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</si>
  <si>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</si>
  <si>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</si>
  <si>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</si>
  <si>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</si>
  <si>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</si>
  <si>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</si>
  <si>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</si>
  <si>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</si>
  <si>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</si>
  <si>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</si>
  <si>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</si>
  <si>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</si>
  <si>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</si>
  <si>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</si>
  <si>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</si>
  <si>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</si>
  <si>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</si>
  <si>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</si>
  <si>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</si>
  <si>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</si>
  <si>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</si>
  <si>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</si>
  <si>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</si>
  <si>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</si>
  <si>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</si>
  <si>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</si>
  <si>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</si>
  <si>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</si>
  <si>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</si>
  <si>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</si>
  <si>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</si>
  <si>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</si>
  <si>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</si>
  <si>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</si>
  <si>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</si>
  <si>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</si>
  <si>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</si>
  <si>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</si>
  <si>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</si>
  <si>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</si>
  <si>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</si>
  <si>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</si>
  <si>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</si>
  <si>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</si>
  <si>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</si>
  <si>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</si>
  <si>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</si>
  <si>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</si>
  <si>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</si>
  <si>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</si>
  <si>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</si>
  <si>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</si>
  <si>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</si>
  <si>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</si>
  <si>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</si>
  <si>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</si>
  <si>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</si>
  <si>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</si>
  <si>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</si>
  <si>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</si>
  <si>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</si>
  <si>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</si>
  <si>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</si>
  <si>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</si>
  <si>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</si>
  <si>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</si>
  <si>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</si>
  <si>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</si>
  <si>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</si>
  <si>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</si>
  <si>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</si>
  <si>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</si>
  <si>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</si>
  <si>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</si>
  <si>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</si>
  <si>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</si>
  <si>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</si>
  <si>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</si>
  <si>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</si>
  <si>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</si>
  <si>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</si>
  <si>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</si>
  <si>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</si>
  <si>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</si>
  <si>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</si>
  <si>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</si>
  <si>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</si>
  <si>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</si>
  <si>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</si>
  <si>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</si>
  <si>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</si>
  <si>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</si>
  <si>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</si>
  <si>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</si>
  <si>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</si>
  <si>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</si>
  <si>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</si>
  <si>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</si>
  <si>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</si>
  <si>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</si>
  <si>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</si>
  <si>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</si>
  <si>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</si>
  <si>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</si>
  <si>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</si>
  <si>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</si>
  <si>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</si>
  <si>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</si>
  <si>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</si>
  <si>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</si>
  <si>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</si>
  <si>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</si>
  <si>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</si>
  <si>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</si>
  <si>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</si>
  <si>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</si>
  <si>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</si>
  <si>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</si>
  <si>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</si>
  <si>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</si>
  <si>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</si>
  <si>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</si>
  <si>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</si>
  <si>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</si>
  <si>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</si>
  <si>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</si>
  <si>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</si>
  <si>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</si>
  <si>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</si>
  <si>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</si>
  <si>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</si>
  <si>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</si>
  <si>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</si>
  <si>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</si>
  <si>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</si>
  <si>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</si>
  <si>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</si>
  <si>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</si>
  <si>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</si>
  <si>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</si>
  <si>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</si>
  <si>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</si>
  <si>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</si>
  <si>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</si>
  <si>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</si>
  <si>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</si>
  <si>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</si>
  <si>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</si>
  <si>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</si>
  <si>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</si>
  <si>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</si>
  <si>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</si>
  <si>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</si>
  <si>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</si>
  <si>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</si>
  <si>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</si>
  <si>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</si>
  <si>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</si>
  <si>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</si>
  <si>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</si>
  <si>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</si>
  <si>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</si>
  <si>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</si>
  <si>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</si>
  <si>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</si>
  <si>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</si>
  <si>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</si>
  <si>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</si>
  <si>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</si>
  <si>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</si>
  <si>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</si>
  <si>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</si>
  <si>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</si>
  <si>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</si>
  <si>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</si>
  <si>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</si>
  <si>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</si>
  <si>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</si>
  <si>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</si>
  <si>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</si>
  <si>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</si>
  <si>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</si>
  <si>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</si>
  <si>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</si>
  <si>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</si>
  <si>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</si>
  <si>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</si>
  <si>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</si>
  <si>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</si>
  <si>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</si>
  <si>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</si>
  <si>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</si>
  <si>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</si>
  <si>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</si>
  <si>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</si>
  <si>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</si>
  <si>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</si>
  <si>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</si>
  <si>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</si>
  <si>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</si>
  <si>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</si>
  <si>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</si>
  <si>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</si>
  <si>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</si>
  <si>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</si>
  <si>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</si>
  <si>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</si>
  <si>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</si>
  <si>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</si>
  <si>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</si>
  <si>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</si>
  <si>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</si>
  <si>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</si>
  <si>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</si>
  <si>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</si>
  <si>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</si>
  <si>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</si>
  <si>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</si>
  <si>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</si>
  <si>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</si>
  <si>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</si>
  <si>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</si>
  <si>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</si>
  <si>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</si>
  <si>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</si>
  <si>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</si>
  <si>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</si>
  <si>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</si>
  <si>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</si>
  <si>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</si>
  <si>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</si>
  <si>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</si>
  <si>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</si>
  <si>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</si>
  <si>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</si>
  <si>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</si>
  <si>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</si>
  <si>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</si>
  <si>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</si>
  <si>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</si>
  <si>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</si>
  <si>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</si>
  <si>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</si>
  <si>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</si>
  <si>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</si>
  <si>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</si>
  <si>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</si>
  <si>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</si>
  <si>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</si>
  <si>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</si>
  <si>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</si>
  <si>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</si>
  <si>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</si>
  <si>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</si>
  <si>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</si>
  <si>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</si>
  <si>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</si>
  <si>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</si>
  <si>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</si>
  <si>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</si>
  <si>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</si>
  <si>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</si>
  <si>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</si>
  <si>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</si>
  <si>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</si>
  <si>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</si>
  <si>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</si>
  <si>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</si>
  <si>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</si>
  <si>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</si>
  <si>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</si>
  <si>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</si>
  <si>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</si>
  <si>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</si>
  <si>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</si>
  <si>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</si>
  <si>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</si>
  <si>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</si>
  <si>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</si>
  <si>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</si>
  <si>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</si>
  <si>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</si>
  <si>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</si>
  <si>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</si>
  <si>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</si>
  <si>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</si>
  <si>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</si>
  <si>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</si>
  <si>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</si>
  <si>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</si>
  <si>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</si>
  <si>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</si>
  <si>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</si>
  <si>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</si>
  <si>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</si>
  <si>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</si>
  <si>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</si>
  <si>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</si>
  <si>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</si>
  <si>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</si>
  <si>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</si>
  <si>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</si>
  <si>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</si>
  <si>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</si>
  <si>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</si>
  <si>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</si>
  <si>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</si>
  <si>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</si>
  <si>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</si>
  <si>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</si>
  <si>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</si>
  <si>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</si>
  <si>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</si>
  <si>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</si>
  <si>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</si>
  <si>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</si>
  <si>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</si>
  <si>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</si>
  <si>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</si>
  <si>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</si>
  <si>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</si>
  <si>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</si>
  <si>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</si>
  <si>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</si>
  <si>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</si>
  <si>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</si>
  <si>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</si>
  <si>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</si>
  <si>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</si>
  <si>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</si>
  <si>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</si>
  <si>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</si>
  <si>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</si>
  <si>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</si>
  <si>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</si>
  <si>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</si>
  <si>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</si>
  <si>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</si>
  <si>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</si>
  <si>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</si>
  <si>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</si>
  <si>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</si>
  <si>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</si>
  <si>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</si>
  <si>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</si>
  <si>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</si>
  <si>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</si>
  <si>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</si>
  <si>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</si>
  <si>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</si>
  <si>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</si>
  <si>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</si>
  <si>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</si>
  <si>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</si>
  <si>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</si>
  <si>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</si>
  <si>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</si>
  <si>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</si>
  <si>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</si>
  <si>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</si>
  <si>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</si>
  <si>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</si>
  <si>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</si>
  <si>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</si>
  <si>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</si>
  <si>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</si>
  <si>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</si>
  <si>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</si>
  <si>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</si>
  <si>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</si>
  <si>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</si>
  <si>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</si>
  <si>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</si>
  <si>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</si>
  <si>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</si>
  <si>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</si>
  <si>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</si>
  <si>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</si>
  <si>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</si>
  <si>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</si>
  <si>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</si>
  <si>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</si>
  <si>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</si>
  <si>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</si>
  <si>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</si>
  <si>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</si>
  <si>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</si>
  <si>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</si>
  <si>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</si>
  <si>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</si>
  <si>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</si>
  <si>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</si>
  <si>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</si>
  <si>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</si>
  <si>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</si>
  <si>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</si>
  <si>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</si>
  <si>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</si>
  <si>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</si>
  <si>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</si>
  <si>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</si>
  <si>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</si>
  <si>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</si>
  <si>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</si>
  <si>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</si>
  <si>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</si>
  <si>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</si>
  <si>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</si>
  <si>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</si>
  <si>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</si>
  <si>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</si>
  <si>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</si>
  <si>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</si>
  <si>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</si>
  <si>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</si>
  <si>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</si>
  <si>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</si>
  <si>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</si>
  <si>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</si>
  <si>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</si>
  <si>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</si>
  <si>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</si>
  <si>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</si>
  <si>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</si>
  <si>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</si>
  <si>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</si>
  <si>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</si>
  <si>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</si>
  <si>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</si>
  <si>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</si>
  <si>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</si>
  <si>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</si>
  <si>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</si>
  <si>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</si>
  <si>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</si>
  <si>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</si>
  <si>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</si>
  <si>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</si>
  <si>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</si>
  <si>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</si>
  <si>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</si>
  <si>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</si>
  <si>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</si>
  <si>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</si>
  <si>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</si>
  <si>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</si>
  <si>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</si>
  <si>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</si>
  <si>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</si>
  <si>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</si>
  <si>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</si>
  <si>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</si>
  <si>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</si>
  <si>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</si>
  <si>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</si>
  <si>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</si>
  <si>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</si>
  <si>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</si>
  <si>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</si>
  <si>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</si>
  <si>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</si>
  <si>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</si>
  <si>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</si>
  <si>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</si>
  <si>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</si>
  <si>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</si>
  <si>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</si>
  <si>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</si>
  <si>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</si>
  <si>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</si>
  <si>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</si>
  <si>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</si>
  <si>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</si>
  <si>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</si>
  <si>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</si>
  <si>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</si>
  <si>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</si>
  <si>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</si>
  <si>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</si>
  <si>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</si>
  <si>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</si>
  <si>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</si>
  <si>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</si>
  <si>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</si>
  <si>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</si>
  <si>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</si>
  <si>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</si>
  <si>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</si>
  <si>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</si>
  <si>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</si>
  <si>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</si>
  <si>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</si>
  <si>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</si>
  <si>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</si>
  <si>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</si>
  <si>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</si>
  <si>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</si>
  <si>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</si>
  <si>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</si>
  <si>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</si>
  <si>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</si>
  <si>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</si>
  <si>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</si>
  <si>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</si>
  <si>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</si>
  <si>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</si>
  <si>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</si>
  <si>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</si>
  <si>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</si>
  <si>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</si>
  <si>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</si>
  <si>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</si>
  <si>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</si>
  <si>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</si>
  <si>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</si>
  <si>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</si>
  <si>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</si>
  <si>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</si>
  <si>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</si>
  <si>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</si>
  <si>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</si>
  <si>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</si>
  <si>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</si>
  <si>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</si>
  <si>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</si>
  <si>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</si>
  <si>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</si>
  <si>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</si>
  <si>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</si>
  <si>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</si>
  <si>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</si>
  <si>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</si>
  <si>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</si>
  <si>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</si>
  <si>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</si>
  <si>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</si>
  <si>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</si>
  <si>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</si>
  <si>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</si>
  <si>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</si>
  <si>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</si>
  <si>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</si>
  <si>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</si>
  <si>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</si>
  <si>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</si>
  <si>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</si>
  <si>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</si>
  <si>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</si>
  <si>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</si>
  <si>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</si>
  <si>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</si>
  <si>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</si>
  <si>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</si>
  <si>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</si>
  <si>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</si>
  <si>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</si>
  <si>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</si>
  <si>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</si>
  <si>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</si>
  <si>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</si>
  <si>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</si>
  <si>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</si>
  <si>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</si>
  <si>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</si>
  <si>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</si>
  <si>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</si>
  <si>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</si>
  <si>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</si>
  <si>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</si>
  <si>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</si>
  <si>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</si>
  <si>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</si>
  <si>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</si>
  <si>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</si>
  <si>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</si>
  <si>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</si>
  <si>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</si>
  <si>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</si>
  <si>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</si>
  <si>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</si>
  <si>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</si>
  <si>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</si>
  <si>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</si>
  <si>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</si>
  <si>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</si>
  <si>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</si>
  <si>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</si>
  <si>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</si>
  <si>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</si>
  <si>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</si>
  <si>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</si>
  <si>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</si>
  <si>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</si>
  <si>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</si>
  <si>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</si>
  <si>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</si>
  <si>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</si>
  <si>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</si>
  <si>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</si>
  <si>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</si>
  <si>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</si>
  <si>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</si>
  <si>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</si>
  <si>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</si>
  <si>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</si>
  <si>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</si>
  <si>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</si>
  <si>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</si>
  <si>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</si>
  <si>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</si>
  <si>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</si>
  <si>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</si>
  <si>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</si>
  <si>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</si>
  <si>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</si>
  <si>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</si>
  <si>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</si>
  <si>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</si>
  <si>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</si>
  <si>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</si>
  <si>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</si>
  <si>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</si>
  <si>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</si>
  <si>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</si>
  <si>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</si>
  <si>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</si>
  <si>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</si>
  <si>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</si>
  <si>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</si>
  <si>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</si>
  <si>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</si>
  <si>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</si>
  <si>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</si>
  <si>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</si>
  <si>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</si>
  <si>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</si>
  <si>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</si>
  <si>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</si>
  <si>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</si>
  <si>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</si>
  <si>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</si>
  <si>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</si>
  <si>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</si>
  <si>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</si>
  <si>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</si>
  <si>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</si>
  <si>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</si>
  <si>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</si>
  <si>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</si>
  <si>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</si>
  <si>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</si>
  <si>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</si>
  <si>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</si>
  <si>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</si>
  <si>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</si>
  <si>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</si>
  <si>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</si>
  <si>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</si>
  <si>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</si>
  <si>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</si>
  <si>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</si>
  <si>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</si>
  <si>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</si>
  <si>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</si>
  <si>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</si>
  <si>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</si>
  <si>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</si>
  <si>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</si>
  <si>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</si>
  <si>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</si>
  <si>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</si>
  <si>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</si>
  <si>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</si>
  <si>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</si>
  <si>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</si>
  <si>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</si>
  <si>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</si>
  <si>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</si>
  <si>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</si>
  <si>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</si>
  <si>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</si>
  <si>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</si>
  <si>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</si>
  <si>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</si>
  <si>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</si>
  <si>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</si>
  <si>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</si>
  <si>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</si>
  <si>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</si>
  <si>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</si>
  <si>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</si>
  <si>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</si>
  <si>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</si>
  <si>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</si>
  <si>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</si>
  <si>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</si>
  <si>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</si>
  <si>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</si>
  <si>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</si>
  <si>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</si>
  <si>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</si>
  <si>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</si>
  <si>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</si>
  <si>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</si>
  <si>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</si>
  <si>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</si>
  <si>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</si>
  <si>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</si>
  <si>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</si>
  <si>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</si>
  <si>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</si>
  <si>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</si>
  <si>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</si>
  <si>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</si>
  <si>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</si>
  <si>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</si>
  <si>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</si>
  <si>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</si>
  <si>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</si>
  <si>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</si>
  <si>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</si>
  <si>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</si>
  <si>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</si>
  <si>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</si>
  <si>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</si>
  <si>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</si>
  <si>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</si>
  <si>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</si>
  <si>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</si>
  <si>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</si>
  <si>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</si>
  <si>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</si>
  <si>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</si>
  <si>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</si>
  <si>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</si>
  <si>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</si>
  <si>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</si>
  <si>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</si>
  <si>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</si>
  <si>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</si>
  <si>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</si>
  <si>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</si>
  <si>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</si>
  <si>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</si>
  <si>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</si>
  <si>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</si>
  <si>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</si>
  <si>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</si>
  <si>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</si>
  <si>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</si>
  <si>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</si>
  <si>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</si>
  <si>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</si>
  <si>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</si>
  <si>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</si>
  <si>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</si>
  <si>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</si>
  <si>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</si>
  <si>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</si>
  <si>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</si>
  <si>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</si>
  <si>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</si>
  <si>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</si>
  <si>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</si>
  <si>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</si>
  <si>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</si>
  <si>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</si>
  <si>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</si>
  <si>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</si>
  <si>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</si>
  <si>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</si>
  <si>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</si>
  <si>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</si>
  <si>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</si>
  <si>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</si>
  <si>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</si>
  <si>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</si>
  <si>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</si>
  <si>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</si>
  <si>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</si>
  <si>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</si>
  <si>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</si>
  <si>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</si>
  <si>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</si>
  <si>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</si>
  <si>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</si>
  <si>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</si>
  <si>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</si>
  <si>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</si>
  <si>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</si>
  <si>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</si>
  <si>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</si>
  <si>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</si>
  <si>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</si>
  <si>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</si>
  <si>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</si>
  <si>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</si>
  <si>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</si>
  <si>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</si>
  <si>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</si>
  <si>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</si>
  <si>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</si>
  <si>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</si>
  <si>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</si>
  <si>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</si>
  <si>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</si>
  <si>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</si>
  <si>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</si>
  <si>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</si>
  <si>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</si>
  <si>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</si>
  <si>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</si>
  <si>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</si>
  <si>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</si>
  <si>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</si>
  <si>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</si>
  <si>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</si>
  <si>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</si>
  <si>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</si>
  <si>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</si>
  <si>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</si>
  <si>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</si>
  <si>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</si>
  <si>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</si>
  <si>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</si>
  <si>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</si>
  <si>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</si>
  <si>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</si>
  <si>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</si>
  <si>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</si>
  <si>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</si>
  <si>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</si>
  <si>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</si>
  <si>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</si>
  <si>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</si>
  <si>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</si>
  <si>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</si>
  <si>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</si>
  <si>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</si>
  <si>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</si>
  <si>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</si>
  <si>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</si>
  <si>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</si>
  <si>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</si>
  <si>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</si>
  <si>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</si>
  <si>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</si>
  <si>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</si>
  <si>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</si>
  <si>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</si>
  <si>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</si>
  <si>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</si>
  <si>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</si>
  <si>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</si>
  <si>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</si>
  <si>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</si>
  <si>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</si>
  <si>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</si>
  <si>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</si>
  <si>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</si>
  <si>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</si>
  <si>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</si>
  <si>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</si>
  <si>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</si>
  <si>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</si>
  <si>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</si>
  <si>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</si>
  <si>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</si>
  <si>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</si>
  <si>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</si>
  <si>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</si>
  <si>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</si>
  <si>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</si>
  <si>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</si>
  <si>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</si>
  <si>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</si>
  <si>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</si>
  <si>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</si>
  <si>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</si>
  <si>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</si>
  <si>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</si>
  <si>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</si>
  <si>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</si>
  <si>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</si>
  <si>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</si>
  <si>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</si>
  <si>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</si>
  <si>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</si>
  <si>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</si>
  <si>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</si>
  <si>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</si>
  <si>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</si>
  <si>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</si>
  <si>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</si>
  <si>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</si>
  <si>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</si>
  <si>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</si>
  <si>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</si>
  <si>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</si>
  <si>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</si>
  <si>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</si>
  <si>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</si>
  <si>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</si>
  <si>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</si>
  <si>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</si>
  <si>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</si>
  <si>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</si>
  <si>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</si>
  <si>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</si>
  <si>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</si>
  <si>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</si>
  <si>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</si>
  <si>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</si>
  <si>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</si>
  <si>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</si>
  <si>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</si>
  <si>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</si>
  <si>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</si>
  <si>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</si>
  <si>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</si>
  <si>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</si>
  <si>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</si>
  <si>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</si>
  <si>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</si>
  <si>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</si>
  <si>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</si>
  <si>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</si>
  <si>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</si>
  <si>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</si>
  <si>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</si>
  <si>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</si>
  <si>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</si>
  <si>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</si>
  <si>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</si>
  <si>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</si>
  <si>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</si>
  <si>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</si>
  <si>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</si>
  <si>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</si>
  <si>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</si>
  <si>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</si>
  <si>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</si>
  <si>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</si>
  <si>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</si>
  <si>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</si>
  <si>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</si>
  <si>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</si>
  <si>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</si>
  <si>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</si>
  <si>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</si>
  <si>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</si>
  <si>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</si>
  <si>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</si>
  <si>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</si>
  <si>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</si>
  <si>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</si>
  <si>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</si>
  <si>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</si>
  <si>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</si>
  <si>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</si>
  <si>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</si>
  <si>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</si>
  <si>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</si>
  <si>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</si>
  <si>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</si>
  <si>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</si>
  <si>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</si>
  <si>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</si>
  <si>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</si>
  <si>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</si>
  <si>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</si>
  <si>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</si>
  <si>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</si>
  <si>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</si>
  <si>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</si>
  <si>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</si>
  <si>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</si>
  <si>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</si>
  <si>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</si>
  <si>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</si>
  <si>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</si>
  <si>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</si>
  <si>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</si>
  <si>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</si>
  <si>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</si>
  <si>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</si>
  <si>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</si>
  <si>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</si>
  <si>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</si>
  <si>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</si>
  <si>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</si>
  <si>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</si>
  <si>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</si>
  <si>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</si>
  <si>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</si>
  <si>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</si>
  <si>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</si>
  <si>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</si>
  <si>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</si>
  <si>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</si>
  <si>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</si>
  <si>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</si>
  <si>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</si>
  <si>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</si>
  <si>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</si>
  <si>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</si>
  <si>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</si>
  <si>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</si>
  <si>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</si>
  <si>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</si>
  <si>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</si>
  <si>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</si>
  <si>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</si>
  <si>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</si>
  <si>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</si>
  <si>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</si>
  <si>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</si>
  <si>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</si>
  <si>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</si>
  <si>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</si>
  <si>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</si>
  <si>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</si>
  <si>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</si>
  <si>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</si>
  <si>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</si>
  <si>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</si>
  <si>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</si>
  <si>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</si>
  <si>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</si>
  <si>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</si>
  <si>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</si>
  <si>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</si>
  <si>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</si>
  <si>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</si>
  <si>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</si>
  <si>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</si>
  <si>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</si>
  <si>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</si>
  <si>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</si>
  <si>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</si>
  <si>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</si>
  <si>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</si>
  <si>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</si>
  <si>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</si>
  <si>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</si>
  <si>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</si>
  <si>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</si>
  <si>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</si>
  <si>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</si>
  <si>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</si>
  <si>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</si>
  <si>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</si>
  <si>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</si>
  <si>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</si>
  <si>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</si>
  <si>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</si>
  <si>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</si>
  <si>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</si>
  <si>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</si>
  <si>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</si>
  <si>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</si>
  <si>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</si>
  <si>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</si>
  <si>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</si>
  <si>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</si>
  <si>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</si>
  <si>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</si>
  <si>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</si>
  <si>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</si>
  <si>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</si>
  <si>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</si>
  <si>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</si>
  <si>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</si>
  <si>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</si>
  <si>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</si>
  <si>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</si>
  <si>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</si>
  <si>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</si>
  <si>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</si>
  <si>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</si>
  <si>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</si>
  <si>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</si>
  <si>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</si>
  <si>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</si>
  <si>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</si>
  <si>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</si>
  <si>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</si>
  <si>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</si>
  <si>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</si>
  <si>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</si>
  <si>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</si>
  <si>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</si>
  <si>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</si>
  <si>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</si>
  <si>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</si>
  <si>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</si>
  <si>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</si>
  <si>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</si>
  <si>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</si>
  <si>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</si>
  <si>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</si>
  <si>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</si>
  <si>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</si>
  <si>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</si>
  <si>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</si>
  <si>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</si>
  <si>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</si>
  <si>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</si>
  <si>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</si>
  <si>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</si>
  <si>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</si>
  <si>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</si>
  <si>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</si>
  <si>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</si>
  <si>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</si>
  <si>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</si>
  <si>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</si>
  <si>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</si>
  <si>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</si>
  <si>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</si>
  <si>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</si>
  <si>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</si>
  <si>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</si>
  <si>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</si>
  <si>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</si>
  <si>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</si>
  <si>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</si>
  <si>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</si>
  <si>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</si>
  <si>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</si>
  <si>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</si>
  <si>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</si>
  <si>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</si>
  <si>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</si>
  <si>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</si>
  <si>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</si>
  <si>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</si>
  <si>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</si>
  <si>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</si>
  <si>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</si>
  <si>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</si>
  <si>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</si>
  <si>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</si>
  <si>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</si>
  <si>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</si>
  <si>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</si>
  <si>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</si>
  <si>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</si>
  <si>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</si>
  <si>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</si>
  <si>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</si>
  <si>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</si>
  <si>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</si>
  <si>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</si>
  <si>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</si>
  <si>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</si>
  <si>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</si>
  <si>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</si>
  <si>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</si>
  <si>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</si>
  <si>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</si>
  <si>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</si>
  <si>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</si>
  <si>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</si>
  <si>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</si>
  <si>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</si>
  <si>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</si>
  <si>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</si>
  <si>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</si>
  <si>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</si>
  <si>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</si>
  <si>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</si>
  <si>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</si>
  <si>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</si>
  <si>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</si>
  <si>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</si>
  <si>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</si>
  <si>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</si>
  <si>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</si>
  <si>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</si>
  <si>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</si>
  <si>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</si>
  <si>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</si>
  <si>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</si>
  <si>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</si>
  <si>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</si>
  <si>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</si>
  <si>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</si>
  <si>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</si>
  <si>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</si>
  <si>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</si>
  <si>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</si>
  <si>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</si>
  <si>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</si>
  <si>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</si>
  <si>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</si>
  <si>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</si>
  <si>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</si>
  <si>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</si>
  <si>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</si>
  <si>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</si>
  <si>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</si>
  <si>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</si>
  <si>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</si>
  <si>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</si>
  <si>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</si>
  <si>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</si>
  <si>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</si>
  <si>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</si>
  <si>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</si>
  <si>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</si>
  <si>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</si>
  <si>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</si>
  <si>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</si>
  <si>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</si>
  <si>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</si>
  <si>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</si>
  <si>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</si>
  <si>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</si>
  <si>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</si>
  <si>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</si>
  <si>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</si>
  <si>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</si>
  <si>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</si>
  <si>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</si>
  <si>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</si>
  <si>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</si>
  <si>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</si>
  <si>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</si>
  <si>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</si>
  <si>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</si>
  <si>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</si>
  <si>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</si>
  <si>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</si>
  <si>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</si>
  <si>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</si>
  <si>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</si>
  <si>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</si>
  <si>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</si>
  <si>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</si>
  <si>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</si>
  <si>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</si>
  <si>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</si>
  <si>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</si>
  <si>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</si>
  <si>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</si>
  <si>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</si>
  <si>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</si>
  <si>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</si>
  <si>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</si>
  <si>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</si>
  <si>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</si>
  <si>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</si>
  <si>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</si>
  <si>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</si>
  <si>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</si>
  <si>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</si>
  <si>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</si>
  <si>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</si>
  <si>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</si>
  <si>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</si>
  <si>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</si>
  <si>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</si>
  <si>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</si>
  <si>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</si>
  <si>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</si>
  <si>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</si>
  <si>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</si>
  <si>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</si>
  <si>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</si>
  <si>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</si>
  <si>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</si>
  <si>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</si>
  <si>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</si>
  <si>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</si>
  <si>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</si>
  <si>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</si>
  <si>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</si>
  <si>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</si>
  <si>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</si>
  <si>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</si>
  <si>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</si>
  <si>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</si>
  <si>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</si>
  <si>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</si>
  <si>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</si>
  <si>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</si>
  <si>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</si>
  <si>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</si>
  <si>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</si>
  <si>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</si>
  <si>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</si>
  <si>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</si>
  <si>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</si>
  <si>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</si>
  <si>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</si>
  <si>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</si>
  <si>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</si>
  <si>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</si>
  <si>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</si>
  <si>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</si>
  <si>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</si>
  <si>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</si>
  <si>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</si>
  <si>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</si>
  <si>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</si>
  <si>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</si>
  <si>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</si>
  <si>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</si>
  <si>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</si>
  <si>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</si>
  <si>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</si>
  <si>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</si>
  <si>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</si>
  <si>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</si>
  <si>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</si>
  <si>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</si>
  <si>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</si>
  <si>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</si>
  <si>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</si>
  <si>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</si>
  <si>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</si>
  <si>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</si>
  <si>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</si>
  <si>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</si>
  <si>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</si>
  <si>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</si>
  <si>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</si>
  <si>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</si>
  <si>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</si>
  <si>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</si>
  <si>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</si>
  <si>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</si>
  <si>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</si>
  <si>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</si>
  <si>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</si>
  <si>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</si>
  <si>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</si>
  <si>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</si>
  <si>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</si>
  <si>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</si>
  <si>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</si>
  <si>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</si>
  <si>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</si>
  <si>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</si>
  <si>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</si>
  <si>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</si>
  <si>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</si>
  <si>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</si>
  <si>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</si>
  <si>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</si>
  <si>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</si>
  <si>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</si>
  <si>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</si>
  <si>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</si>
  <si>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</si>
  <si>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</si>
  <si>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</si>
  <si>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</si>
  <si>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</si>
  <si>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</si>
  <si>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</si>
  <si>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</si>
  <si>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</si>
  <si>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</si>
  <si>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</si>
  <si>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</si>
  <si>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</si>
  <si>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</si>
  <si>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</si>
  <si>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</si>
  <si>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</si>
  <si>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</si>
  <si>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</si>
  <si>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</si>
  <si>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</si>
  <si>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</si>
  <si>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</si>
  <si>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</si>
  <si>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</si>
  <si>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</si>
  <si>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</si>
  <si>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</si>
  <si>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</si>
  <si>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</si>
  <si>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</si>
  <si>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</si>
  <si>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</si>
  <si>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</si>
  <si>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</si>
  <si>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</si>
  <si>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</si>
  <si>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</si>
  <si>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</si>
  <si>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</si>
  <si>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</si>
  <si>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</si>
  <si>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</si>
  <si>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</si>
  <si>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</si>
  <si>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</si>
  <si>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</si>
  <si>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</si>
  <si>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</si>
  <si>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</si>
  <si>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</si>
  <si>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</si>
  <si>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</si>
  <si>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</si>
  <si>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</si>
  <si>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</si>
  <si>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</si>
  <si>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</si>
  <si>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</si>
  <si>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</si>
  <si>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</si>
  <si>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</si>
  <si>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</si>
  <si>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</si>
  <si>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</si>
  <si>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</si>
  <si>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</si>
  <si>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</si>
  <si>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</si>
  <si>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</si>
  <si>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</si>
  <si>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</si>
  <si>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</si>
  <si>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</si>
  <si>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</si>
  <si>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</si>
  <si>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</si>
  <si>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</si>
  <si>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</si>
  <si>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</si>
  <si>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</si>
  <si>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</si>
  <si>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</si>
  <si>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</si>
  <si>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</si>
  <si>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</si>
  <si>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</si>
  <si>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</si>
  <si>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</si>
  <si>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</si>
  <si>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</si>
  <si>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</si>
  <si>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</si>
  <si>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</si>
  <si>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</si>
  <si>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</si>
  <si>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</si>
  <si>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</si>
  <si>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</si>
  <si>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</si>
  <si>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</si>
  <si>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</si>
  <si>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</si>
  <si>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</si>
  <si>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</si>
  <si>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</si>
  <si>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</si>
  <si>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</si>
  <si>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</si>
  <si>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</si>
  <si>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</si>
  <si>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</si>
  <si>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</si>
  <si>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</si>
  <si>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</si>
  <si>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</si>
  <si>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</si>
  <si>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</si>
  <si>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</si>
  <si>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</si>
  <si>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</si>
  <si>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</si>
  <si>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</si>
  <si>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</si>
  <si>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</si>
  <si>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</si>
  <si>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</si>
  <si>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</si>
  <si>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</si>
  <si>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</si>
  <si>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</si>
  <si>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</si>
  <si>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</si>
  <si>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</si>
  <si>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</si>
  <si>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</si>
  <si>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</si>
  <si>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</si>
  <si>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</si>
  <si>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</si>
  <si>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</si>
  <si>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</si>
  <si>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</si>
  <si>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</si>
  <si>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</si>
  <si>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</si>
  <si>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</si>
  <si>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</si>
  <si>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</si>
  <si>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</si>
  <si>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</si>
  <si>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</si>
  <si>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</si>
  <si>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</si>
  <si>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</si>
  <si>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</si>
  <si>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</si>
  <si>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</si>
  <si>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</si>
  <si>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</si>
  <si>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</si>
  <si>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</si>
  <si>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</si>
  <si>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</si>
  <si>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</si>
  <si>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</si>
  <si>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</si>
  <si>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</si>
  <si>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</si>
  <si>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</si>
  <si>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</si>
  <si>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</si>
  <si>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</si>
  <si>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</si>
  <si>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</si>
  <si>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</si>
  <si>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</si>
  <si>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</si>
  <si>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</si>
  <si>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</si>
  <si>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</si>
  <si>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</si>
  <si>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</si>
  <si>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</si>
  <si>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</si>
  <si>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</si>
  <si>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</si>
  <si>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</si>
  <si>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</si>
  <si>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</si>
  <si>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</si>
  <si>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</si>
  <si>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</si>
  <si>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</si>
  <si>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</si>
  <si>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</si>
  <si>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</si>
  <si>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</si>
  <si>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</si>
  <si>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</si>
  <si>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</si>
  <si>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</si>
  <si>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</si>
  <si>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</si>
  <si>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</si>
  <si>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</si>
  <si>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</si>
  <si>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</si>
  <si>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</si>
  <si>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</si>
  <si>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</si>
  <si>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</si>
  <si>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</si>
  <si>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</si>
  <si>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</si>
  <si>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</si>
  <si>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</si>
  <si>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</si>
  <si>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</si>
  <si>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</si>
  <si>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</si>
  <si>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</si>
  <si>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</si>
  <si>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</si>
  <si>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</si>
  <si>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</si>
  <si>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</si>
  <si>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</si>
  <si>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</si>
  <si>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</si>
  <si>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</si>
  <si>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</si>
  <si>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</si>
  <si>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</si>
  <si>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</si>
  <si>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</si>
  <si>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</si>
  <si>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</si>
  <si>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</si>
  <si>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</si>
  <si>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</si>
  <si>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</si>
  <si>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</si>
  <si>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</si>
  <si>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</si>
  <si>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</si>
  <si>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</si>
  <si>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</si>
  <si>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</si>
  <si>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</si>
  <si>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</si>
  <si>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</si>
  <si>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</si>
  <si>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</si>
  <si>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</si>
  <si>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</si>
  <si>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</si>
  <si>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</si>
  <si>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</si>
  <si>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</si>
  <si>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</si>
  <si>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</si>
  <si>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</si>
  <si>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</si>
  <si>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</si>
  <si>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</si>
  <si>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</si>
  <si>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</si>
  <si>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</si>
  <si>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</si>
  <si>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</si>
  <si>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</si>
  <si>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</si>
  <si>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</si>
  <si>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</si>
  <si>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</si>
  <si>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</si>
  <si>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</si>
  <si>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</si>
  <si>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</si>
  <si>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</si>
  <si>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</si>
  <si>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</si>
  <si>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</si>
  <si>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</si>
  <si>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</si>
  <si>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</si>
  <si>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</si>
  <si>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</si>
  <si>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</si>
  <si>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</si>
  <si>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</si>
  <si>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</si>
  <si>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</si>
  <si>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</si>
  <si>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</si>
  <si>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</si>
  <si>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</si>
  <si>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</si>
  <si>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</si>
  <si>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</si>
  <si>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</si>
  <si>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</si>
  <si>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</si>
  <si>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</si>
  <si>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</si>
  <si>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</si>
  <si>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</si>
  <si>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</si>
  <si>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</si>
  <si>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</si>
  <si>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</si>
  <si>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</si>
  <si>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</si>
  <si>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</si>
  <si>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</si>
  <si>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</si>
  <si>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</si>
  <si>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</si>
  <si>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</si>
  <si>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</si>
  <si>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</si>
  <si>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</si>
  <si>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</si>
  <si>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</si>
  <si>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</si>
  <si>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</si>
  <si>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</si>
  <si>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</si>
  <si>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</si>
  <si>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</si>
  <si>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</si>
  <si>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</si>
  <si>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</si>
  <si>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</si>
  <si>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</si>
  <si>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</si>
  <si>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</si>
  <si>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</si>
  <si>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</si>
  <si>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</si>
  <si>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</si>
  <si>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</si>
  <si>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</si>
  <si>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</si>
  <si>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</si>
  <si>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</si>
  <si>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</si>
  <si>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</si>
  <si>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</si>
  <si>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</si>
  <si>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</si>
  <si>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</si>
  <si>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</si>
  <si>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</si>
  <si>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</si>
  <si>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</si>
  <si>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</si>
  <si>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</si>
  <si>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</si>
  <si>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</si>
  <si>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</si>
  <si>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</si>
  <si>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</si>
  <si>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</si>
  <si>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</si>
  <si>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</si>
  <si>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</si>
  <si>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</si>
  <si>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</si>
  <si>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</si>
  <si>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</si>
  <si>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</si>
  <si>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</si>
  <si>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</si>
  <si>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</si>
  <si>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</si>
  <si>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</si>
  <si>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</si>
  <si>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</si>
  <si>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</si>
  <si>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</si>
  <si>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</si>
  <si>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</si>
  <si>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</si>
  <si>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</si>
  <si>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</si>
  <si>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</si>
  <si>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</si>
  <si>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</si>
  <si>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</si>
  <si>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</si>
  <si>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</si>
  <si>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</si>
  <si>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</si>
  <si>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</si>
  <si>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</si>
  <si>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</si>
  <si>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</si>
  <si>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</si>
  <si>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</si>
  <si>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</si>
  <si>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</si>
  <si>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</si>
  <si>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</si>
  <si>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</si>
  <si>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</si>
  <si>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</si>
  <si>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</si>
  <si>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</si>
  <si>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</si>
  <si>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</si>
  <si>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</si>
  <si>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</si>
  <si>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</si>
  <si>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</si>
  <si>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</si>
  <si>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</si>
  <si>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</si>
  <si>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</si>
  <si>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</si>
  <si>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</si>
  <si>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</si>
  <si>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</si>
  <si>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</si>
  <si>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</si>
  <si>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</si>
  <si>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</si>
  <si>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</si>
  <si>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</si>
  <si>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</si>
  <si>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</si>
  <si>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</si>
  <si>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</si>
  <si>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</si>
  <si>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</si>
  <si>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</si>
  <si>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</si>
  <si>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</si>
  <si>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</si>
  <si>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</si>
  <si>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</si>
  <si>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</si>
  <si>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</si>
  <si>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</si>
  <si>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</si>
  <si>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</si>
  <si>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</si>
  <si>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</si>
  <si>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</si>
  <si>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</si>
  <si>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</si>
  <si>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</si>
  <si>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</si>
  <si>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</si>
  <si>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</si>
  <si>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</si>
  <si>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</si>
  <si>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</si>
  <si>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</si>
  <si>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</si>
  <si>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</si>
  <si>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</si>
  <si>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</si>
  <si>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</si>
  <si>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</si>
  <si>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</si>
  <si>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</si>
  <si>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</si>
  <si>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</si>
  <si>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</si>
  <si>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</si>
  <si>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</si>
  <si>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</si>
  <si>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</si>
  <si>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</si>
  <si>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</si>
  <si>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</si>
  <si>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</si>
  <si>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</si>
  <si>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</si>
  <si>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</si>
  <si>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</si>
  <si>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</si>
  <si>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</si>
  <si>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</si>
  <si>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</si>
  <si>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</si>
  <si>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</si>
  <si>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</si>
  <si>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</si>
  <si>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</si>
  <si>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</si>
  <si>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</si>
  <si>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</si>
  <si>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</si>
  <si>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</si>
  <si>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</si>
  <si>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</si>
  <si>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</si>
  <si>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</si>
  <si>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</si>
  <si>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</si>
  <si>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</si>
  <si>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</si>
  <si>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</si>
  <si>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</si>
  <si>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</si>
  <si>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</si>
  <si>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</si>
  <si>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</si>
  <si>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</si>
  <si>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</si>
  <si>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</si>
  <si>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</si>
  <si>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</si>
  <si>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</si>
  <si>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</si>
  <si>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</si>
  <si>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</si>
  <si>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</si>
  <si>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</si>
  <si>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</si>
  <si>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</si>
  <si>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</si>
  <si>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</si>
  <si>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</si>
  <si>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</si>
  <si>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</si>
  <si>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</si>
  <si>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</si>
  <si>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</si>
  <si>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</si>
  <si>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</si>
  <si>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</si>
  <si>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</si>
  <si>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</si>
  <si>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</si>
  <si>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</si>
  <si>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</si>
  <si>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</si>
  <si>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</si>
  <si>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</si>
  <si>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</si>
  <si>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</si>
  <si>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</si>
  <si>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</si>
  <si>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</si>
  <si>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</si>
  <si>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</si>
  <si>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</si>
  <si>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</si>
  <si>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</si>
  <si>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</si>
  <si>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</si>
  <si>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</si>
  <si>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</si>
  <si>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</si>
  <si>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</si>
  <si>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</si>
  <si>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</si>
  <si>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</si>
  <si>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</si>
  <si>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</si>
  <si>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</si>
  <si>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</si>
  <si>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</si>
  <si>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</si>
  <si>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</si>
  <si>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</si>
  <si>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</si>
  <si>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</si>
  <si>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</si>
  <si>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</si>
  <si>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</si>
  <si>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</si>
  <si>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</si>
  <si>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</si>
  <si>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</si>
  <si>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</si>
  <si>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</si>
  <si>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</si>
  <si>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</si>
  <si>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</si>
  <si>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</si>
  <si>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</si>
  <si>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</si>
  <si>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</si>
  <si>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</si>
  <si>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</si>
  <si>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</si>
  <si>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</si>
  <si>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</si>
  <si>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</si>
  <si>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</si>
  <si>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</si>
  <si>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</si>
  <si>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</si>
  <si>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</si>
  <si>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</si>
  <si>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</si>
  <si>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</si>
  <si>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</si>
  <si>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</si>
  <si>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</si>
  <si>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</si>
  <si>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</si>
  <si>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</si>
  <si>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</si>
  <si>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</si>
  <si>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</si>
  <si>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</si>
  <si>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</si>
  <si>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</si>
  <si>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</si>
  <si>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</si>
  <si>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</si>
  <si>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</si>
  <si>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</si>
  <si>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</si>
  <si>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</si>
  <si>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</si>
  <si>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</si>
  <si>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</si>
  <si>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</si>
  <si>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</si>
  <si>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</si>
  <si>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</si>
  <si>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</si>
  <si>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</si>
  <si>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</si>
  <si>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</si>
  <si>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</si>
  <si>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</si>
  <si>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</si>
  <si>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</si>
  <si>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</si>
  <si>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</si>
  <si>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</si>
  <si>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</si>
  <si>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</si>
  <si>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</si>
  <si>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</si>
  <si>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</si>
  <si>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</si>
  <si>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</si>
  <si>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</si>
  <si>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</si>
  <si>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</si>
  <si>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</si>
  <si>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</si>
  <si>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</si>
  <si>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</si>
  <si>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</si>
  <si>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</si>
  <si>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</si>
  <si>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</si>
  <si>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</si>
  <si>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</si>
  <si>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</si>
  <si>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</si>
  <si>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</si>
  <si>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</si>
  <si>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</si>
  <si>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</si>
  <si>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</si>
  <si>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</si>
  <si>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</si>
  <si>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</si>
  <si>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</si>
  <si>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</si>
  <si>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</si>
  <si>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</si>
  <si>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</si>
  <si>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</si>
  <si>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</si>
  <si>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</si>
  <si>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</si>
  <si>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</si>
  <si>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</si>
  <si>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</si>
  <si>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</si>
  <si>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</si>
  <si>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</si>
  <si>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</si>
  <si>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</si>
  <si>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</si>
  <si>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</si>
  <si>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</si>
  <si>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</si>
  <si>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</si>
  <si>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</si>
  <si>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</si>
  <si>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</si>
  <si>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</si>
  <si>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</si>
  <si>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</si>
  <si>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</si>
  <si>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</si>
  <si>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</si>
  <si>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</si>
  <si>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</si>
  <si>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</si>
  <si>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</si>
  <si>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</si>
  <si>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</si>
  <si>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</si>
  <si>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</si>
  <si>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</si>
  <si>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</si>
  <si>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</si>
  <si>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</si>
  <si>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</si>
  <si>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</si>
  <si>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</si>
  <si>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</si>
  <si>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</si>
  <si>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</si>
  <si>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</si>
  <si>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</si>
  <si>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</si>
  <si>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</si>
  <si>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</si>
  <si>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</si>
  <si>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</si>
  <si>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</si>
  <si>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</si>
  <si>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</si>
  <si>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</si>
  <si>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</si>
  <si>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</si>
  <si>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</si>
  <si>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</si>
  <si>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</si>
  <si>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</si>
  <si>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</si>
  <si>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</si>
  <si>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</si>
  <si>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</si>
  <si>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</si>
  <si>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</si>
  <si>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</si>
  <si>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</si>
  <si>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</si>
  <si>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</si>
  <si>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</si>
  <si>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</si>
  <si>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</si>
  <si>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</si>
  <si>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</si>
  <si>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</si>
  <si>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</si>
  <si>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</si>
  <si>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</si>
  <si>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</si>
  <si>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</si>
  <si>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</si>
  <si>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</si>
  <si>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</si>
  <si>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</si>
  <si>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</si>
  <si>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</si>
  <si>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</si>
  <si>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</si>
  <si>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</si>
  <si>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</si>
  <si>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</si>
  <si>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</si>
  <si>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</si>
  <si>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</si>
  <si>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</si>
  <si>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</si>
  <si>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</si>
  <si>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</si>
  <si>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</si>
  <si>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</si>
  <si>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</si>
  <si>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</si>
  <si>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</si>
  <si>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</si>
  <si>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</si>
  <si>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</si>
  <si>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</si>
  <si>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</si>
  <si>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</si>
  <si>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</si>
  <si>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</si>
  <si>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</si>
  <si>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</si>
  <si>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</si>
  <si>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</si>
  <si>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13.33% | Ke 12.73% | Beta 0.88 | ERP 6.5% | Rf 7.0%</t>
  </si>
  <si>
    <t>Pillar 4: Relative Multiples</t>
  </si>
  <si>
    <t>P/E 13.7x | P/B 4.67x | EV/EBITDA 5.9x | EV/Sales 1.39x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</si>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</sst>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19.132923777761668</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13.816203073857976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15.884284882264531</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14.917102891663623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9.7219698710853564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14.824969251793513</c:v>
                </c:pt>
                <c:pt idx="1">
                  <c:v>11.571536669830854</c:v>
                </c:pt>
                <c:pt idx="2">
                  <c:v>12.886612687923636</c:v>
                </c:pt>
                <c:pt idx="3">
                  <c:v>12.291694124456546</c:v>
                </c:pt>
                <c:pt idx="4">
                  <c:v>9.0746517712460495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B0F71-1D61-4FC1-8DA8-D4090E05D073}">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8634</v>
      </c>
      <c r="B1" s="174"/>
      <c r="C1" s="174"/>
      <c r="D1" s="174"/>
      <c r="E1" s="174"/>
      <c r="F1" s="174"/>
      <c r="G1" s="174"/>
    </row>
    <row r="2" spans="1:7" x14ac:dyDescent="0.3">
      <c r="A2" s="174"/>
      <c r="B2" s="174"/>
      <c r="C2" s="174"/>
      <c r="D2" s="174"/>
      <c r="E2" s="174"/>
      <c r="F2" s="174"/>
      <c r="G2" s="174"/>
    </row>
    <row r="4" spans="1:7" x14ac:dyDescent="0.3">
      <c r="A4" s="175" t="s">
        <v>43</v>
      </c>
      <c r="B4" s="175" t="s">
        <v>8635</v>
      </c>
      <c r="C4" s="175" t="s">
        <v>8636</v>
      </c>
      <c r="D4" s="175" t="s">
        <v>8637</v>
      </c>
      <c r="E4" s="175" t="s">
        <v>242</v>
      </c>
      <c r="F4" s="175" t="s">
        <v>8638</v>
      </c>
      <c r="G4" s="175" t="s">
        <v>8639</v>
      </c>
    </row>
    <row r="5" spans="1:7" ht="15.6" x14ac:dyDescent="0.3">
      <c r="A5" s="177">
        <f>DCF!D44</f>
        <v>1051</v>
      </c>
      <c r="B5" s="177">
        <f>DCF!D42</f>
        <v>711.71705745557597</v>
      </c>
      <c r="C5" s="179">
        <f>(B5-A5)/A5</f>
        <v>-0.32281916512314368</v>
      </c>
      <c r="D5" s="181" t="str">
        <f>IF(C5&gt;0.15,"UNDERVALUED / BUY",IF(C5&lt;-0.15,"OVERVALUED / SELL","FAIRLY VALUED / HOLD"))</f>
        <v>OVERVALUED / SELL</v>
      </c>
      <c r="E5" s="182">
        <f>DCF!D20</f>
        <v>0.12035247740227965</v>
      </c>
      <c r="F5" s="183">
        <f>'Altman''s Z Score'!I89</f>
        <v>9.0746517712460495</v>
      </c>
      <c r="G5" s="182">
        <f>'Dupont Analysis'!I78</f>
        <v>0.3214607515768273</v>
      </c>
    </row>
    <row r="7" spans="1:7" ht="15.6" x14ac:dyDescent="0.3">
      <c r="A7" s="180" t="s">
        <v>8640</v>
      </c>
    </row>
    <row r="8" spans="1:7" x14ac:dyDescent="0.3">
      <c r="A8" s="37" t="s">
        <v>8641</v>
      </c>
      <c r="B8" s="172" t="s">
        <v>8642</v>
      </c>
      <c r="C8" s="172"/>
      <c r="D8" s="172"/>
      <c r="E8" s="172"/>
      <c r="F8" s="172"/>
      <c r="G8" s="172"/>
    </row>
    <row r="9" spans="1:7" x14ac:dyDescent="0.3">
      <c r="A9" s="37" t="s">
        <v>8643</v>
      </c>
      <c r="B9" s="172" t="s">
        <v>8644</v>
      </c>
      <c r="C9" s="172"/>
      <c r="D9" s="172"/>
      <c r="E9" s="172"/>
      <c r="F9" s="172"/>
      <c r="G9" s="172"/>
    </row>
    <row r="10" spans="1:7" x14ac:dyDescent="0.3">
      <c r="A10" s="37" t="s">
        <v>8645</v>
      </c>
      <c r="B10" s="172" t="s">
        <v>8646</v>
      </c>
      <c r="C10" s="172"/>
      <c r="D10" s="172"/>
      <c r="E10" s="172"/>
      <c r="F10" s="172"/>
      <c r="G10" s="172"/>
    </row>
    <row r="11" spans="1:7" x14ac:dyDescent="0.3">
      <c r="A11" s="37" t="s">
        <v>8647</v>
      </c>
      <c r="B11" s="172" t="s">
        <v>8648</v>
      </c>
      <c r="C11" s="172"/>
      <c r="D11" s="172"/>
      <c r="E11" s="172"/>
      <c r="F11" s="172"/>
      <c r="G11" s="172"/>
    </row>
    <row r="13" spans="1:7" x14ac:dyDescent="0.3">
      <c r="A13" s="37" t="s">
        <v>8649</v>
      </c>
    </row>
    <row r="14" spans="1:7" x14ac:dyDescent="0.3">
      <c r="A14" s="184" t="s">
        <v>188</v>
      </c>
      <c r="B14" s="184" t="s">
        <v>106</v>
      </c>
      <c r="C14" s="184" t="s">
        <v>8650</v>
      </c>
      <c r="D14" s="184" t="s">
        <v>8651</v>
      </c>
      <c r="E14" s="184" t="s">
        <v>8652</v>
      </c>
      <c r="F14" s="184" t="s">
        <v>8653</v>
      </c>
      <c r="G14" s="184" t="s">
        <v>306</v>
      </c>
    </row>
    <row r="15" spans="1:7" x14ac:dyDescent="0.3">
      <c r="A15" s="160" t="s">
        <v>8654</v>
      </c>
      <c r="B15" s="185">
        <f>DCF!I8</f>
        <v>42512.372000000003</v>
      </c>
      <c r="C15" s="185">
        <f>DCF!I10</f>
        <v>29758.660400000001</v>
      </c>
      <c r="D15" s="46">
        <f>DCF!I11</f>
        <v>0.28501192814881582</v>
      </c>
      <c r="E15" s="185">
        <f>DCF!I12</f>
        <v>21277.08722027019</v>
      </c>
      <c r="F15" s="186">
        <f>DCF!I14</f>
        <v>0.94476253018102574</v>
      </c>
      <c r="G15" s="185">
        <f>DCF!I16</f>
        <v>20101.794757104832</v>
      </c>
    </row>
    <row r="16" spans="1:7" x14ac:dyDescent="0.3">
      <c r="A16" s="160" t="s">
        <v>8655</v>
      </c>
      <c r="B16" s="185">
        <f>DCF!J8</f>
        <v>44723.015344000007</v>
      </c>
      <c r="C16" s="185">
        <f>DCF!J10</f>
        <v>31306.110740800003</v>
      </c>
      <c r="D16" s="46">
        <f>DCF!J11</f>
        <v>0.29684822034877506</v>
      </c>
      <c r="E16" s="185">
        <f>DCF!J12</f>
        <v>22012.94748135185</v>
      </c>
      <c r="F16" s="186">
        <f>DCF!J14</f>
        <v>0.84327258540241923</v>
      </c>
      <c r="G16" s="185">
        <f>DCF!J16</f>
        <v>18562.915134927247</v>
      </c>
    </row>
    <row r="17" spans="1:7" x14ac:dyDescent="0.3">
      <c r="A17" s="160" t="s">
        <v>8656</v>
      </c>
      <c r="B17" s="185">
        <f>DCF!K8</f>
        <v>47048.612141888007</v>
      </c>
      <c r="C17" s="185">
        <f>DCF!K10</f>
        <v>32934.028499321605</v>
      </c>
      <c r="D17" s="46">
        <f>DCF!K11</f>
        <v>0.3086845125487343</v>
      </c>
      <c r="E17" s="185">
        <f>DCF!K12</f>
        <v>22767.803965742391</v>
      </c>
      <c r="F17" s="186">
        <f>DCF!K14</f>
        <v>0.75268507225305059</v>
      </c>
      <c r="G17" s="185">
        <f>DCF!K16</f>
        <v>17136.986172998102</v>
      </c>
    </row>
    <row r="18" spans="1:7" x14ac:dyDescent="0.3">
      <c r="A18" s="160" t="s">
        <v>8657</v>
      </c>
      <c r="B18" s="185">
        <f>DCF!L8</f>
        <v>49495.139973266188</v>
      </c>
      <c r="C18" s="185">
        <f>DCF!L10</f>
        <v>34646.59798128633</v>
      </c>
      <c r="D18" s="46">
        <f>DCF!L11</f>
        <v>0.32052080474869354</v>
      </c>
      <c r="E18" s="185">
        <f>DCF!L12</f>
        <v>23541.642514519972</v>
      </c>
      <c r="F18" s="186">
        <f>DCF!L14</f>
        <v>0.67182881051709187</v>
      </c>
      <c r="G18" s="185">
        <f>DCF!L16</f>
        <v>15815.953688148553</v>
      </c>
    </row>
    <row r="19" spans="1:7" x14ac:dyDescent="0.3">
      <c r="A19" s="160" t="s">
        <v>8658</v>
      </c>
      <c r="B19" s="185">
        <f>DCF!M8</f>
        <v>52068.887251876033</v>
      </c>
      <c r="C19" s="185">
        <f>DCF!M10</f>
        <v>36448.221076313217</v>
      </c>
      <c r="D19" s="46">
        <f>DCF!M11</f>
        <v>0.33235709694865279</v>
      </c>
      <c r="E19" s="185">
        <f>DCF!M12</f>
        <v>24334.396130447054</v>
      </c>
      <c r="F19" s="186">
        <f>DCF!M14</f>
        <v>0.59965843256297047</v>
      </c>
      <c r="G19" s="185">
        <f>DCF!M16</f>
        <v>14592.325840950294</v>
      </c>
    </row>
    <row r="21" spans="1:7" x14ac:dyDescent="0.3">
      <c r="A21" s="37" t="s">
        <v>8659</v>
      </c>
    </row>
    <row r="22" spans="1:7" x14ac:dyDescent="0.3">
      <c r="A22" s="37" t="s">
        <v>8660</v>
      </c>
      <c r="B22" s="185">
        <f>DCF!D33</f>
        <v>86209.97559412902</v>
      </c>
    </row>
    <row r="23" spans="1:7" x14ac:dyDescent="0.3">
      <c r="A23" s="37" t="s">
        <v>8661</v>
      </c>
      <c r="B23" s="185">
        <f>DCF!D29</f>
        <v>314959.44859252014</v>
      </c>
    </row>
    <row r="24" spans="1:7" x14ac:dyDescent="0.3">
      <c r="A24" s="37" t="s">
        <v>8662</v>
      </c>
      <c r="B24" s="185">
        <f>DCF!D34</f>
        <v>188868.08926388811</v>
      </c>
    </row>
    <row r="25" spans="1:7" x14ac:dyDescent="0.3">
      <c r="A25" s="37" t="s">
        <v>8663</v>
      </c>
      <c r="B25" s="185">
        <f>DCF!D35</f>
        <v>275078.06485801714</v>
      </c>
    </row>
    <row r="26" spans="1:7" x14ac:dyDescent="0.3">
      <c r="A26" s="37" t="s">
        <v>8664</v>
      </c>
      <c r="B26" s="185">
        <f>DCF!D37</f>
        <v>22201</v>
      </c>
    </row>
    <row r="27" spans="1:7" x14ac:dyDescent="0.3">
      <c r="A27" s="37" t="s">
        <v>8665</v>
      </c>
      <c r="B27" s="185">
        <f>DCF!D38</f>
        <v>9176</v>
      </c>
    </row>
    <row r="28" spans="1:7" x14ac:dyDescent="0.3">
      <c r="A28" s="37" t="s">
        <v>8666</v>
      </c>
      <c r="B28" s="185">
        <f>DCF!D39</f>
        <v>288103.06485801714</v>
      </c>
    </row>
    <row r="29" spans="1:7" x14ac:dyDescent="0.3">
      <c r="A29" s="37" t="s">
        <v>8667</v>
      </c>
      <c r="B29" s="185">
        <f>DCF!D40</f>
        <v>404.8</v>
      </c>
    </row>
    <row r="30" spans="1:7" x14ac:dyDescent="0.3">
      <c r="A30" s="37" t="s">
        <v>8668</v>
      </c>
      <c r="B30" s="176">
        <f>DCF!D42</f>
        <v>711.71705745557597</v>
      </c>
    </row>
    <row r="31" spans="1:7" x14ac:dyDescent="0.3">
      <c r="A31" s="37" t="s">
        <v>8669</v>
      </c>
      <c r="B31" s="176">
        <f>DCF!D44</f>
        <v>1051</v>
      </c>
    </row>
    <row r="32" spans="1:7" x14ac:dyDescent="0.3">
      <c r="A32" s="37" t="s">
        <v>8670</v>
      </c>
      <c r="B32" s="178">
        <f>(B5-A5)/A5</f>
        <v>-0.32281916512314368</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52186.28</v>
      </c>
      <c r="C5" s="9">
        <f>SUM('Data Sheet'!C18,'Data Sheet'!C20:C24, -1*'Data Sheet'!C19)</f>
        <v>62833</v>
      </c>
      <c r="D5" s="9">
        <f>SUM('Data Sheet'!D18,'Data Sheet'!D20:D24, -1*'Data Sheet'!D19)</f>
        <v>68093.25</v>
      </c>
      <c r="E5" s="9">
        <f>SUM('Data Sheet'!E18,'Data Sheet'!E20:E24, -1*'Data Sheet'!E19)</f>
        <v>72339.839999999997</v>
      </c>
      <c r="F5" s="9">
        <f>SUM('Data Sheet'!F18,'Data Sheet'!F20:F24, -1*'Data Sheet'!F19)</f>
        <v>90014.340000000011</v>
      </c>
      <c r="G5" s="9">
        <f>SUM('Data Sheet'!G18,'Data Sheet'!G20:G24, -1*'Data Sheet'!G19)</f>
        <v>111542.92</v>
      </c>
      <c r="H5" s="9">
        <f>SUM('Data Sheet'!H18,'Data Sheet'!H20:H24, -1*'Data Sheet'!H19)</f>
        <v>118325.9</v>
      </c>
      <c r="I5" s="9">
        <f>SUM('Data Sheet'!I18,'Data Sheet'!I20:I24, -1*'Data Sheet'!I19)</f>
        <v>123872.4</v>
      </c>
      <c r="J5" s="9">
        <f>SUM('Data Sheet'!J18,'Data Sheet'!J20:J24, -1*'Data Sheet'!J19)</f>
        <v>137560.5</v>
      </c>
      <c r="K5" s="9">
        <f>SUM('Data Sheet'!K18,'Data Sheet'!K20:K24, -1*'Data Sheet'!K19)</f>
        <v>0</v>
      </c>
      <c r="L5" s="9">
        <f>SUM(Quarters!H5:K5)</f>
        <v>140837</v>
      </c>
      <c r="M5" s="9">
        <f t="shared" ref="M5:N5" si="0">M4-M6</f>
        <v>97479.659980176773</v>
      </c>
      <c r="N5" s="9">
        <f t="shared" si="0"/>
        <v>145513.4348390708</v>
      </c>
    </row>
    <row r="6" spans="1:14" s="8" customFormat="1" x14ac:dyDescent="0.3">
      <c r="A6" s="8" t="s">
        <v>8</v>
      </c>
      <c r="B6" s="1">
        <f>B4-B5</f>
        <v>18335.72</v>
      </c>
      <c r="C6" s="1">
        <f t="shared" ref="C6:K6" si="1">C4-C5</f>
        <v>19842</v>
      </c>
      <c r="D6" s="1">
        <f t="shared" si="1"/>
        <v>22697.75</v>
      </c>
      <c r="E6" s="1">
        <f t="shared" si="1"/>
        <v>28132.160000000003</v>
      </c>
      <c r="F6" s="1">
        <f t="shared" si="1"/>
        <v>31626.659999999989</v>
      </c>
      <c r="G6" s="1">
        <f t="shared" si="1"/>
        <v>35224.080000000002</v>
      </c>
      <c r="H6" s="1">
        <f t="shared" si="1"/>
        <v>35344.100000000006</v>
      </c>
      <c r="I6" s="1">
        <f t="shared" si="1"/>
        <v>39117.600000000006</v>
      </c>
      <c r="J6" s="1">
        <f t="shared" si="1"/>
        <v>41089.5</v>
      </c>
      <c r="K6" s="1">
        <f t="shared" si="1"/>
        <v>184582</v>
      </c>
      <c r="L6" s="1">
        <f>SUM(Quarters!H6:K6)</f>
        <v>43745</v>
      </c>
      <c r="M6" s="1">
        <f>M4*M24</f>
        <v>98731.075677380402</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93294.075677380402</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14.777702663921643</v>
      </c>
      <c r="C14" s="9">
        <f t="shared" ref="C14:K14" si="2">IF(C15&gt;0,C15/C13,"")</f>
        <v>17.30255521090201</v>
      </c>
      <c r="D14" s="9">
        <f t="shared" si="2"/>
        <v>20.48418047959613</v>
      </c>
      <c r="E14" s="9">
        <f t="shared" si="2"/>
        <v>17.306816506203987</v>
      </c>
      <c r="F14" s="9">
        <f t="shared" si="2"/>
        <v>25.999212182786962</v>
      </c>
      <c r="G14" s="9">
        <f t="shared" si="2"/>
        <v>32.839773228803715</v>
      </c>
      <c r="H14" s="9">
        <f t="shared" si="2"/>
        <v>25.891695100579092</v>
      </c>
      <c r="I14" s="9">
        <f t="shared" si="2"/>
        <v>28.445636747663553</v>
      </c>
      <c r="J14" s="9">
        <f t="shared" si="2"/>
        <v>26.306109011332026</v>
      </c>
      <c r="K14" s="9">
        <f t="shared" si="2"/>
        <v>19.69592550700742</v>
      </c>
      <c r="L14" s="9">
        <f t="shared" ref="L14" si="3">IF(L13&gt;0,L15/L13,0)</f>
        <v>14.070338004946416</v>
      </c>
      <c r="M14" s="9">
        <f>M25</f>
        <v>22.129502317737355</v>
      </c>
      <c r="N14" s="9">
        <f>N25</f>
        <v>14.070338004946416</v>
      </c>
    </row>
    <row r="15" spans="1:14" s="8" customFormat="1" x14ac:dyDescent="0.3">
      <c r="A15" s="8" t="s">
        <v>58</v>
      </c>
      <c r="B15" s="1">
        <f>'Data Sheet'!B90</f>
        <v>515.6</v>
      </c>
      <c r="C15" s="1">
        <f>'Data Sheet'!C90</f>
        <v>580.38</v>
      </c>
      <c r="D15" s="1">
        <f>'Data Sheet'!D90</f>
        <v>741.9</v>
      </c>
      <c r="E15" s="1">
        <f>'Data Sheet'!E90</f>
        <v>731.7</v>
      </c>
      <c r="F15" s="1">
        <f>'Data Sheet'!F90</f>
        <v>1253.3</v>
      </c>
      <c r="G15" s="1">
        <f>'Data Sheet'!G90</f>
        <v>1723.3</v>
      </c>
      <c r="H15" s="1">
        <f>'Data Sheet'!H90</f>
        <v>1479.3</v>
      </c>
      <c r="I15" s="1">
        <f>'Data Sheet'!I90</f>
        <v>1656.3</v>
      </c>
      <c r="J15" s="1">
        <f>'Data Sheet'!J90</f>
        <v>1687.7</v>
      </c>
      <c r="K15" s="1">
        <f>'Data Sheet'!K90</f>
        <v>1300.0999999999999</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0</v>
      </c>
    </row>
    <row r="19" spans="1:14" x14ac:dyDescent="0.3">
      <c r="A19" s="6" t="s">
        <v>18</v>
      </c>
      <c r="B19" s="7">
        <f t="shared" ref="B19:L19" si="4">IF(B6&gt;0,B6/B4,0)</f>
        <v>0.26</v>
      </c>
      <c r="C19" s="7">
        <f t="shared" ref="C19:K19" si="5">IF(C6&gt;0,C6/C4,0)</f>
        <v>0.24</v>
      </c>
      <c r="D19" s="7">
        <f t="shared" si="5"/>
        <v>0.25</v>
      </c>
      <c r="E19" s="7">
        <f t="shared" si="5"/>
        <v>0.28000000000000003</v>
      </c>
      <c r="F19" s="7">
        <f t="shared" si="5"/>
        <v>0.2599999999999999</v>
      </c>
      <c r="G19" s="7">
        <f t="shared" si="5"/>
        <v>0.24000000000000002</v>
      </c>
      <c r="H19" s="7">
        <f t="shared" si="5"/>
        <v>0.23000000000000004</v>
      </c>
      <c r="I19" s="7">
        <f t="shared" si="5"/>
        <v>0.24000000000000005</v>
      </c>
      <c r="J19" s="7">
        <f t="shared" si="5"/>
        <v>0.23</v>
      </c>
      <c r="K19" s="7">
        <f t="shared" si="5"/>
        <v>1</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0.35272716513505986</v>
      </c>
      <c r="I24" s="7">
        <f>IF(SUM(E4:$K$4)=0,"",SUMPRODUCT(E19:$K$19,E4:$K$4)/SUM(E4:$K$4))</f>
        <v>0.37674165595572723</v>
      </c>
      <c r="J24" s="7">
        <f>IF(SUM(G4:$K$4)=0,"",SUMPRODUCT(G19:$K$19,G4:$K$4)/SUM(G4:$K$4))</f>
        <v>0.40567789136754095</v>
      </c>
      <c r="K24" s="7">
        <f>IF(SUM(I4:$K$4)=0, "", SUMPRODUCT(I19:$K$19,I4:$K$4)/SUM(I4:$K$4))</f>
        <v>0.5031889582723641</v>
      </c>
      <c r="L24" s="7">
        <f>L19</f>
        <v>0.23699493991830189</v>
      </c>
      <c r="M24" s="22">
        <f>MAX(K24:L24)</f>
        <v>0.5031889582723641</v>
      </c>
      <c r="N24" s="22">
        <f>MIN(H24:L24)</f>
        <v>0.23699493991830189</v>
      </c>
    </row>
    <row r="25" spans="1:14" x14ac:dyDescent="0.3">
      <c r="G25" s="6" t="s">
        <v>23</v>
      </c>
      <c r="H25" s="9">
        <f>IF(ISERROR(AVERAGEIF(B14:$L14,"&gt;0")),"",AVERAGEIF(B14:$L14,"&gt;0"))</f>
        <v>22.101813149431173</v>
      </c>
      <c r="I25" s="9">
        <f>IF(ISERROR(AVERAGEIF(E14:$L14,"&gt;0")),"",AVERAGEIF(E14:$L14,"&gt;0"))</f>
        <v>23.819438286165397</v>
      </c>
      <c r="J25" s="9">
        <f>IF(ISERROR(AVERAGEIF(G14:$L14,"&gt;0")),"",AVERAGEIF(G14:$L14,"&gt;0"))</f>
        <v>24.541579600055371</v>
      </c>
      <c r="K25" s="9">
        <f>IF(ISERROR(AVERAGEIF(I14:$L14,"&gt;0")),"",AVERAGEIF(I14:$L14,"&gt;0"))</f>
        <v>22.129502317737355</v>
      </c>
      <c r="L25" s="9">
        <f>L14</f>
        <v>14.070338004946416</v>
      </c>
      <c r="M25" s="1">
        <f>MAX(K25:L25)</f>
        <v>22.129502317737355</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0.11</v>
      </c>
      <c r="D10" s="36">
        <f>'Data Sheet'!C21/'Data Sheet'!C$17</f>
        <v>0.12</v>
      </c>
      <c r="E10" s="36">
        <f>'Data Sheet'!D21/'Data Sheet'!D$17</f>
        <v>0.12</v>
      </c>
      <c r="F10" s="36">
        <f>'Data Sheet'!E21/'Data Sheet'!E$17</f>
        <v>0.13</v>
      </c>
      <c r="G10" s="36">
        <f>'Data Sheet'!F21/'Data Sheet'!F$17</f>
        <v>0.17</v>
      </c>
      <c r="H10" s="36">
        <f>'Data Sheet'!G21/'Data Sheet'!G$17</f>
        <v>0.18000000000000002</v>
      </c>
      <c r="I10" s="36">
        <f>'Data Sheet'!H21/'Data Sheet'!H$17</f>
        <v>0.18</v>
      </c>
      <c r="J10" s="36">
        <f>'Data Sheet'!I21/'Data Sheet'!I$17</f>
        <v>0.19</v>
      </c>
      <c r="K10" s="36">
        <f>'Data Sheet'!J21/'Data Sheet'!J$17</f>
        <v>0.19</v>
      </c>
      <c r="L10" s="36">
        <f>'Data Sheet'!K21/'Data Sheet'!K$17</f>
        <v>0</v>
      </c>
    </row>
    <row r="11" spans="2:12" x14ac:dyDescent="0.3">
      <c r="B11" s="33" t="str">
        <f>'Data Sheet'!A22</f>
        <v>Employee Cost</v>
      </c>
      <c r="C11" s="36">
        <f>'Data Sheet'!B22/'Data Sheet'!B$17</f>
        <v>0.54999999999999993</v>
      </c>
      <c r="D11" s="36">
        <f>'Data Sheet'!C22/'Data Sheet'!C$17</f>
        <v>0.55000000000000004</v>
      </c>
      <c r="E11" s="36">
        <f>'Data Sheet'!D22/'Data Sheet'!D$17</f>
        <v>0.55999999999999994</v>
      </c>
      <c r="F11" s="36">
        <f>'Data Sheet'!E22/'Data Sheet'!E$17</f>
        <v>0.54999999999999993</v>
      </c>
      <c r="G11" s="36">
        <f>'Data Sheet'!F22/'Data Sheet'!F$17</f>
        <v>0.53</v>
      </c>
      <c r="H11" s="36">
        <f>'Data Sheet'!G22/'Data Sheet'!G$17</f>
        <v>0.52999999999999992</v>
      </c>
      <c r="I11" s="36">
        <f>'Data Sheet'!H22/'Data Sheet'!H$17</f>
        <v>0.54</v>
      </c>
      <c r="J11" s="36">
        <f>'Data Sheet'!I22/'Data Sheet'!I$17</f>
        <v>0.53</v>
      </c>
      <c r="K11" s="36">
        <f>'Data Sheet'!J22/'Data Sheet'!J$17</f>
        <v>0.53</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0.08</v>
      </c>
      <c r="D13" s="36">
        <f>'Data Sheet'!C24/'Data Sheet'!C$17</f>
        <v>0.09</v>
      </c>
      <c r="E13" s="36">
        <f>'Data Sheet'!D24/'Data Sheet'!D$17</f>
        <v>6.9999999999999993E-2</v>
      </c>
      <c r="F13" s="36">
        <f>'Data Sheet'!E24/'Data Sheet'!E$17</f>
        <v>0.04</v>
      </c>
      <c r="G13" s="36">
        <f>'Data Sheet'!F24/'Data Sheet'!F$17</f>
        <v>0.04</v>
      </c>
      <c r="H13" s="36">
        <f>'Data Sheet'!G24/'Data Sheet'!G$17</f>
        <v>0.05</v>
      </c>
      <c r="I13" s="36">
        <f>'Data Sheet'!H24/'Data Sheet'!H$17</f>
        <v>0.05</v>
      </c>
      <c r="J13" s="36">
        <f>'Data Sheet'!I24/'Data Sheet'!I$17</f>
        <v>0.04</v>
      </c>
      <c r="K13" s="36">
        <f>'Data Sheet'!J24/'Data Sheet'!J$17</f>
        <v>0.05</v>
      </c>
      <c r="L13" s="36">
        <f>'Data Sheet'!K24/'Data Sheet'!K$17</f>
        <v>0</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7757.42</v>
      </c>
      <c r="C21">
        <v>9921</v>
      </c>
      <c r="D21">
        <v>10894.92</v>
      </c>
      <c r="E21">
        <v>13061.36</v>
      </c>
      <c r="F21">
        <v>20678.97</v>
      </c>
      <c r="G21">
        <v>26418.06</v>
      </c>
      <c r="H21">
        <v>27660.6</v>
      </c>
      <c r="I21">
        <v>30968.1</v>
      </c>
      <c r="J21">
        <v>33943.5</v>
      </c>
      <c r="K21">
        <v>0</v>
      </c>
    </row>
    <row r="22" spans="1:11" s="9" customFormat="1" x14ac:dyDescent="0.3">
      <c r="A22" s="5" t="s">
        <v>84</v>
      </c>
      <c r="B22">
        <v>38787.1</v>
      </c>
      <c r="C22">
        <v>45471.25</v>
      </c>
      <c r="D22">
        <v>50842.96</v>
      </c>
      <c r="E22">
        <v>55259.6</v>
      </c>
      <c r="F22">
        <v>64469.73</v>
      </c>
      <c r="G22">
        <v>77786.509999999995</v>
      </c>
      <c r="H22">
        <v>82981.8</v>
      </c>
      <c r="I22">
        <v>86384.7</v>
      </c>
      <c r="J22">
        <v>94684.5</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5641.76</v>
      </c>
      <c r="C24">
        <v>7440.75</v>
      </c>
      <c r="D24">
        <v>6355.37</v>
      </c>
      <c r="E24">
        <v>4018.88</v>
      </c>
      <c r="F24">
        <v>4865.6400000000003</v>
      </c>
      <c r="G24">
        <v>7338.35</v>
      </c>
      <c r="H24">
        <v>7683.5</v>
      </c>
      <c r="I24">
        <v>6519.6</v>
      </c>
      <c r="J24">
        <v>8932.5</v>
      </c>
      <c r="K24">
        <v>0</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0</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515.6</v>
      </c>
      <c r="C90">
        <v>580.38</v>
      </c>
      <c r="D90">
        <v>741.9</v>
      </c>
      <c r="E90">
        <v>731.7</v>
      </c>
      <c r="F90">
        <v>1253.3</v>
      </c>
      <c r="G90">
        <v>1723.3</v>
      </c>
      <c r="H90">
        <v>1479.3</v>
      </c>
      <c r="I90">
        <v>1656.3</v>
      </c>
      <c r="J90">
        <v>1687.7</v>
      </c>
      <c r="K90">
        <v>1300.0999999999999</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8625</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15946</v>
      </c>
      <c r="D7" s="48">
        <v>17839</v>
      </c>
      <c r="E7" s="48">
        <v>19340</v>
      </c>
      <c r="F7" s="48">
        <v>19963</v>
      </c>
      <c r="G7" s="48">
        <v>22126</v>
      </c>
      <c r="H7" s="48">
        <v>23920</v>
      </c>
      <c r="I7" s="48">
        <v>28845</v>
      </c>
      <c r="J7" s="48">
        <v>32921</v>
      </c>
      <c r="K7" s="48">
        <v>37605</v>
      </c>
      <c r="L7" s="48">
        <v>39523</v>
      </c>
      <c r="M7" s="48">
        <v>41591</v>
      </c>
      <c r="N7" s="48">
        <v>45273</v>
      </c>
    </row>
    <row r="8" spans="2:28" x14ac:dyDescent="0.3">
      <c r="B8" t="s">
        <v>78</v>
      </c>
      <c r="C8">
        <v>-1475</v>
      </c>
      <c r="D8">
        <v>-1654</v>
      </c>
      <c r="E8">
        <v>-1743</v>
      </c>
      <c r="F8">
        <v>-1523</v>
      </c>
      <c r="G8">
        <v>-2881</v>
      </c>
      <c r="H8" s="48">
        <v>-3861</v>
      </c>
      <c r="I8">
        <v>-1835</v>
      </c>
      <c r="J8">
        <v>-7937</v>
      </c>
      <c r="K8">
        <v>-7076</v>
      </c>
      <c r="L8">
        <v>-2667</v>
      </c>
      <c r="M8" s="48">
        <v>-1769</v>
      </c>
      <c r="N8">
        <v>-5177</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242</v>
      </c>
      <c r="E10">
        <v>-19</v>
      </c>
      <c r="F10" s="48">
        <v>328</v>
      </c>
      <c r="G10">
        <v>916</v>
      </c>
      <c r="H10">
        <v>-373</v>
      </c>
      <c r="I10" s="48">
        <v>-245</v>
      </c>
      <c r="J10" s="48">
        <v>1489</v>
      </c>
      <c r="K10" s="48">
        <v>-279</v>
      </c>
      <c r="L10">
        <v>91</v>
      </c>
      <c r="M10" s="48">
        <v>176</v>
      </c>
      <c r="N10">
        <v>-26</v>
      </c>
    </row>
    <row r="11" spans="2:28" x14ac:dyDescent="0.3">
      <c r="B11" t="s">
        <v>132</v>
      </c>
      <c r="C11">
        <v>-842</v>
      </c>
      <c r="D11">
        <v>-1946</v>
      </c>
      <c r="E11">
        <v>-2156</v>
      </c>
      <c r="F11" s="48">
        <v>84</v>
      </c>
      <c r="G11">
        <v>-453</v>
      </c>
      <c r="H11">
        <v>-2367</v>
      </c>
      <c r="I11">
        <v>768</v>
      </c>
      <c r="J11">
        <v>-1424</v>
      </c>
      <c r="K11">
        <v>-6344</v>
      </c>
      <c r="L11" s="48">
        <v>-5082</v>
      </c>
      <c r="M11" s="48">
        <v>-295</v>
      </c>
      <c r="N11" s="48">
        <v>-2639</v>
      </c>
    </row>
    <row r="12" spans="2:28" x14ac:dyDescent="0.3">
      <c r="B12" t="s">
        <v>133</v>
      </c>
      <c r="C12" s="48">
        <v>-6751</v>
      </c>
      <c r="D12" s="48">
        <v>-5865</v>
      </c>
      <c r="E12" s="48">
        <v>-5653</v>
      </c>
      <c r="F12" s="48">
        <v>-6829</v>
      </c>
      <c r="G12" s="48">
        <v>-6832</v>
      </c>
      <c r="H12" s="48">
        <v>-4550</v>
      </c>
      <c r="I12" s="48">
        <v>-6389</v>
      </c>
      <c r="J12" s="48">
        <v>-7612</v>
      </c>
      <c r="K12" s="48">
        <v>-8794</v>
      </c>
      <c r="L12" s="48">
        <v>-9231</v>
      </c>
      <c r="M12" s="48">
        <v>-5602</v>
      </c>
      <c r="N12" s="48">
        <v>-8648</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-2247</v>
      </c>
      <c r="D14" s="48">
        <v>-2723</v>
      </c>
      <c r="E14" s="48">
        <v>-2760</v>
      </c>
      <c r="F14" s="48">
        <v>-1998</v>
      </c>
      <c r="G14" s="48">
        <v>-2445</v>
      </c>
      <c r="H14" s="48">
        <v>-3307</v>
      </c>
      <c r="I14" s="48">
        <v>-2107</v>
      </c>
      <c r="J14" s="48">
        <v>-2161</v>
      </c>
      <c r="K14" s="48">
        <v>-2579</v>
      </c>
      <c r="L14" s="48">
        <v>-2201</v>
      </c>
      <c r="M14" s="48">
        <v>-2237</v>
      </c>
      <c r="N14" s="48">
        <v>-2727</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-23923</v>
      </c>
      <c r="D16" s="48">
        <v>-24577</v>
      </c>
      <c r="E16" s="48">
        <v>-66410</v>
      </c>
      <c r="F16" s="48">
        <v>-69159</v>
      </c>
      <c r="G16" s="48">
        <v>-79410</v>
      </c>
      <c r="H16" s="48">
        <v>-37482</v>
      </c>
      <c r="I16" s="48">
        <v>-46738</v>
      </c>
      <c r="J16" s="48">
        <v>-59951</v>
      </c>
      <c r="K16" s="48">
        <v>-75800</v>
      </c>
      <c r="L16" s="48">
        <v>-78092</v>
      </c>
      <c r="M16" s="48">
        <v>-82742</v>
      </c>
      <c r="N16" s="48">
        <v>-82617</v>
      </c>
    </row>
    <row r="17" spans="2:14" x14ac:dyDescent="0.3">
      <c r="B17" t="s">
        <v>138</v>
      </c>
      <c r="C17" s="48">
        <v>25253</v>
      </c>
      <c r="D17" s="48">
        <v>24980</v>
      </c>
      <c r="E17" s="48">
        <v>52048</v>
      </c>
      <c r="F17" s="48">
        <v>74003</v>
      </c>
      <c r="G17" s="48">
        <v>78098</v>
      </c>
      <c r="H17" s="48">
        <v>38861</v>
      </c>
      <c r="I17" s="48">
        <v>40381</v>
      </c>
      <c r="J17" s="48">
        <v>57356</v>
      </c>
      <c r="K17" s="48">
        <v>76722</v>
      </c>
      <c r="L17" s="48">
        <v>72930</v>
      </c>
      <c r="M17" s="48">
        <v>84877</v>
      </c>
      <c r="N17" s="48">
        <v>89699</v>
      </c>
    </row>
    <row r="18" spans="2:14" x14ac:dyDescent="0.3">
      <c r="B18" t="s">
        <v>139</v>
      </c>
      <c r="C18">
        <v>2551</v>
      </c>
      <c r="D18">
        <v>2383</v>
      </c>
      <c r="E18">
        <v>0</v>
      </c>
      <c r="F18">
        <v>0</v>
      </c>
      <c r="G18" s="48">
        <v>0</v>
      </c>
      <c r="H18" s="48">
        <v>0</v>
      </c>
      <c r="I18" s="48">
        <v>0</v>
      </c>
      <c r="J18" s="48">
        <v>0</v>
      </c>
      <c r="K18" s="48">
        <v>0</v>
      </c>
      <c r="L18" s="48">
        <v>0</v>
      </c>
      <c r="M18" s="48">
        <v>0</v>
      </c>
      <c r="N18">
        <v>0</v>
      </c>
    </row>
    <row r="19" spans="2:14" x14ac:dyDescent="0.3">
      <c r="B19" t="s">
        <v>140</v>
      </c>
      <c r="C19">
        <v>0</v>
      </c>
      <c r="D19">
        <v>0</v>
      </c>
      <c r="E19">
        <v>2753</v>
      </c>
      <c r="F19">
        <v>1768</v>
      </c>
      <c r="G19">
        <v>1557</v>
      </c>
      <c r="H19">
        <v>1929</v>
      </c>
      <c r="I19">
        <v>1418</v>
      </c>
      <c r="J19">
        <v>1898</v>
      </c>
      <c r="K19">
        <v>1525</v>
      </c>
      <c r="L19">
        <v>1768</v>
      </c>
      <c r="M19">
        <v>2040</v>
      </c>
      <c r="N19">
        <v>2713</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741</v>
      </c>
      <c r="D23" s="48">
        <v>-59</v>
      </c>
      <c r="E23" s="48">
        <v>-131</v>
      </c>
      <c r="F23" s="48">
        <v>49</v>
      </c>
      <c r="G23" s="48">
        <v>1592</v>
      </c>
      <c r="H23" s="48">
        <v>-224</v>
      </c>
      <c r="I23" s="48">
        <v>-327</v>
      </c>
      <c r="J23" s="48">
        <v>-3627</v>
      </c>
      <c r="K23">
        <v>-939</v>
      </c>
      <c r="L23" s="48">
        <v>502</v>
      </c>
      <c r="M23">
        <v>-3802</v>
      </c>
      <c r="N23" s="48">
        <v>-3522</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5</v>
      </c>
      <c r="G25">
        <v>6</v>
      </c>
      <c r="H25">
        <v>6</v>
      </c>
      <c r="I25">
        <v>15</v>
      </c>
      <c r="J25">
        <v>21</v>
      </c>
      <c r="K25" s="48">
        <v>35</v>
      </c>
      <c r="L25" s="48">
        <v>5</v>
      </c>
      <c r="M25">
        <v>6</v>
      </c>
      <c r="N25">
        <v>2</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-985</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-4935</v>
      </c>
      <c r="D29" s="48">
        <v>-6813</v>
      </c>
      <c r="E29" s="48">
        <v>-6939</v>
      </c>
      <c r="F29" s="48">
        <v>-7464</v>
      </c>
      <c r="G29" s="48">
        <v>-13705</v>
      </c>
      <c r="H29" s="48">
        <v>-9548</v>
      </c>
      <c r="I29" s="48">
        <v>-9137</v>
      </c>
      <c r="J29" s="48">
        <v>-12731</v>
      </c>
      <c r="K29" s="48">
        <v>-13653</v>
      </c>
      <c r="L29" s="48">
        <v>-14731</v>
      </c>
      <c r="M29" s="48">
        <v>-20289</v>
      </c>
      <c r="N29" s="48">
        <v>-18656</v>
      </c>
    </row>
    <row r="30" spans="2:14" x14ac:dyDescent="0.3">
      <c r="B30" t="s">
        <v>149</v>
      </c>
      <c r="C30">
        <v>0</v>
      </c>
      <c r="D30">
        <v>0</v>
      </c>
      <c r="E30">
        <v>0</v>
      </c>
      <c r="F30">
        <v>0</v>
      </c>
      <c r="G30">
        <v>0</v>
      </c>
      <c r="H30">
        <v>-571</v>
      </c>
      <c r="I30">
        <v>-698</v>
      </c>
      <c r="J30">
        <v>-915</v>
      </c>
      <c r="K30">
        <v>-1231</v>
      </c>
      <c r="L30">
        <v>-2024</v>
      </c>
      <c r="M30">
        <v>-2355</v>
      </c>
      <c r="N30">
        <v>-2824</v>
      </c>
    </row>
    <row r="31" spans="2:14" x14ac:dyDescent="0.3">
      <c r="B31" t="s">
        <v>150</v>
      </c>
      <c r="C31">
        <v>0</v>
      </c>
      <c r="D31">
        <v>0</v>
      </c>
      <c r="E31" s="48">
        <v>0</v>
      </c>
      <c r="F31" s="48">
        <v>-13046</v>
      </c>
      <c r="G31" s="48">
        <v>-813</v>
      </c>
      <c r="H31" s="48">
        <v>-7478</v>
      </c>
      <c r="I31">
        <v>34</v>
      </c>
      <c r="J31">
        <v>-11017</v>
      </c>
      <c r="K31">
        <v>-11846</v>
      </c>
      <c r="L31">
        <v>-754</v>
      </c>
      <c r="M31">
        <v>-538</v>
      </c>
      <c r="N31">
        <v>-18308</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46544.52</v>
      </c>
      <c r="D10" s="106">
        <f>SUM('Data Sheet'!C18,'Data Sheet'!C20:C22)-'Data Sheet'!C19</f>
        <v>55392.25</v>
      </c>
      <c r="E10" s="106">
        <f>SUM('Data Sheet'!D18,'Data Sheet'!D20:D22)-'Data Sheet'!D19</f>
        <v>61737.88</v>
      </c>
      <c r="F10" s="106">
        <f>SUM('Data Sheet'!E18,'Data Sheet'!E20:E22)-'Data Sheet'!E19</f>
        <v>68320.959999999992</v>
      </c>
      <c r="G10" s="106">
        <f>SUM('Data Sheet'!F18,'Data Sheet'!F20:F22)-'Data Sheet'!F19</f>
        <v>85148.700000000012</v>
      </c>
      <c r="H10" s="106">
        <f>SUM('Data Sheet'!G18,'Data Sheet'!G20:G22)-'Data Sheet'!G19</f>
        <v>104204.56999999999</v>
      </c>
      <c r="I10" s="106">
        <f>SUM('Data Sheet'!H18,'Data Sheet'!H20:H22)-'Data Sheet'!H19</f>
        <v>110642.4</v>
      </c>
      <c r="J10" s="106">
        <f>SUM('Data Sheet'!I18,'Data Sheet'!I20:I22)-'Data Sheet'!I19</f>
        <v>117352.79999999999</v>
      </c>
      <c r="K10" s="106">
        <f>SUM('Data Sheet'!J18,'Data Sheet'!J20:J22)-'Data Sheet'!J19</f>
        <v>128628</v>
      </c>
      <c r="L10" s="106">
        <f>SUM('Data Sheet'!K18,'Data Sheet'!K20:K22)-'Data Sheet'!K19</f>
        <v>0</v>
      </c>
    </row>
    <row r="11" spans="1:14" x14ac:dyDescent="0.3">
      <c r="B11" t="s">
        <v>98</v>
      </c>
      <c r="C11" s="112">
        <f>C10/C7</f>
        <v>0.65999999999999992</v>
      </c>
      <c r="D11" s="112">
        <f t="shared" ref="D11:L11" si="1">D10/D7</f>
        <v>0.67</v>
      </c>
      <c r="E11" s="112">
        <f t="shared" si="1"/>
        <v>0.67999999999999994</v>
      </c>
      <c r="F11" s="112">
        <f t="shared" si="1"/>
        <v>0.67999999999999994</v>
      </c>
      <c r="G11" s="112">
        <f t="shared" si="1"/>
        <v>0.70000000000000007</v>
      </c>
      <c r="H11" s="112">
        <f t="shared" si="1"/>
        <v>0.71</v>
      </c>
      <c r="I11" s="112">
        <f t="shared" si="1"/>
        <v>0.72</v>
      </c>
      <c r="J11" s="112">
        <f t="shared" si="1"/>
        <v>0.72</v>
      </c>
      <c r="K11" s="112">
        <f t="shared" si="1"/>
        <v>0.72</v>
      </c>
      <c r="L11" s="112">
        <f t="shared" si="1"/>
        <v>0</v>
      </c>
    </row>
    <row r="13" spans="1:14" x14ac:dyDescent="0.3">
      <c r="B13" t="s">
        <v>100</v>
      </c>
      <c r="C13" s="106">
        <f>C7-C10</f>
        <v>23977.480000000003</v>
      </c>
      <c r="D13" s="106">
        <f t="shared" ref="D13:L13" si="2">D7-D10</f>
        <v>27282.75</v>
      </c>
      <c r="E13" s="106">
        <f t="shared" si="2"/>
        <v>29053.120000000003</v>
      </c>
      <c r="F13" s="106">
        <f t="shared" si="2"/>
        <v>32151.040000000008</v>
      </c>
      <c r="G13" s="106">
        <f t="shared" si="2"/>
        <v>36492.299999999988</v>
      </c>
      <c r="H13" s="106">
        <f t="shared" si="2"/>
        <v>42562.430000000008</v>
      </c>
      <c r="I13" s="106">
        <f t="shared" si="2"/>
        <v>43027.600000000006</v>
      </c>
      <c r="J13" s="106">
        <f t="shared" si="2"/>
        <v>45637.200000000012</v>
      </c>
      <c r="K13" s="106">
        <f t="shared" si="2"/>
        <v>50022</v>
      </c>
      <c r="L13" s="106">
        <f t="shared" si="2"/>
        <v>184582</v>
      </c>
    </row>
    <row r="14" spans="1:14" x14ac:dyDescent="0.3">
      <c r="B14" t="s">
        <v>101</v>
      </c>
      <c r="C14" s="112">
        <f>C13/C7</f>
        <v>0.34</v>
      </c>
      <c r="D14" s="112">
        <f t="shared" ref="D14:L14" si="3">D13/D7</f>
        <v>0.33</v>
      </c>
      <c r="E14" s="112">
        <f t="shared" si="3"/>
        <v>0.32</v>
      </c>
      <c r="F14" s="112">
        <f t="shared" si="3"/>
        <v>0.32000000000000006</v>
      </c>
      <c r="G14" s="112">
        <f t="shared" si="3"/>
        <v>0.29999999999999988</v>
      </c>
      <c r="H14" s="112">
        <f t="shared" si="3"/>
        <v>0.29000000000000004</v>
      </c>
      <c r="I14" s="112">
        <f t="shared" si="3"/>
        <v>0.28000000000000003</v>
      </c>
      <c r="J14" s="112">
        <f t="shared" si="3"/>
        <v>0.28000000000000008</v>
      </c>
      <c r="K14" s="112">
        <f t="shared" si="3"/>
        <v>0.28000000000000003</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23977.480000000003</v>
      </c>
      <c r="D19" s="106">
        <f t="shared" ref="D19:L19" si="5">D13-D16</f>
        <v>27282.75</v>
      </c>
      <c r="E19" s="106">
        <f t="shared" si="5"/>
        <v>29053.120000000003</v>
      </c>
      <c r="F19" s="106">
        <f t="shared" si="5"/>
        <v>32151.040000000008</v>
      </c>
      <c r="G19" s="106">
        <f t="shared" si="5"/>
        <v>36492.299999999988</v>
      </c>
      <c r="H19" s="106">
        <f t="shared" si="5"/>
        <v>42562.430000000008</v>
      </c>
      <c r="I19" s="106">
        <f t="shared" si="5"/>
        <v>43027.600000000006</v>
      </c>
      <c r="J19" s="106">
        <f t="shared" si="5"/>
        <v>45637.200000000012</v>
      </c>
      <c r="K19" s="106">
        <f t="shared" si="5"/>
        <v>50022</v>
      </c>
      <c r="L19" s="106">
        <f t="shared" si="5"/>
        <v>184582</v>
      </c>
    </row>
    <row r="20" spans="2:12" x14ac:dyDescent="0.3">
      <c r="B20" t="s">
        <v>104</v>
      </c>
      <c r="C20" s="112">
        <f>C19/C7</f>
        <v>0.34</v>
      </c>
      <c r="D20" s="112">
        <f t="shared" ref="D20:L20" si="6">D19/D7</f>
        <v>0.33</v>
      </c>
      <c r="E20" s="112">
        <f t="shared" si="6"/>
        <v>0.32</v>
      </c>
      <c r="F20" s="112">
        <f t="shared" si="6"/>
        <v>0.32000000000000006</v>
      </c>
      <c r="G20" s="112">
        <f t="shared" si="6"/>
        <v>0.29999999999999988</v>
      </c>
      <c r="H20" s="112">
        <f t="shared" si="6"/>
        <v>0.29000000000000004</v>
      </c>
      <c r="I20" s="112">
        <f t="shared" si="6"/>
        <v>0.28000000000000003</v>
      </c>
      <c r="J20" s="112">
        <f t="shared" si="6"/>
        <v>0.28000000000000008</v>
      </c>
      <c r="K20" s="112">
        <f t="shared" si="6"/>
        <v>0.28000000000000003</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22114.480000000003</v>
      </c>
      <c r="D25" s="106">
        <f t="shared" ref="D25:L25" si="8">D19-D22</f>
        <v>25271.75</v>
      </c>
      <c r="E25" s="106">
        <f t="shared" si="8"/>
        <v>26160.120000000003</v>
      </c>
      <c r="F25" s="106">
        <f t="shared" si="8"/>
        <v>28884.040000000008</v>
      </c>
      <c r="G25" s="106">
        <f t="shared" si="8"/>
        <v>33016.299999999988</v>
      </c>
      <c r="H25" s="106">
        <f t="shared" si="8"/>
        <v>38337.430000000008</v>
      </c>
      <c r="I25" s="106">
        <f t="shared" si="8"/>
        <v>38349.600000000006</v>
      </c>
      <c r="J25" s="106">
        <f t="shared" si="8"/>
        <v>40825.200000000012</v>
      </c>
      <c r="K25" s="106">
        <f t="shared" si="8"/>
        <v>45120</v>
      </c>
      <c r="L25" s="106">
        <f t="shared" si="8"/>
        <v>179575</v>
      </c>
    </row>
    <row r="26" spans="2:12" x14ac:dyDescent="0.3">
      <c r="B26" t="s">
        <v>107</v>
      </c>
      <c r="C26" s="112">
        <f>C25/C7</f>
        <v>0.31358271177788494</v>
      </c>
      <c r="D26" s="112">
        <f t="shared" ref="D26:L26" si="9">D25/D7</f>
        <v>0.30567583912912005</v>
      </c>
      <c r="E26" s="112">
        <f t="shared" si="9"/>
        <v>0.28813560815499334</v>
      </c>
      <c r="F26" s="112">
        <f t="shared" si="9"/>
        <v>0.28748347798391599</v>
      </c>
      <c r="G26" s="112">
        <f t="shared" si="9"/>
        <v>0.2714241086475776</v>
      </c>
      <c r="H26" s="112">
        <f t="shared" si="9"/>
        <v>0.26121287482881034</v>
      </c>
      <c r="I26" s="112">
        <f t="shared" si="9"/>
        <v>0.24955814407496588</v>
      </c>
      <c r="J26" s="112">
        <f t="shared" si="9"/>
        <v>0.25047671636296714</v>
      </c>
      <c r="K26" s="112">
        <f t="shared" si="9"/>
        <v>0.25256087321578508</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22114.480000000003</v>
      </c>
      <c r="D31" s="106">
        <f t="shared" ref="D31:L31" si="11">D25-D28</f>
        <v>25271.75</v>
      </c>
      <c r="E31" s="106">
        <f t="shared" si="11"/>
        <v>25990.120000000003</v>
      </c>
      <c r="F31" s="106">
        <f t="shared" si="11"/>
        <v>28689.040000000008</v>
      </c>
      <c r="G31" s="106">
        <f t="shared" si="11"/>
        <v>32816.299999999988</v>
      </c>
      <c r="H31" s="106">
        <f t="shared" si="11"/>
        <v>38053.430000000008</v>
      </c>
      <c r="I31" s="106">
        <f t="shared" si="11"/>
        <v>37879.600000000006</v>
      </c>
      <c r="J31" s="106">
        <f t="shared" si="11"/>
        <v>40409.200000000012</v>
      </c>
      <c r="K31" s="106">
        <f t="shared" si="11"/>
        <v>44704</v>
      </c>
      <c r="L31" s="106">
        <f t="shared" si="11"/>
        <v>179145</v>
      </c>
    </row>
    <row r="32" spans="2:12" x14ac:dyDescent="0.3">
      <c r="B32" t="s">
        <v>110</v>
      </c>
      <c r="C32" s="112">
        <f>C31/C7</f>
        <v>0.31358271177788494</v>
      </c>
      <c r="D32" s="112">
        <f t="shared" ref="D32:L32" si="12">D31/D7</f>
        <v>0.30567583912912005</v>
      </c>
      <c r="E32" s="112">
        <f t="shared" si="12"/>
        <v>0.28626317586544925</v>
      </c>
      <c r="F32" s="112">
        <f t="shared" si="12"/>
        <v>0.28554263874512309</v>
      </c>
      <c r="G32" s="112">
        <f t="shared" si="12"/>
        <v>0.26977992617620694</v>
      </c>
      <c r="H32" s="112">
        <f t="shared" si="12"/>
        <v>0.25927783493564632</v>
      </c>
      <c r="I32" s="112">
        <f t="shared" si="12"/>
        <v>0.24649964209019332</v>
      </c>
      <c r="J32" s="112">
        <f t="shared" si="12"/>
        <v>0.24792441254064673</v>
      </c>
      <c r="K32" s="112">
        <f t="shared" si="12"/>
        <v>0.25023229778897288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0.91659401441951138</v>
      </c>
      <c r="D35" s="112">
        <f t="shared" ref="D35:L35" si="13">D34/D31</f>
        <v>0.83258974942376374</v>
      </c>
      <c r="E35" s="112">
        <f t="shared" si="13"/>
        <v>0.84674483996226246</v>
      </c>
      <c r="F35" s="112">
        <f t="shared" si="13"/>
        <v>0.92815932495475595</v>
      </c>
      <c r="G35" s="112">
        <f t="shared" si="13"/>
        <v>0.91753183631305202</v>
      </c>
      <c r="H35" s="112">
        <f t="shared" si="13"/>
        <v>0.87566350786249736</v>
      </c>
      <c r="I35" s="112">
        <f t="shared" si="13"/>
        <v>0.95006283065291064</v>
      </c>
      <c r="J35" s="112">
        <f t="shared" si="13"/>
        <v>0.93067915227225462</v>
      </c>
      <c r="K35" s="112">
        <f t="shared" si="13"/>
        <v>0.89466267000715816</v>
      </c>
      <c r="L35" s="112">
        <f t="shared" si="13"/>
        <v>0.23044461190655613</v>
      </c>
    </row>
    <row r="37" spans="2:12" x14ac:dyDescent="0.3">
      <c r="B37" t="s">
        <v>123</v>
      </c>
      <c r="C37" s="106">
        <f>C31-C34</f>
        <v>1844.4800000000032</v>
      </c>
      <c r="D37" s="106">
        <f t="shared" ref="D37:L37" si="14">D31-D34</f>
        <v>4230.75</v>
      </c>
      <c r="E37" s="106">
        <f t="shared" si="14"/>
        <v>3983.1200000000026</v>
      </c>
      <c r="F37" s="106">
        <f t="shared" si="14"/>
        <v>2061.0400000000081</v>
      </c>
      <c r="G37" s="106">
        <f t="shared" si="14"/>
        <v>2706.2999999999884</v>
      </c>
      <c r="H37" s="106">
        <f t="shared" si="14"/>
        <v>4731.4300000000076</v>
      </c>
      <c r="I37" s="106">
        <f t="shared" si="14"/>
        <v>1891.6000000000058</v>
      </c>
      <c r="J37" s="106">
        <f t="shared" si="14"/>
        <v>2801.2000000000116</v>
      </c>
      <c r="K37" s="106">
        <f t="shared" si="14"/>
        <v>4709</v>
      </c>
      <c r="L37" s="106">
        <f t="shared" si="14"/>
        <v>137862</v>
      </c>
    </row>
    <row r="38" spans="2:12" x14ac:dyDescent="0.3">
      <c r="B38" t="s">
        <v>124</v>
      </c>
      <c r="C38" s="112">
        <f>C37/C7</f>
        <v>2.6154675136836777E-2</v>
      </c>
      <c r="D38" s="112">
        <f t="shared" ref="D38:L38" si="15">D37/D7</f>
        <v>5.1173268823707291E-2</v>
      </c>
      <c r="E38" s="112">
        <f t="shared" si="15"/>
        <v>4.3871308830170423E-2</v>
      </c>
      <c r="F38" s="112">
        <f t="shared" si="15"/>
        <v>2.0513575921649894E-2</v>
      </c>
      <c r="G38" s="112">
        <f t="shared" si="15"/>
        <v>2.2248255111352162E-2</v>
      </c>
      <c r="H38" s="112">
        <f t="shared" si="15"/>
        <v>3.2237696484904696E-2</v>
      </c>
      <c r="I38" s="112">
        <f t="shared" si="15"/>
        <v>1.2309494371054896E-2</v>
      </c>
      <c r="J38" s="112">
        <f t="shared" si="15"/>
        <v>1.7186330449720913E-2</v>
      </c>
      <c r="K38" s="112">
        <f t="shared" si="15"/>
        <v>2.6358802127064093E-2</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4.0148886615441608</v>
      </c>
      <c r="D42" s="106">
        <f t="shared" ref="D42:L42" si="16">D37/D40</f>
        <v>9.2090942730893968</v>
      </c>
      <c r="E42" s="106">
        <f t="shared" si="16"/>
        <v>8.670076837683121</v>
      </c>
      <c r="F42" s="106">
        <f t="shared" si="16"/>
        <v>4.4862758755795653</v>
      </c>
      <c r="G42" s="106">
        <f t="shared" si="16"/>
        <v>5.8908164820095079</v>
      </c>
      <c r="H42" s="106">
        <f t="shared" si="16"/>
        <v>10.298926884482286</v>
      </c>
      <c r="I42" s="106">
        <f t="shared" si="16"/>
        <v>4.1174549966261198</v>
      </c>
      <c r="J42" s="106">
        <f t="shared" si="16"/>
        <v>6.0973857774101816</v>
      </c>
      <c r="K42" s="106">
        <f t="shared" si="16"/>
        <v>10.250103393482945</v>
      </c>
      <c r="L42" s="106">
        <f t="shared" si="16"/>
        <v>300.08489149126052</v>
      </c>
    </row>
    <row r="43" spans="2:12" x14ac:dyDescent="0.3">
      <c r="B43" t="s">
        <v>114</v>
      </c>
      <c r="C43" s="111" t="s">
        <v>120</v>
      </c>
      <c r="D43" s="111">
        <f>D42/C42-1</f>
        <v>1.2937359038861862</v>
      </c>
      <c r="E43" s="111">
        <f t="shared" ref="E43:L43" si="17">E42/D42-1</f>
        <v>-5.853099332269629E-2</v>
      </c>
      <c r="F43" s="111">
        <f t="shared" si="17"/>
        <v>-0.48255638795717759</v>
      </c>
      <c r="G43" s="111">
        <f t="shared" si="17"/>
        <v>0.31307495245117867</v>
      </c>
      <c r="H43" s="111">
        <f t="shared" si="17"/>
        <v>0.74830210989174439</v>
      </c>
      <c r="I43" s="111">
        <f t="shared" si="17"/>
        <v>-0.60020543472058074</v>
      </c>
      <c r="J43" s="111">
        <f t="shared" si="17"/>
        <v>0.48086276168323283</v>
      </c>
      <c r="K43" s="111">
        <f t="shared" si="17"/>
        <v>0.68106525774667293</v>
      </c>
      <c r="L43" s="111">
        <f t="shared" si="17"/>
        <v>28.276279464854536</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0</v>
      </c>
    </row>
    <row r="46" spans="2:12" x14ac:dyDescent="0.3">
      <c r="B46" t="s">
        <v>116</v>
      </c>
      <c r="C46" s="112">
        <f>C45/C42</f>
        <v>5.1272499566273337</v>
      </c>
      <c r="D46" s="112">
        <f t="shared" ref="D46:L46" si="18">D45/D42</f>
        <v>2.1854281155823436</v>
      </c>
      <c r="E46" s="112">
        <f t="shared" si="18"/>
        <v>1.8798203418425745</v>
      </c>
      <c r="F46" s="112">
        <f t="shared" si="18"/>
        <v>5.560091022008284</v>
      </c>
      <c r="G46" s="112">
        <f t="shared" si="18"/>
        <v>4.8280456712116386</v>
      </c>
      <c r="H46" s="112">
        <f t="shared" si="18"/>
        <v>2.9552672236511959</v>
      </c>
      <c r="I46" s="112">
        <f t="shared" si="18"/>
        <v>10.12954112920276</v>
      </c>
      <c r="J46" s="112">
        <f t="shared" si="18"/>
        <v>6.3981507925174661</v>
      </c>
      <c r="K46" s="112">
        <f t="shared" si="18"/>
        <v>4.1309917179868334</v>
      </c>
      <c r="L46" s="112">
        <f t="shared" si="18"/>
        <v>0</v>
      </c>
    </row>
    <row r="48" spans="2:12" x14ac:dyDescent="0.3">
      <c r="B48" t="s">
        <v>117</v>
      </c>
      <c r="C48" s="36">
        <f>(1-C46)</f>
        <v>-4.1272499566273337</v>
      </c>
      <c r="D48" s="36">
        <f t="shared" ref="D48:L48" si="19">(1-D46)</f>
        <v>-1.1854281155823436</v>
      </c>
      <c r="E48" s="36">
        <f t="shared" si="19"/>
        <v>-0.87982034184257452</v>
      </c>
      <c r="F48" s="36">
        <f t="shared" si="19"/>
        <v>-4.560091022008284</v>
      </c>
      <c r="G48" s="36">
        <f t="shared" si="19"/>
        <v>-3.8280456712116386</v>
      </c>
      <c r="H48" s="36">
        <f t="shared" si="19"/>
        <v>-1.9552672236511959</v>
      </c>
      <c r="I48" s="36">
        <f t="shared" si="19"/>
        <v>-9.1295411292027602</v>
      </c>
      <c r="J48" s="36">
        <f t="shared" si="19"/>
        <v>-5.3981507925174661</v>
      </c>
      <c r="K48" s="36">
        <f t="shared" si="19"/>
        <v>-3.1309917179868334</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302</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19340</v>
      </c>
      <c r="D74" s="106">
        <f>'Cash Flow Statement'!F7</f>
        <v>19963</v>
      </c>
      <c r="E74" s="106">
        <f>'Cash Flow Statement'!G7</f>
        <v>22126</v>
      </c>
      <c r="F74" s="106">
        <f>'Cash Flow Statement'!H7</f>
        <v>23920</v>
      </c>
      <c r="G74" s="106">
        <f>'Cash Flow Statement'!I7</f>
        <v>28845</v>
      </c>
      <c r="H74" s="106">
        <f>'Cash Flow Statement'!J7</f>
        <v>32921</v>
      </c>
      <c r="I74" s="106">
        <f>'Cash Flow Statement'!K7</f>
        <v>37605</v>
      </c>
      <c r="J74" s="106">
        <f>'Cash Flow Statement'!L7</f>
        <v>39523</v>
      </c>
      <c r="K74" s="106">
        <f>'Cash Flow Statement'!M7</f>
        <v>41591</v>
      </c>
      <c r="L74" s="106">
        <f>'Cash Flow Statement'!N7</f>
        <v>45273</v>
      </c>
    </row>
    <row r="75" spans="2:13" x14ac:dyDescent="0.3">
      <c r="B75" t="str">
        <f>'Cash Flow Statement'!B8</f>
        <v>Receivables</v>
      </c>
      <c r="C75" s="106">
        <f>'Cash Flow Statement'!E8</f>
        <v>-1743</v>
      </c>
      <c r="D75" s="106">
        <f>'Cash Flow Statement'!F8</f>
        <v>-1523</v>
      </c>
      <c r="E75" s="106">
        <f>'Cash Flow Statement'!G8</f>
        <v>-2881</v>
      </c>
      <c r="F75" s="106">
        <f>'Cash Flow Statement'!H8</f>
        <v>-3861</v>
      </c>
      <c r="G75" s="106">
        <f>'Cash Flow Statement'!I8</f>
        <v>-1835</v>
      </c>
      <c r="H75" s="106">
        <f>'Cash Flow Statement'!J8</f>
        <v>-7937</v>
      </c>
      <c r="I75" s="106">
        <f>'Cash Flow Statement'!K8</f>
        <v>-7076</v>
      </c>
      <c r="J75" s="106">
        <f>'Cash Flow Statement'!L8</f>
        <v>-2667</v>
      </c>
      <c r="K75" s="106">
        <f>'Cash Flow Statement'!M8</f>
        <v>-1769</v>
      </c>
      <c r="L75" s="106">
        <f>'Cash Flow Statement'!N8</f>
        <v>-5177</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-19</v>
      </c>
      <c r="D77" s="106">
        <f>'Cash Flow Statement'!F10</f>
        <v>328</v>
      </c>
      <c r="E77" s="106">
        <f>'Cash Flow Statement'!G10</f>
        <v>916</v>
      </c>
      <c r="F77" s="106">
        <f>'Cash Flow Statement'!H10</f>
        <v>-373</v>
      </c>
      <c r="G77" s="106">
        <f>'Cash Flow Statement'!I10</f>
        <v>-245</v>
      </c>
      <c r="H77" s="106">
        <f>'Cash Flow Statement'!J10</f>
        <v>1489</v>
      </c>
      <c r="I77" s="106">
        <f>'Cash Flow Statement'!K10</f>
        <v>-279</v>
      </c>
      <c r="J77" s="106">
        <f>'Cash Flow Statement'!L10</f>
        <v>91</v>
      </c>
      <c r="K77" s="106">
        <f>'Cash Flow Statement'!M10</f>
        <v>176</v>
      </c>
      <c r="L77" s="106">
        <f>'Cash Flow Statement'!N10</f>
        <v>-26</v>
      </c>
    </row>
    <row r="78" spans="2:13" x14ac:dyDescent="0.3">
      <c r="B78" t="str">
        <f>'Cash Flow Statement'!B11</f>
        <v>Working capital changes</v>
      </c>
      <c r="C78" s="106">
        <f>'Cash Flow Statement'!E11</f>
        <v>-2156</v>
      </c>
      <c r="D78" s="106">
        <f>'Cash Flow Statement'!F11</f>
        <v>84</v>
      </c>
      <c r="E78" s="106">
        <f>'Cash Flow Statement'!G11</f>
        <v>-453</v>
      </c>
      <c r="F78" s="106">
        <f>'Cash Flow Statement'!H11</f>
        <v>-2367</v>
      </c>
      <c r="G78" s="106">
        <f>'Cash Flow Statement'!I11</f>
        <v>768</v>
      </c>
      <c r="H78" s="106">
        <f>'Cash Flow Statement'!J11</f>
        <v>-1424</v>
      </c>
      <c r="I78" s="106">
        <f>'Cash Flow Statement'!K11</f>
        <v>-6344</v>
      </c>
      <c r="J78" s="106">
        <f>'Cash Flow Statement'!L11</f>
        <v>-5082</v>
      </c>
      <c r="K78" s="106">
        <f>'Cash Flow Statement'!M11</f>
        <v>-295</v>
      </c>
      <c r="L78" s="106">
        <f>'Cash Flow Statement'!N11</f>
        <v>-2639</v>
      </c>
    </row>
    <row r="79" spans="2:13" x14ac:dyDescent="0.3">
      <c r="B79" t="str">
        <f>'Cash Flow Statement'!B12</f>
        <v>Direct taxes</v>
      </c>
      <c r="C79" s="106">
        <f>'Cash Flow Statement'!E12</f>
        <v>-5653</v>
      </c>
      <c r="D79" s="106">
        <f>'Cash Flow Statement'!F12</f>
        <v>-6829</v>
      </c>
      <c r="E79" s="106">
        <f>'Cash Flow Statement'!G12</f>
        <v>-6832</v>
      </c>
      <c r="F79" s="106">
        <f>'Cash Flow Statement'!H12</f>
        <v>-4550</v>
      </c>
      <c r="G79" s="106">
        <f>'Cash Flow Statement'!I12</f>
        <v>-6389</v>
      </c>
      <c r="H79" s="106">
        <f>'Cash Flow Statement'!J12</f>
        <v>-7612</v>
      </c>
      <c r="I79" s="106">
        <f>'Cash Flow Statement'!K12</f>
        <v>-8794</v>
      </c>
      <c r="J79" s="106">
        <f>'Cash Flow Statement'!L12</f>
        <v>-9231</v>
      </c>
      <c r="K79" s="106">
        <f>'Cash Flow Statement'!M12</f>
        <v>-5602</v>
      </c>
      <c r="L79" s="106">
        <f>'Cash Flow Statement'!N12</f>
        <v>-8648</v>
      </c>
    </row>
    <row r="80" spans="2:13" x14ac:dyDescent="0.3">
      <c r="B80" t="s">
        <v>152</v>
      </c>
      <c r="C80" s="106">
        <f t="shared" ref="C80:L80" si="25">SUM(C74:C79)</f>
        <v>9769</v>
      </c>
      <c r="D80" s="106">
        <f t="shared" si="25"/>
        <v>12023</v>
      </c>
      <c r="E80" s="106">
        <f t="shared" si="25"/>
        <v>12876</v>
      </c>
      <c r="F80" s="106">
        <f>SUM(F74:F79)</f>
        <v>12769</v>
      </c>
      <c r="G80" s="106">
        <f t="shared" si="25"/>
        <v>21144</v>
      </c>
      <c r="H80" s="106">
        <f t="shared" si="25"/>
        <v>17437</v>
      </c>
      <c r="I80" s="106">
        <f t="shared" si="25"/>
        <v>15112</v>
      </c>
      <c r="J80" s="106">
        <f t="shared" si="25"/>
        <v>22634</v>
      </c>
      <c r="K80" s="106">
        <f t="shared" si="25"/>
        <v>34101</v>
      </c>
      <c r="L80" s="106">
        <f t="shared" si="25"/>
        <v>28783</v>
      </c>
    </row>
    <row r="82" spans="2:12" x14ac:dyDescent="0.3">
      <c r="B82" t="s">
        <v>153</v>
      </c>
    </row>
    <row r="83" spans="2:12" x14ac:dyDescent="0.3">
      <c r="B83" t="str">
        <f>'Cash Flow Statement'!B14</f>
        <v>Fixed assets purchased</v>
      </c>
      <c r="C83" s="106">
        <f>'Cash Flow Statement'!E14</f>
        <v>-2760</v>
      </c>
      <c r="D83" s="106">
        <f>'Cash Flow Statement'!F14</f>
        <v>-1998</v>
      </c>
      <c r="E83" s="106">
        <f>'Cash Flow Statement'!G14</f>
        <v>-2445</v>
      </c>
      <c r="F83" s="106">
        <f>'Cash Flow Statement'!H14</f>
        <v>-3307</v>
      </c>
      <c r="G83" s="106">
        <f>'Cash Flow Statement'!I14</f>
        <v>-2107</v>
      </c>
      <c r="H83" s="106">
        <f>'Cash Flow Statement'!J14</f>
        <v>-2161</v>
      </c>
      <c r="I83" s="106">
        <f>'Cash Flow Statement'!K14</f>
        <v>-2579</v>
      </c>
      <c r="J83" s="106">
        <f>'Cash Flow Statement'!L14</f>
        <v>-2201</v>
      </c>
      <c r="K83" s="106">
        <f>'Cash Flow Statement'!M14</f>
        <v>-2237</v>
      </c>
      <c r="L83" s="106">
        <f>'Cash Flow Statement'!N14</f>
        <v>-2727</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-66410</v>
      </c>
      <c r="D85" s="106">
        <f>'Cash Flow Statement'!F16</f>
        <v>-69159</v>
      </c>
      <c r="E85" s="106">
        <f>'Cash Flow Statement'!G16</f>
        <v>-79410</v>
      </c>
      <c r="F85" s="106">
        <f>'Cash Flow Statement'!H16</f>
        <v>-37482</v>
      </c>
      <c r="G85" s="106">
        <f>'Cash Flow Statement'!I16</f>
        <v>-46738</v>
      </c>
      <c r="H85" s="106">
        <f>'Cash Flow Statement'!J16</f>
        <v>-59951</v>
      </c>
      <c r="I85" s="106">
        <f>'Cash Flow Statement'!K16</f>
        <v>-75800</v>
      </c>
      <c r="J85" s="106">
        <f>'Cash Flow Statement'!L16</f>
        <v>-78092</v>
      </c>
      <c r="K85" s="106">
        <f>'Cash Flow Statement'!M16</f>
        <v>-82742</v>
      </c>
      <c r="L85" s="106">
        <f>'Cash Flow Statement'!N16</f>
        <v>-82617</v>
      </c>
    </row>
    <row r="86" spans="2:12" x14ac:dyDescent="0.3">
      <c r="B86" t="str">
        <f>'Cash Flow Statement'!B17</f>
        <v>Investments sold</v>
      </c>
      <c r="C86" s="106">
        <f>'Cash Flow Statement'!E17</f>
        <v>52048</v>
      </c>
      <c r="D86" s="106">
        <f>'Cash Flow Statement'!F17</f>
        <v>74003</v>
      </c>
      <c r="E86" s="106">
        <f>'Cash Flow Statement'!G17</f>
        <v>78098</v>
      </c>
      <c r="F86" s="106">
        <f>'Cash Flow Statement'!H17</f>
        <v>38861</v>
      </c>
      <c r="G86" s="106">
        <f>'Cash Flow Statement'!I17</f>
        <v>40381</v>
      </c>
      <c r="H86" s="106">
        <f>'Cash Flow Statement'!J17</f>
        <v>57356</v>
      </c>
      <c r="I86" s="106">
        <f>'Cash Flow Statement'!K17</f>
        <v>76722</v>
      </c>
      <c r="J86" s="106">
        <f>'Cash Flow Statement'!L17</f>
        <v>72930</v>
      </c>
      <c r="K86" s="106">
        <f>'Cash Flow Statement'!M17</f>
        <v>84877</v>
      </c>
      <c r="L86" s="106">
        <f>'Cash Flow Statement'!N17</f>
        <v>89699</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2753</v>
      </c>
      <c r="D88" s="106">
        <f>'Cash Flow Statement'!F19</f>
        <v>1768</v>
      </c>
      <c r="E88" s="106">
        <f>'Cash Flow Statement'!G19</f>
        <v>1557</v>
      </c>
      <c r="F88" s="106">
        <f>'Cash Flow Statement'!H19</f>
        <v>1929</v>
      </c>
      <c r="G88" s="106">
        <f>'Cash Flow Statement'!I19</f>
        <v>1418</v>
      </c>
      <c r="H88" s="106">
        <f>'Cash Flow Statement'!J19</f>
        <v>1898</v>
      </c>
      <c r="I88" s="106">
        <f>'Cash Flow Statement'!K19</f>
        <v>1525</v>
      </c>
      <c r="J88" s="106">
        <f>'Cash Flow Statement'!L19</f>
        <v>1768</v>
      </c>
      <c r="K88" s="106">
        <f>'Cash Flow Statement'!M19</f>
        <v>2040</v>
      </c>
      <c r="L88" s="106">
        <f>'Cash Flow Statement'!N19</f>
        <v>2713</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-131</v>
      </c>
      <c r="D92" s="106">
        <f>'Cash Flow Statement'!F23</f>
        <v>49</v>
      </c>
      <c r="E92" s="106">
        <f>'Cash Flow Statement'!G23</f>
        <v>1592</v>
      </c>
      <c r="F92" s="106">
        <f>'Cash Flow Statement'!H23</f>
        <v>-224</v>
      </c>
      <c r="G92" s="106">
        <f>'Cash Flow Statement'!I23</f>
        <v>-327</v>
      </c>
      <c r="H92" s="106">
        <f>'Cash Flow Statement'!J23</f>
        <v>-3627</v>
      </c>
      <c r="I92" s="106">
        <f>'Cash Flow Statement'!K23</f>
        <v>-939</v>
      </c>
      <c r="J92" s="106">
        <f>'Cash Flow Statement'!L23</f>
        <v>502</v>
      </c>
      <c r="K92" s="106">
        <f>'Cash Flow Statement'!M23</f>
        <v>-3802</v>
      </c>
      <c r="L92" s="106">
        <f>'Cash Flow Statement'!N23</f>
        <v>-3522</v>
      </c>
    </row>
    <row r="93" spans="2:12" x14ac:dyDescent="0.3">
      <c r="B93" t="s">
        <v>154</v>
      </c>
      <c r="C93" s="106">
        <f>SUM(C83:C92)</f>
        <v>-14500</v>
      </c>
      <c r="D93" s="106">
        <f t="shared" ref="D93:K93" si="26">SUM(D83:D92)</f>
        <v>4663</v>
      </c>
      <c r="E93" s="106">
        <f t="shared" si="26"/>
        <v>-608</v>
      </c>
      <c r="F93" s="106">
        <f t="shared" si="26"/>
        <v>-223</v>
      </c>
      <c r="G93" s="106">
        <f t="shared" si="26"/>
        <v>-7373</v>
      </c>
      <c r="H93" s="106">
        <f t="shared" si="26"/>
        <v>-6485</v>
      </c>
      <c r="I93" s="106">
        <f t="shared" si="26"/>
        <v>-1071</v>
      </c>
      <c r="J93" s="106">
        <f t="shared" si="26"/>
        <v>-5093</v>
      </c>
      <c r="K93" s="106">
        <f t="shared" si="26"/>
        <v>-1864</v>
      </c>
      <c r="L93" s="106">
        <f>SUM(L83:L92)</f>
        <v>3546</v>
      </c>
    </row>
    <row r="95" spans="2:12" x14ac:dyDescent="0.3">
      <c r="B95" t="s">
        <v>155</v>
      </c>
    </row>
    <row r="96" spans="2:12" x14ac:dyDescent="0.3">
      <c r="B96" t="str">
        <f>'Cash Flow Statement'!B25</f>
        <v>Proceeds from shares</v>
      </c>
      <c r="C96" s="106">
        <f>'Cash Flow Statement'!E25</f>
        <v>0</v>
      </c>
      <c r="D96" s="106">
        <f>'Cash Flow Statement'!F25</f>
        <v>5</v>
      </c>
      <c r="E96" s="106">
        <f>'Cash Flow Statement'!G25</f>
        <v>6</v>
      </c>
      <c r="F96" s="106">
        <f>'Cash Flow Statement'!H25</f>
        <v>6</v>
      </c>
      <c r="G96" s="106">
        <f>'Cash Flow Statement'!I25</f>
        <v>15</v>
      </c>
      <c r="H96" s="106">
        <f>'Cash Flow Statement'!J25</f>
        <v>21</v>
      </c>
      <c r="I96" s="106">
        <f>'Cash Flow Statement'!K25</f>
        <v>35</v>
      </c>
      <c r="J96" s="106">
        <f>'Cash Flow Statement'!L25</f>
        <v>5</v>
      </c>
      <c r="K96" s="106">
        <f>'Cash Flow Statement'!M25</f>
        <v>6</v>
      </c>
      <c r="L96" s="106">
        <f>'Cash Flow Statement'!N25</f>
        <v>2</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-985</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-6939</v>
      </c>
      <c r="D100" s="106">
        <f>'Cash Flow Statement'!F29</f>
        <v>-7464</v>
      </c>
      <c r="E100" s="106">
        <f>'Cash Flow Statement'!G29</f>
        <v>-13705</v>
      </c>
      <c r="F100" s="106">
        <f>'Cash Flow Statement'!H29</f>
        <v>-9548</v>
      </c>
      <c r="G100" s="106">
        <f>'Cash Flow Statement'!I29</f>
        <v>-9137</v>
      </c>
      <c r="H100" s="106">
        <f>'Cash Flow Statement'!J29</f>
        <v>-12731</v>
      </c>
      <c r="I100" s="106">
        <f>'Cash Flow Statement'!K29</f>
        <v>-13653</v>
      </c>
      <c r="J100" s="106">
        <f>'Cash Flow Statement'!L29</f>
        <v>-14731</v>
      </c>
      <c r="K100" s="106">
        <f>'Cash Flow Statement'!M29</f>
        <v>-20289</v>
      </c>
      <c r="L100" s="106">
        <f>'Cash Flow Statement'!N29</f>
        <v>-18656</v>
      </c>
    </row>
    <row r="101" spans="2:12" x14ac:dyDescent="0.3">
      <c r="B101" t="str">
        <f>'Cash Flow Statement'!B30</f>
        <v>Financial liabilities</v>
      </c>
      <c r="C101" s="106">
        <f>'Cash Flow Statement'!E30</f>
        <v>0</v>
      </c>
      <c r="D101" s="106">
        <f>'Cash Flow Statement'!F30</f>
        <v>0</v>
      </c>
      <c r="E101" s="106">
        <f>'Cash Flow Statement'!G30</f>
        <v>0</v>
      </c>
      <c r="F101" s="106">
        <f>'Cash Flow Statement'!H30</f>
        <v>-571</v>
      </c>
      <c r="G101" s="106">
        <f>'Cash Flow Statement'!I30</f>
        <v>-698</v>
      </c>
      <c r="H101" s="106">
        <f>'Cash Flow Statement'!J30</f>
        <v>-915</v>
      </c>
      <c r="I101" s="106">
        <f>'Cash Flow Statement'!K30</f>
        <v>-1231</v>
      </c>
      <c r="J101" s="106">
        <f>'Cash Flow Statement'!L30</f>
        <v>-2024</v>
      </c>
      <c r="K101" s="106">
        <f>'Cash Flow Statement'!M30</f>
        <v>-2355</v>
      </c>
      <c r="L101" s="106">
        <f>'Cash Flow Statement'!N30</f>
        <v>-2824</v>
      </c>
    </row>
    <row r="102" spans="2:12" x14ac:dyDescent="0.3">
      <c r="B102" t="str">
        <f>'Cash Flow Statement'!B31</f>
        <v>Other financing items</v>
      </c>
      <c r="C102" s="106">
        <f>'Cash Flow Statement'!E31</f>
        <v>0</v>
      </c>
      <c r="D102" s="106">
        <f>'Cash Flow Statement'!F31</f>
        <v>-13046</v>
      </c>
      <c r="E102" s="106">
        <f>'Cash Flow Statement'!G31</f>
        <v>-813</v>
      </c>
      <c r="F102" s="106">
        <f>'Cash Flow Statement'!H31</f>
        <v>-7478</v>
      </c>
      <c r="G102" s="106">
        <f>'Cash Flow Statement'!I31</f>
        <v>34</v>
      </c>
      <c r="H102" s="106">
        <f>'Cash Flow Statement'!J31</f>
        <v>-11017</v>
      </c>
      <c r="I102" s="106">
        <f>'Cash Flow Statement'!K31</f>
        <v>-11846</v>
      </c>
      <c r="J102" s="106">
        <f>'Cash Flow Statement'!L31</f>
        <v>-754</v>
      </c>
      <c r="K102" s="106">
        <f>'Cash Flow Statement'!M31</f>
        <v>-538</v>
      </c>
      <c r="L102" s="106">
        <f>'Cash Flow Statement'!N31</f>
        <v>-18308</v>
      </c>
    </row>
    <row r="103" spans="2:12" x14ac:dyDescent="0.3">
      <c r="B103" t="s">
        <v>156</v>
      </c>
      <c r="C103" s="106">
        <f>SUM(C96:C102)</f>
        <v>-6939</v>
      </c>
      <c r="D103" s="106">
        <f t="shared" ref="D103:L103" si="27">SUM(D96:D102)</f>
        <v>-20505</v>
      </c>
      <c r="E103" s="106">
        <f t="shared" si="27"/>
        <v>-14512</v>
      </c>
      <c r="F103" s="106">
        <f t="shared" si="27"/>
        <v>-17591</v>
      </c>
      <c r="G103" s="106">
        <f t="shared" si="27"/>
        <v>-9786</v>
      </c>
      <c r="H103" s="106">
        <f t="shared" si="27"/>
        <v>-24642</v>
      </c>
      <c r="I103" s="106">
        <f t="shared" si="27"/>
        <v>-26695</v>
      </c>
      <c r="J103" s="106">
        <f t="shared" si="27"/>
        <v>-17504</v>
      </c>
      <c r="K103" s="106">
        <f t="shared" si="27"/>
        <v>-24161</v>
      </c>
      <c r="L103" s="106">
        <f t="shared" si="27"/>
        <v>-39786</v>
      </c>
    </row>
    <row r="105" spans="2:12" x14ac:dyDescent="0.3">
      <c r="B105" t="s">
        <v>35</v>
      </c>
      <c r="C105" s="106">
        <f>C80+C93+C103</f>
        <v>-11670</v>
      </c>
      <c r="D105" s="106">
        <f t="shared" ref="D105:L105" si="28">D80+D93+D103</f>
        <v>-3819</v>
      </c>
      <c r="E105" s="106">
        <f t="shared" si="28"/>
        <v>-2244</v>
      </c>
      <c r="F105" s="106">
        <f t="shared" si="28"/>
        <v>-5045</v>
      </c>
      <c r="G105" s="106">
        <f t="shared" si="28"/>
        <v>3985</v>
      </c>
      <c r="H105" s="106">
        <f t="shared" si="28"/>
        <v>-13690</v>
      </c>
      <c r="I105" s="106">
        <f t="shared" si="28"/>
        <v>-12654</v>
      </c>
      <c r="J105" s="106">
        <f t="shared" si="28"/>
        <v>37</v>
      </c>
      <c r="K105" s="106">
        <f t="shared" si="28"/>
        <v>8076</v>
      </c>
      <c r="L105" s="106">
        <f t="shared" si="28"/>
        <v>-7457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0.13784893158079981</v>
      </c>
      <c r="E6" s="36">
        <f>IFERROR(('Historical FS'!E19/'Historical FS'!D19-1),0)</f>
        <v>6.4889719694678938E-2</v>
      </c>
      <c r="F6" s="36">
        <f>IFERROR(('Historical FS'!F19/'Historical FS'!E19-1),0)</f>
        <v>0.10662951173574498</v>
      </c>
      <c r="G6" s="36">
        <f>IFERROR(('Historical FS'!G19/'Historical FS'!F19-1),0)</f>
        <v>0.13502704733657067</v>
      </c>
      <c r="H6" s="36">
        <f>IFERROR(('Historical FS'!H19/'Historical FS'!G19-1),0)</f>
        <v>0.16634002241568835</v>
      </c>
      <c r="I6" s="36">
        <f>IFERROR(('Historical FS'!I19/'Historical FS'!H19-1),0)</f>
        <v>1.0929122232917532E-2</v>
      </c>
      <c r="J6" s="36">
        <f>IFERROR(('Historical FS'!J19/'Historical FS'!I19-1),0)</f>
        <v>6.0649443612937004E-2</v>
      </c>
      <c r="K6" s="36">
        <f>IFERROR(('Historical FS'!K19/'Historical FS'!J19-1),0)</f>
        <v>9.60795140806181E-2</v>
      </c>
      <c r="L6" s="36">
        <f>IFERROR(('Historical FS'!L19/'Historical FS'!K19-1),0)</f>
        <v>2.6900163927871739</v>
      </c>
      <c r="N6" s="46">
        <f>IFERROR(AVERAGE(D6:L6),0)</f>
        <v>0.38537885616412548</v>
      </c>
      <c r="O6" s="46">
        <f>IFERROR(MEDIAN(D6:L6),0)</f>
        <v>0.10662951173574498</v>
      </c>
    </row>
    <row r="7" spans="2:15" x14ac:dyDescent="0.3">
      <c r="B7" t="s">
        <v>165</v>
      </c>
      <c r="C7" s="36"/>
      <c r="D7" s="36">
        <f>IFERROR(('Historical FS'!D25/'Historical FS'!C25-1),0)</f>
        <v>0.14276935293074922</v>
      </c>
      <c r="E7" s="36">
        <f>IFERROR(('Historical FS'!E25/'Historical FS'!D25-1),0)</f>
        <v>3.5152690256907482E-2</v>
      </c>
      <c r="F7" s="36">
        <f>IFERROR(('Historical FS'!F25/'Historical FS'!E25-1),0)</f>
        <v>0.10412490462581991</v>
      </c>
      <c r="G7" s="36">
        <f>IFERROR(('Historical FS'!G25/'Historical FS'!F25-1),0)</f>
        <v>0.14306378193632119</v>
      </c>
      <c r="H7" s="36">
        <f>IFERROR(('Historical FS'!H25/'Historical FS'!G25-1),0)</f>
        <v>0.16116675702607575</v>
      </c>
      <c r="I7" s="36">
        <f>IFERROR(('Historical FS'!I25/'Historical FS'!H25-1),0)</f>
        <v>3.1744433573144271E-4</v>
      </c>
      <c r="J7" s="36">
        <f>IFERROR(('Historical FS'!J25/'Historical FS'!I25-1),0)</f>
        <v>6.455347643782483E-2</v>
      </c>
      <c r="K7" s="36">
        <f>IFERROR(('Historical FS'!K25/'Historical FS'!J25-1),0)</f>
        <v>0.1051997295787892</v>
      </c>
      <c r="L7" s="36">
        <f>IFERROR(('Historical FS'!L25/'Historical FS'!K25-1),0)</f>
        <v>2.9799423758865249</v>
      </c>
      <c r="N7" s="46">
        <f>IFERROR(AVERAGE(D7:L7),0)</f>
        <v>0.41514339033497155</v>
      </c>
      <c r="O7" s="46">
        <f>IFERROR(MEDIAN(D7:L7),0)</f>
        <v>0.1051997295787892</v>
      </c>
    </row>
    <row r="8" spans="2:15" x14ac:dyDescent="0.3">
      <c r="B8" t="s">
        <v>189</v>
      </c>
      <c r="C8" s="36"/>
      <c r="D8" s="36">
        <f>IFERROR(('Historical FS'!D37/'Historical FS'!C37-1),0)</f>
        <v>1.2937359038861862</v>
      </c>
      <c r="E8" s="36">
        <f>IFERROR(('Historical FS'!E37/'Historical FS'!D37-1),0)</f>
        <v>-5.853099332269629E-2</v>
      </c>
      <c r="F8" s="36">
        <f>IFERROR(('Historical FS'!F37/'Historical FS'!E37-1),0)</f>
        <v>-0.48255638795717759</v>
      </c>
      <c r="G8" s="36">
        <f>IFERROR(('Historical FS'!G37/'Historical FS'!F37-1),0)</f>
        <v>0.31307495245117889</v>
      </c>
      <c r="H8" s="36">
        <f>IFERROR(('Historical FS'!H37/'Historical FS'!G37-1),0)</f>
        <v>0.74830210989174439</v>
      </c>
      <c r="I8" s="36">
        <f>IFERROR(('Historical FS'!I37/'Historical FS'!H37-1),0)</f>
        <v>-0.60020543472058074</v>
      </c>
      <c r="J8" s="36">
        <f>IFERROR(('Historical FS'!J37/'Historical FS'!I37-1),0)</f>
        <v>0.48086276168323283</v>
      </c>
      <c r="K8" s="36">
        <f>IFERROR(('Historical FS'!K37/'Historical FS'!J37-1),0)</f>
        <v>0.68106525774667293</v>
      </c>
      <c r="L8" s="36">
        <f>IFERROR(('Historical FS'!L37/'Historical FS'!K37-1),0)</f>
        <v>28.276279464854532</v>
      </c>
      <c r="N8" s="46">
        <f>IFERROR(AVERAGE(D8:L8),0)</f>
        <v>3.4057808482792327</v>
      </c>
      <c r="O8" s="46">
        <f>IFERROR(MEDIAN(D8:L8),0)</f>
        <v>0.48086276168323283</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-1</v>
      </c>
      <c r="N9" s="46">
        <f>IFERROR(AVERAGE(D9:L9),0)</f>
        <v>-8.9548668612988089E-3</v>
      </c>
      <c r="O9" s="46">
        <f>IFERROR(MEDIAN(D9:L9),0)</f>
        <v>7.0143133320169415E-2</v>
      </c>
    </row>
    <row r="11" spans="2:15" x14ac:dyDescent="0.3">
      <c r="B11" t="s">
        <v>157</v>
      </c>
      <c r="C11" s="36">
        <f>IFERROR('Historical FS'!C14,0)</f>
        <v>0.34</v>
      </c>
      <c r="D11" s="36">
        <f>IFERROR('Historical FS'!D14,0)</f>
        <v>0.33</v>
      </c>
      <c r="E11" s="36">
        <f>IFERROR('Historical FS'!E14,0)</f>
        <v>0.32</v>
      </c>
      <c r="F11" s="36">
        <f>IFERROR('Historical FS'!F14,0)</f>
        <v>0.32000000000000006</v>
      </c>
      <c r="G11" s="36">
        <f>IFERROR('Historical FS'!G14,0)</f>
        <v>0.29999999999999988</v>
      </c>
      <c r="H11" s="36">
        <f>IFERROR('Historical FS'!H14,0)</f>
        <v>0.29000000000000004</v>
      </c>
      <c r="I11" s="36">
        <f>IFERROR('Historical FS'!I14,0)</f>
        <v>0.28000000000000003</v>
      </c>
      <c r="J11" s="36">
        <f>IFERROR('Historical FS'!J14,0)</f>
        <v>0.28000000000000008</v>
      </c>
      <c r="K11" s="36">
        <f>IFERROR('Historical FS'!K14,0)</f>
        <v>0.28000000000000003</v>
      </c>
      <c r="L11" s="36">
        <f>IFERROR('Historical FS'!L14,0)</f>
        <v>1</v>
      </c>
      <c r="N11" s="46">
        <f>IFERROR(AVERAGE(C11:L11),0)</f>
        <v>0.374</v>
      </c>
      <c r="O11" s="46">
        <f>IFERROR(MEDIAN(C11:L11),0)</f>
        <v>0.30999999999999994</v>
      </c>
    </row>
    <row r="12" spans="2:15" x14ac:dyDescent="0.3">
      <c r="B12" t="s">
        <v>161</v>
      </c>
      <c r="C12" s="36">
        <f>IFERROR('Historical FS'!C20,0)</f>
        <v>0.34</v>
      </c>
      <c r="D12" s="36">
        <f>IFERROR('Historical FS'!D20,0)</f>
        <v>0.33</v>
      </c>
      <c r="E12" s="36">
        <f>IFERROR('Historical FS'!E20,0)</f>
        <v>0.32</v>
      </c>
      <c r="F12" s="36">
        <f>IFERROR('Historical FS'!F20,0)</f>
        <v>0.32000000000000006</v>
      </c>
      <c r="G12" s="36">
        <f>IFERROR('Historical FS'!G20,0)</f>
        <v>0.29999999999999988</v>
      </c>
      <c r="H12" s="36">
        <f>IFERROR('Historical FS'!H20,0)</f>
        <v>0.29000000000000004</v>
      </c>
      <c r="I12" s="36">
        <f>IFERROR('Historical FS'!I20,0)</f>
        <v>0.28000000000000003</v>
      </c>
      <c r="J12" s="36">
        <f>IFERROR('Historical FS'!J20,0)</f>
        <v>0.28000000000000008</v>
      </c>
      <c r="K12" s="36">
        <f>IFERROR('Historical FS'!K20,0)</f>
        <v>0.28000000000000003</v>
      </c>
      <c r="L12" s="36">
        <f>IFERROR('Historical FS'!L20,0)</f>
        <v>1</v>
      </c>
      <c r="N12" s="46">
        <f>IFERROR(AVERAGE(C12:L12),0)</f>
        <v>0.374</v>
      </c>
      <c r="O12" s="46">
        <f>IFERROR(MEDIAN(C12:L12),0)</f>
        <v>0.30999999999999994</v>
      </c>
    </row>
    <row r="13" spans="2:15" x14ac:dyDescent="0.3">
      <c r="B13" t="s">
        <v>162</v>
      </c>
      <c r="C13" s="36">
        <f>IFERROR('Historical FS'!C26,0)</f>
        <v>0.31358271177788494</v>
      </c>
      <c r="D13" s="36">
        <f>IFERROR('Historical FS'!D26,0)</f>
        <v>0.30567583912912005</v>
      </c>
      <c r="E13" s="36">
        <f>IFERROR('Historical FS'!E26,0)</f>
        <v>0.28813560815499334</v>
      </c>
      <c r="F13" s="36">
        <f>IFERROR('Historical FS'!F26,0)</f>
        <v>0.28748347798391599</v>
      </c>
      <c r="G13" s="36">
        <f>IFERROR('Historical FS'!G26,0)</f>
        <v>0.2714241086475776</v>
      </c>
      <c r="H13" s="36">
        <f>IFERROR('Historical FS'!H26,0)</f>
        <v>0.26121287482881034</v>
      </c>
      <c r="I13" s="36">
        <f>IFERROR('Historical FS'!I26,0)</f>
        <v>0.24955814407496588</v>
      </c>
      <c r="J13" s="36">
        <f>IFERROR('Historical FS'!J26,0)</f>
        <v>0.25047671636296714</v>
      </c>
      <c r="K13" s="36">
        <f>IFERROR('Historical FS'!K26,0)</f>
        <v>0.25256087321578508</v>
      </c>
      <c r="L13" s="36">
        <f>IFERROR('Historical FS'!L26,0)</f>
        <v>0.97287384468691418</v>
      </c>
      <c r="N13" s="46">
        <f>IFERROR(AVERAGE(C13:L13),0)</f>
        <v>0.34529841988629345</v>
      </c>
      <c r="O13" s="46">
        <f>IFERROR(MEDIAN(C13:L13),0)</f>
        <v>0.27945379331574682</v>
      </c>
    </row>
    <row r="14" spans="2:15" x14ac:dyDescent="0.3">
      <c r="B14" t="s">
        <v>167</v>
      </c>
      <c r="C14" s="36">
        <f>IFERROR('Historical FS'!C32,0)</f>
        <v>0.31358271177788494</v>
      </c>
      <c r="D14" s="36">
        <f>IFERROR('Historical FS'!D32,0)</f>
        <v>0.30567583912912005</v>
      </c>
      <c r="E14" s="36">
        <f>IFERROR('Historical FS'!E32,0)</f>
        <v>0.28626317586544925</v>
      </c>
      <c r="F14" s="36">
        <f>IFERROR('Historical FS'!F32,0)</f>
        <v>0.28554263874512309</v>
      </c>
      <c r="G14" s="36">
        <f>IFERROR('Historical FS'!G32,0)</f>
        <v>0.26977992617620694</v>
      </c>
      <c r="H14" s="36">
        <f>IFERROR('Historical FS'!H32,0)</f>
        <v>0.25927783493564632</v>
      </c>
      <c r="I14" s="36">
        <f>IFERROR('Historical FS'!I32,0)</f>
        <v>0.24649964209019332</v>
      </c>
      <c r="J14" s="36">
        <f>IFERROR('Historical FS'!J32,0)</f>
        <v>0.24792441254064673</v>
      </c>
      <c r="K14" s="36">
        <f>IFERROR('Historical FS'!K32,0)</f>
        <v>0.25023229778897288</v>
      </c>
      <c r="L14" s="36">
        <f>IFERROR('Historical FS'!L32,0)</f>
        <v>0.97054425675309619</v>
      </c>
      <c r="N14" s="46">
        <f>IFERROR(AVERAGE(C14:L14),0)</f>
        <v>0.34353227358023403</v>
      </c>
      <c r="O14" s="46">
        <f>IFERROR(MEDIAN(C14:L14),0)</f>
        <v>0.27766128246066502</v>
      </c>
    </row>
    <row r="15" spans="2:15" x14ac:dyDescent="0.3">
      <c r="B15" t="s">
        <v>163</v>
      </c>
      <c r="C15" s="36">
        <f>IFERROR('Historical FS'!C38,0)</f>
        <v>2.6154675136836777E-2</v>
      </c>
      <c r="D15" s="36">
        <f>IFERROR('Historical FS'!D38,0)</f>
        <v>5.1173268823707291E-2</v>
      </c>
      <c r="E15" s="36">
        <f>IFERROR('Historical FS'!E38,0)</f>
        <v>4.3871308830170423E-2</v>
      </c>
      <c r="F15" s="36">
        <f>IFERROR('Historical FS'!F38,0)</f>
        <v>2.0513575921649894E-2</v>
      </c>
      <c r="G15" s="36">
        <f>IFERROR('Historical FS'!G38,0)</f>
        <v>2.2248255111352162E-2</v>
      </c>
      <c r="H15" s="36">
        <f>IFERROR('Historical FS'!H38,0)</f>
        <v>3.2237696484904696E-2</v>
      </c>
      <c r="I15" s="36">
        <f>IFERROR('Historical FS'!I38,0)</f>
        <v>1.2309494371054896E-2</v>
      </c>
      <c r="J15" s="36">
        <f>IFERROR('Historical FS'!J38,0)</f>
        <v>1.7186330449720913E-2</v>
      </c>
      <c r="K15" s="36">
        <f>IFERROR('Historical FS'!K38,0)</f>
        <v>2.6358802127064093E-2</v>
      </c>
      <c r="L15" s="36">
        <f>IFERROR('Historical FS'!L38,0)</f>
        <v>0.74688756216749197</v>
      </c>
      <c r="N15" s="46">
        <f>IFERROR(AVERAGE(C15:L15),0)</f>
        <v>9.9894096942395302E-2</v>
      </c>
      <c r="O15" s="46">
        <f>IFERROR(MEDIAN(C15:L15),0)</f>
        <v>2.6256738631950435E-2</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8611</v>
      </c>
      <c r="C19" s="36">
        <f t="shared" ref="C19:L19" si="0">C13</f>
        <v>0.31358271177788494</v>
      </c>
      <c r="D19" s="36">
        <f t="shared" si="0"/>
        <v>0.30567583912912005</v>
      </c>
      <c r="E19" s="36">
        <f t="shared" si="0"/>
        <v>0.28813560815499334</v>
      </c>
      <c r="F19" s="36">
        <f t="shared" si="0"/>
        <v>0.28748347798391599</v>
      </c>
      <c r="G19" s="36">
        <f t="shared" si="0"/>
        <v>0.2714241086475776</v>
      </c>
      <c r="H19" s="36">
        <f t="shared" si="0"/>
        <v>0.26121287482881034</v>
      </c>
      <c r="I19" s="36">
        <f t="shared" si="0"/>
        <v>0.24955814407496588</v>
      </c>
      <c r="J19" s="36">
        <f t="shared" si="0"/>
        <v>0.25047671636296714</v>
      </c>
      <c r="K19" s="36">
        <f t="shared" si="0"/>
        <v>0.25256087321578508</v>
      </c>
      <c r="L19" s="36">
        <f t="shared" si="0"/>
        <v>0.97287384468691418</v>
      </c>
      <c r="N19" s="46">
        <f>IFERROR(AVERAGE(C19:L19),0)</f>
        <v>0.34529841988629345</v>
      </c>
      <c r="O19" s="46">
        <f>IFERROR(MEDIAN(C19:L19),0)</f>
        <v>0.27945379331574682</v>
      </c>
    </row>
    <row r="21" spans="2:15" x14ac:dyDescent="0.3">
      <c r="B21" t="s">
        <v>169</v>
      </c>
      <c r="C21" s="46">
        <f>IFERROR('Historical FS'!C25/SUM('Historical FS'!C51:'Historical FS'!C53),0)</f>
        <v>0.32058334058160104</v>
      </c>
      <c r="D21" s="46">
        <f>IFERROR('Historical FS'!D25/SUM('Historical FS'!D51:'Historical FS'!D53),0)</f>
        <v>0.3892572740015095</v>
      </c>
      <c r="E21" s="46">
        <f>IFERROR('Historical FS'!E25/SUM('Historical FS'!E51:'Historical FS'!E53),0)</f>
        <v>0.40278561310586936</v>
      </c>
      <c r="F21" s="46">
        <f>IFERROR('Historical FS'!F25/SUM('Historical FS'!F51:'Historical FS'!F53),0)</f>
        <v>0.41214046202360072</v>
      </c>
      <c r="G21" s="46">
        <f>IFERROR('Historical FS'!G25/SUM('Historical FS'!G51:'Historical FS'!G53),0)</f>
        <v>0.40423502620108709</v>
      </c>
      <c r="H21" s="46">
        <f>IFERROR('Historical FS'!H25/SUM('Historical FS'!H51:'Historical FS'!H53),0)</f>
        <v>0.47433225279619923</v>
      </c>
      <c r="I21" s="46">
        <f>IFERROR('Historical FS'!I25/SUM('Historical FS'!I51:'Historical FS'!I53),0)</f>
        <v>0.45814636943588283</v>
      </c>
      <c r="J21" s="46">
        <f>IFERROR('Historical FS'!J25/SUM('Historical FS'!J51:'Historical FS'!J53),0)</f>
        <v>0.42316869655351141</v>
      </c>
      <c r="K21" s="46">
        <f>IFERROR('Historical FS'!K25/SUM('Historical FS'!K51:'Historical FS'!K53),0)</f>
        <v>0.43365851314335141</v>
      </c>
      <c r="L21" s="46">
        <f>IFERROR('Historical FS'!L25/SUM('Historical FS'!L51:'Historical FS'!L53),0)</f>
        <v>1.7600560630415181</v>
      </c>
      <c r="N21" s="46">
        <f>IFERROR(AVERAGE(C21:L21),0)</f>
        <v>0.54783636108841294</v>
      </c>
      <c r="O21" s="46">
        <f>IFERROR(MEDIAN(C21:L21),0)</f>
        <v>0.41765457928855609</v>
      </c>
    </row>
    <row r="22" spans="2:15" x14ac:dyDescent="0.3">
      <c r="B22" t="s">
        <v>170</v>
      </c>
      <c r="C22" s="46">
        <f>IFERROR('Historical FS'!C48,0)</f>
        <v>-4.1272499566273337</v>
      </c>
      <c r="D22" s="46">
        <f>IFERROR('Historical FS'!D48,0)</f>
        <v>-1.1854281155823436</v>
      </c>
      <c r="E22" s="46">
        <f>IFERROR('Historical FS'!E48,0)</f>
        <v>-0.87982034184257452</v>
      </c>
      <c r="F22" s="46">
        <f>IFERROR('Historical FS'!F48,0)</f>
        <v>-4.560091022008284</v>
      </c>
      <c r="G22" s="46">
        <f>IFERROR('Historical FS'!G48,0)</f>
        <v>-3.8280456712116386</v>
      </c>
      <c r="H22" s="46">
        <f>IFERROR('Historical FS'!H48,0)</f>
        <v>-1.9552672236511959</v>
      </c>
      <c r="I22" s="46">
        <f>IFERROR('Historical FS'!I48,0)</f>
        <v>-9.1295411292027602</v>
      </c>
      <c r="J22" s="46">
        <f>IFERROR('Historical FS'!J48,0)</f>
        <v>-5.3981507925174661</v>
      </c>
      <c r="K22" s="46">
        <f>IFERROR('Historical FS'!K48,0)</f>
        <v>-3.1309917179868334</v>
      </c>
      <c r="L22" s="46">
        <f>IFERROR('Historical FS'!L48,0)</f>
        <v>1</v>
      </c>
      <c r="N22" s="46">
        <f>IFERROR(AVERAGE(C22:L22),0)</f>
        <v>-3.3194585970630426</v>
      </c>
      <c r="O22" s="46">
        <f>IFERROR(MEDIAN(C22:L22),0)</f>
        <v>-3.479518694599236</v>
      </c>
    </row>
    <row r="23" spans="2:15" x14ac:dyDescent="0.3">
      <c r="B23" t="s">
        <v>171</v>
      </c>
      <c r="C23" s="46">
        <f>IFERROR('Historical FS'!C37/SUM('Historical FS'!C51:'Historical FS'!C52),0)</f>
        <v>2.6738569481893872E-2</v>
      </c>
      <c r="D23" s="46">
        <f>IFERROR('Historical FS'!D37/SUM('Historical FS'!D51:'Historical FS'!D52),0)</f>
        <v>6.5165657779215375E-2</v>
      </c>
      <c r="E23" s="46">
        <f>IFERROR('Historical FS'!E37/SUM('Historical FS'!E51:'Historical FS'!E52),0)</f>
        <v>6.1327831495966045E-2</v>
      </c>
      <c r="F23" s="46">
        <f>IFERROR('Historical FS'!F37/SUM('Historical FS'!F51:'Historical FS'!F52),0)</f>
        <v>3.1490297937356887E-2</v>
      </c>
      <c r="G23" s="46">
        <f>IFERROR('Historical FS'!G37/SUM('Historical FS'!G51:'Historical FS'!G52),0)</f>
        <v>3.544550824481655E-2</v>
      </c>
      <c r="H23" s="46">
        <f>IFERROR('Historical FS'!H37/SUM('Historical FS'!H51:'Historical FS'!H52),0)</f>
        <v>6.2792700729927112E-2</v>
      </c>
      <c r="I23" s="46">
        <f>IFERROR('Historical FS'!I37/SUM('Historical FS'!I51:'Historical FS'!I52),0)</f>
        <v>2.5085204291378862E-2</v>
      </c>
      <c r="J23" s="46">
        <f>IFERROR('Historical FS'!J37/SUM('Historical FS'!J51:'Historical FS'!J52),0)</f>
        <v>3.1789913296109806E-2</v>
      </c>
      <c r="K23" s="46">
        <f>IFERROR('Historical FS'!K37/SUM('Historical FS'!K51:'Historical FS'!K52),0)</f>
        <v>4.914525454507504E-2</v>
      </c>
      <c r="L23" s="46">
        <f>IFERROR('Historical FS'!L37/SUM('Historical FS'!L51:'Historical FS'!L52),0)</f>
        <v>1.4847499246112092</v>
      </c>
      <c r="N23" s="46">
        <f>IFERROR(AVERAGE(C23:L23),0)</f>
        <v>0.18737308624129487</v>
      </c>
      <c r="O23" s="46">
        <f>IFERROR(MEDIAN(C23:L23),0)</f>
        <v>4.2295381394945791E-2</v>
      </c>
    </row>
    <row r="24" spans="2:15" x14ac:dyDescent="0.3">
      <c r="B24" t="s">
        <v>172</v>
      </c>
      <c r="C24" s="46">
        <f t="shared" ref="C24:L24" si="1">IFERROR(C22*C23,0)</f>
        <v>-0.11035675973442344</v>
      </c>
      <c r="D24" s="46">
        <f t="shared" si="1"/>
        <v>-7.7249202901899169E-2</v>
      </c>
      <c r="E24" s="46">
        <f t="shared" si="1"/>
        <v>-5.3957473671244656E-2</v>
      </c>
      <c r="F24" s="46">
        <f t="shared" si="1"/>
        <v>-0.14359862490450712</v>
      </c>
      <c r="G24" s="46">
        <f t="shared" si="1"/>
        <v>-0.13568702440046643</v>
      </c>
      <c r="H24" s="46">
        <f t="shared" si="1"/>
        <v>-0.12277650962176501</v>
      </c>
      <c r="I24" s="46">
        <f t="shared" si="1"/>
        <v>-0.2290164043125969</v>
      </c>
      <c r="J24" s="46">
        <f t="shared" si="1"/>
        <v>-0.17160674565345668</v>
      </c>
      <c r="K24" s="46">
        <f t="shared" si="1"/>
        <v>-0.15387338495898473</v>
      </c>
      <c r="L24" s="46">
        <f t="shared" si="1"/>
        <v>1.4847499246112092</v>
      </c>
      <c r="N24" s="46">
        <f>IFERROR(AVERAGE(C24:L24),0)</f>
        <v>2.8662779445186491E-2</v>
      </c>
      <c r="O24" s="46">
        <f>IFERROR(MEDIAN(C24:L24),0)</f>
        <v>-0.12923176701111572</v>
      </c>
    </row>
    <row r="25" spans="2:15" x14ac:dyDescent="0.3">
      <c r="B25" t="s">
        <v>173</v>
      </c>
      <c r="C25" s="158">
        <f>IFERROR('Historical FS'!C25/'Historical FS'!C28,0)</f>
        <v>0</v>
      </c>
      <c r="D25" s="158">
        <f>IFERROR('Historical FS'!D25/'Historical FS'!D28,0)</f>
        <v>0</v>
      </c>
      <c r="E25" s="158">
        <f>IFERROR('Historical FS'!E25/'Historical FS'!E28,0)</f>
        <v>153.88305882352944</v>
      </c>
      <c r="F25" s="158">
        <f>IFERROR('Historical FS'!F25/'Historical FS'!F28,0)</f>
        <v>148.1232820512821</v>
      </c>
      <c r="G25" s="158">
        <f>IFERROR('Historical FS'!G25/'Historical FS'!G28,0)</f>
        <v>165.08149999999995</v>
      </c>
      <c r="H25" s="158">
        <f>IFERROR('Historical FS'!H25/'Historical FS'!H28,0)</f>
        <v>134.99095070422538</v>
      </c>
      <c r="I25" s="158">
        <f>IFERROR('Historical FS'!I25/'Historical FS'!I28,0)</f>
        <v>81.594893617021285</v>
      </c>
      <c r="J25" s="158">
        <f>IFERROR('Historical FS'!J25/'Historical FS'!J28,0)</f>
        <v>98.137500000000031</v>
      </c>
      <c r="K25" s="158">
        <f>IFERROR('Historical FS'!K25/'Historical FS'!K28,0)</f>
        <v>108.46153846153847</v>
      </c>
      <c r="L25" s="158">
        <f>IFERROR('Historical FS'!L25/'Historical FS'!L28,0)</f>
        <v>417.61627906976742</v>
      </c>
      <c r="N25" s="158">
        <f>IFERROR(AVERAGE(C25:L25),0)</f>
        <v>130.78890027273641</v>
      </c>
      <c r="O25" s="158">
        <f>IFERROR(MEDIAN(C25:L25),0)</f>
        <v>121.72624458288192</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8612</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8613</v>
      </c>
      <c r="C39" s="46">
        <f>IFERROR('Historical FS'!C80/'Historical FS'!C7,0)</f>
        <v>0.13852414849266895</v>
      </c>
      <c r="D39" s="46">
        <f>IFERROR('Historical FS'!D80/'Historical FS'!D7,0)</f>
        <v>0.14542485636528577</v>
      </c>
      <c r="E39" s="46">
        <f>IFERROR('Historical FS'!E80/'Historical FS'!E7,0)</f>
        <v>0.1418202244715886</v>
      </c>
      <c r="F39" s="46">
        <f>IFERROR('Historical FS'!F80/'Historical FS'!F7,0)</f>
        <v>0.12709013456485388</v>
      </c>
      <c r="G39" s="46">
        <f>IFERROR('Historical FS'!G80/'Historical FS'!G7,0)</f>
        <v>0.17382297087330753</v>
      </c>
      <c r="H39" s="46">
        <f>IFERROR('Historical FS'!H80/'Historical FS'!H7,0)</f>
        <v>0.11880736132781893</v>
      </c>
      <c r="I39" s="46">
        <f>IFERROR('Historical FS'!I80/'Historical FS'!I7,0)</f>
        <v>9.8340599986985092E-2</v>
      </c>
      <c r="J39" s="46">
        <f>IFERROR('Historical FS'!J80/'Historical FS'!J7,0)</f>
        <v>0.13886741517884532</v>
      </c>
      <c r="K39" s="46">
        <f>IFERROR('Historical FS'!K80/'Historical FS'!K7,0)</f>
        <v>0.19088161209068011</v>
      </c>
      <c r="L39" s="46">
        <f>IFERROR('Historical FS'!L80/'Historical FS'!L7,0)</f>
        <v>0.15593611511414981</v>
      </c>
      <c r="N39" s="46">
        <f>IFERROR(AVERAGE(C39:L39),0)</f>
        <v>0.1429515438466184</v>
      </c>
      <c r="O39" s="46">
        <f>IFERROR(MEDIAN(C39:L39),0)</f>
        <v>0.14034381982521696</v>
      </c>
    </row>
    <row r="40" spans="2:15" x14ac:dyDescent="0.3">
      <c r="B40" t="s">
        <v>8614</v>
      </c>
      <c r="C40" s="46">
        <f>IFERROR('Historical FS'!C80/'Historical FS'!C68,0)</f>
        <v>0.11748929619473709</v>
      </c>
      <c r="D40" s="46">
        <f>IFERROR('Historical FS'!D80/'Historical FS'!D68,0)</f>
        <v>0.15152049805290552</v>
      </c>
      <c r="E40" s="46">
        <f>IFERROR('Historical FS'!E80/'Historical FS'!E68,0)</f>
        <v>0.15316537006637643</v>
      </c>
      <c r="F40" s="46">
        <f>IFERROR('Historical FS'!F80/'Historical FS'!F68,0)</f>
        <v>0.13909586056644879</v>
      </c>
      <c r="G40" s="46">
        <f>IFERROR('Historical FS'!G80/'Historical FS'!G68,0)</f>
        <v>0.19666824790021487</v>
      </c>
      <c r="H40" s="46">
        <f>IFERROR('Historical FS'!H80/'Historical FS'!H68,0)</f>
        <v>0.14938018829939431</v>
      </c>
      <c r="I40" s="46">
        <f>IFERROR('Historical FS'!I80/'Historical FS'!I68,0)</f>
        <v>0.12128800282513082</v>
      </c>
      <c r="J40" s="46">
        <f>IFERROR('Historical FS'!J80/'Historical FS'!J68,0)</f>
        <v>0.16640199970592559</v>
      </c>
      <c r="K40" s="46">
        <f>IFERROR('Historical FS'!K80/'Historical FS'!K68,0)</f>
        <v>0.2307317568253324</v>
      </c>
      <c r="L40" s="46">
        <f>IFERROR('Historical FS'!L80/'Historical FS'!L68,0)</f>
        <v>0.18655371772270041</v>
      </c>
      <c r="N40" s="46">
        <f>IFERROR(AVERAGE(C40:L40),0)</f>
        <v>0.16122949381591661</v>
      </c>
      <c r="O40" s="46">
        <f>IFERROR(MEDIAN(C40:L40),0)</f>
        <v>0.15234293405964097</v>
      </c>
    </row>
    <row r="41" spans="2:15" x14ac:dyDescent="0.3">
      <c r="B41" t="s">
        <v>8615</v>
      </c>
      <c r="C41" s="46">
        <f>IFERROR('Historical FS'!C80/'Historical FS'!C53,0)</f>
        <v>0</v>
      </c>
      <c r="D41" s="46">
        <f>IFERROR('Historical FS'!D80/'Historical FS'!D53,0)</f>
        <v>0</v>
      </c>
      <c r="E41" s="46">
        <f>IFERROR('Historical FS'!E80/'Historical FS'!E53,0)</f>
        <v>0</v>
      </c>
      <c r="F41" s="46">
        <f>IFERROR('Historical FS'!F80/'Historical FS'!F53,0)</f>
        <v>2.7560975609756095</v>
      </c>
      <c r="G41" s="46">
        <f>IFERROR('Historical FS'!G80/'Historical FS'!G53,0)</f>
        <v>3.9707042253521125</v>
      </c>
      <c r="H41" s="46">
        <f>IFERROR('Historical FS'!H80/'Historical FS'!H53,0)</f>
        <v>3.1854219948849103</v>
      </c>
      <c r="I41" s="46">
        <f>IFERROR('Historical FS'!I80/'Historical FS'!I53,0)</f>
        <v>1.8209422822026751</v>
      </c>
      <c r="J41" s="46">
        <f>IFERROR('Historical FS'!J80/'Historical FS'!J53,0)</f>
        <v>2.7077401603062565</v>
      </c>
      <c r="K41" s="46">
        <f>IFERROR('Historical FS'!K80/'Historical FS'!K53,0)</f>
        <v>4.1450103318342046</v>
      </c>
      <c r="L41" s="46">
        <f>IFERROR('Historical FS'!L80/'Historical FS'!L53,0)</f>
        <v>3.1367698343504795</v>
      </c>
      <c r="N41" s="46">
        <f>IFERROR(AVERAGE(C41:L41),0)</f>
        <v>2.1722686389906252</v>
      </c>
      <c r="O41" s="46">
        <f>IFERROR(MEDIAN(C41:L41),0)</f>
        <v>2.731918860640933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23977.480000000003</v>
      </c>
      <c r="J5" s="45" t="s">
        <v>120</v>
      </c>
      <c r="L5">
        <v>1</v>
      </c>
      <c r="M5" s="54">
        <f t="array" ref="M5:M13">TRANSPOSE('Data Sheet'!B16:J16)</f>
        <v>43160</v>
      </c>
      <c r="N5" s="106">
        <f t="array" ref="N5:N14">TRANSPOSE('Historical FS'!C37:L37)</f>
        <v>1844.4800000000032</v>
      </c>
      <c r="O5" s="56" t="s">
        <v>120</v>
      </c>
    </row>
    <row r="6" spans="2:15" x14ac:dyDescent="0.3">
      <c r="B6">
        <f>B5+1</f>
        <v>2</v>
      </c>
      <c r="C6" s="54">
        <v>43525</v>
      </c>
      <c r="D6" s="106">
        <v>82675</v>
      </c>
      <c r="E6" s="36">
        <f>D6/D5-1</f>
        <v>0.17232920223476356</v>
      </c>
      <c r="G6">
        <f>G5+1</f>
        <v>2</v>
      </c>
      <c r="H6" s="54">
        <v>43525</v>
      </c>
      <c r="I6" s="106">
        <v>27282.75</v>
      </c>
      <c r="J6" s="36">
        <f>I6/I5-1</f>
        <v>0.13784893158079981</v>
      </c>
      <c r="L6">
        <f>L5+1</f>
        <v>2</v>
      </c>
      <c r="M6" s="54">
        <v>43525</v>
      </c>
      <c r="N6" s="106">
        <v>4230.75</v>
      </c>
      <c r="O6" s="36">
        <f>N6/N5-1</f>
        <v>1.2937359038861862</v>
      </c>
    </row>
    <row r="7" spans="2:15" x14ac:dyDescent="0.3">
      <c r="B7">
        <f t="shared" ref="B7:B19" si="0">B6+1</f>
        <v>3</v>
      </c>
      <c r="C7" s="54">
        <v>43891</v>
      </c>
      <c r="D7" s="106">
        <v>90791</v>
      </c>
      <c r="E7" s="36">
        <f t="shared" ref="E7:E19" si="1">D7/D6-1</f>
        <v>9.8167523435137571E-2</v>
      </c>
      <c r="G7">
        <f t="shared" ref="G7:G19" si="2">G6+1</f>
        <v>3</v>
      </c>
      <c r="H7" s="54">
        <v>43891</v>
      </c>
      <c r="I7" s="106">
        <v>29053.120000000003</v>
      </c>
      <c r="J7" s="36">
        <f t="shared" ref="J7:J19" si="3">I7/I6-1</f>
        <v>6.4889719694678938E-2</v>
      </c>
      <c r="L7">
        <f t="shared" ref="L7:L19" si="4">L6+1</f>
        <v>3</v>
      </c>
      <c r="M7" s="54">
        <v>43891</v>
      </c>
      <c r="N7" s="106">
        <v>3983.1200000000026</v>
      </c>
      <c r="O7" s="36">
        <f t="shared" ref="O7:O19" si="5">N7/N6-1</f>
        <v>-5.853099332269629E-2</v>
      </c>
    </row>
    <row r="8" spans="2:15" x14ac:dyDescent="0.3">
      <c r="B8">
        <f t="shared" si="0"/>
        <v>4</v>
      </c>
      <c r="C8" s="54">
        <v>44256</v>
      </c>
      <c r="D8" s="106">
        <v>100472</v>
      </c>
      <c r="E8" s="36">
        <f t="shared" si="1"/>
        <v>0.10662951173574475</v>
      </c>
      <c r="G8">
        <f t="shared" si="2"/>
        <v>4</v>
      </c>
      <c r="H8" s="54">
        <v>44256</v>
      </c>
      <c r="I8" s="106">
        <v>32151.040000000008</v>
      </c>
      <c r="J8" s="36">
        <f t="shared" si="3"/>
        <v>0.10662951173574498</v>
      </c>
      <c r="L8">
        <f t="shared" si="4"/>
        <v>4</v>
      </c>
      <c r="M8" s="54">
        <v>44256</v>
      </c>
      <c r="N8" s="106">
        <v>2061.0400000000081</v>
      </c>
      <c r="O8" s="36">
        <f t="shared" si="5"/>
        <v>-0.48255638795717759</v>
      </c>
    </row>
    <row r="9" spans="2:15" x14ac:dyDescent="0.3">
      <c r="B9">
        <f t="shared" si="0"/>
        <v>5</v>
      </c>
      <c r="C9" s="54">
        <v>44621</v>
      </c>
      <c r="D9" s="106">
        <v>121641</v>
      </c>
      <c r="E9" s="36">
        <f t="shared" si="1"/>
        <v>0.21069551715900947</v>
      </c>
      <c r="G9">
        <f t="shared" si="2"/>
        <v>5</v>
      </c>
      <c r="H9" s="54">
        <v>44621</v>
      </c>
      <c r="I9" s="106">
        <v>36492.299999999988</v>
      </c>
      <c r="J9" s="36">
        <f t="shared" si="3"/>
        <v>0.13502704733657067</v>
      </c>
      <c r="L9">
        <f t="shared" si="4"/>
        <v>5</v>
      </c>
      <c r="M9" s="54">
        <v>44621</v>
      </c>
      <c r="N9" s="106">
        <v>2706.2999999999884</v>
      </c>
      <c r="O9" s="36">
        <f t="shared" si="5"/>
        <v>0.31307495245117889</v>
      </c>
    </row>
    <row r="10" spans="2:15" x14ac:dyDescent="0.3">
      <c r="B10">
        <f t="shared" si="0"/>
        <v>6</v>
      </c>
      <c r="C10" s="54">
        <v>44986</v>
      </c>
      <c r="D10" s="106">
        <v>146767</v>
      </c>
      <c r="E10" s="36">
        <f t="shared" si="1"/>
        <v>0.20655864387829759</v>
      </c>
      <c r="G10">
        <f t="shared" si="2"/>
        <v>6</v>
      </c>
      <c r="H10" s="54">
        <v>44986</v>
      </c>
      <c r="I10" s="106">
        <v>42562.430000000008</v>
      </c>
      <c r="J10" s="36">
        <f t="shared" si="3"/>
        <v>0.16634002241568835</v>
      </c>
      <c r="L10">
        <f t="shared" si="4"/>
        <v>6</v>
      </c>
      <c r="M10" s="54">
        <v>44986</v>
      </c>
      <c r="N10" s="106">
        <v>4731.4300000000076</v>
      </c>
      <c r="O10" s="36">
        <f t="shared" si="5"/>
        <v>0.74830210989174439</v>
      </c>
    </row>
    <row r="11" spans="2:15" x14ac:dyDescent="0.3">
      <c r="B11">
        <f t="shared" si="0"/>
        <v>7</v>
      </c>
      <c r="C11" s="54">
        <v>45352</v>
      </c>
      <c r="D11" s="106">
        <v>153670</v>
      </c>
      <c r="E11" s="36">
        <f t="shared" si="1"/>
        <v>4.7033733741236095E-2</v>
      </c>
      <c r="G11">
        <f t="shared" si="2"/>
        <v>7</v>
      </c>
      <c r="H11" s="54">
        <v>45352</v>
      </c>
      <c r="I11" s="106">
        <v>43027.600000000006</v>
      </c>
      <c r="J11" s="36">
        <f t="shared" si="3"/>
        <v>1.0929122232917532E-2</v>
      </c>
      <c r="L11">
        <f t="shared" si="4"/>
        <v>7</v>
      </c>
      <c r="M11" s="54">
        <v>45352</v>
      </c>
      <c r="N11" s="106">
        <v>1891.6000000000058</v>
      </c>
      <c r="O11" s="36">
        <f t="shared" si="5"/>
        <v>-0.60020543472058074</v>
      </c>
    </row>
    <row r="12" spans="2:15" x14ac:dyDescent="0.3">
      <c r="B12">
        <f t="shared" si="0"/>
        <v>8</v>
      </c>
      <c r="C12" s="54">
        <v>45717</v>
      </c>
      <c r="D12" s="106">
        <v>162990</v>
      </c>
      <c r="E12" s="36">
        <f t="shared" si="1"/>
        <v>6.0649443612936782E-2</v>
      </c>
      <c r="G12">
        <f t="shared" si="2"/>
        <v>8</v>
      </c>
      <c r="H12" s="54">
        <v>45717</v>
      </c>
      <c r="I12" s="106">
        <v>45637.200000000012</v>
      </c>
      <c r="J12" s="36">
        <f t="shared" si="3"/>
        <v>6.0649443612937004E-2</v>
      </c>
      <c r="L12">
        <f t="shared" si="4"/>
        <v>8</v>
      </c>
      <c r="M12" s="54">
        <v>45717</v>
      </c>
      <c r="N12" s="106">
        <v>2801.2000000000116</v>
      </c>
      <c r="O12" s="36">
        <f t="shared" si="5"/>
        <v>0.48086276168323283</v>
      </c>
    </row>
    <row r="13" spans="2:15" x14ac:dyDescent="0.3">
      <c r="B13">
        <f t="shared" si="0"/>
        <v>9</v>
      </c>
      <c r="C13" s="54">
        <v>46082</v>
      </c>
      <c r="D13" s="106">
        <v>178650</v>
      </c>
      <c r="E13" s="36">
        <f t="shared" si="1"/>
        <v>9.6079514080618544E-2</v>
      </c>
      <c r="G13">
        <f t="shared" si="2"/>
        <v>9</v>
      </c>
      <c r="H13" s="54">
        <v>46082</v>
      </c>
      <c r="I13" s="106">
        <v>50022</v>
      </c>
      <c r="J13" s="36">
        <f t="shared" si="3"/>
        <v>9.60795140806181E-2</v>
      </c>
      <c r="L13">
        <f t="shared" si="4"/>
        <v>9</v>
      </c>
      <c r="M13" s="54">
        <v>46082</v>
      </c>
      <c r="N13" s="106">
        <v>4709</v>
      </c>
      <c r="O13" s="36">
        <f t="shared" si="5"/>
        <v>0.68106525774667293</v>
      </c>
    </row>
    <row r="14" spans="2:15" x14ac:dyDescent="0.3">
      <c r="B14">
        <f t="shared" si="0"/>
        <v>10</v>
      </c>
      <c r="C14" s="54">
        <f>C13+365</f>
        <v>46447</v>
      </c>
      <c r="D14" s="106">
        <v>184582</v>
      </c>
      <c r="E14" s="36">
        <f t="shared" si="1"/>
        <v>3.3204589980408539E-2</v>
      </c>
      <c r="G14">
        <f t="shared" si="2"/>
        <v>10</v>
      </c>
      <c r="H14" s="54">
        <f>H13+365</f>
        <v>46447</v>
      </c>
      <c r="I14" s="106">
        <v>184582</v>
      </c>
      <c r="J14" s="36">
        <f t="shared" si="3"/>
        <v>2.6900163927871739</v>
      </c>
      <c r="L14">
        <f t="shared" si="4"/>
        <v>10</v>
      </c>
      <c r="M14" s="54">
        <f>M13+365</f>
        <v>46447</v>
      </c>
      <c r="N14" s="106">
        <v>137862</v>
      </c>
      <c r="O14" s="36">
        <f t="shared" si="5"/>
        <v>28.276279464854532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109019.98</v>
      </c>
      <c r="J15" s="36">
        <f t="shared" si="3"/>
        <v>-0.40936830243469025</v>
      </c>
      <c r="L15">
        <f t="shared" si="4"/>
        <v>11</v>
      </c>
      <c r="M15" s="55">
        <f>M14+365</f>
        <v>46812</v>
      </c>
      <c r="N15" s="106">
        <f>FORECAST(L15,$N$5:$N$14,$L$5:$L$14)</f>
        <v>57452.513333333343</v>
      </c>
      <c r="O15" s="36">
        <f t="shared" si="5"/>
        <v>-0.58326070031384036</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119482.01418181817</v>
      </c>
      <c r="J16" s="36">
        <f t="shared" si="3"/>
        <v>9.5964374436852573E-2</v>
      </c>
      <c r="L16">
        <f t="shared" si="4"/>
        <v>12</v>
      </c>
      <c r="M16" s="55">
        <f>M15+365</f>
        <v>47177</v>
      </c>
      <c r="N16" s="106">
        <f t="shared" ref="N16:N19" si="8">FORECAST(L16,$N$5:$N$14,$L$5:$L$14)</f>
        <v>64865.317212121219</v>
      </c>
      <c r="O16" s="36">
        <f t="shared" si="5"/>
        <v>0.12902488418182134</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129944.04836363635</v>
      </c>
      <c r="J17" s="36">
        <f t="shared" si="3"/>
        <v>8.7561581995913462E-2</v>
      </c>
      <c r="L17">
        <f t="shared" si="4"/>
        <v>13</v>
      </c>
      <c r="M17" s="55">
        <f>M16+365</f>
        <v>47542</v>
      </c>
      <c r="N17" s="106">
        <f t="shared" si="8"/>
        <v>72278.121090909088</v>
      </c>
      <c r="O17" s="36">
        <f t="shared" si="5"/>
        <v>0.11427992951220256</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140406.08254545456</v>
      </c>
      <c r="J18" s="36">
        <f t="shared" si="3"/>
        <v>8.051183808388962E-2</v>
      </c>
      <c r="L18">
        <f t="shared" si="4"/>
        <v>14</v>
      </c>
      <c r="M18" s="55">
        <f>M17+365</f>
        <v>47907</v>
      </c>
      <c r="N18" s="106">
        <f t="shared" si="8"/>
        <v>79690.924969696993</v>
      </c>
      <c r="O18" s="36">
        <f t="shared" si="5"/>
        <v>0.10255944353429336</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150868.11672727269</v>
      </c>
      <c r="J19" s="36">
        <f t="shared" si="3"/>
        <v>7.4512684864854073E-2</v>
      </c>
      <c r="L19">
        <f t="shared" si="4"/>
        <v>15</v>
      </c>
      <c r="M19" s="55">
        <f>M18+365</f>
        <v>48272</v>
      </c>
      <c r="N19" s="106">
        <f t="shared" si="8"/>
        <v>87103.728848484869</v>
      </c>
      <c r="O19" s="36">
        <f t="shared" si="5"/>
        <v>9.3019423248088096E-2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0.1312596079934264</v>
      </c>
    </row>
    <row r="10" spans="1:15" x14ac:dyDescent="0.3">
      <c r="B10" s="34">
        <f>'Raw Data'!G6</f>
        <v>46283</v>
      </c>
      <c r="C10">
        <v>285.05</v>
      </c>
      <c r="D10" s="45" t="s">
        <v>120</v>
      </c>
      <c r="F10" s="34">
        <f>'Raw Data'!G6</f>
        <v>46283</v>
      </c>
      <c r="G10">
        <f>'Raw Data'!J6</f>
        <v>23346.400000000001</v>
      </c>
      <c r="H10" s="45" t="s">
        <v>120</v>
      </c>
      <c r="J10" t="s">
        <v>198</v>
      </c>
      <c r="L10" s="46">
        <v>0.75</v>
      </c>
    </row>
    <row r="11" spans="1:15" x14ac:dyDescent="0.3">
      <c r="B11" s="34">
        <f>'Raw Data'!G7</f>
        <v>46282</v>
      </c>
      <c r="C11">
        <v>286.25</v>
      </c>
      <c r="D11" s="36">
        <f>C10/C11-1</f>
        <v>-4.1921397379912628E-3</v>
      </c>
      <c r="F11" s="34">
        <f>'Raw Data'!G7</f>
        <v>46282</v>
      </c>
      <c r="G11">
        <f>'Raw Data'!J7</f>
        <v>23270.6</v>
      </c>
      <c r="H11" s="36">
        <f>G10/G11-1</f>
        <v>3.2573289902282365E-3</v>
      </c>
      <c r="N11" t="s">
        <v>194</v>
      </c>
      <c r="O11">
        <f>SLOPE(D10:D256, H10:H256)</f>
        <v>0.1312596079934264</v>
      </c>
    </row>
    <row r="12" spans="1:15" x14ac:dyDescent="0.3">
      <c r="B12" s="34">
        <f>'Raw Data'!G8</f>
        <v>46281</v>
      </c>
      <c r="C12">
        <v>284.64999999999998</v>
      </c>
      <c r="D12" s="36">
        <f t="shared" ref="D12:D75" si="0">C11/C12-1</f>
        <v>5.6209379940277415E-3</v>
      </c>
      <c r="F12" s="34">
        <f>'Raw Data'!G8</f>
        <v>46281</v>
      </c>
      <c r="G12">
        <f>'Raw Data'!J8</f>
        <v>23217.599999999999</v>
      </c>
      <c r="H12" s="36">
        <f t="shared" ref="H12:H75" si="1">G11/G12-1</f>
        <v>2.2827510164702414E-3</v>
      </c>
      <c r="J12" t="s">
        <v>199</v>
      </c>
      <c r="L12" s="47">
        <v>1</v>
      </c>
      <c r="N12" t="s">
        <v>195</v>
      </c>
      <c r="O12">
        <f>_xlfn.COVARIANCE.S(D10:D256, H10:H256)/_xlfn.VAR.S(H10:H256)</f>
        <v>0.13125960799342634</v>
      </c>
    </row>
    <row r="13" spans="1:15" x14ac:dyDescent="0.3">
      <c r="B13" s="34">
        <f>'Raw Data'!G9</f>
        <v>46280</v>
      </c>
      <c r="C13">
        <v>285.85000000000002</v>
      </c>
      <c r="D13" s="36">
        <f t="shared" si="0"/>
        <v>-4.1980059471752318E-3</v>
      </c>
      <c r="F13" s="34">
        <f>'Raw Data'!G9</f>
        <v>46280</v>
      </c>
      <c r="G13">
        <f>'Raw Data'!J9</f>
        <v>23118.6</v>
      </c>
      <c r="H13" s="36">
        <f t="shared" si="1"/>
        <v>4.2822662271937428E-3</v>
      </c>
      <c r="J13" t="s">
        <v>200</v>
      </c>
      <c r="L13" s="46">
        <v>0.25</v>
      </c>
    </row>
    <row r="14" spans="1:15" x14ac:dyDescent="0.3">
      <c r="B14" s="34">
        <f>'Raw Data'!G10</f>
        <v>46276</v>
      </c>
      <c r="C14">
        <v>283.45</v>
      </c>
      <c r="D14" s="36">
        <f t="shared" si="0"/>
        <v>8.4671017816193572E-3</v>
      </c>
      <c r="F14" s="34">
        <f>'Raw Data'!G10</f>
        <v>46276</v>
      </c>
      <c r="G14">
        <f>'Raw Data'!J10</f>
        <v>23398.1</v>
      </c>
      <c r="H14" s="36">
        <f t="shared" si="1"/>
        <v>-1.1945414371252405E-2</v>
      </c>
    </row>
    <row r="15" spans="1:15" x14ac:dyDescent="0.3">
      <c r="B15" s="34">
        <f>'Raw Data'!G11</f>
        <v>46275</v>
      </c>
      <c r="C15">
        <v>281.3</v>
      </c>
      <c r="D15" s="36">
        <f t="shared" si="0"/>
        <v>7.6430856736580122E-3</v>
      </c>
      <c r="F15" s="34">
        <f>'Raw Data'!G11</f>
        <v>46275</v>
      </c>
      <c r="G15">
        <f>'Raw Data'!J11</f>
        <v>23477.8</v>
      </c>
      <c r="H15" s="36">
        <f t="shared" si="1"/>
        <v>-3.3946962662600999E-3</v>
      </c>
      <c r="J15" s="79" t="s">
        <v>201</v>
      </c>
      <c r="K15" s="79"/>
      <c r="L15" s="79">
        <f>(L9*L10)+(L12*L13)</f>
        <v>0.34844470599506983</v>
      </c>
    </row>
    <row r="16" spans="1:15" x14ac:dyDescent="0.3">
      <c r="B16" s="34">
        <f>'Raw Data'!G12</f>
        <v>46274</v>
      </c>
      <c r="C16">
        <v>280.8</v>
      </c>
      <c r="D16" s="36">
        <f t="shared" si="0"/>
        <v>1.7806267806268483E-3</v>
      </c>
      <c r="F16" s="34">
        <f>'Raw Data'!G12</f>
        <v>46274</v>
      </c>
      <c r="G16">
        <f>'Raw Data'!J12</f>
        <v>23431.5</v>
      </c>
      <c r="H16" s="36">
        <f t="shared" si="1"/>
        <v>1.9759725156305308E-3</v>
      </c>
    </row>
    <row r="17" spans="2:8" x14ac:dyDescent="0.3">
      <c r="B17" s="34">
        <f>'Raw Data'!G13</f>
        <v>46273</v>
      </c>
      <c r="C17">
        <v>281</v>
      </c>
      <c r="D17" s="36">
        <f t="shared" si="0"/>
        <v>-7.1174377224192398E-4</v>
      </c>
      <c r="F17" s="34">
        <f>'Raw Data'!G13</f>
        <v>46273</v>
      </c>
      <c r="G17">
        <f>'Raw Data'!J13</f>
        <v>23635.1</v>
      </c>
      <c r="H17" s="36">
        <f t="shared" si="1"/>
        <v>-8.6143066879343921E-3</v>
      </c>
    </row>
    <row r="18" spans="2:8" x14ac:dyDescent="0.3">
      <c r="B18" s="34">
        <f>'Raw Data'!G14</f>
        <v>46272</v>
      </c>
      <c r="C18">
        <v>282.7</v>
      </c>
      <c r="D18" s="36">
        <f t="shared" si="0"/>
        <v>-6.0134418111071897E-3</v>
      </c>
      <c r="F18" s="34">
        <f>'Raw Data'!G14</f>
        <v>46272</v>
      </c>
      <c r="G18">
        <f>'Raw Data'!J14</f>
        <v>23779.15</v>
      </c>
      <c r="H18" s="36">
        <f t="shared" si="1"/>
        <v>-6.0578279711429595E-3</v>
      </c>
    </row>
    <row r="19" spans="2:8" x14ac:dyDescent="0.3">
      <c r="B19" s="34">
        <f>'Raw Data'!G15</f>
        <v>46269</v>
      </c>
      <c r="C19">
        <v>280.7</v>
      </c>
      <c r="D19" s="36">
        <f t="shared" si="0"/>
        <v>7.1250445315282906E-3</v>
      </c>
      <c r="F19" s="34">
        <f>'Raw Data'!G15</f>
        <v>46269</v>
      </c>
      <c r="G19">
        <f>'Raw Data'!J15</f>
        <v>23897.7</v>
      </c>
      <c r="H19" s="36">
        <f t="shared" si="1"/>
        <v>-4.9607284383015315E-3</v>
      </c>
    </row>
    <row r="20" spans="2:8" x14ac:dyDescent="0.3">
      <c r="B20" s="34">
        <f>'Raw Data'!G16</f>
        <v>46268</v>
      </c>
      <c r="C20">
        <v>279.35000000000002</v>
      </c>
      <c r="D20" s="36">
        <f t="shared" si="0"/>
        <v>4.8326472167530277E-3</v>
      </c>
      <c r="F20" s="34">
        <f>'Raw Data'!G16</f>
        <v>46268</v>
      </c>
      <c r="G20">
        <f>'Raw Data'!J16</f>
        <v>23873.45</v>
      </c>
      <c r="H20" s="36">
        <f t="shared" si="1"/>
        <v>1.0157727517388082E-3</v>
      </c>
    </row>
    <row r="21" spans="2:8" x14ac:dyDescent="0.3">
      <c r="B21" s="34">
        <f>'Raw Data'!G17</f>
        <v>46267</v>
      </c>
      <c r="C21">
        <v>276.64999999999998</v>
      </c>
      <c r="D21" s="36">
        <f t="shared" si="0"/>
        <v>9.7596240737396478E-3</v>
      </c>
      <c r="F21" s="34">
        <f>'Raw Data'!G17</f>
        <v>46267</v>
      </c>
      <c r="G21">
        <f>'Raw Data'!J17</f>
        <v>23914.45</v>
      </c>
      <c r="H21" s="36">
        <f t="shared" si="1"/>
        <v>-1.7144446140304748E-3</v>
      </c>
    </row>
    <row r="22" spans="2:8" x14ac:dyDescent="0.3">
      <c r="B22" s="34">
        <f>'Raw Data'!G18</f>
        <v>46266</v>
      </c>
      <c r="C22">
        <v>275.55</v>
      </c>
      <c r="D22" s="36">
        <f t="shared" si="0"/>
        <v>3.9920159680637557E-3</v>
      </c>
      <c r="F22" s="34">
        <f>'Raw Data'!G18</f>
        <v>46266</v>
      </c>
      <c r="G22">
        <f>'Raw Data'!J18</f>
        <v>24055.8</v>
      </c>
      <c r="H22" s="36">
        <f t="shared" si="1"/>
        <v>-5.8759218151130943E-3</v>
      </c>
    </row>
    <row r="23" spans="2:8" x14ac:dyDescent="0.3">
      <c r="B23" s="34">
        <f>'Raw Data'!G19</f>
        <v>46265</v>
      </c>
      <c r="C23">
        <v>279.64999999999998</v>
      </c>
      <c r="D23" s="36">
        <f t="shared" si="0"/>
        <v>-1.4661183622384999E-2</v>
      </c>
      <c r="F23" s="34">
        <f>'Raw Data'!G19</f>
        <v>46265</v>
      </c>
      <c r="G23">
        <f>'Raw Data'!J19</f>
        <v>24080.400000000001</v>
      </c>
      <c r="H23" s="36">
        <f t="shared" si="1"/>
        <v>-1.0215777146559413E-3</v>
      </c>
    </row>
    <row r="24" spans="2:8" x14ac:dyDescent="0.3">
      <c r="B24" s="34">
        <f>'Raw Data'!G20</f>
        <v>46262</v>
      </c>
      <c r="C24">
        <v>281.75</v>
      </c>
      <c r="D24" s="36">
        <f t="shared" si="0"/>
        <v>-7.4534161490683593E-3</v>
      </c>
      <c r="F24" s="34">
        <f>'Raw Data'!G20</f>
        <v>46262</v>
      </c>
      <c r="G24">
        <f>'Raw Data'!J20</f>
        <v>24175.65</v>
      </c>
      <c r="H24" s="36">
        <f t="shared" si="1"/>
        <v>-3.9399147489312947E-3</v>
      </c>
    </row>
    <row r="25" spans="2:8" x14ac:dyDescent="0.3">
      <c r="B25" s="34">
        <f>'Raw Data'!G21</f>
        <v>46261</v>
      </c>
      <c r="C25">
        <v>282.05</v>
      </c>
      <c r="D25" s="36">
        <f t="shared" si="0"/>
        <v>-1.063641198369103E-3</v>
      </c>
      <c r="F25" s="34">
        <f>'Raw Data'!G21</f>
        <v>46261</v>
      </c>
      <c r="G25">
        <f>'Raw Data'!J21</f>
        <v>24090.85</v>
      </c>
      <c r="H25" s="36">
        <f t="shared" si="1"/>
        <v>3.5200086339834957E-3</v>
      </c>
    </row>
    <row r="26" spans="2:8" x14ac:dyDescent="0.3">
      <c r="B26" s="34">
        <f>'Raw Data'!G22</f>
        <v>46260</v>
      </c>
      <c r="C26">
        <v>280.64999999999998</v>
      </c>
      <c r="D26" s="36">
        <f t="shared" si="0"/>
        <v>4.9884197398897268E-3</v>
      </c>
      <c r="F26" s="34">
        <f>'Raw Data'!G22</f>
        <v>46260</v>
      </c>
      <c r="G26">
        <f>'Raw Data'!J22</f>
        <v>24207.75</v>
      </c>
      <c r="H26" s="36">
        <f t="shared" si="1"/>
        <v>-4.829032024868174E-3</v>
      </c>
    </row>
    <row r="27" spans="2:8" x14ac:dyDescent="0.3">
      <c r="B27" s="34">
        <f>'Raw Data'!G23</f>
        <v>46259</v>
      </c>
      <c r="C27">
        <v>288.75</v>
      </c>
      <c r="D27" s="36">
        <f t="shared" si="0"/>
        <v>-2.8051948051948106E-2</v>
      </c>
      <c r="F27" s="34">
        <f>'Raw Data'!G23</f>
        <v>46259</v>
      </c>
      <c r="G27">
        <f>'Raw Data'!J23</f>
        <v>24334.55</v>
      </c>
      <c r="H27" s="36">
        <f t="shared" si="1"/>
        <v>-5.2106983691910802E-3</v>
      </c>
    </row>
    <row r="28" spans="2:8" x14ac:dyDescent="0.3">
      <c r="B28" s="34">
        <f>'Raw Data'!G24</f>
        <v>46258</v>
      </c>
      <c r="C28">
        <v>288.25</v>
      </c>
      <c r="D28" s="36">
        <f t="shared" si="0"/>
        <v>1.7346053772766545E-3</v>
      </c>
      <c r="F28" s="34">
        <f>'Raw Data'!G24</f>
        <v>46258</v>
      </c>
      <c r="G28">
        <f>'Raw Data'!J24</f>
        <v>24219.05</v>
      </c>
      <c r="H28" s="36">
        <f t="shared" si="1"/>
        <v>4.7689731843321148E-3</v>
      </c>
    </row>
    <row r="29" spans="2:8" x14ac:dyDescent="0.3">
      <c r="B29" s="34">
        <f>'Raw Data'!G25</f>
        <v>46255</v>
      </c>
      <c r="C29">
        <v>289.95</v>
      </c>
      <c r="D29" s="36">
        <f t="shared" si="0"/>
        <v>-5.8630798413519258E-3</v>
      </c>
      <c r="F29" s="34">
        <f>'Raw Data'!G25</f>
        <v>46255</v>
      </c>
      <c r="G29">
        <f>'Raw Data'!J25</f>
        <v>24252</v>
      </c>
      <c r="H29" s="36">
        <f t="shared" si="1"/>
        <v>-1.3586508329209712E-3</v>
      </c>
    </row>
    <row r="30" spans="2:8" x14ac:dyDescent="0.3">
      <c r="B30" s="34">
        <f>'Raw Data'!G26</f>
        <v>46254</v>
      </c>
      <c r="C30">
        <v>289.89999999999998</v>
      </c>
      <c r="D30" s="36">
        <f t="shared" si="0"/>
        <v>1.7247326664371343E-4</v>
      </c>
      <c r="F30" s="34">
        <f>'Raw Data'!G26</f>
        <v>46254</v>
      </c>
      <c r="G30">
        <f>'Raw Data'!J26</f>
        <v>24231.85</v>
      </c>
      <c r="H30" s="36">
        <f t="shared" si="1"/>
        <v>8.3155021180814082E-4</v>
      </c>
    </row>
    <row r="31" spans="2:8" x14ac:dyDescent="0.3">
      <c r="B31" s="34">
        <f>'Raw Data'!G27</f>
        <v>46253</v>
      </c>
      <c r="C31">
        <v>290.3</v>
      </c>
      <c r="D31" s="36">
        <f t="shared" si="0"/>
        <v>-1.3778849466070664E-3</v>
      </c>
      <c r="F31" s="34">
        <f>'Raw Data'!G27</f>
        <v>46253</v>
      </c>
      <c r="G31">
        <f>'Raw Data'!J27</f>
        <v>24078.3</v>
      </c>
      <c r="H31" s="36">
        <f t="shared" si="1"/>
        <v>6.3771113409167857E-3</v>
      </c>
    </row>
    <row r="32" spans="2:8" x14ac:dyDescent="0.3">
      <c r="B32" s="34">
        <f>'Raw Data'!G28</f>
        <v>46252</v>
      </c>
      <c r="C32">
        <v>286.95</v>
      </c>
      <c r="D32" s="36">
        <f t="shared" si="0"/>
        <v>1.167450775396417E-2</v>
      </c>
      <c r="F32" s="34">
        <f>'Raw Data'!G28</f>
        <v>46252</v>
      </c>
      <c r="G32">
        <f>'Raw Data'!J28</f>
        <v>24154.9</v>
      </c>
      <c r="H32" s="36">
        <f t="shared" si="1"/>
        <v>-3.1711992183781623E-3</v>
      </c>
    </row>
    <row r="33" spans="2:8" x14ac:dyDescent="0.3">
      <c r="B33" s="34">
        <f>'Raw Data'!G29</f>
        <v>46251</v>
      </c>
      <c r="C33">
        <v>290.7</v>
      </c>
      <c r="D33" s="36">
        <f t="shared" si="0"/>
        <v>-1.2899896800825594E-2</v>
      </c>
      <c r="F33" s="34">
        <f>'Raw Data'!G29</f>
        <v>46251</v>
      </c>
      <c r="G33">
        <f>'Raw Data'!J29</f>
        <v>24287.65</v>
      </c>
      <c r="H33" s="36">
        <f t="shared" si="1"/>
        <v>-5.4657408188935053E-3</v>
      </c>
    </row>
    <row r="34" spans="2:8" x14ac:dyDescent="0.3">
      <c r="B34" s="34">
        <f>'Raw Data'!G30</f>
        <v>46248</v>
      </c>
      <c r="C34">
        <v>290</v>
      </c>
      <c r="D34" s="36">
        <f t="shared" si="0"/>
        <v>2.4137931034482474E-3</v>
      </c>
      <c r="F34" s="34">
        <f>'Raw Data'!G30</f>
        <v>46248</v>
      </c>
      <c r="G34">
        <f>'Raw Data'!J30</f>
        <v>24366</v>
      </c>
      <c r="H34" s="36">
        <f t="shared" si="1"/>
        <v>-3.2155462529753764E-3</v>
      </c>
    </row>
    <row r="35" spans="2:8" x14ac:dyDescent="0.3">
      <c r="B35" s="34">
        <f>'Raw Data'!G31</f>
        <v>46247</v>
      </c>
      <c r="C35">
        <v>290.35000000000002</v>
      </c>
      <c r="D35" s="36">
        <f t="shared" si="0"/>
        <v>-1.2054417082831836E-3</v>
      </c>
      <c r="F35" s="34">
        <f>'Raw Data'!G31</f>
        <v>46247</v>
      </c>
      <c r="G35">
        <f>'Raw Data'!J31</f>
        <v>24395.85</v>
      </c>
      <c r="H35" s="36">
        <f t="shared" si="1"/>
        <v>-1.2235687627197844E-3</v>
      </c>
    </row>
    <row r="36" spans="2:8" x14ac:dyDescent="0.3">
      <c r="B36" s="34">
        <f>'Raw Data'!G32</f>
        <v>46246</v>
      </c>
      <c r="C36">
        <v>290</v>
      </c>
      <c r="D36" s="36">
        <f t="shared" si="0"/>
        <v>1.2068965517242347E-3</v>
      </c>
      <c r="F36" s="34">
        <f>'Raw Data'!G32</f>
        <v>46246</v>
      </c>
      <c r="G36">
        <f>'Raw Data'!J32</f>
        <v>24435.95</v>
      </c>
      <c r="H36" s="36">
        <f t="shared" si="1"/>
        <v>-1.6410248015731321E-3</v>
      </c>
    </row>
    <row r="37" spans="2:8" x14ac:dyDescent="0.3">
      <c r="B37" s="34">
        <f>'Raw Data'!G33</f>
        <v>46245</v>
      </c>
      <c r="C37">
        <v>291.25</v>
      </c>
      <c r="D37" s="36">
        <f t="shared" si="0"/>
        <v>-4.2918454935622075E-3</v>
      </c>
      <c r="F37" s="34">
        <f>'Raw Data'!G33</f>
        <v>46245</v>
      </c>
      <c r="G37">
        <f>'Raw Data'!J33</f>
        <v>24471.7</v>
      </c>
      <c r="H37" s="36">
        <f t="shared" si="1"/>
        <v>-1.4608711286915321E-3</v>
      </c>
    </row>
    <row r="38" spans="2:8" x14ac:dyDescent="0.3">
      <c r="B38" s="34">
        <f>'Raw Data'!G34</f>
        <v>46244</v>
      </c>
      <c r="C38">
        <v>292.5</v>
      </c>
      <c r="D38" s="36">
        <f t="shared" si="0"/>
        <v>-4.2735042735042583E-3</v>
      </c>
      <c r="F38" s="34">
        <f>'Raw Data'!G34</f>
        <v>46244</v>
      </c>
      <c r="G38">
        <f>'Raw Data'!J34</f>
        <v>24583.8</v>
      </c>
      <c r="H38" s="36">
        <f t="shared" si="1"/>
        <v>-4.5599134389312512E-3</v>
      </c>
    </row>
    <row r="39" spans="2:8" x14ac:dyDescent="0.3">
      <c r="B39" s="34">
        <f>'Raw Data'!G35</f>
        <v>46241</v>
      </c>
      <c r="C39">
        <v>291.14999999999998</v>
      </c>
      <c r="D39" s="36">
        <f t="shared" si="0"/>
        <v>4.6367851622874934E-3</v>
      </c>
      <c r="F39" s="34">
        <f>'Raw Data'!G35</f>
        <v>46241</v>
      </c>
      <c r="G39">
        <f>'Raw Data'!J35</f>
        <v>24570.65</v>
      </c>
      <c r="H39" s="36">
        <f t="shared" si="1"/>
        <v>5.3519137670332562E-4</v>
      </c>
    </row>
    <row r="40" spans="2:8" x14ac:dyDescent="0.3">
      <c r="B40" s="34">
        <f>'Raw Data'!G36</f>
        <v>46240</v>
      </c>
      <c r="C40">
        <v>290.75</v>
      </c>
      <c r="D40" s="36">
        <f t="shared" si="0"/>
        <v>1.375752364574323E-3</v>
      </c>
      <c r="F40" s="34">
        <f>'Raw Data'!G36</f>
        <v>46240</v>
      </c>
      <c r="G40">
        <f>'Raw Data'!J36</f>
        <v>24636</v>
      </c>
      <c r="H40" s="36">
        <f t="shared" si="1"/>
        <v>-2.6526221789251458E-3</v>
      </c>
    </row>
    <row r="41" spans="2:8" x14ac:dyDescent="0.3">
      <c r="B41" s="34">
        <f>'Raw Data'!G37</f>
        <v>46239</v>
      </c>
      <c r="C41">
        <v>291.64999999999998</v>
      </c>
      <c r="D41" s="36">
        <f t="shared" si="0"/>
        <v>-3.0858906223212301E-3</v>
      </c>
      <c r="F41" s="34">
        <f>'Raw Data'!G37</f>
        <v>46239</v>
      </c>
      <c r="G41">
        <f>'Raw Data'!J37</f>
        <v>24624.65</v>
      </c>
      <c r="H41" s="36">
        <f t="shared" si="1"/>
        <v>4.6092025673449832E-4</v>
      </c>
    </row>
    <row r="42" spans="2:8" x14ac:dyDescent="0.3">
      <c r="B42" s="34">
        <f>'Raw Data'!G38</f>
        <v>46238</v>
      </c>
      <c r="C42">
        <v>287.89999999999998</v>
      </c>
      <c r="D42" s="36">
        <f t="shared" si="0"/>
        <v>1.3025356026397983E-2</v>
      </c>
      <c r="F42" s="34">
        <f>'Raw Data'!G38</f>
        <v>46238</v>
      </c>
      <c r="G42">
        <f>'Raw Data'!J38</f>
        <v>24614.9</v>
      </c>
      <c r="H42" s="36">
        <f t="shared" si="1"/>
        <v>3.9610154824920585E-4</v>
      </c>
    </row>
    <row r="43" spans="2:8" x14ac:dyDescent="0.3">
      <c r="B43" s="34">
        <f>'Raw Data'!G39</f>
        <v>46237</v>
      </c>
      <c r="C43">
        <v>285.10000000000002</v>
      </c>
      <c r="D43" s="36">
        <f t="shared" si="0"/>
        <v>9.8211153981058175E-3</v>
      </c>
      <c r="F43" s="34">
        <f>'Raw Data'!G39</f>
        <v>46237</v>
      </c>
      <c r="G43">
        <f>'Raw Data'!J39</f>
        <v>24774.3</v>
      </c>
      <c r="H43" s="36">
        <f t="shared" si="1"/>
        <v>-6.4340869368659792E-3</v>
      </c>
    </row>
    <row r="44" spans="2:8" x14ac:dyDescent="0.3">
      <c r="B44" s="34">
        <f>'Raw Data'!G40</f>
        <v>46234</v>
      </c>
      <c r="C44">
        <v>282.39999999999998</v>
      </c>
      <c r="D44" s="36">
        <f t="shared" si="0"/>
        <v>9.5609065155808359E-3</v>
      </c>
      <c r="F44" s="34">
        <f>'Raw Data'!G40</f>
        <v>46234</v>
      </c>
      <c r="G44">
        <f>'Raw Data'!J40</f>
        <v>24383.599999999999</v>
      </c>
      <c r="H44" s="36">
        <f t="shared" si="1"/>
        <v>1.6023064682819665E-2</v>
      </c>
    </row>
    <row r="45" spans="2:8" x14ac:dyDescent="0.3">
      <c r="B45" s="34">
        <f>'Raw Data'!G41</f>
        <v>46233</v>
      </c>
      <c r="C45">
        <v>283.64999999999998</v>
      </c>
      <c r="D45" s="36">
        <f t="shared" si="0"/>
        <v>-4.4068394147717127E-3</v>
      </c>
      <c r="F45" s="34">
        <f>'Raw Data'!G41</f>
        <v>46233</v>
      </c>
      <c r="G45">
        <f>'Raw Data'!J41</f>
        <v>24317.15</v>
      </c>
      <c r="H45" s="36">
        <f t="shared" si="1"/>
        <v>2.7326393101163582E-3</v>
      </c>
    </row>
    <row r="46" spans="2:8" x14ac:dyDescent="0.3">
      <c r="B46" s="34">
        <f>'Raw Data'!G42</f>
        <v>46232</v>
      </c>
      <c r="C46">
        <v>280</v>
      </c>
      <c r="D46" s="36">
        <f t="shared" si="0"/>
        <v>1.3035714285714262E-2</v>
      </c>
      <c r="F46" s="34">
        <f>'Raw Data'!G42</f>
        <v>46232</v>
      </c>
      <c r="G46">
        <f>'Raw Data'!J42</f>
        <v>24250.2</v>
      </c>
      <c r="H46" s="36">
        <f t="shared" si="1"/>
        <v>2.7608019727671795E-3</v>
      </c>
    </row>
    <row r="47" spans="2:8" x14ac:dyDescent="0.3">
      <c r="B47" s="34">
        <f>'Raw Data'!G43</f>
        <v>46231</v>
      </c>
      <c r="C47">
        <v>279.45</v>
      </c>
      <c r="D47" s="36">
        <f t="shared" si="0"/>
        <v>1.9681517266059156E-3</v>
      </c>
      <c r="F47" s="34">
        <f>'Raw Data'!G43</f>
        <v>46231</v>
      </c>
      <c r="G47">
        <f>'Raw Data'!J43</f>
        <v>23985.35</v>
      </c>
      <c r="H47" s="36">
        <f t="shared" si="1"/>
        <v>1.1042156983325224E-2</v>
      </c>
    </row>
    <row r="48" spans="2:8" x14ac:dyDescent="0.3">
      <c r="B48" s="34">
        <f>'Raw Data'!G44</f>
        <v>46230</v>
      </c>
      <c r="C48">
        <v>280.7</v>
      </c>
      <c r="D48" s="36">
        <f t="shared" si="0"/>
        <v>-4.4531528322051539E-3</v>
      </c>
      <c r="F48" s="34">
        <f>'Raw Data'!G44</f>
        <v>46230</v>
      </c>
      <c r="G48">
        <f>'Raw Data'!J44</f>
        <v>23995.95</v>
      </c>
      <c r="H48" s="36">
        <f t="shared" si="1"/>
        <v>-4.4174121049600501E-4</v>
      </c>
    </row>
    <row r="49" spans="2:8" x14ac:dyDescent="0.3">
      <c r="B49" s="34">
        <f>'Raw Data'!G45</f>
        <v>46227</v>
      </c>
      <c r="C49">
        <v>280.3</v>
      </c>
      <c r="D49" s="36">
        <f t="shared" si="0"/>
        <v>1.4270424545128613E-3</v>
      </c>
      <c r="F49" s="34">
        <f>'Raw Data'!G45</f>
        <v>46227</v>
      </c>
      <c r="G49">
        <f>'Raw Data'!J45</f>
        <v>23767.45</v>
      </c>
      <c r="H49" s="36">
        <f t="shared" si="1"/>
        <v>9.6139888797495132E-3</v>
      </c>
    </row>
    <row r="50" spans="2:8" x14ac:dyDescent="0.3">
      <c r="B50" s="34">
        <f>'Raw Data'!G46</f>
        <v>46226</v>
      </c>
      <c r="C50">
        <v>277</v>
      </c>
      <c r="D50" s="36">
        <f t="shared" si="0"/>
        <v>1.1913357400721969E-2</v>
      </c>
      <c r="F50" s="34">
        <f>'Raw Data'!G46</f>
        <v>46226</v>
      </c>
      <c r="G50">
        <f>'Raw Data'!J46</f>
        <v>23869.599999999999</v>
      </c>
      <c r="H50" s="36">
        <f t="shared" si="1"/>
        <v>-4.2795019606527429E-3</v>
      </c>
    </row>
    <row r="51" spans="2:8" x14ac:dyDescent="0.3">
      <c r="B51" s="34">
        <f>'Raw Data'!G47</f>
        <v>46225</v>
      </c>
      <c r="C51">
        <v>283.25</v>
      </c>
      <c r="D51" s="36">
        <f t="shared" si="0"/>
        <v>-2.206531332744921E-2</v>
      </c>
      <c r="F51" s="34">
        <f>'Raw Data'!G47</f>
        <v>46225</v>
      </c>
      <c r="G51">
        <f>'Raw Data'!J47</f>
        <v>23996.25</v>
      </c>
      <c r="H51" s="36">
        <f t="shared" si="1"/>
        <v>-5.2779080064594419E-3</v>
      </c>
    </row>
    <row r="52" spans="2:8" x14ac:dyDescent="0.3">
      <c r="B52" s="34">
        <f>'Raw Data'!G48</f>
        <v>46224</v>
      </c>
      <c r="C52">
        <v>279.64999999999998</v>
      </c>
      <c r="D52" s="36">
        <f t="shared" si="0"/>
        <v>1.2873234400143208E-2</v>
      </c>
      <c r="F52" s="34">
        <f>'Raw Data'!G48</f>
        <v>46224</v>
      </c>
      <c r="G52">
        <f>'Raw Data'!J48</f>
        <v>24187.7</v>
      </c>
      <c r="H52" s="36">
        <f t="shared" si="1"/>
        <v>-7.9151800295191865E-3</v>
      </c>
    </row>
    <row r="53" spans="2:8" x14ac:dyDescent="0.3">
      <c r="B53" s="34">
        <f>'Raw Data'!G49</f>
        <v>46223</v>
      </c>
      <c r="C53">
        <v>286.89999999999998</v>
      </c>
      <c r="D53" s="36">
        <f t="shared" si="0"/>
        <v>-2.5270128964796079E-2</v>
      </c>
      <c r="F53" s="34">
        <f>'Raw Data'!G49</f>
        <v>46223</v>
      </c>
      <c r="G53">
        <f>'Raw Data'!J49</f>
        <v>24238.5</v>
      </c>
      <c r="H53" s="36">
        <f t="shared" si="1"/>
        <v>-2.0958392639808254E-3</v>
      </c>
    </row>
    <row r="54" spans="2:8" x14ac:dyDescent="0.3">
      <c r="B54" s="34">
        <f>'Raw Data'!G50</f>
        <v>46220</v>
      </c>
      <c r="C54">
        <v>291.95</v>
      </c>
      <c r="D54" s="36">
        <f t="shared" si="0"/>
        <v>-1.7297482445624235E-2</v>
      </c>
      <c r="F54" s="34">
        <f>'Raw Data'!G50</f>
        <v>46220</v>
      </c>
      <c r="G54">
        <f>'Raw Data'!J50</f>
        <v>24334.3</v>
      </c>
      <c r="H54" s="36">
        <f t="shared" si="1"/>
        <v>-3.9368299067571444E-3</v>
      </c>
    </row>
    <row r="55" spans="2:8" x14ac:dyDescent="0.3">
      <c r="B55" s="34">
        <f>'Raw Data'!G51</f>
        <v>46219</v>
      </c>
      <c r="C55">
        <v>301.64999999999998</v>
      </c>
      <c r="D55" s="36">
        <f t="shared" si="0"/>
        <v>-3.2156472733300134E-2</v>
      </c>
      <c r="F55" s="34">
        <f>'Raw Data'!G51</f>
        <v>46219</v>
      </c>
      <c r="G55">
        <f>'Raw Data'!J51</f>
        <v>24072.75</v>
      </c>
      <c r="H55" s="36">
        <f t="shared" si="1"/>
        <v>1.0864982189404904E-2</v>
      </c>
    </row>
    <row r="56" spans="2:8" x14ac:dyDescent="0.3">
      <c r="B56" s="34">
        <f>'Raw Data'!G52</f>
        <v>46218</v>
      </c>
      <c r="C56">
        <v>303.95</v>
      </c>
      <c r="D56" s="36">
        <f t="shared" si="0"/>
        <v>-7.5670340516532653E-3</v>
      </c>
      <c r="F56" s="34">
        <f>'Raw Data'!G52</f>
        <v>46218</v>
      </c>
      <c r="G56">
        <f>'Raw Data'!J52</f>
        <v>24078.5</v>
      </c>
      <c r="H56" s="36">
        <f t="shared" si="1"/>
        <v>-2.3880225097083763E-4</v>
      </c>
    </row>
    <row r="57" spans="2:8" x14ac:dyDescent="0.3">
      <c r="B57" s="34">
        <f>'Raw Data'!G53</f>
        <v>46217</v>
      </c>
      <c r="C57">
        <v>301.7</v>
      </c>
      <c r="D57" s="36">
        <f t="shared" si="0"/>
        <v>7.4577394763009064E-3</v>
      </c>
      <c r="F57" s="34">
        <f>'Raw Data'!G53</f>
        <v>46217</v>
      </c>
      <c r="G57">
        <f>'Raw Data'!J53</f>
        <v>24052.05</v>
      </c>
      <c r="H57" s="36">
        <f t="shared" si="1"/>
        <v>1.0996983625095602E-3</v>
      </c>
    </row>
    <row r="58" spans="2:8" x14ac:dyDescent="0.3">
      <c r="B58" s="34">
        <f>'Raw Data'!G54</f>
        <v>46216</v>
      </c>
      <c r="C58">
        <v>308.05</v>
      </c>
      <c r="D58" s="36">
        <f t="shared" si="0"/>
        <v>-2.0613536763512519E-2</v>
      </c>
      <c r="F58" s="34">
        <f>'Raw Data'!G54</f>
        <v>46216</v>
      </c>
      <c r="G58">
        <f>'Raw Data'!J54</f>
        <v>24211</v>
      </c>
      <c r="H58" s="36">
        <f t="shared" si="1"/>
        <v>-6.5651976374375698E-3</v>
      </c>
    </row>
    <row r="59" spans="2:8" x14ac:dyDescent="0.3">
      <c r="B59" s="34">
        <f>'Raw Data'!G55</f>
        <v>46213</v>
      </c>
      <c r="C59">
        <v>307.55</v>
      </c>
      <c r="D59" s="36">
        <f t="shared" si="0"/>
        <v>1.6257519102584883E-3</v>
      </c>
      <c r="F59" s="34">
        <f>'Raw Data'!G55</f>
        <v>46213</v>
      </c>
      <c r="G59">
        <f>'Raw Data'!J55</f>
        <v>24206.9</v>
      </c>
      <c r="H59" s="36">
        <f t="shared" si="1"/>
        <v>1.6937319524590322E-4</v>
      </c>
    </row>
    <row r="60" spans="2:8" x14ac:dyDescent="0.3">
      <c r="B60" s="34">
        <f>'Raw Data'!G56</f>
        <v>46212</v>
      </c>
      <c r="C60">
        <v>310.3</v>
      </c>
      <c r="D60" s="36">
        <f t="shared" si="0"/>
        <v>-8.8623912342894462E-3</v>
      </c>
      <c r="F60" s="34">
        <f>'Raw Data'!G56</f>
        <v>46212</v>
      </c>
      <c r="G60">
        <f>'Raw Data'!J56</f>
        <v>23962.799999999999</v>
      </c>
      <c r="H60" s="36">
        <f t="shared" si="1"/>
        <v>1.0186622598360895E-2</v>
      </c>
    </row>
    <row r="61" spans="2:8" x14ac:dyDescent="0.3">
      <c r="B61" s="34">
        <f>'Raw Data'!G57</f>
        <v>46211</v>
      </c>
      <c r="C61">
        <v>310.14999999999998</v>
      </c>
      <c r="D61" s="36">
        <f t="shared" si="0"/>
        <v>4.8363694986308658E-4</v>
      </c>
      <c r="F61" s="34">
        <f>'Raw Data'!G57</f>
        <v>46211</v>
      </c>
      <c r="G61">
        <f>'Raw Data'!J57</f>
        <v>23882.05</v>
      </c>
      <c r="H61" s="36">
        <f t="shared" si="1"/>
        <v>3.3812005250806187E-3</v>
      </c>
    </row>
    <row r="62" spans="2:8" x14ac:dyDescent="0.3">
      <c r="B62" s="34">
        <f>'Raw Data'!G58</f>
        <v>46210</v>
      </c>
      <c r="C62">
        <v>309.45</v>
      </c>
      <c r="D62" s="36">
        <f t="shared" si="0"/>
        <v>2.2620778801099028E-3</v>
      </c>
      <c r="F62" s="34">
        <f>'Raw Data'!G58</f>
        <v>46210</v>
      </c>
      <c r="G62">
        <f>'Raw Data'!J58</f>
        <v>24398.7</v>
      </c>
      <c r="H62" s="36">
        <f t="shared" si="1"/>
        <v>-2.1175308520535951E-2</v>
      </c>
    </row>
    <row r="63" spans="2:8" x14ac:dyDescent="0.3">
      <c r="B63" s="34">
        <f>'Raw Data'!G59</f>
        <v>46209</v>
      </c>
      <c r="C63">
        <v>307.2</v>
      </c>
      <c r="D63" s="36">
        <f t="shared" si="0"/>
        <v>7.32421875E-3</v>
      </c>
      <c r="F63" s="34">
        <f>'Raw Data'!G59</f>
        <v>46209</v>
      </c>
      <c r="G63">
        <f>'Raw Data'!J59</f>
        <v>24430.35</v>
      </c>
      <c r="H63" s="36">
        <f t="shared" si="1"/>
        <v>-1.2955197121612416E-3</v>
      </c>
    </row>
    <row r="64" spans="2:8" x14ac:dyDescent="0.3">
      <c r="B64" s="34">
        <f>'Raw Data'!G60</f>
        <v>46206</v>
      </c>
      <c r="C64">
        <v>304.45</v>
      </c>
      <c r="D64" s="36">
        <f t="shared" si="0"/>
        <v>9.0326818853669888E-3</v>
      </c>
      <c r="F64" s="34">
        <f>'Raw Data'!G60</f>
        <v>46206</v>
      </c>
      <c r="G64">
        <f>'Raw Data'!J60</f>
        <v>24270.85</v>
      </c>
      <c r="H64" s="36">
        <f t="shared" si="1"/>
        <v>6.5716693070081433E-3</v>
      </c>
    </row>
    <row r="65" spans="2:8" x14ac:dyDescent="0.3">
      <c r="B65" s="34">
        <f>'Raw Data'!G61</f>
        <v>46205</v>
      </c>
      <c r="C65">
        <v>300.7</v>
      </c>
      <c r="D65" s="36">
        <f t="shared" si="0"/>
        <v>1.2470901230462239E-2</v>
      </c>
      <c r="F65" s="34">
        <f>'Raw Data'!G61</f>
        <v>46205</v>
      </c>
      <c r="G65">
        <f>'Raw Data'!J61</f>
        <v>24175.7</v>
      </c>
      <c r="H65" s="36">
        <f t="shared" si="1"/>
        <v>3.9357702155469187E-3</v>
      </c>
    </row>
    <row r="66" spans="2:8" x14ac:dyDescent="0.3">
      <c r="B66" s="34">
        <f>'Raw Data'!G62</f>
        <v>46204</v>
      </c>
      <c r="C66">
        <v>305.85000000000002</v>
      </c>
      <c r="D66" s="36">
        <f t="shared" si="0"/>
        <v>-1.683831943763292E-2</v>
      </c>
      <c r="F66" s="34">
        <f>'Raw Data'!G62</f>
        <v>46204</v>
      </c>
      <c r="G66">
        <f>'Raw Data'!J62</f>
        <v>24005.85</v>
      </c>
      <c r="H66" s="36">
        <f t="shared" si="1"/>
        <v>7.0753587146468178E-3</v>
      </c>
    </row>
    <row r="67" spans="2:8" x14ac:dyDescent="0.3">
      <c r="B67" s="34">
        <f>'Raw Data'!G63</f>
        <v>46203</v>
      </c>
      <c r="C67">
        <v>307.45</v>
      </c>
      <c r="D67" s="36">
        <f t="shared" si="0"/>
        <v>-5.2040982273539038E-3</v>
      </c>
      <c r="F67" s="34">
        <f>'Raw Data'!G63</f>
        <v>46203</v>
      </c>
      <c r="G67">
        <f>'Raw Data'!J63</f>
        <v>23865.75</v>
      </c>
      <c r="H67" s="36">
        <f t="shared" si="1"/>
        <v>5.8703371987052222E-3</v>
      </c>
    </row>
    <row r="68" spans="2:8" x14ac:dyDescent="0.3">
      <c r="B68" s="34">
        <f>'Raw Data'!G64</f>
        <v>46202</v>
      </c>
      <c r="C68">
        <v>307.39999999999998</v>
      </c>
      <c r="D68" s="36">
        <f t="shared" si="0"/>
        <v>1.6265452179564655E-4</v>
      </c>
      <c r="F68" s="34">
        <f>'Raw Data'!G64</f>
        <v>46202</v>
      </c>
      <c r="G68">
        <f>'Raw Data'!J64</f>
        <v>23946.25</v>
      </c>
      <c r="H68" s="36">
        <f t="shared" si="1"/>
        <v>-3.3616954637991636E-3</v>
      </c>
    </row>
    <row r="69" spans="2:8" x14ac:dyDescent="0.3">
      <c r="B69" s="34">
        <f>'Raw Data'!G65</f>
        <v>46198</v>
      </c>
      <c r="C69">
        <v>310.7</v>
      </c>
      <c r="D69" s="36">
        <f t="shared" si="0"/>
        <v>-1.0621177985194796E-2</v>
      </c>
      <c r="F69" s="34">
        <f>'Raw Data'!G65</f>
        <v>46198</v>
      </c>
      <c r="G69">
        <f>'Raw Data'!J65</f>
        <v>24056</v>
      </c>
      <c r="H69" s="36">
        <f t="shared" si="1"/>
        <v>-4.5622713668107551E-3</v>
      </c>
    </row>
    <row r="70" spans="2:8" x14ac:dyDescent="0.3">
      <c r="B70" s="34">
        <f>'Raw Data'!G66</f>
        <v>46197</v>
      </c>
      <c r="C70">
        <v>311.45</v>
      </c>
      <c r="D70" s="36">
        <f t="shared" si="0"/>
        <v>-2.4080911863862964E-3</v>
      </c>
      <c r="F70" s="34">
        <f>'Raw Data'!G66</f>
        <v>46197</v>
      </c>
      <c r="G70">
        <f>'Raw Data'!J66</f>
        <v>24021.65</v>
      </c>
      <c r="H70" s="36">
        <f t="shared" si="1"/>
        <v>1.4299600568652426E-3</v>
      </c>
    </row>
    <row r="71" spans="2:8" x14ac:dyDescent="0.3">
      <c r="B71" s="34">
        <f>'Raw Data'!G67</f>
        <v>46196</v>
      </c>
      <c r="C71">
        <v>311.10000000000002</v>
      </c>
      <c r="D71" s="36">
        <f t="shared" si="0"/>
        <v>1.1250401800062537E-3</v>
      </c>
      <c r="F71" s="34">
        <f>'Raw Data'!G67</f>
        <v>46196</v>
      </c>
      <c r="G71">
        <f>'Raw Data'!J67</f>
        <v>23824.1</v>
      </c>
      <c r="H71" s="36">
        <f t="shared" si="1"/>
        <v>8.2920236231380784E-3</v>
      </c>
    </row>
    <row r="72" spans="2:8" x14ac:dyDescent="0.3">
      <c r="B72" s="34">
        <f>'Raw Data'!G68</f>
        <v>46195</v>
      </c>
      <c r="C72">
        <v>314.89999999999998</v>
      </c>
      <c r="D72" s="36">
        <f t="shared" si="0"/>
        <v>-1.2067322959669613E-2</v>
      </c>
      <c r="F72" s="34">
        <f>'Raw Data'!G68</f>
        <v>46195</v>
      </c>
      <c r="G72">
        <f>'Raw Data'!J68</f>
        <v>24102.9</v>
      </c>
      <c r="H72" s="36">
        <f t="shared" si="1"/>
        <v>-1.1567072841857318E-2</v>
      </c>
    </row>
    <row r="73" spans="2:8" x14ac:dyDescent="0.3">
      <c r="B73" s="34">
        <f>'Raw Data'!G69</f>
        <v>46192</v>
      </c>
      <c r="C73">
        <v>316.25</v>
      </c>
      <c r="D73" s="36">
        <f t="shared" si="0"/>
        <v>-4.2687747035573542E-3</v>
      </c>
      <c r="F73" s="34">
        <f>'Raw Data'!G69</f>
        <v>46192</v>
      </c>
      <c r="G73">
        <f>'Raw Data'!J69</f>
        <v>24013.1</v>
      </c>
      <c r="H73" s="36">
        <f t="shared" si="1"/>
        <v>3.7396254544395102E-3</v>
      </c>
    </row>
    <row r="74" spans="2:8" x14ac:dyDescent="0.3">
      <c r="B74" s="34">
        <f>'Raw Data'!G70</f>
        <v>46191</v>
      </c>
      <c r="C74">
        <v>304.45</v>
      </c>
      <c r="D74" s="36">
        <f t="shared" si="0"/>
        <v>3.8758416817211483E-2</v>
      </c>
      <c r="F74" s="34">
        <f>'Raw Data'!G70</f>
        <v>46191</v>
      </c>
      <c r="G74">
        <f>'Raw Data'!J70</f>
        <v>24168</v>
      </c>
      <c r="H74" s="36">
        <f t="shared" si="1"/>
        <v>-6.4093015557763477E-3</v>
      </c>
    </row>
    <row r="75" spans="2:8" x14ac:dyDescent="0.3">
      <c r="B75" s="34">
        <f>'Raw Data'!G71</f>
        <v>46190</v>
      </c>
      <c r="C75">
        <v>303.85000000000002</v>
      </c>
      <c r="D75" s="36">
        <f t="shared" si="0"/>
        <v>1.9746585486257739E-3</v>
      </c>
      <c r="F75" s="34">
        <f>'Raw Data'!G71</f>
        <v>46190</v>
      </c>
      <c r="G75">
        <f>'Raw Data'!J71</f>
        <v>24085.7</v>
      </c>
      <c r="H75" s="36">
        <f t="shared" si="1"/>
        <v>3.4169652532414219E-3</v>
      </c>
    </row>
    <row r="76" spans="2:8" x14ac:dyDescent="0.3">
      <c r="B76" s="34">
        <f>'Raw Data'!G72</f>
        <v>46189</v>
      </c>
      <c r="C76">
        <v>301.60000000000002</v>
      </c>
      <c r="D76" s="36">
        <f t="shared" ref="D76:D139" si="2">C75/C76-1</f>
        <v>7.4602122015914318E-3</v>
      </c>
      <c r="F76" s="34">
        <f>'Raw Data'!G72</f>
        <v>46189</v>
      </c>
      <c r="G76">
        <f>'Raw Data'!J72</f>
        <v>23989.15</v>
      </c>
      <c r="H76" s="36">
        <f t="shared" ref="H76:H139" si="3">G75/G76-1</f>
        <v>4.0247361828158468E-3</v>
      </c>
    </row>
    <row r="77" spans="2:8" x14ac:dyDescent="0.3">
      <c r="B77" s="34">
        <f>'Raw Data'!G73</f>
        <v>46188</v>
      </c>
      <c r="C77">
        <v>305.3</v>
      </c>
      <c r="D77" s="36">
        <f t="shared" si="2"/>
        <v>-1.2119226989846021E-2</v>
      </c>
      <c r="F77" s="34">
        <f>'Raw Data'!G73</f>
        <v>46188</v>
      </c>
      <c r="G77">
        <f>'Raw Data'!J73</f>
        <v>23853.9</v>
      </c>
      <c r="H77" s="36">
        <f t="shared" si="3"/>
        <v>5.6699323800299961E-3</v>
      </c>
    </row>
    <row r="78" spans="2:8" x14ac:dyDescent="0.3">
      <c r="B78" s="34">
        <f>'Raw Data'!G74</f>
        <v>46185</v>
      </c>
      <c r="C78">
        <v>305.5</v>
      </c>
      <c r="D78" s="36">
        <f t="shared" si="2"/>
        <v>-6.5466448445172798E-4</v>
      </c>
      <c r="F78" s="34">
        <f>'Raw Data'!G74</f>
        <v>46185</v>
      </c>
      <c r="G78">
        <f>'Raw Data'!J74</f>
        <v>23622.9</v>
      </c>
      <c r="H78" s="36">
        <f t="shared" si="3"/>
        <v>9.7786469908436313E-3</v>
      </c>
    </row>
    <row r="79" spans="2:8" x14ac:dyDescent="0.3">
      <c r="B79" s="34">
        <f>'Raw Data'!G75</f>
        <v>46184</v>
      </c>
      <c r="C79">
        <v>309.64999999999998</v>
      </c>
      <c r="D79" s="36">
        <f t="shared" si="2"/>
        <v>-1.3402228322299314E-2</v>
      </c>
      <c r="F79" s="34">
        <f>'Raw Data'!G75</f>
        <v>46184</v>
      </c>
      <c r="G79">
        <f>'Raw Data'!J75</f>
        <v>23161.599999999999</v>
      </c>
      <c r="H79" s="36">
        <f t="shared" si="3"/>
        <v>1.9916586073501108E-2</v>
      </c>
    </row>
    <row r="80" spans="2:8" x14ac:dyDescent="0.3">
      <c r="B80" s="34">
        <f>'Raw Data'!G76</f>
        <v>46183</v>
      </c>
      <c r="C80">
        <v>305</v>
      </c>
      <c r="D80" s="36">
        <f t="shared" si="2"/>
        <v>1.524590163934425E-2</v>
      </c>
      <c r="F80" s="34">
        <f>'Raw Data'!G76</f>
        <v>46183</v>
      </c>
      <c r="G80">
        <f>'Raw Data'!J76</f>
        <v>23214.95</v>
      </c>
      <c r="H80" s="36">
        <f t="shared" si="3"/>
        <v>-2.2980880854794883E-3</v>
      </c>
    </row>
    <row r="81" spans="2:8" x14ac:dyDescent="0.3">
      <c r="B81" s="34">
        <f>'Raw Data'!G77</f>
        <v>46182</v>
      </c>
      <c r="C81">
        <v>306.8</v>
      </c>
      <c r="D81" s="36">
        <f t="shared" si="2"/>
        <v>-5.8670143415906484E-3</v>
      </c>
      <c r="F81" s="34">
        <f>'Raw Data'!G77</f>
        <v>46182</v>
      </c>
      <c r="G81">
        <f>'Raw Data'!J77</f>
        <v>23242.1</v>
      </c>
      <c r="H81" s="36">
        <f t="shared" si="3"/>
        <v>-1.1681388514805935E-3</v>
      </c>
    </row>
    <row r="82" spans="2:8" x14ac:dyDescent="0.3">
      <c r="B82" s="34">
        <f>'Raw Data'!G78</f>
        <v>46181</v>
      </c>
      <c r="C82">
        <v>303.39999999999998</v>
      </c>
      <c r="D82" s="36">
        <f t="shared" si="2"/>
        <v>1.1206328279499189E-2</v>
      </c>
      <c r="F82" s="34">
        <f>'Raw Data'!G78</f>
        <v>46181</v>
      </c>
      <c r="G82">
        <f>'Raw Data'!J78</f>
        <v>23123</v>
      </c>
      <c r="H82" s="36">
        <f t="shared" si="3"/>
        <v>5.1507157375771939E-3</v>
      </c>
    </row>
    <row r="83" spans="2:8" x14ac:dyDescent="0.3">
      <c r="B83" s="34">
        <f>'Raw Data'!G79</f>
        <v>46178</v>
      </c>
      <c r="C83">
        <v>302.05</v>
      </c>
      <c r="D83" s="36">
        <f t="shared" si="2"/>
        <v>4.4694586988907048E-3</v>
      </c>
      <c r="F83" s="34">
        <f>'Raw Data'!G79</f>
        <v>46178</v>
      </c>
      <c r="G83">
        <f>'Raw Data'!J79</f>
        <v>23366.7</v>
      </c>
      <c r="H83" s="36">
        <f t="shared" si="3"/>
        <v>-1.0429371712736502E-2</v>
      </c>
    </row>
    <row r="84" spans="2:8" x14ac:dyDescent="0.3">
      <c r="B84" s="34">
        <f>'Raw Data'!G80</f>
        <v>46177</v>
      </c>
      <c r="C84">
        <v>298.64999999999998</v>
      </c>
      <c r="D84" s="36">
        <f t="shared" si="2"/>
        <v>1.1384563870751929E-2</v>
      </c>
      <c r="F84" s="34">
        <f>'Raw Data'!G80</f>
        <v>46177</v>
      </c>
      <c r="G84">
        <f>'Raw Data'!J80</f>
        <v>23416.55</v>
      </c>
      <c r="H84" s="36">
        <f t="shared" si="3"/>
        <v>-2.1288362290772245E-3</v>
      </c>
    </row>
    <row r="85" spans="2:8" x14ac:dyDescent="0.3">
      <c r="B85" s="34">
        <f>'Raw Data'!G81</f>
        <v>46176</v>
      </c>
      <c r="C85">
        <v>304.25</v>
      </c>
      <c r="D85" s="36">
        <f t="shared" si="2"/>
        <v>-1.8405916187345994E-2</v>
      </c>
      <c r="F85" s="34">
        <f>'Raw Data'!G81</f>
        <v>46176</v>
      </c>
      <c r="G85">
        <f>'Raw Data'!J81</f>
        <v>23405.599999999999</v>
      </c>
      <c r="H85" s="36">
        <f t="shared" si="3"/>
        <v>4.6783675701544958E-4</v>
      </c>
    </row>
    <row r="86" spans="2:8" x14ac:dyDescent="0.3">
      <c r="B86" s="34">
        <f>'Raw Data'!G82</f>
        <v>46175</v>
      </c>
      <c r="C86">
        <v>303</v>
      </c>
      <c r="D86" s="36">
        <f t="shared" si="2"/>
        <v>4.1254125412542031E-3</v>
      </c>
      <c r="F86" s="34">
        <f>'Raw Data'!G82</f>
        <v>46175</v>
      </c>
      <c r="G86">
        <f>'Raw Data'!J82</f>
        <v>23483.55</v>
      </c>
      <c r="H86" s="36">
        <f t="shared" si="3"/>
        <v>-3.3193448179683616E-3</v>
      </c>
    </row>
    <row r="87" spans="2:8" x14ac:dyDescent="0.3">
      <c r="B87" s="34">
        <f>'Raw Data'!G83</f>
        <v>46174</v>
      </c>
      <c r="C87">
        <v>302.45</v>
      </c>
      <c r="D87" s="36">
        <f t="shared" si="2"/>
        <v>1.8184823937841266E-3</v>
      </c>
      <c r="F87" s="34">
        <f>'Raw Data'!G83</f>
        <v>46174</v>
      </c>
      <c r="G87">
        <f>'Raw Data'!J83</f>
        <v>23382.6</v>
      </c>
      <c r="H87" s="36">
        <f t="shared" si="3"/>
        <v>4.3173128736753164E-3</v>
      </c>
    </row>
    <row r="88" spans="2:8" x14ac:dyDescent="0.3">
      <c r="B88" s="34">
        <f>'Raw Data'!G84</f>
        <v>46171</v>
      </c>
      <c r="C88">
        <v>298.45</v>
      </c>
      <c r="D88" s="36">
        <f t="shared" si="2"/>
        <v>1.3402579996649289E-2</v>
      </c>
      <c r="F88" s="34">
        <f>'Raw Data'!G84</f>
        <v>46171</v>
      </c>
      <c r="G88">
        <f>'Raw Data'!J84</f>
        <v>23547.75</v>
      </c>
      <c r="H88" s="36">
        <f t="shared" si="3"/>
        <v>-7.0134089244195952E-3</v>
      </c>
    </row>
    <row r="89" spans="2:8" x14ac:dyDescent="0.3">
      <c r="B89" s="34">
        <f>'Raw Data'!G85</f>
        <v>46169</v>
      </c>
      <c r="C89">
        <v>294.85000000000002</v>
      </c>
      <c r="D89" s="36">
        <f t="shared" si="2"/>
        <v>1.220959810072908E-2</v>
      </c>
      <c r="F89" s="34">
        <f>'Raw Data'!G85</f>
        <v>46169</v>
      </c>
      <c r="G89">
        <f>'Raw Data'!J85</f>
        <v>23907.15</v>
      </c>
      <c r="H89" s="36">
        <f t="shared" si="3"/>
        <v>-1.5033159535954743E-2</v>
      </c>
    </row>
    <row r="90" spans="2:8" x14ac:dyDescent="0.3">
      <c r="B90" s="34">
        <f>'Raw Data'!G86</f>
        <v>46168</v>
      </c>
      <c r="C90">
        <v>292.85000000000002</v>
      </c>
      <c r="D90" s="36">
        <f t="shared" si="2"/>
        <v>6.829434864265016E-3</v>
      </c>
      <c r="F90" s="34">
        <f>'Raw Data'!G86</f>
        <v>46168</v>
      </c>
      <c r="G90">
        <f>'Raw Data'!J86</f>
        <v>23913.7</v>
      </c>
      <c r="H90" s="36">
        <f t="shared" si="3"/>
        <v>-2.7390157106588209E-4</v>
      </c>
    </row>
    <row r="91" spans="2:8" x14ac:dyDescent="0.3">
      <c r="B91" s="34">
        <f>'Raw Data'!G87</f>
        <v>46167</v>
      </c>
      <c r="C91">
        <v>291.7</v>
      </c>
      <c r="D91" s="36">
        <f t="shared" si="2"/>
        <v>3.9424065821049847E-3</v>
      </c>
      <c r="F91" s="34">
        <f>'Raw Data'!G87</f>
        <v>46167</v>
      </c>
      <c r="G91">
        <f>'Raw Data'!J87</f>
        <v>24031.7</v>
      </c>
      <c r="H91" s="36">
        <f t="shared" si="3"/>
        <v>-4.9101811357498137E-3</v>
      </c>
    </row>
    <row r="92" spans="2:8" x14ac:dyDescent="0.3">
      <c r="B92" s="34">
        <f>'Raw Data'!G88</f>
        <v>46164</v>
      </c>
      <c r="C92">
        <v>287.7</v>
      </c>
      <c r="D92" s="36">
        <f t="shared" si="2"/>
        <v>1.3903371567605127E-2</v>
      </c>
      <c r="F92" s="34">
        <f>'Raw Data'!G88</f>
        <v>46164</v>
      </c>
      <c r="G92">
        <f>'Raw Data'!J88</f>
        <v>23719.3</v>
      </c>
      <c r="H92" s="36">
        <f t="shared" si="3"/>
        <v>1.3170709085006838E-2</v>
      </c>
    </row>
    <row r="93" spans="2:8" x14ac:dyDescent="0.3">
      <c r="B93" s="34">
        <f>'Raw Data'!G89</f>
        <v>46163</v>
      </c>
      <c r="C93">
        <v>294.7</v>
      </c>
      <c r="D93" s="36">
        <f t="shared" si="2"/>
        <v>-2.3752969121140111E-2</v>
      </c>
      <c r="F93" s="34">
        <f>'Raw Data'!G89</f>
        <v>46163</v>
      </c>
      <c r="G93">
        <f>'Raw Data'!J89</f>
        <v>23654.7</v>
      </c>
      <c r="H93" s="36">
        <f t="shared" si="3"/>
        <v>2.7309583296342144E-3</v>
      </c>
    </row>
    <row r="94" spans="2:8" x14ac:dyDescent="0.3">
      <c r="B94" s="34">
        <f>'Raw Data'!G90</f>
        <v>46162</v>
      </c>
      <c r="C94">
        <v>295.7</v>
      </c>
      <c r="D94" s="36">
        <f t="shared" si="2"/>
        <v>-3.3818058843422261E-3</v>
      </c>
      <c r="F94" s="34">
        <f>'Raw Data'!G90</f>
        <v>46162</v>
      </c>
      <c r="G94">
        <f>'Raw Data'!J90</f>
        <v>23659</v>
      </c>
      <c r="H94" s="36">
        <f t="shared" si="3"/>
        <v>-1.8174901728729154E-4</v>
      </c>
    </row>
    <row r="95" spans="2:8" x14ac:dyDescent="0.3">
      <c r="B95" s="34">
        <f>'Raw Data'!G91</f>
        <v>46161</v>
      </c>
      <c r="C95">
        <v>291.25</v>
      </c>
      <c r="D95" s="36">
        <f t="shared" si="2"/>
        <v>1.5278969957081445E-2</v>
      </c>
      <c r="F95" s="34">
        <f>'Raw Data'!G91</f>
        <v>46161</v>
      </c>
      <c r="G95">
        <f>'Raw Data'!J91</f>
        <v>23618</v>
      </c>
      <c r="H95" s="36">
        <f t="shared" si="3"/>
        <v>1.7359640951817301E-3</v>
      </c>
    </row>
    <row r="96" spans="2:8" x14ac:dyDescent="0.3">
      <c r="B96" s="34">
        <f>'Raw Data'!G92</f>
        <v>46160</v>
      </c>
      <c r="C96">
        <v>290.45</v>
      </c>
      <c r="D96" s="36">
        <f t="shared" si="2"/>
        <v>2.7543467033912528E-3</v>
      </c>
      <c r="F96" s="34">
        <f>'Raw Data'!G92</f>
        <v>46160</v>
      </c>
      <c r="G96">
        <f>'Raw Data'!J92</f>
        <v>23649.95</v>
      </c>
      <c r="H96" s="36">
        <f t="shared" si="3"/>
        <v>-1.3509542303472566E-3</v>
      </c>
    </row>
    <row r="97" spans="2:8" x14ac:dyDescent="0.3">
      <c r="B97" s="34">
        <f>'Raw Data'!G93</f>
        <v>46157</v>
      </c>
      <c r="C97">
        <v>299.95</v>
      </c>
      <c r="D97" s="36">
        <f t="shared" si="2"/>
        <v>-3.1671945324220685E-2</v>
      </c>
      <c r="F97" s="34">
        <f>'Raw Data'!G93</f>
        <v>46157</v>
      </c>
      <c r="G97">
        <f>'Raw Data'!J93</f>
        <v>23643.5</v>
      </c>
      <c r="H97" s="36">
        <f t="shared" si="3"/>
        <v>2.7280225008996517E-4</v>
      </c>
    </row>
    <row r="98" spans="2:8" x14ac:dyDescent="0.3">
      <c r="B98" s="34">
        <f>'Raw Data'!G94</f>
        <v>46156</v>
      </c>
      <c r="C98">
        <v>298</v>
      </c>
      <c r="D98" s="36">
        <f t="shared" si="2"/>
        <v>6.5436241610736801E-3</v>
      </c>
      <c r="F98" s="34">
        <f>'Raw Data'!G94</f>
        <v>46156</v>
      </c>
      <c r="G98">
        <f>'Raw Data'!J94</f>
        <v>23689.599999999999</v>
      </c>
      <c r="H98" s="36">
        <f t="shared" si="3"/>
        <v>-1.946001620964366E-3</v>
      </c>
    </row>
    <row r="99" spans="2:8" x14ac:dyDescent="0.3">
      <c r="B99" s="34">
        <f>'Raw Data'!G95</f>
        <v>46155</v>
      </c>
      <c r="C99">
        <v>304.05</v>
      </c>
      <c r="D99" s="36">
        <f t="shared" si="2"/>
        <v>-1.9898043085018968E-2</v>
      </c>
      <c r="F99" s="34">
        <f>'Raw Data'!G95</f>
        <v>46155</v>
      </c>
      <c r="G99">
        <f>'Raw Data'!J95</f>
        <v>23412.6</v>
      </c>
      <c r="H99" s="36">
        <f t="shared" si="3"/>
        <v>1.1831236171975679E-2</v>
      </c>
    </row>
    <row r="100" spans="2:8" x14ac:dyDescent="0.3">
      <c r="B100" s="34">
        <f>'Raw Data'!G96</f>
        <v>46154</v>
      </c>
      <c r="C100">
        <v>304.85000000000002</v>
      </c>
      <c r="D100" s="36">
        <f t="shared" si="2"/>
        <v>-2.6242414302116712E-3</v>
      </c>
      <c r="F100" s="34">
        <f>'Raw Data'!G96</f>
        <v>46154</v>
      </c>
      <c r="G100">
        <f>'Raw Data'!J96</f>
        <v>23379.55</v>
      </c>
      <c r="H100" s="36">
        <f t="shared" si="3"/>
        <v>1.4136285771111368E-3</v>
      </c>
    </row>
    <row r="101" spans="2:8" x14ac:dyDescent="0.3">
      <c r="B101" s="34">
        <f>'Raw Data'!G97</f>
        <v>46153</v>
      </c>
      <c r="C101">
        <v>308.25</v>
      </c>
      <c r="D101" s="36">
        <f t="shared" si="2"/>
        <v>-1.1030008110299971E-2</v>
      </c>
      <c r="F101" s="34">
        <f>'Raw Data'!G97</f>
        <v>46153</v>
      </c>
      <c r="G101">
        <f>'Raw Data'!J97</f>
        <v>23815.85</v>
      </c>
      <c r="H101" s="36">
        <f t="shared" si="3"/>
        <v>-1.8319732447088732E-2</v>
      </c>
    </row>
    <row r="102" spans="2:8" x14ac:dyDescent="0.3">
      <c r="B102" s="34">
        <f>'Raw Data'!G98</f>
        <v>46150</v>
      </c>
      <c r="C102">
        <v>301.45</v>
      </c>
      <c r="D102" s="36">
        <f t="shared" si="2"/>
        <v>2.2557638082600695E-2</v>
      </c>
      <c r="F102" s="34">
        <f>'Raw Data'!G98</f>
        <v>46150</v>
      </c>
      <c r="G102">
        <f>'Raw Data'!J98</f>
        <v>24176.15</v>
      </c>
      <c r="H102" s="36">
        <f t="shared" si="3"/>
        <v>-1.4903117328441629E-2</v>
      </c>
    </row>
    <row r="103" spans="2:8" x14ac:dyDescent="0.3">
      <c r="B103" s="34">
        <f>'Raw Data'!G99</f>
        <v>46149</v>
      </c>
      <c r="C103">
        <v>304.10000000000002</v>
      </c>
      <c r="D103" s="36">
        <f t="shared" si="2"/>
        <v>-8.7142387372576291E-3</v>
      </c>
      <c r="F103" s="34">
        <f>'Raw Data'!G99</f>
        <v>46149</v>
      </c>
      <c r="G103">
        <f>'Raw Data'!J99</f>
        <v>24326.65</v>
      </c>
      <c r="H103" s="36">
        <f t="shared" si="3"/>
        <v>-6.1866307115858721E-3</v>
      </c>
    </row>
    <row r="104" spans="2:8" x14ac:dyDescent="0.3">
      <c r="B104" s="34">
        <f>'Raw Data'!G100</f>
        <v>46148</v>
      </c>
      <c r="C104">
        <v>309</v>
      </c>
      <c r="D104" s="36">
        <f t="shared" si="2"/>
        <v>-1.5857605177993506E-2</v>
      </c>
      <c r="F104" s="34">
        <f>'Raw Data'!G100</f>
        <v>46148</v>
      </c>
      <c r="G104">
        <f>'Raw Data'!J100</f>
        <v>24330.95</v>
      </c>
      <c r="H104" s="36">
        <f t="shared" si="3"/>
        <v>-1.7672963858783586E-4</v>
      </c>
    </row>
    <row r="105" spans="2:8" x14ac:dyDescent="0.3">
      <c r="B105" s="34">
        <f>'Raw Data'!G101</f>
        <v>46147</v>
      </c>
      <c r="C105">
        <v>309.05</v>
      </c>
      <c r="D105" s="36">
        <f t="shared" si="2"/>
        <v>-1.6178611875106164E-4</v>
      </c>
      <c r="F105" s="34">
        <f>'Raw Data'!G101</f>
        <v>46147</v>
      </c>
      <c r="G105">
        <f>'Raw Data'!J101</f>
        <v>24032.799999999999</v>
      </c>
      <c r="H105" s="36">
        <f t="shared" si="3"/>
        <v>1.2405961852135494E-2</v>
      </c>
    </row>
    <row r="106" spans="2:8" x14ac:dyDescent="0.3">
      <c r="B106" s="34">
        <f>'Raw Data'!G102</f>
        <v>46146</v>
      </c>
      <c r="C106">
        <v>306</v>
      </c>
      <c r="D106" s="36">
        <f t="shared" si="2"/>
        <v>9.9673202614378731E-3</v>
      </c>
      <c r="F106" s="34">
        <f>'Raw Data'!G102</f>
        <v>46146</v>
      </c>
      <c r="G106">
        <f>'Raw Data'!J102</f>
        <v>24119.3</v>
      </c>
      <c r="H106" s="36">
        <f t="shared" si="3"/>
        <v>-3.5863395703855661E-3</v>
      </c>
    </row>
    <row r="107" spans="2:8" x14ac:dyDescent="0.3">
      <c r="B107" s="34">
        <f>'Raw Data'!G103</f>
        <v>46142</v>
      </c>
      <c r="C107">
        <v>309.7</v>
      </c>
      <c r="D107" s="36">
        <f t="shared" si="2"/>
        <v>-1.1947045527930245E-2</v>
      </c>
      <c r="F107" s="34">
        <f>'Raw Data'!G103</f>
        <v>46142</v>
      </c>
      <c r="G107">
        <f>'Raw Data'!J103</f>
        <v>23997.55</v>
      </c>
      <c r="H107" s="36">
        <f t="shared" si="3"/>
        <v>5.0734345797800451E-3</v>
      </c>
    </row>
    <row r="108" spans="2:8" x14ac:dyDescent="0.3">
      <c r="B108" s="34">
        <f>'Raw Data'!G104</f>
        <v>46141</v>
      </c>
      <c r="C108">
        <v>311.5</v>
      </c>
      <c r="D108" s="36">
        <f t="shared" si="2"/>
        <v>-5.7784911717496668E-3</v>
      </c>
      <c r="F108" s="34">
        <f>'Raw Data'!G104</f>
        <v>46141</v>
      </c>
      <c r="G108">
        <f>'Raw Data'!J104</f>
        <v>24177.65</v>
      </c>
      <c r="H108" s="36">
        <f t="shared" si="3"/>
        <v>-7.4490283381554168E-3</v>
      </c>
    </row>
    <row r="109" spans="2:8" x14ac:dyDescent="0.3">
      <c r="B109" s="34">
        <f>'Raw Data'!G105</f>
        <v>46140</v>
      </c>
      <c r="C109">
        <v>311.95</v>
      </c>
      <c r="D109" s="36">
        <f t="shared" si="2"/>
        <v>-1.442538868408394E-3</v>
      </c>
      <c r="F109" s="34">
        <f>'Raw Data'!G105</f>
        <v>46140</v>
      </c>
      <c r="G109">
        <f>'Raw Data'!J105</f>
        <v>23995.7</v>
      </c>
      <c r="H109" s="36">
        <f t="shared" si="3"/>
        <v>7.5826085506986995E-3</v>
      </c>
    </row>
    <row r="110" spans="2:8" x14ac:dyDescent="0.3">
      <c r="B110" s="34">
        <f>'Raw Data'!G106</f>
        <v>46139</v>
      </c>
      <c r="C110">
        <v>314.89999999999998</v>
      </c>
      <c r="D110" s="36">
        <f t="shared" si="2"/>
        <v>-9.3680533502699115E-3</v>
      </c>
      <c r="F110" s="34">
        <f>'Raw Data'!G106</f>
        <v>46139</v>
      </c>
      <c r="G110">
        <f>'Raw Data'!J106</f>
        <v>24092.7</v>
      </c>
      <c r="H110" s="36">
        <f t="shared" si="3"/>
        <v>-4.0261157944107007E-3</v>
      </c>
    </row>
    <row r="111" spans="2:8" x14ac:dyDescent="0.3">
      <c r="B111" s="34">
        <f>'Raw Data'!G107</f>
        <v>46136</v>
      </c>
      <c r="C111">
        <v>313.60000000000002</v>
      </c>
      <c r="D111" s="36">
        <f t="shared" si="2"/>
        <v>4.1454081632652517E-3</v>
      </c>
      <c r="F111" s="34">
        <f>'Raw Data'!G107</f>
        <v>46136</v>
      </c>
      <c r="G111">
        <f>'Raw Data'!J107</f>
        <v>23897.95</v>
      </c>
      <c r="H111" s="36">
        <f t="shared" si="3"/>
        <v>8.1492345577758307E-3</v>
      </c>
    </row>
    <row r="112" spans="2:8" x14ac:dyDescent="0.3">
      <c r="B112" s="34">
        <f>'Raw Data'!G108</f>
        <v>46135</v>
      </c>
      <c r="C112">
        <v>318.3</v>
      </c>
      <c r="D112" s="36">
        <f t="shared" si="2"/>
        <v>-1.4765944077913873E-2</v>
      </c>
      <c r="F112" s="34">
        <f>'Raw Data'!G108</f>
        <v>46135</v>
      </c>
      <c r="G112">
        <f>'Raw Data'!J108</f>
        <v>24173.05</v>
      </c>
      <c r="H112" s="36">
        <f t="shared" si="3"/>
        <v>-1.1380442269386726E-2</v>
      </c>
    </row>
    <row r="113" spans="2:8" x14ac:dyDescent="0.3">
      <c r="B113" s="34">
        <f>'Raw Data'!G109</f>
        <v>46134</v>
      </c>
      <c r="C113">
        <v>319.75</v>
      </c>
      <c r="D113" s="36">
        <f t="shared" si="2"/>
        <v>-4.5347928068802945E-3</v>
      </c>
      <c r="F113" s="34">
        <f>'Raw Data'!G109</f>
        <v>46134</v>
      </c>
      <c r="G113">
        <f>'Raw Data'!J109</f>
        <v>24378.1</v>
      </c>
      <c r="H113" s="36">
        <f t="shared" si="3"/>
        <v>-8.4112379553779038E-3</v>
      </c>
    </row>
    <row r="114" spans="2:8" x14ac:dyDescent="0.3">
      <c r="B114" s="34">
        <f>'Raw Data'!G110</f>
        <v>46133</v>
      </c>
      <c r="C114">
        <v>323.5</v>
      </c>
      <c r="D114" s="36">
        <f t="shared" si="2"/>
        <v>-1.1591962905718733E-2</v>
      </c>
      <c r="F114" s="34">
        <f>'Raw Data'!G110</f>
        <v>46133</v>
      </c>
      <c r="G114">
        <f>'Raw Data'!J110</f>
        <v>24576.6</v>
      </c>
      <c r="H114" s="36">
        <f t="shared" si="3"/>
        <v>-8.0767884898643727E-3</v>
      </c>
    </row>
    <row r="115" spans="2:8" x14ac:dyDescent="0.3">
      <c r="B115" s="34">
        <f>'Raw Data'!G111</f>
        <v>46132</v>
      </c>
      <c r="C115">
        <v>325.39999999999998</v>
      </c>
      <c r="D115" s="36">
        <f t="shared" si="2"/>
        <v>-5.8389674247080192E-3</v>
      </c>
      <c r="F115" s="34">
        <f>'Raw Data'!G111</f>
        <v>46132</v>
      </c>
      <c r="G115">
        <f>'Raw Data'!J111</f>
        <v>24364.85</v>
      </c>
      <c r="H115" s="36">
        <f t="shared" si="3"/>
        <v>8.690798424779933E-3</v>
      </c>
    </row>
    <row r="116" spans="2:8" x14ac:dyDescent="0.3">
      <c r="B116" s="34">
        <f>'Raw Data'!G112</f>
        <v>46129</v>
      </c>
      <c r="C116">
        <v>327</v>
      </c>
      <c r="D116" s="36">
        <f t="shared" si="2"/>
        <v>-4.8929663608563434E-3</v>
      </c>
      <c r="F116" s="34">
        <f>'Raw Data'!G112</f>
        <v>46129</v>
      </c>
      <c r="G116">
        <f>'Raw Data'!J112</f>
        <v>24353.55</v>
      </c>
      <c r="H116" s="36">
        <f t="shared" si="3"/>
        <v>4.6399806188412995E-4</v>
      </c>
    </row>
    <row r="117" spans="2:8" x14ac:dyDescent="0.3">
      <c r="B117" s="34">
        <f>'Raw Data'!G113</f>
        <v>46128</v>
      </c>
      <c r="C117">
        <v>326</v>
      </c>
      <c r="D117" s="36">
        <f t="shared" si="2"/>
        <v>3.0674846625766694E-3</v>
      </c>
      <c r="F117" s="34">
        <f>'Raw Data'!G113</f>
        <v>46128</v>
      </c>
      <c r="G117">
        <f>'Raw Data'!J113</f>
        <v>24196.75</v>
      </c>
      <c r="H117" s="36">
        <f t="shared" si="3"/>
        <v>6.4802091189932742E-3</v>
      </c>
    </row>
    <row r="118" spans="2:8" x14ac:dyDescent="0.3">
      <c r="B118" s="34">
        <f>'Raw Data'!G114</f>
        <v>46127</v>
      </c>
      <c r="C118">
        <v>332.45</v>
      </c>
      <c r="D118" s="36">
        <f t="shared" si="2"/>
        <v>-1.9401413746428009E-2</v>
      </c>
      <c r="F118" s="34">
        <f>'Raw Data'!G114</f>
        <v>46127</v>
      </c>
      <c r="G118">
        <f>'Raw Data'!J114</f>
        <v>24231.3</v>
      </c>
      <c r="H118" s="36">
        <f t="shared" si="3"/>
        <v>-1.4258417831481962E-3</v>
      </c>
    </row>
    <row r="119" spans="2:8" x14ac:dyDescent="0.3">
      <c r="B119" s="34">
        <f>'Raw Data'!G115</f>
        <v>46125</v>
      </c>
      <c r="C119">
        <v>325.45</v>
      </c>
      <c r="D119" s="36">
        <f t="shared" si="2"/>
        <v>2.1508680288830906E-2</v>
      </c>
      <c r="F119" s="34">
        <f>'Raw Data'!G115</f>
        <v>46125</v>
      </c>
      <c r="G119">
        <f>'Raw Data'!J115</f>
        <v>23842.65</v>
      </c>
      <c r="H119" s="36">
        <f t="shared" si="3"/>
        <v>1.6300620946077649E-2</v>
      </c>
    </row>
    <row r="120" spans="2:8" x14ac:dyDescent="0.3">
      <c r="B120" s="34">
        <f>'Raw Data'!G116</f>
        <v>46122</v>
      </c>
      <c r="C120">
        <v>317.95</v>
      </c>
      <c r="D120" s="36">
        <f t="shared" si="2"/>
        <v>2.358861456203809E-2</v>
      </c>
      <c r="F120" s="34">
        <f>'Raw Data'!G116</f>
        <v>46122</v>
      </c>
      <c r="G120">
        <f>'Raw Data'!J116</f>
        <v>24050.6</v>
      </c>
      <c r="H120" s="36">
        <f t="shared" si="3"/>
        <v>-8.6463539371157694E-3</v>
      </c>
    </row>
    <row r="121" spans="2:8" x14ac:dyDescent="0.3">
      <c r="B121" s="34">
        <f>'Raw Data'!G117</f>
        <v>46121</v>
      </c>
      <c r="C121">
        <v>313.75</v>
      </c>
      <c r="D121" s="36">
        <f t="shared" si="2"/>
        <v>1.3386454183266894E-2</v>
      </c>
      <c r="F121" s="34">
        <f>'Raw Data'!G117</f>
        <v>46121</v>
      </c>
      <c r="G121">
        <f>'Raw Data'!J117</f>
        <v>23775.1</v>
      </c>
      <c r="H121" s="36">
        <f t="shared" si="3"/>
        <v>1.1587753574117565E-2</v>
      </c>
    </row>
    <row r="122" spans="2:8" x14ac:dyDescent="0.3">
      <c r="B122" s="34">
        <f>'Raw Data'!G118</f>
        <v>46120</v>
      </c>
      <c r="C122">
        <v>317.45</v>
      </c>
      <c r="D122" s="36">
        <f t="shared" si="2"/>
        <v>-1.1655378799810934E-2</v>
      </c>
      <c r="F122" s="34">
        <f>'Raw Data'!G118</f>
        <v>46120</v>
      </c>
      <c r="G122">
        <f>'Raw Data'!J118</f>
        <v>23997.35</v>
      </c>
      <c r="H122" s="36">
        <f t="shared" si="3"/>
        <v>-9.2614392839209803E-3</v>
      </c>
    </row>
    <row r="123" spans="2:8" x14ac:dyDescent="0.3">
      <c r="B123" s="34">
        <f>'Raw Data'!G119</f>
        <v>46119</v>
      </c>
      <c r="C123">
        <v>318.25</v>
      </c>
      <c r="D123" s="36">
        <f t="shared" si="2"/>
        <v>-2.5137470542027085E-3</v>
      </c>
      <c r="F123" s="34">
        <f>'Raw Data'!G119</f>
        <v>46119</v>
      </c>
      <c r="G123">
        <f>'Raw Data'!J119</f>
        <v>23123.65</v>
      </c>
      <c r="H123" s="36">
        <f t="shared" si="3"/>
        <v>3.7783827380192925E-2</v>
      </c>
    </row>
    <row r="124" spans="2:8" x14ac:dyDescent="0.3">
      <c r="B124" s="34">
        <f>'Raw Data'!G120</f>
        <v>46118</v>
      </c>
      <c r="C124">
        <v>321.39999999999998</v>
      </c>
      <c r="D124" s="36">
        <f t="shared" si="2"/>
        <v>-9.8008711885499977E-3</v>
      </c>
      <c r="F124" s="34">
        <f>'Raw Data'!G120</f>
        <v>46118</v>
      </c>
      <c r="G124">
        <f>'Raw Data'!J120</f>
        <v>22968.25</v>
      </c>
      <c r="H124" s="36">
        <f t="shared" si="3"/>
        <v>6.7658615697756552E-3</v>
      </c>
    </row>
    <row r="125" spans="2:8" x14ac:dyDescent="0.3">
      <c r="B125" s="34">
        <f>'Raw Data'!G121</f>
        <v>46114</v>
      </c>
      <c r="C125">
        <v>322.8</v>
      </c>
      <c r="D125" s="36">
        <f t="shared" si="2"/>
        <v>-4.3370508054524359E-3</v>
      </c>
      <c r="F125" s="34">
        <f>'Raw Data'!G121</f>
        <v>46114</v>
      </c>
      <c r="G125">
        <f>'Raw Data'!J121</f>
        <v>22713.1</v>
      </c>
      <c r="H125" s="36">
        <f t="shared" si="3"/>
        <v>1.123360527625028E-2</v>
      </c>
    </row>
    <row r="126" spans="2:8" x14ac:dyDescent="0.3">
      <c r="B126" s="34">
        <f>'Raw Data'!G122</f>
        <v>46113</v>
      </c>
      <c r="C126">
        <v>325.8</v>
      </c>
      <c r="D126" s="36">
        <f t="shared" si="2"/>
        <v>-9.2081031307550409E-3</v>
      </c>
      <c r="F126" s="34">
        <f>'Raw Data'!G122</f>
        <v>46113</v>
      </c>
      <c r="G126">
        <f>'Raw Data'!J122</f>
        <v>22679.4</v>
      </c>
      <c r="H126" s="36">
        <f t="shared" si="3"/>
        <v>1.4859299628737777E-3</v>
      </c>
    </row>
    <row r="127" spans="2:8" x14ac:dyDescent="0.3">
      <c r="B127" s="34">
        <f>'Raw Data'!G123</f>
        <v>46111</v>
      </c>
      <c r="C127">
        <v>310.2</v>
      </c>
      <c r="D127" s="36">
        <f t="shared" si="2"/>
        <v>5.0290135396518387E-2</v>
      </c>
      <c r="F127" s="34">
        <f>'Raw Data'!G123</f>
        <v>46111</v>
      </c>
      <c r="G127">
        <f>'Raw Data'!J123</f>
        <v>22331.4</v>
      </c>
      <c r="H127" s="36">
        <f t="shared" si="3"/>
        <v>1.5583438566323604E-2</v>
      </c>
    </row>
    <row r="128" spans="2:8" x14ac:dyDescent="0.3">
      <c r="B128" s="34">
        <f>'Raw Data'!G124</f>
        <v>46108</v>
      </c>
      <c r="C128">
        <v>313.85000000000002</v>
      </c>
      <c r="D128" s="36">
        <f t="shared" si="2"/>
        <v>-1.162975943922262E-2</v>
      </c>
      <c r="F128" s="34">
        <f>'Raw Data'!G124</f>
        <v>46108</v>
      </c>
      <c r="G128">
        <f>'Raw Data'!J124</f>
        <v>22819.599999999999</v>
      </c>
      <c r="H128" s="36">
        <f t="shared" si="3"/>
        <v>-2.1393889463443561E-2</v>
      </c>
    </row>
    <row r="129" spans="2:8" x14ac:dyDescent="0.3">
      <c r="B129" s="34">
        <f>'Raw Data'!G125</f>
        <v>46106</v>
      </c>
      <c r="C129">
        <v>316.64999999999998</v>
      </c>
      <c r="D129" s="36">
        <f t="shared" si="2"/>
        <v>-8.8425706616136468E-3</v>
      </c>
      <c r="F129" s="34">
        <f>'Raw Data'!G125</f>
        <v>46106</v>
      </c>
      <c r="G129">
        <f>'Raw Data'!J125</f>
        <v>23306.45</v>
      </c>
      <c r="H129" s="36">
        <f t="shared" si="3"/>
        <v>-2.0889067189554966E-2</v>
      </c>
    </row>
    <row r="130" spans="2:8" x14ac:dyDescent="0.3">
      <c r="B130" s="34">
        <f>'Raw Data'!G126</f>
        <v>46105</v>
      </c>
      <c r="C130">
        <v>314.7</v>
      </c>
      <c r="D130" s="36">
        <f t="shared" si="2"/>
        <v>6.1963775023832213E-3</v>
      </c>
      <c r="F130" s="34">
        <f>'Raw Data'!G126</f>
        <v>46105</v>
      </c>
      <c r="G130">
        <f>'Raw Data'!J126</f>
        <v>22912.400000000001</v>
      </c>
      <c r="H130" s="36">
        <f t="shared" si="3"/>
        <v>1.7198111066496713E-2</v>
      </c>
    </row>
    <row r="131" spans="2:8" x14ac:dyDescent="0.3">
      <c r="B131" s="34">
        <f>'Raw Data'!G127</f>
        <v>46104</v>
      </c>
      <c r="C131">
        <v>309.45</v>
      </c>
      <c r="D131" s="36">
        <f t="shared" si="2"/>
        <v>1.6965584100824049E-2</v>
      </c>
      <c r="F131" s="34">
        <f>'Raw Data'!G127</f>
        <v>46104</v>
      </c>
      <c r="G131">
        <f>'Raw Data'!J127</f>
        <v>22512.65</v>
      </c>
      <c r="H131" s="36">
        <f t="shared" si="3"/>
        <v>1.7756683464629885E-2</v>
      </c>
    </row>
    <row r="132" spans="2:8" x14ac:dyDescent="0.3">
      <c r="B132" s="34">
        <f>'Raw Data'!G128</f>
        <v>46101</v>
      </c>
      <c r="C132">
        <v>322.14999999999998</v>
      </c>
      <c r="D132" s="36">
        <f t="shared" si="2"/>
        <v>-3.9422629209995286E-2</v>
      </c>
      <c r="F132" s="34">
        <f>'Raw Data'!G128</f>
        <v>46101</v>
      </c>
      <c r="G132">
        <f>'Raw Data'!J128</f>
        <v>23114.5</v>
      </c>
      <c r="H132" s="36">
        <f t="shared" si="3"/>
        <v>-2.6037768500291936E-2</v>
      </c>
    </row>
    <row r="133" spans="2:8" x14ac:dyDescent="0.3">
      <c r="B133" s="34">
        <f>'Raw Data'!G129</f>
        <v>46100</v>
      </c>
      <c r="C133">
        <v>318.60000000000002</v>
      </c>
      <c r="D133" s="36">
        <f t="shared" si="2"/>
        <v>1.1142498430633863E-2</v>
      </c>
      <c r="F133" s="34">
        <f>'Raw Data'!G129</f>
        <v>46100</v>
      </c>
      <c r="G133">
        <f>'Raw Data'!J129</f>
        <v>23002.15</v>
      </c>
      <c r="H133" s="36">
        <f t="shared" si="3"/>
        <v>4.8843260303927938E-3</v>
      </c>
    </row>
    <row r="134" spans="2:8" x14ac:dyDescent="0.3">
      <c r="B134" s="34">
        <f>'Raw Data'!G130</f>
        <v>46099</v>
      </c>
      <c r="C134">
        <v>321.14999999999998</v>
      </c>
      <c r="D134" s="36">
        <f t="shared" si="2"/>
        <v>-7.9402148528723293E-3</v>
      </c>
      <c r="F134" s="34">
        <f>'Raw Data'!G130</f>
        <v>46099</v>
      </c>
      <c r="G134">
        <f>'Raw Data'!J130</f>
        <v>23777.8</v>
      </c>
      <c r="H134" s="36">
        <f t="shared" si="3"/>
        <v>-3.2620763905828021E-2</v>
      </c>
    </row>
    <row r="135" spans="2:8" x14ac:dyDescent="0.3">
      <c r="B135" s="34">
        <f>'Raw Data'!G131</f>
        <v>46098</v>
      </c>
      <c r="C135">
        <v>318.64999999999998</v>
      </c>
      <c r="D135" s="36">
        <f t="shared" si="2"/>
        <v>7.8455986191745541E-3</v>
      </c>
      <c r="F135" s="34">
        <f>'Raw Data'!G131</f>
        <v>46098</v>
      </c>
      <c r="G135">
        <f>'Raw Data'!J131</f>
        <v>23581.15</v>
      </c>
      <c r="H135" s="36">
        <f t="shared" si="3"/>
        <v>8.3392879482127036E-3</v>
      </c>
    </row>
    <row r="136" spans="2:8" x14ac:dyDescent="0.3">
      <c r="B136" s="34">
        <f>'Raw Data'!G132</f>
        <v>46097</v>
      </c>
      <c r="C136">
        <v>323.39999999999998</v>
      </c>
      <c r="D136" s="36">
        <f t="shared" si="2"/>
        <v>-1.4687693259121781E-2</v>
      </c>
      <c r="F136" s="34">
        <f>'Raw Data'!G132</f>
        <v>46097</v>
      </c>
      <c r="G136">
        <f>'Raw Data'!J132</f>
        <v>23408.799999999999</v>
      </c>
      <c r="H136" s="36">
        <f t="shared" si="3"/>
        <v>7.3626157684290039E-3</v>
      </c>
    </row>
    <row r="137" spans="2:8" x14ac:dyDescent="0.3">
      <c r="B137" s="34">
        <f>'Raw Data'!G133</f>
        <v>46094</v>
      </c>
      <c r="C137">
        <v>324.85000000000002</v>
      </c>
      <c r="D137" s="36">
        <f t="shared" si="2"/>
        <v>-4.4635985839619474E-3</v>
      </c>
      <c r="F137" s="34">
        <f>'Raw Data'!G133</f>
        <v>46094</v>
      </c>
      <c r="G137">
        <f>'Raw Data'!J133</f>
        <v>23151.1</v>
      </c>
      <c r="H137" s="36">
        <f t="shared" si="3"/>
        <v>1.1131220546755971E-2</v>
      </c>
    </row>
    <row r="138" spans="2:8" x14ac:dyDescent="0.3">
      <c r="B138" s="34">
        <f>'Raw Data'!G134</f>
        <v>46093</v>
      </c>
      <c r="C138">
        <v>324.75</v>
      </c>
      <c r="D138" s="36">
        <f t="shared" si="2"/>
        <v>3.079291762895231E-4</v>
      </c>
      <c r="F138" s="34">
        <f>'Raw Data'!G134</f>
        <v>46093</v>
      </c>
      <c r="G138">
        <f>'Raw Data'!J134</f>
        <v>23639.15</v>
      </c>
      <c r="H138" s="36">
        <f t="shared" si="3"/>
        <v>-2.0645835404403456E-2</v>
      </c>
    </row>
    <row r="139" spans="2:8" x14ac:dyDescent="0.3">
      <c r="B139" s="34">
        <f>'Raw Data'!G135</f>
        <v>46092</v>
      </c>
      <c r="C139">
        <v>326.3</v>
      </c>
      <c r="D139" s="36">
        <f t="shared" si="2"/>
        <v>-4.7502298498315332E-3</v>
      </c>
      <c r="F139" s="34">
        <f>'Raw Data'!G135</f>
        <v>46092</v>
      </c>
      <c r="G139">
        <f>'Raw Data'!J135</f>
        <v>23866.85</v>
      </c>
      <c r="H139" s="36">
        <f t="shared" si="3"/>
        <v>-9.5404295078738155E-3</v>
      </c>
    </row>
    <row r="140" spans="2:8" x14ac:dyDescent="0.3">
      <c r="B140" s="34">
        <f>'Raw Data'!G136</f>
        <v>46091</v>
      </c>
      <c r="C140">
        <v>333.2</v>
      </c>
      <c r="D140" s="36">
        <f t="shared" ref="D140:D203" si="4">C139/C140-1</f>
        <v>-2.0708283313325304E-2</v>
      </c>
      <c r="F140" s="34">
        <f>'Raw Data'!G136</f>
        <v>46091</v>
      </c>
      <c r="G140">
        <f>'Raw Data'!J136</f>
        <v>24261.599999999999</v>
      </c>
      <c r="H140" s="36">
        <f t="shared" ref="H140:H203" si="5">G139/G140-1</f>
        <v>-1.6270567481122433E-2</v>
      </c>
    </row>
    <row r="141" spans="2:8" x14ac:dyDescent="0.3">
      <c r="B141" s="34">
        <f>'Raw Data'!G137</f>
        <v>46090</v>
      </c>
      <c r="C141">
        <v>329.2</v>
      </c>
      <c r="D141" s="36">
        <f t="shared" si="4"/>
        <v>1.2150668286755817E-2</v>
      </c>
      <c r="F141" s="34">
        <f>'Raw Data'!G137</f>
        <v>46090</v>
      </c>
      <c r="G141">
        <f>'Raw Data'!J137</f>
        <v>24028.05</v>
      </c>
      <c r="H141" s="36">
        <f t="shared" si="5"/>
        <v>9.7198898787043131E-3</v>
      </c>
    </row>
    <row r="142" spans="2:8" x14ac:dyDescent="0.3">
      <c r="B142" s="34">
        <f>'Raw Data'!G138</f>
        <v>46087</v>
      </c>
      <c r="C142">
        <v>334.75</v>
      </c>
      <c r="D142" s="36">
        <f t="shared" si="4"/>
        <v>-1.6579536967886499E-2</v>
      </c>
      <c r="F142" s="34">
        <f>'Raw Data'!G138</f>
        <v>46087</v>
      </c>
      <c r="G142">
        <f>'Raw Data'!J138</f>
        <v>24450.45</v>
      </c>
      <c r="H142" s="36">
        <f t="shared" si="5"/>
        <v>-1.7275755660938863E-2</v>
      </c>
    </row>
    <row r="143" spans="2:8" x14ac:dyDescent="0.3">
      <c r="B143" s="34">
        <f>'Raw Data'!G139</f>
        <v>46086</v>
      </c>
      <c r="C143">
        <v>334.7</v>
      </c>
      <c r="D143" s="36">
        <f t="shared" si="4"/>
        <v>1.4938751120419091E-4</v>
      </c>
      <c r="F143" s="34">
        <f>'Raw Data'!G139</f>
        <v>46086</v>
      </c>
      <c r="G143">
        <f>'Raw Data'!J139</f>
        <v>24765.9</v>
      </c>
      <c r="H143" s="36">
        <f t="shared" si="5"/>
        <v>-1.2737271813259343E-2</v>
      </c>
    </row>
    <row r="144" spans="2:8" x14ac:dyDescent="0.3">
      <c r="B144" s="34">
        <f>'Raw Data'!G140</f>
        <v>46085</v>
      </c>
      <c r="C144">
        <v>338.4</v>
      </c>
      <c r="D144" s="36">
        <f t="shared" si="4"/>
        <v>-1.0933806146572023E-2</v>
      </c>
      <c r="F144" s="34">
        <f>'Raw Data'!G140</f>
        <v>46085</v>
      </c>
      <c r="G144">
        <f>'Raw Data'!J140</f>
        <v>24480.5</v>
      </c>
      <c r="H144" s="36">
        <f t="shared" si="5"/>
        <v>1.1658258613999051E-2</v>
      </c>
    </row>
    <row r="145" spans="2:8" x14ac:dyDescent="0.3">
      <c r="B145" s="34">
        <f>'Raw Data'!G141</f>
        <v>46083</v>
      </c>
      <c r="C145">
        <v>337.15</v>
      </c>
      <c r="D145" s="36">
        <f t="shared" si="4"/>
        <v>3.7075485688862209E-3</v>
      </c>
      <c r="F145" s="34">
        <f>'Raw Data'!G141</f>
        <v>46083</v>
      </c>
      <c r="G145">
        <f>'Raw Data'!J141</f>
        <v>24865.7</v>
      </c>
      <c r="H145" s="36">
        <f t="shared" si="5"/>
        <v>-1.5491218827541564E-2</v>
      </c>
    </row>
    <row r="146" spans="2:8" x14ac:dyDescent="0.3">
      <c r="B146" s="34">
        <f>'Raw Data'!G142</f>
        <v>46080</v>
      </c>
      <c r="C146">
        <v>340.9</v>
      </c>
      <c r="D146" s="36">
        <f t="shared" si="4"/>
        <v>-1.100029334115582E-2</v>
      </c>
      <c r="F146" s="34">
        <f>'Raw Data'!G142</f>
        <v>46080</v>
      </c>
      <c r="G146">
        <f>'Raw Data'!J142</f>
        <v>25178.65</v>
      </c>
      <c r="H146" s="36">
        <f t="shared" si="5"/>
        <v>-1.2429181072059148E-2</v>
      </c>
    </row>
    <row r="147" spans="2:8" x14ac:dyDescent="0.3">
      <c r="B147" s="34">
        <f>'Raw Data'!G143</f>
        <v>46079</v>
      </c>
      <c r="C147">
        <v>341.25</v>
      </c>
      <c r="D147" s="36">
        <f t="shared" si="4"/>
        <v>-1.0256410256410664E-3</v>
      </c>
      <c r="F147" s="34">
        <f>'Raw Data'!G143</f>
        <v>46079</v>
      </c>
      <c r="G147">
        <f>'Raw Data'!J143</f>
        <v>25496.55</v>
      </c>
      <c r="H147" s="36">
        <f t="shared" si="5"/>
        <v>-1.2468353561560175E-2</v>
      </c>
    </row>
    <row r="148" spans="2:8" x14ac:dyDescent="0.3">
      <c r="B148" s="34">
        <f>'Raw Data'!G144</f>
        <v>46078</v>
      </c>
      <c r="C148">
        <v>342.45</v>
      </c>
      <c r="D148" s="36">
        <f t="shared" si="4"/>
        <v>-3.504161191414723E-3</v>
      </c>
      <c r="F148" s="34">
        <f>'Raw Data'!G144</f>
        <v>46078</v>
      </c>
      <c r="G148">
        <f>'Raw Data'!J144</f>
        <v>25482.5</v>
      </c>
      <c r="H148" s="36">
        <f t="shared" si="5"/>
        <v>5.5135877563028401E-4</v>
      </c>
    </row>
    <row r="149" spans="2:8" x14ac:dyDescent="0.3">
      <c r="B149" s="34">
        <f>'Raw Data'!G145</f>
        <v>46077</v>
      </c>
      <c r="C149">
        <v>349.7</v>
      </c>
      <c r="D149" s="36">
        <f t="shared" si="4"/>
        <v>-2.0732056048041181E-2</v>
      </c>
      <c r="F149" s="34">
        <f>'Raw Data'!G145</f>
        <v>46077</v>
      </c>
      <c r="G149">
        <f>'Raw Data'!J145</f>
        <v>25424.65</v>
      </c>
      <c r="H149" s="36">
        <f t="shared" si="5"/>
        <v>2.275350889786143E-3</v>
      </c>
    </row>
    <row r="150" spans="2:8" x14ac:dyDescent="0.3">
      <c r="B150" s="34">
        <f>'Raw Data'!G146</f>
        <v>46076</v>
      </c>
      <c r="C150">
        <v>350.05</v>
      </c>
      <c r="D150" s="36">
        <f t="shared" si="4"/>
        <v>-9.99857163262452E-4</v>
      </c>
      <c r="F150" s="34">
        <f>'Raw Data'!G146</f>
        <v>46076</v>
      </c>
      <c r="G150">
        <f>'Raw Data'!J146</f>
        <v>25713</v>
      </c>
      <c r="H150" s="36">
        <f t="shared" si="5"/>
        <v>-1.1214171819702079E-2</v>
      </c>
    </row>
    <row r="151" spans="2:8" x14ac:dyDescent="0.3">
      <c r="B151" s="34">
        <f>'Raw Data'!G147</f>
        <v>46073</v>
      </c>
      <c r="C151">
        <v>363.85</v>
      </c>
      <c r="D151" s="36">
        <f t="shared" si="4"/>
        <v>-3.7927717465988775E-2</v>
      </c>
      <c r="F151" s="34">
        <f>'Raw Data'!G147</f>
        <v>46073</v>
      </c>
      <c r="G151">
        <f>'Raw Data'!J147</f>
        <v>25571.25</v>
      </c>
      <c r="H151" s="36">
        <f t="shared" si="5"/>
        <v>5.5433347998239402E-3</v>
      </c>
    </row>
    <row r="152" spans="2:8" x14ac:dyDescent="0.3">
      <c r="B152" s="34">
        <f>'Raw Data'!G148</f>
        <v>46072</v>
      </c>
      <c r="C152">
        <v>403</v>
      </c>
      <c r="D152" s="36">
        <f t="shared" si="4"/>
        <v>-9.7146401985111597E-2</v>
      </c>
      <c r="F152" s="34">
        <f>'Raw Data'!G148</f>
        <v>46072</v>
      </c>
      <c r="G152">
        <f>'Raw Data'!J148</f>
        <v>25454.35</v>
      </c>
      <c r="H152" s="36">
        <f t="shared" si="5"/>
        <v>4.5925352641100758E-3</v>
      </c>
    </row>
    <row r="153" spans="2:8" x14ac:dyDescent="0.3">
      <c r="B153" s="34">
        <f>'Raw Data'!G149</f>
        <v>46071</v>
      </c>
      <c r="C153">
        <v>400.6</v>
      </c>
      <c r="D153" s="36">
        <f t="shared" si="4"/>
        <v>5.9910134797802606E-3</v>
      </c>
      <c r="F153" s="34">
        <f>'Raw Data'!G149</f>
        <v>46071</v>
      </c>
      <c r="G153">
        <f>'Raw Data'!J149</f>
        <v>25819.35</v>
      </c>
      <c r="H153" s="36">
        <f t="shared" si="5"/>
        <v>-1.4136684308474035E-2</v>
      </c>
    </row>
    <row r="154" spans="2:8" x14ac:dyDescent="0.3">
      <c r="B154" s="34">
        <f>'Raw Data'!G150</f>
        <v>46070</v>
      </c>
      <c r="C154">
        <v>402.6</v>
      </c>
      <c r="D154" s="36">
        <f t="shared" si="4"/>
        <v>-4.9677098857426882E-3</v>
      </c>
      <c r="F154" s="34">
        <f>'Raw Data'!G150</f>
        <v>46070</v>
      </c>
      <c r="G154">
        <f>'Raw Data'!J150</f>
        <v>25725.4</v>
      </c>
      <c r="H154" s="36">
        <f t="shared" si="5"/>
        <v>3.6520326214557475E-3</v>
      </c>
    </row>
    <row r="155" spans="2:8" x14ac:dyDescent="0.3">
      <c r="B155" s="34">
        <f>'Raw Data'!G151</f>
        <v>46069</v>
      </c>
      <c r="C155">
        <v>404.15</v>
      </c>
      <c r="D155" s="36">
        <f t="shared" si="4"/>
        <v>-3.8352096993689022E-3</v>
      </c>
      <c r="F155" s="34">
        <f>'Raw Data'!G151</f>
        <v>46069</v>
      </c>
      <c r="G155">
        <f>'Raw Data'!J151</f>
        <v>25682.75</v>
      </c>
      <c r="H155" s="36">
        <f t="shared" si="5"/>
        <v>1.6606477110123752E-3</v>
      </c>
    </row>
    <row r="156" spans="2:8" x14ac:dyDescent="0.3">
      <c r="B156" s="34">
        <f>'Raw Data'!G152</f>
        <v>46066</v>
      </c>
      <c r="C156">
        <v>406.6</v>
      </c>
      <c r="D156" s="36">
        <f t="shared" si="4"/>
        <v>-6.0255779636007034E-3</v>
      </c>
      <c r="F156" s="34">
        <f>'Raw Data'!G152</f>
        <v>46066</v>
      </c>
      <c r="G156">
        <f>'Raw Data'!J152</f>
        <v>25471.1</v>
      </c>
      <c r="H156" s="36">
        <f t="shared" si="5"/>
        <v>8.3094173396516258E-3</v>
      </c>
    </row>
    <row r="157" spans="2:8" x14ac:dyDescent="0.3">
      <c r="B157" s="34">
        <f>'Raw Data'!G153</f>
        <v>46065</v>
      </c>
      <c r="C157">
        <v>407.35</v>
      </c>
      <c r="D157" s="36">
        <f t="shared" si="4"/>
        <v>-1.841168528292636E-3</v>
      </c>
      <c r="F157" s="34">
        <f>'Raw Data'!G153</f>
        <v>46065</v>
      </c>
      <c r="G157">
        <f>'Raw Data'!J153</f>
        <v>25807.200000000001</v>
      </c>
      <c r="H157" s="36">
        <f t="shared" si="5"/>
        <v>-1.3023497318577881E-2</v>
      </c>
    </row>
    <row r="158" spans="2:8" x14ac:dyDescent="0.3">
      <c r="B158" s="34">
        <f>'Raw Data'!G154</f>
        <v>46064</v>
      </c>
      <c r="C158">
        <v>402.7</v>
      </c>
      <c r="D158" s="36">
        <f t="shared" si="4"/>
        <v>1.154705736280115E-2</v>
      </c>
      <c r="F158" s="34">
        <f>'Raw Data'!G154</f>
        <v>46064</v>
      </c>
      <c r="G158">
        <f>'Raw Data'!J154</f>
        <v>25953.85</v>
      </c>
      <c r="H158" s="36">
        <f t="shared" si="5"/>
        <v>-5.6504141004127817E-3</v>
      </c>
    </row>
    <row r="159" spans="2:8" x14ac:dyDescent="0.3">
      <c r="B159" s="34">
        <f>'Raw Data'!G155</f>
        <v>46063</v>
      </c>
      <c r="C159">
        <v>401.05</v>
      </c>
      <c r="D159" s="36">
        <f t="shared" si="4"/>
        <v>4.11420022441078E-3</v>
      </c>
      <c r="F159" s="34">
        <f>'Raw Data'!G155</f>
        <v>46063</v>
      </c>
      <c r="G159">
        <f>'Raw Data'!J155</f>
        <v>25935.15</v>
      </c>
      <c r="H159" s="36">
        <f t="shared" si="5"/>
        <v>7.2102918240291025E-4</v>
      </c>
    </row>
    <row r="160" spans="2:8" x14ac:dyDescent="0.3">
      <c r="B160" s="34">
        <f>'Raw Data'!G156</f>
        <v>46062</v>
      </c>
      <c r="C160">
        <v>400.4</v>
      </c>
      <c r="D160" s="36">
        <f t="shared" si="4"/>
        <v>1.6233766233766378E-3</v>
      </c>
      <c r="F160" s="34">
        <f>'Raw Data'!G156</f>
        <v>46062</v>
      </c>
      <c r="G160">
        <f>'Raw Data'!J156</f>
        <v>25867.3</v>
      </c>
      <c r="H160" s="36">
        <f t="shared" si="5"/>
        <v>2.6230027873028749E-3</v>
      </c>
    </row>
    <row r="161" spans="2:8" x14ac:dyDescent="0.3">
      <c r="B161" s="34">
        <f>'Raw Data'!G157</f>
        <v>46059</v>
      </c>
      <c r="C161">
        <v>399.8</v>
      </c>
      <c r="D161" s="36">
        <f t="shared" si="4"/>
        <v>1.5007503751875984E-3</v>
      </c>
      <c r="F161" s="34">
        <f>'Raw Data'!G157</f>
        <v>46059</v>
      </c>
      <c r="G161">
        <f>'Raw Data'!J157</f>
        <v>25693.7</v>
      </c>
      <c r="H161" s="36">
        <f t="shared" si="5"/>
        <v>6.7565200807979675E-3</v>
      </c>
    </row>
    <row r="162" spans="2:8" x14ac:dyDescent="0.3">
      <c r="B162" s="34">
        <f>'Raw Data'!G158</f>
        <v>46058</v>
      </c>
      <c r="C162">
        <v>401.7</v>
      </c>
      <c r="D162" s="36">
        <f t="shared" si="4"/>
        <v>-4.729897933781424E-3</v>
      </c>
      <c r="F162" s="34">
        <f>'Raw Data'!G158</f>
        <v>46058</v>
      </c>
      <c r="G162">
        <f>'Raw Data'!J158</f>
        <v>25642.799999999999</v>
      </c>
      <c r="H162" s="36">
        <f t="shared" si="5"/>
        <v>1.9849626405852305E-3</v>
      </c>
    </row>
    <row r="163" spans="2:8" x14ac:dyDescent="0.3">
      <c r="B163" s="34">
        <f>'Raw Data'!G159</f>
        <v>46057</v>
      </c>
      <c r="C163">
        <v>402.3</v>
      </c>
      <c r="D163" s="36">
        <f t="shared" si="4"/>
        <v>-1.4914243102163161E-3</v>
      </c>
      <c r="F163" s="34">
        <f>'Raw Data'!G159</f>
        <v>46057</v>
      </c>
      <c r="G163">
        <f>'Raw Data'!J159</f>
        <v>25776</v>
      </c>
      <c r="H163" s="36">
        <f t="shared" si="5"/>
        <v>-5.16759776536313E-3</v>
      </c>
    </row>
    <row r="164" spans="2:8" x14ac:dyDescent="0.3">
      <c r="B164" s="34">
        <f>'Raw Data'!G160</f>
        <v>46056</v>
      </c>
      <c r="C164">
        <v>400.1</v>
      </c>
      <c r="D164" s="36">
        <f t="shared" si="4"/>
        <v>5.4986253436639654E-3</v>
      </c>
      <c r="F164" s="34">
        <f>'Raw Data'!G160</f>
        <v>46056</v>
      </c>
      <c r="G164">
        <f>'Raw Data'!J160</f>
        <v>25727.55</v>
      </c>
      <c r="H164" s="36">
        <f t="shared" si="5"/>
        <v>1.8831952517825989E-3</v>
      </c>
    </row>
    <row r="165" spans="2:8" x14ac:dyDescent="0.3">
      <c r="B165" s="34">
        <f>'Raw Data'!G161</f>
        <v>46055</v>
      </c>
      <c r="C165">
        <v>402.9</v>
      </c>
      <c r="D165" s="36">
        <f t="shared" si="4"/>
        <v>-6.949615289153499E-3</v>
      </c>
      <c r="F165" s="34">
        <f>'Raw Data'!G161</f>
        <v>46055</v>
      </c>
      <c r="G165">
        <f>'Raw Data'!J161</f>
        <v>25088.400000000001</v>
      </c>
      <c r="H165" s="36">
        <f t="shared" si="5"/>
        <v>2.5475917156932981E-2</v>
      </c>
    </row>
    <row r="166" spans="2:8" x14ac:dyDescent="0.3">
      <c r="B166" s="34">
        <f>'Raw Data'!G162</f>
        <v>46054</v>
      </c>
      <c r="C166">
        <v>403.15</v>
      </c>
      <c r="D166" s="36">
        <f t="shared" si="4"/>
        <v>-6.2011658191740704E-4</v>
      </c>
      <c r="F166" s="34">
        <f>'Raw Data'!G162</f>
        <v>46054</v>
      </c>
      <c r="G166">
        <f>'Raw Data'!J162</f>
        <v>25320.65</v>
      </c>
      <c r="H166" s="36">
        <f t="shared" si="5"/>
        <v>-9.1723553700240323E-3</v>
      </c>
    </row>
    <row r="167" spans="2:8" x14ac:dyDescent="0.3">
      <c r="B167" s="34">
        <f>'Raw Data'!G163</f>
        <v>46052</v>
      </c>
      <c r="C167">
        <v>401.05</v>
      </c>
      <c r="D167" s="36">
        <f t="shared" si="4"/>
        <v>5.2362548310682655E-3</v>
      </c>
      <c r="F167" s="34">
        <f>'Raw Data'!G163</f>
        <v>46052</v>
      </c>
      <c r="G167">
        <f>'Raw Data'!J163</f>
        <v>25320.65</v>
      </c>
      <c r="H167" s="36">
        <f t="shared" si="5"/>
        <v>0</v>
      </c>
    </row>
    <row r="168" spans="2:8" x14ac:dyDescent="0.3">
      <c r="B168" s="34">
        <f>'Raw Data'!G164</f>
        <v>46051</v>
      </c>
      <c r="C168">
        <v>402.3</v>
      </c>
      <c r="D168" s="36">
        <f t="shared" si="4"/>
        <v>-3.1071339796171493E-3</v>
      </c>
      <c r="F168" s="34">
        <f>'Raw Data'!G164</f>
        <v>46051</v>
      </c>
      <c r="G168">
        <f>'Raw Data'!J164</f>
        <v>25418.9</v>
      </c>
      <c r="H168" s="36">
        <f t="shared" si="5"/>
        <v>-3.8652341368037302E-3</v>
      </c>
    </row>
    <row r="169" spans="2:8" x14ac:dyDescent="0.3">
      <c r="B169" s="34">
        <f>'Raw Data'!G165</f>
        <v>46050</v>
      </c>
      <c r="C169">
        <v>404.95</v>
      </c>
      <c r="D169" s="36">
        <f t="shared" si="4"/>
        <v>-6.5440177799728216E-3</v>
      </c>
      <c r="F169" s="34">
        <f>'Raw Data'!G165</f>
        <v>46050</v>
      </c>
      <c r="G169">
        <f>'Raw Data'!J165</f>
        <v>25342.75</v>
      </c>
      <c r="H169" s="36">
        <f t="shared" si="5"/>
        <v>3.004804135305017E-3</v>
      </c>
    </row>
    <row r="170" spans="2:8" x14ac:dyDescent="0.3">
      <c r="B170" s="34">
        <f>'Raw Data'!G166</f>
        <v>46049</v>
      </c>
      <c r="C170">
        <v>403.05</v>
      </c>
      <c r="D170" s="36">
        <f t="shared" si="4"/>
        <v>4.714055328123079E-3</v>
      </c>
      <c r="F170" s="34">
        <f>'Raw Data'!G166</f>
        <v>46049</v>
      </c>
      <c r="G170">
        <f>'Raw Data'!J166</f>
        <v>25175.4</v>
      </c>
      <c r="H170" s="36">
        <f t="shared" si="5"/>
        <v>6.6473621074540912E-3</v>
      </c>
    </row>
    <row r="171" spans="2:8" x14ac:dyDescent="0.3">
      <c r="B171" s="34">
        <f>'Raw Data'!G167</f>
        <v>46045</v>
      </c>
      <c r="C171">
        <v>400.5</v>
      </c>
      <c r="D171" s="36">
        <f t="shared" si="4"/>
        <v>6.3670411985019548E-3</v>
      </c>
      <c r="F171" s="34">
        <f>'Raw Data'!G167</f>
        <v>46045</v>
      </c>
      <c r="G171">
        <f>'Raw Data'!J167</f>
        <v>25048.65</v>
      </c>
      <c r="H171" s="36">
        <f t="shared" si="5"/>
        <v>5.0601529423741631E-3</v>
      </c>
    </row>
    <row r="172" spans="2:8" x14ac:dyDescent="0.3">
      <c r="B172" s="34">
        <f>'Raw Data'!G168</f>
        <v>46044</v>
      </c>
      <c r="C172">
        <v>400.95</v>
      </c>
      <c r="D172" s="36">
        <f t="shared" si="4"/>
        <v>-1.1223344556677839E-3</v>
      </c>
      <c r="F172" s="34">
        <f>'Raw Data'!G168</f>
        <v>46044</v>
      </c>
      <c r="G172">
        <f>'Raw Data'!J168</f>
        <v>25289.9</v>
      </c>
      <c r="H172" s="36">
        <f t="shared" si="5"/>
        <v>-9.5393813340503009E-3</v>
      </c>
    </row>
    <row r="173" spans="2:8" x14ac:dyDescent="0.3">
      <c r="B173" s="34">
        <f>'Raw Data'!G169</f>
        <v>46043</v>
      </c>
      <c r="C173">
        <v>404.25</v>
      </c>
      <c r="D173" s="36">
        <f t="shared" si="4"/>
        <v>-8.1632653061224358E-3</v>
      </c>
      <c r="F173" s="34">
        <f>'Raw Data'!G169</f>
        <v>46043</v>
      </c>
      <c r="G173">
        <f>'Raw Data'!J169</f>
        <v>25157.5</v>
      </c>
      <c r="H173" s="36">
        <f t="shared" si="5"/>
        <v>5.2628440822817257E-3</v>
      </c>
    </row>
    <row r="174" spans="2:8" x14ac:dyDescent="0.3">
      <c r="B174" s="34">
        <f>'Raw Data'!G170</f>
        <v>46042</v>
      </c>
      <c r="C174">
        <v>404.25</v>
      </c>
      <c r="D174" s="36">
        <f t="shared" si="4"/>
        <v>0</v>
      </c>
      <c r="F174" s="34">
        <f>'Raw Data'!G170</f>
        <v>46042</v>
      </c>
      <c r="G174">
        <f>'Raw Data'!J170</f>
        <v>25232.5</v>
      </c>
      <c r="H174" s="36">
        <f t="shared" si="5"/>
        <v>-2.9723570791637677E-3</v>
      </c>
    </row>
    <row r="175" spans="2:8" x14ac:dyDescent="0.3">
      <c r="B175" s="34">
        <f>'Raw Data'!G171</f>
        <v>46041</v>
      </c>
      <c r="C175">
        <v>404.3</v>
      </c>
      <c r="D175" s="36">
        <f t="shared" si="4"/>
        <v>-1.2367054167694569E-4</v>
      </c>
      <c r="F175" s="34">
        <f>'Raw Data'!G171</f>
        <v>46041</v>
      </c>
      <c r="G175">
        <f>'Raw Data'!J171</f>
        <v>25585.5</v>
      </c>
      <c r="H175" s="36">
        <f t="shared" si="5"/>
        <v>-1.3796877137441155E-2</v>
      </c>
    </row>
    <row r="176" spans="2:8" x14ac:dyDescent="0.3">
      <c r="B176" s="34">
        <f>'Raw Data'!G172</f>
        <v>46038</v>
      </c>
      <c r="C176">
        <v>402.3</v>
      </c>
      <c r="D176" s="36">
        <f t="shared" si="4"/>
        <v>4.9714143673875721E-3</v>
      </c>
      <c r="F176" s="34">
        <f>'Raw Data'!G172</f>
        <v>46038</v>
      </c>
      <c r="G176">
        <f>'Raw Data'!J172</f>
        <v>25694.35</v>
      </c>
      <c r="H176" s="36">
        <f t="shared" si="5"/>
        <v>-4.2363398957357967E-3</v>
      </c>
    </row>
    <row r="177" spans="2:8" x14ac:dyDescent="0.3">
      <c r="B177" s="34">
        <f>'Raw Data'!G173</f>
        <v>46036</v>
      </c>
      <c r="C177">
        <v>400.8</v>
      </c>
      <c r="D177" s="36">
        <f t="shared" si="4"/>
        <v>3.7425149700598404E-3</v>
      </c>
      <c r="F177" s="34">
        <f>'Raw Data'!G173</f>
        <v>46036</v>
      </c>
      <c r="G177">
        <f>'Raw Data'!J173</f>
        <v>25665.599999999999</v>
      </c>
      <c r="H177" s="36">
        <f t="shared" si="5"/>
        <v>1.1201764229162858E-3</v>
      </c>
    </row>
    <row r="178" spans="2:8" x14ac:dyDescent="0.3">
      <c r="B178" s="34">
        <f>'Raw Data'!G174</f>
        <v>46035</v>
      </c>
      <c r="C178">
        <v>403.55</v>
      </c>
      <c r="D178" s="36">
        <f t="shared" si="4"/>
        <v>-6.8145211250154603E-3</v>
      </c>
      <c r="F178" s="34">
        <f>'Raw Data'!G174</f>
        <v>46035</v>
      </c>
      <c r="G178">
        <f>'Raw Data'!J174</f>
        <v>25732.3</v>
      </c>
      <c r="H178" s="36">
        <f t="shared" si="5"/>
        <v>-2.5920729977498835E-3</v>
      </c>
    </row>
    <row r="179" spans="2:8" x14ac:dyDescent="0.3">
      <c r="B179" s="34">
        <f>'Raw Data'!G175</f>
        <v>46034</v>
      </c>
      <c r="C179">
        <v>407.85</v>
      </c>
      <c r="D179" s="36">
        <f t="shared" si="4"/>
        <v>-1.0543091822974193E-2</v>
      </c>
      <c r="F179" s="34">
        <f>'Raw Data'!G175</f>
        <v>46034</v>
      </c>
      <c r="G179">
        <f>'Raw Data'!J175</f>
        <v>25790.25</v>
      </c>
      <c r="H179" s="36">
        <f t="shared" si="5"/>
        <v>-2.2469731778482771E-3</v>
      </c>
    </row>
    <row r="180" spans="2:8" x14ac:dyDescent="0.3">
      <c r="B180" s="34">
        <f>'Raw Data'!G176</f>
        <v>46031</v>
      </c>
      <c r="C180">
        <v>405.45</v>
      </c>
      <c r="D180" s="36">
        <f t="shared" si="4"/>
        <v>5.9193488716242637E-3</v>
      </c>
      <c r="F180" s="34">
        <f>'Raw Data'!G176</f>
        <v>46031</v>
      </c>
      <c r="G180">
        <f>'Raw Data'!J176</f>
        <v>25683.3</v>
      </c>
      <c r="H180" s="36">
        <f t="shared" si="5"/>
        <v>4.164184509000135E-3</v>
      </c>
    </row>
    <row r="181" spans="2:8" x14ac:dyDescent="0.3">
      <c r="B181" s="34">
        <f>'Raw Data'!G177</f>
        <v>46030</v>
      </c>
      <c r="C181">
        <v>403.55</v>
      </c>
      <c r="D181" s="36">
        <f t="shared" si="4"/>
        <v>4.70821459546511E-3</v>
      </c>
      <c r="F181" s="34">
        <f>'Raw Data'!G177</f>
        <v>46030</v>
      </c>
      <c r="G181">
        <f>'Raw Data'!J177</f>
        <v>25876.85</v>
      </c>
      <c r="H181" s="36">
        <f t="shared" si="5"/>
        <v>-7.4796584592019544E-3</v>
      </c>
    </row>
    <row r="182" spans="2:8" x14ac:dyDescent="0.3">
      <c r="B182" s="34">
        <f>'Raw Data'!G178</f>
        <v>46029</v>
      </c>
      <c r="C182">
        <v>405.85</v>
      </c>
      <c r="D182" s="36">
        <f t="shared" si="4"/>
        <v>-5.6671183934952074E-3</v>
      </c>
      <c r="F182" s="34">
        <f>'Raw Data'!G178</f>
        <v>46029</v>
      </c>
      <c r="G182">
        <f>'Raw Data'!J178</f>
        <v>26140.75</v>
      </c>
      <c r="H182" s="36">
        <f t="shared" si="5"/>
        <v>-1.0095349215305638E-2</v>
      </c>
    </row>
    <row r="183" spans="2:8" x14ac:dyDescent="0.3">
      <c r="B183" s="34">
        <f>'Raw Data'!G179</f>
        <v>46028</v>
      </c>
      <c r="C183">
        <v>407.1</v>
      </c>
      <c r="D183" s="36">
        <f t="shared" si="4"/>
        <v>-3.0704986489805686E-3</v>
      </c>
      <c r="F183" s="34">
        <f>'Raw Data'!G179</f>
        <v>46028</v>
      </c>
      <c r="G183">
        <f>'Raw Data'!J179</f>
        <v>26178.7</v>
      </c>
      <c r="H183" s="36">
        <f t="shared" si="5"/>
        <v>-1.4496518161711824E-3</v>
      </c>
    </row>
    <row r="184" spans="2:8" x14ac:dyDescent="0.3">
      <c r="B184" s="34">
        <f>'Raw Data'!G180</f>
        <v>46027</v>
      </c>
      <c r="C184">
        <v>408.15</v>
      </c>
      <c r="D184" s="36">
        <f t="shared" si="4"/>
        <v>-2.5725836089671716E-3</v>
      </c>
      <c r="F184" s="34">
        <f>'Raw Data'!G180</f>
        <v>46027</v>
      </c>
      <c r="G184">
        <f>'Raw Data'!J180</f>
        <v>26250.3</v>
      </c>
      <c r="H184" s="36">
        <f t="shared" si="5"/>
        <v>-2.7275878751861216E-3</v>
      </c>
    </row>
    <row r="185" spans="2:8" x14ac:dyDescent="0.3">
      <c r="B185" s="34">
        <f>'Raw Data'!G181</f>
        <v>46024</v>
      </c>
      <c r="C185">
        <v>405.7</v>
      </c>
      <c r="D185" s="36">
        <f t="shared" si="4"/>
        <v>6.0389450332758443E-3</v>
      </c>
      <c r="F185" s="34">
        <f>'Raw Data'!G181</f>
        <v>46024</v>
      </c>
      <c r="G185">
        <f>'Raw Data'!J181</f>
        <v>26328.55</v>
      </c>
      <c r="H185" s="36">
        <f t="shared" si="5"/>
        <v>-2.9720588486642496E-3</v>
      </c>
    </row>
    <row r="186" spans="2:8" x14ac:dyDescent="0.3">
      <c r="B186" s="34">
        <f>'Raw Data'!G182</f>
        <v>46023</v>
      </c>
      <c r="C186">
        <v>407</v>
      </c>
      <c r="D186" s="36">
        <f t="shared" si="4"/>
        <v>-3.1941031941031817E-3</v>
      </c>
      <c r="F186" s="34">
        <f>'Raw Data'!G182</f>
        <v>46023</v>
      </c>
      <c r="G186">
        <f>'Raw Data'!J182</f>
        <v>26146.55</v>
      </c>
      <c r="H186" s="36">
        <f t="shared" si="5"/>
        <v>6.9607653782239876E-3</v>
      </c>
    </row>
    <row r="187" spans="2:8" x14ac:dyDescent="0.3">
      <c r="B187" s="34">
        <f>'Raw Data'!G183</f>
        <v>46022</v>
      </c>
      <c r="C187">
        <v>406.85</v>
      </c>
      <c r="D187" s="36">
        <f t="shared" si="4"/>
        <v>3.6868624800279193E-4</v>
      </c>
      <c r="F187" s="34">
        <f>'Raw Data'!G183</f>
        <v>46022</v>
      </c>
      <c r="G187">
        <f>'Raw Data'!J183</f>
        <v>26129.599999999999</v>
      </c>
      <c r="H187" s="36">
        <f t="shared" si="5"/>
        <v>6.4868960871966586E-4</v>
      </c>
    </row>
    <row r="188" spans="2:8" x14ac:dyDescent="0.3">
      <c r="B188" s="34">
        <f>'Raw Data'!G184</f>
        <v>46021</v>
      </c>
      <c r="C188">
        <v>405.55</v>
      </c>
      <c r="D188" s="36">
        <f t="shared" si="4"/>
        <v>3.2055233633336844E-3</v>
      </c>
      <c r="F188" s="34">
        <f>'Raw Data'!G184</f>
        <v>46021</v>
      </c>
      <c r="G188">
        <f>'Raw Data'!J184</f>
        <v>25938.85</v>
      </c>
      <c r="H188" s="36">
        <f t="shared" si="5"/>
        <v>7.3538341136942798E-3</v>
      </c>
    </row>
    <row r="189" spans="2:8" x14ac:dyDescent="0.3">
      <c r="B189" s="34">
        <f>'Raw Data'!G185</f>
        <v>46020</v>
      </c>
      <c r="C189">
        <v>404.05</v>
      </c>
      <c r="D189" s="36">
        <f t="shared" si="4"/>
        <v>3.7124118302189757E-3</v>
      </c>
      <c r="F189" s="34">
        <f>'Raw Data'!G185</f>
        <v>46020</v>
      </c>
      <c r="G189">
        <f>'Raw Data'!J185</f>
        <v>25942.1</v>
      </c>
      <c r="H189" s="36">
        <f t="shared" si="5"/>
        <v>-1.2527898666647719E-4</v>
      </c>
    </row>
    <row r="190" spans="2:8" x14ac:dyDescent="0.3">
      <c r="B190" s="34">
        <f>'Raw Data'!G186</f>
        <v>46017</v>
      </c>
      <c r="C190">
        <v>407.5</v>
      </c>
      <c r="D190" s="36">
        <f t="shared" si="4"/>
        <v>-8.4662576687116742E-3</v>
      </c>
      <c r="F190" s="34">
        <f>'Raw Data'!G186</f>
        <v>46017</v>
      </c>
      <c r="G190">
        <f>'Raw Data'!J186</f>
        <v>26042.3</v>
      </c>
      <c r="H190" s="36">
        <f t="shared" si="5"/>
        <v>-3.8475864266981352E-3</v>
      </c>
    </row>
    <row r="191" spans="2:8" x14ac:dyDescent="0.3">
      <c r="B191" s="34">
        <f>'Raw Data'!G187</f>
        <v>46015</v>
      </c>
      <c r="C191">
        <v>408.9</v>
      </c>
      <c r="D191" s="36">
        <f t="shared" si="4"/>
        <v>-3.4238200048911649E-3</v>
      </c>
      <c r="F191" s="34">
        <f>'Raw Data'!G187</f>
        <v>46015</v>
      </c>
      <c r="G191">
        <f>'Raw Data'!J187</f>
        <v>26142.1</v>
      </c>
      <c r="H191" s="36">
        <f t="shared" si="5"/>
        <v>-3.8175969030797008E-3</v>
      </c>
    </row>
    <row r="192" spans="2:8" x14ac:dyDescent="0.3">
      <c r="B192" s="34">
        <f>'Raw Data'!G188</f>
        <v>46014</v>
      </c>
      <c r="C192">
        <v>413.95</v>
      </c>
      <c r="D192" s="36">
        <f t="shared" si="4"/>
        <v>-1.2199541007368087E-2</v>
      </c>
      <c r="F192" s="34">
        <f>'Raw Data'!G188</f>
        <v>46014</v>
      </c>
      <c r="G192">
        <f>'Raw Data'!J188</f>
        <v>26177.15</v>
      </c>
      <c r="H192" s="36">
        <f t="shared" si="5"/>
        <v>-1.3389540114184806E-3</v>
      </c>
    </row>
    <row r="193" spans="2:8" x14ac:dyDescent="0.3">
      <c r="B193" s="34">
        <f>'Raw Data'!G189</f>
        <v>46013</v>
      </c>
      <c r="C193">
        <v>420.35</v>
      </c>
      <c r="D193" s="36">
        <f t="shared" si="4"/>
        <v>-1.5225407398596458E-2</v>
      </c>
      <c r="F193" s="34">
        <f>'Raw Data'!G189</f>
        <v>46013</v>
      </c>
      <c r="G193">
        <f>'Raw Data'!J189</f>
        <v>26172.400000000001</v>
      </c>
      <c r="H193" s="36">
        <f t="shared" si="5"/>
        <v>1.8148889670044355E-4</v>
      </c>
    </row>
    <row r="194" spans="2:8" x14ac:dyDescent="0.3">
      <c r="B194" s="34">
        <f>'Raw Data'!G190</f>
        <v>46010</v>
      </c>
      <c r="C194">
        <v>418.75</v>
      </c>
      <c r="D194" s="36">
        <f t="shared" si="4"/>
        <v>3.8208955223881791E-3</v>
      </c>
      <c r="F194" s="34">
        <f>'Raw Data'!G190</f>
        <v>46010</v>
      </c>
      <c r="G194">
        <f>'Raw Data'!J190</f>
        <v>25966.400000000001</v>
      </c>
      <c r="H194" s="36">
        <f t="shared" si="5"/>
        <v>7.9333292254606391E-3</v>
      </c>
    </row>
    <row r="195" spans="2:8" x14ac:dyDescent="0.3">
      <c r="B195" s="34">
        <f>'Raw Data'!G191</f>
        <v>46009</v>
      </c>
      <c r="C195">
        <v>421.6</v>
      </c>
      <c r="D195" s="36">
        <f t="shared" si="4"/>
        <v>-6.7599620493359325E-3</v>
      </c>
      <c r="F195" s="34">
        <f>'Raw Data'!G191</f>
        <v>46009</v>
      </c>
      <c r="G195">
        <f>'Raw Data'!J191</f>
        <v>25815.55</v>
      </c>
      <c r="H195" s="36">
        <f t="shared" si="5"/>
        <v>5.8433773442752024E-3</v>
      </c>
    </row>
    <row r="196" spans="2:8" x14ac:dyDescent="0.3">
      <c r="B196" s="34">
        <f>'Raw Data'!G192</f>
        <v>46008</v>
      </c>
      <c r="C196">
        <v>417.9</v>
      </c>
      <c r="D196" s="36">
        <f t="shared" si="4"/>
        <v>8.8537927733909338E-3</v>
      </c>
      <c r="F196" s="34">
        <f>'Raw Data'!G192</f>
        <v>46008</v>
      </c>
      <c r="G196">
        <f>'Raw Data'!J192</f>
        <v>25818.55</v>
      </c>
      <c r="H196" s="36">
        <f t="shared" si="5"/>
        <v>-1.1619552608488348E-4</v>
      </c>
    </row>
    <row r="197" spans="2:8" x14ac:dyDescent="0.3">
      <c r="B197" s="34">
        <f>'Raw Data'!G193</f>
        <v>46007</v>
      </c>
      <c r="C197">
        <v>420.65</v>
      </c>
      <c r="D197" s="36">
        <f t="shared" si="4"/>
        <v>-6.5375014857957936E-3</v>
      </c>
      <c r="F197" s="34">
        <f>'Raw Data'!G193</f>
        <v>46007</v>
      </c>
      <c r="G197">
        <f>'Raw Data'!J193</f>
        <v>25860.1</v>
      </c>
      <c r="H197" s="36">
        <f t="shared" si="5"/>
        <v>-1.6067223251263751E-3</v>
      </c>
    </row>
    <row r="198" spans="2:8" x14ac:dyDescent="0.3">
      <c r="B198" s="34">
        <f>'Raw Data'!G194</f>
        <v>46006</v>
      </c>
      <c r="C198">
        <v>416.8</v>
      </c>
      <c r="D198" s="36">
        <f t="shared" si="4"/>
        <v>9.237044145873341E-3</v>
      </c>
      <c r="F198" s="34">
        <f>'Raw Data'!G194</f>
        <v>46006</v>
      </c>
      <c r="G198">
        <f>'Raw Data'!J194</f>
        <v>26027.3</v>
      </c>
      <c r="H198" s="36">
        <f t="shared" si="5"/>
        <v>-6.4240240055634112E-3</v>
      </c>
    </row>
    <row r="199" spans="2:8" x14ac:dyDescent="0.3">
      <c r="B199" s="34">
        <f>'Raw Data'!G195</f>
        <v>46003</v>
      </c>
      <c r="C199">
        <v>415.95</v>
      </c>
      <c r="D199" s="36">
        <f t="shared" si="4"/>
        <v>2.0435148455344443E-3</v>
      </c>
      <c r="F199" s="34">
        <f>'Raw Data'!G195</f>
        <v>46003</v>
      </c>
      <c r="G199">
        <f>'Raw Data'!J195</f>
        <v>26046.95</v>
      </c>
      <c r="H199" s="36">
        <f t="shared" si="5"/>
        <v>-7.5440694591888402E-4</v>
      </c>
    </row>
    <row r="200" spans="2:8" x14ac:dyDescent="0.3">
      <c r="B200" s="34">
        <f>'Raw Data'!G196</f>
        <v>46002</v>
      </c>
      <c r="C200">
        <v>412.85</v>
      </c>
      <c r="D200" s="36">
        <f t="shared" si="4"/>
        <v>7.5087804287270465E-3</v>
      </c>
      <c r="F200" s="34">
        <f>'Raw Data'!G196</f>
        <v>46002</v>
      </c>
      <c r="G200">
        <f>'Raw Data'!J196</f>
        <v>25898.55</v>
      </c>
      <c r="H200" s="36">
        <f t="shared" si="5"/>
        <v>5.7300505240640565E-3</v>
      </c>
    </row>
    <row r="201" spans="2:8" x14ac:dyDescent="0.3">
      <c r="B201" s="34">
        <f>'Raw Data'!G197</f>
        <v>46001</v>
      </c>
      <c r="C201">
        <v>413.05</v>
      </c>
      <c r="D201" s="36">
        <f t="shared" si="4"/>
        <v>-4.8420288100714526E-4</v>
      </c>
      <c r="F201" s="34">
        <f>'Raw Data'!G197</f>
        <v>46001</v>
      </c>
      <c r="G201">
        <f>'Raw Data'!J197</f>
        <v>25758</v>
      </c>
      <c r="H201" s="36">
        <f t="shared" si="5"/>
        <v>5.4565571861169282E-3</v>
      </c>
    </row>
    <row r="202" spans="2:8" x14ac:dyDescent="0.3">
      <c r="B202" s="34">
        <f>'Raw Data'!G198</f>
        <v>46000</v>
      </c>
      <c r="C202">
        <v>412.15</v>
      </c>
      <c r="D202" s="36">
        <f t="shared" si="4"/>
        <v>2.183670993570308E-3</v>
      </c>
      <c r="F202" s="34">
        <f>'Raw Data'!G198</f>
        <v>46000</v>
      </c>
      <c r="G202">
        <f>'Raw Data'!J198</f>
        <v>25839.65</v>
      </c>
      <c r="H202" s="36">
        <f t="shared" si="5"/>
        <v>-3.15987252149319E-3</v>
      </c>
    </row>
    <row r="203" spans="2:8" x14ac:dyDescent="0.3">
      <c r="B203" s="34">
        <f>'Raw Data'!G199</f>
        <v>45999</v>
      </c>
      <c r="C203">
        <v>405.15</v>
      </c>
      <c r="D203" s="36">
        <f t="shared" si="4"/>
        <v>1.72775515241268E-2</v>
      </c>
      <c r="F203" s="34">
        <f>'Raw Data'!G199</f>
        <v>45999</v>
      </c>
      <c r="G203">
        <f>'Raw Data'!J199</f>
        <v>25960.55</v>
      </c>
      <c r="H203" s="36">
        <f t="shared" si="5"/>
        <v>-4.6570662023723841E-3</v>
      </c>
    </row>
    <row r="204" spans="2:8" x14ac:dyDescent="0.3">
      <c r="B204" s="34">
        <f>'Raw Data'!G200</f>
        <v>45996</v>
      </c>
      <c r="C204">
        <v>399.9</v>
      </c>
      <c r="D204" s="36">
        <f t="shared" ref="D204:D252" si="6">C203/C204-1</f>
        <v>1.3128282070517638E-2</v>
      </c>
      <c r="F204" s="34">
        <f>'Raw Data'!G200</f>
        <v>45996</v>
      </c>
      <c r="G204">
        <f>'Raw Data'!J200</f>
        <v>26186.45</v>
      </c>
      <c r="H204" s="36">
        <f t="shared" ref="H204:H252" si="7">G203/G204-1</f>
        <v>-8.626598870790092E-3</v>
      </c>
    </row>
    <row r="205" spans="2:8" x14ac:dyDescent="0.3">
      <c r="B205" s="34">
        <f>'Raw Data'!G201</f>
        <v>45995</v>
      </c>
      <c r="C205">
        <v>396.8</v>
      </c>
      <c r="D205" s="36">
        <f t="shared" si="6"/>
        <v>7.8125E-3</v>
      </c>
      <c r="F205" s="34">
        <f>'Raw Data'!G201</f>
        <v>45995</v>
      </c>
      <c r="G205">
        <f>'Raw Data'!J201</f>
        <v>26033.75</v>
      </c>
      <c r="H205" s="36">
        <f t="shared" si="7"/>
        <v>5.8654631007826197E-3</v>
      </c>
    </row>
    <row r="206" spans="2:8" x14ac:dyDescent="0.3">
      <c r="B206" s="34">
        <f>'Raw Data'!G202</f>
        <v>45994</v>
      </c>
      <c r="C206">
        <v>399.25</v>
      </c>
      <c r="D206" s="36">
        <f t="shared" si="6"/>
        <v>-6.1365059486536699E-3</v>
      </c>
      <c r="F206" s="34">
        <f>'Raw Data'!G202</f>
        <v>45994</v>
      </c>
      <c r="G206">
        <f>'Raw Data'!J202</f>
        <v>25986</v>
      </c>
      <c r="H206" s="36">
        <f t="shared" si="7"/>
        <v>1.8375278996383138E-3</v>
      </c>
    </row>
    <row r="207" spans="2:8" x14ac:dyDescent="0.3">
      <c r="B207" s="34">
        <f>'Raw Data'!G203</f>
        <v>45993</v>
      </c>
      <c r="C207">
        <v>402.8</v>
      </c>
      <c r="D207" s="36">
        <f t="shared" si="6"/>
        <v>-8.8133068520357405E-3</v>
      </c>
      <c r="F207" s="34">
        <f>'Raw Data'!G203</f>
        <v>45993</v>
      </c>
      <c r="G207">
        <f>'Raw Data'!J203</f>
        <v>26032.2</v>
      </c>
      <c r="H207" s="36">
        <f t="shared" si="7"/>
        <v>-1.7747251480858539E-3</v>
      </c>
    </row>
    <row r="208" spans="2:8" x14ac:dyDescent="0.3">
      <c r="B208" s="34">
        <f>'Raw Data'!G204</f>
        <v>45992</v>
      </c>
      <c r="C208">
        <v>399.9</v>
      </c>
      <c r="D208" s="36">
        <f t="shared" si="6"/>
        <v>7.2518129532384012E-3</v>
      </c>
      <c r="F208" s="34">
        <f>'Raw Data'!G204</f>
        <v>45992</v>
      </c>
      <c r="G208">
        <f>'Raw Data'!J204</f>
        <v>26175.75</v>
      </c>
      <c r="H208" s="36">
        <f t="shared" si="7"/>
        <v>-5.4840835506145824E-3</v>
      </c>
    </row>
    <row r="209" spans="2:8" x14ac:dyDescent="0.3">
      <c r="B209" s="34">
        <f>'Raw Data'!G205</f>
        <v>45989</v>
      </c>
      <c r="C209">
        <v>399.75</v>
      </c>
      <c r="D209" s="36">
        <f t="shared" si="6"/>
        <v>3.7523452157595116E-4</v>
      </c>
      <c r="F209" s="34">
        <f>'Raw Data'!G205</f>
        <v>45989</v>
      </c>
      <c r="G209">
        <f>'Raw Data'!J205</f>
        <v>26202.95</v>
      </c>
      <c r="H209" s="36">
        <f t="shared" si="7"/>
        <v>-1.0380510591364578E-3</v>
      </c>
    </row>
    <row r="210" spans="2:8" x14ac:dyDescent="0.3">
      <c r="B210" s="34">
        <f>'Raw Data'!G206</f>
        <v>45988</v>
      </c>
      <c r="C210">
        <v>399.8</v>
      </c>
      <c r="D210" s="36">
        <f t="shared" si="6"/>
        <v>-1.250625312656517E-4</v>
      </c>
      <c r="F210" s="34">
        <f>'Raw Data'!G206</f>
        <v>45988</v>
      </c>
      <c r="G210">
        <f>'Raw Data'!J206</f>
        <v>26215.55</v>
      </c>
      <c r="H210" s="36">
        <f t="shared" si="7"/>
        <v>-4.806307706685109E-4</v>
      </c>
    </row>
    <row r="211" spans="2:8" x14ac:dyDescent="0.3">
      <c r="B211" s="34">
        <f>'Raw Data'!G207</f>
        <v>45987</v>
      </c>
      <c r="C211">
        <v>400.75</v>
      </c>
      <c r="D211" s="36">
        <f t="shared" si="6"/>
        <v>-2.370555208983105E-3</v>
      </c>
      <c r="F211" s="34">
        <f>'Raw Data'!G207</f>
        <v>45987</v>
      </c>
      <c r="G211">
        <f>'Raw Data'!J207</f>
        <v>26205.3</v>
      </c>
      <c r="H211" s="36">
        <f t="shared" si="7"/>
        <v>3.9114224985015156E-4</v>
      </c>
    </row>
    <row r="212" spans="2:8" x14ac:dyDescent="0.3">
      <c r="B212" s="34">
        <f>'Raw Data'!G208</f>
        <v>45986</v>
      </c>
      <c r="C212">
        <v>404.3</v>
      </c>
      <c r="D212" s="36">
        <f t="shared" si="6"/>
        <v>-8.7806084590650313E-3</v>
      </c>
      <c r="F212" s="34">
        <f>'Raw Data'!G208</f>
        <v>45986</v>
      </c>
      <c r="G212">
        <f>'Raw Data'!J208</f>
        <v>25884.799999999999</v>
      </c>
      <c r="H212" s="36">
        <f t="shared" si="7"/>
        <v>1.238178390406719E-2</v>
      </c>
    </row>
    <row r="213" spans="2:8" x14ac:dyDescent="0.3">
      <c r="B213" s="34">
        <f>'Raw Data'!G209</f>
        <v>45985</v>
      </c>
      <c r="C213">
        <v>405.6</v>
      </c>
      <c r="D213" s="36">
        <f t="shared" si="6"/>
        <v>-3.2051282051281937E-3</v>
      </c>
      <c r="F213" s="34">
        <f>'Raw Data'!G209</f>
        <v>45985</v>
      </c>
      <c r="G213">
        <f>'Raw Data'!J209</f>
        <v>25959.5</v>
      </c>
      <c r="H213" s="36">
        <f t="shared" si="7"/>
        <v>-2.8775592750245327E-3</v>
      </c>
    </row>
    <row r="214" spans="2:8" x14ac:dyDescent="0.3">
      <c r="B214" s="34">
        <f>'Raw Data'!G210</f>
        <v>45982</v>
      </c>
      <c r="C214">
        <v>401.55</v>
      </c>
      <c r="D214" s="36">
        <f t="shared" si="6"/>
        <v>1.0085917071348538E-2</v>
      </c>
      <c r="F214" s="34">
        <f>'Raw Data'!G210</f>
        <v>45982</v>
      </c>
      <c r="G214">
        <f>'Raw Data'!J210</f>
        <v>26068.15</v>
      </c>
      <c r="H214" s="36">
        <f t="shared" si="7"/>
        <v>-4.1679213906625767E-3</v>
      </c>
    </row>
    <row r="215" spans="2:8" x14ac:dyDescent="0.3">
      <c r="B215" s="34">
        <f>'Raw Data'!G211</f>
        <v>45981</v>
      </c>
      <c r="C215">
        <v>407.25</v>
      </c>
      <c r="D215" s="36">
        <f t="shared" si="6"/>
        <v>-1.3996316758747684E-2</v>
      </c>
      <c r="F215" s="34">
        <f>'Raw Data'!G211</f>
        <v>45981</v>
      </c>
      <c r="G215">
        <f>'Raw Data'!J211</f>
        <v>26192.15</v>
      </c>
      <c r="H215" s="36">
        <f t="shared" si="7"/>
        <v>-4.7342428933859759E-3</v>
      </c>
    </row>
    <row r="216" spans="2:8" x14ac:dyDescent="0.3">
      <c r="B216" s="34">
        <f>'Raw Data'!G212</f>
        <v>45980</v>
      </c>
      <c r="C216">
        <v>405.1</v>
      </c>
      <c r="D216" s="36">
        <f t="shared" si="6"/>
        <v>5.3073315230807161E-3</v>
      </c>
      <c r="F216" s="34">
        <f>'Raw Data'!G212</f>
        <v>45980</v>
      </c>
      <c r="G216">
        <f>'Raw Data'!J212</f>
        <v>26052.65</v>
      </c>
      <c r="H216" s="36">
        <f t="shared" si="7"/>
        <v>5.3545416685059077E-3</v>
      </c>
    </row>
    <row r="217" spans="2:8" x14ac:dyDescent="0.3">
      <c r="B217" s="34">
        <f>'Raw Data'!G213</f>
        <v>45979</v>
      </c>
      <c r="C217">
        <v>400.1</v>
      </c>
      <c r="D217" s="36">
        <f t="shared" si="6"/>
        <v>1.2496875781054628E-2</v>
      </c>
      <c r="F217" s="34">
        <f>'Raw Data'!G213</f>
        <v>45979</v>
      </c>
      <c r="G217">
        <f>'Raw Data'!J213</f>
        <v>25910.05</v>
      </c>
      <c r="H217" s="36">
        <f t="shared" si="7"/>
        <v>5.5036559172985111E-3</v>
      </c>
    </row>
    <row r="218" spans="2:8" x14ac:dyDescent="0.3">
      <c r="B218" s="34">
        <f>'Raw Data'!G214</f>
        <v>45978</v>
      </c>
      <c r="C218">
        <v>401</v>
      </c>
      <c r="D218" s="36">
        <f t="shared" si="6"/>
        <v>-2.2443890274314038E-3</v>
      </c>
      <c r="F218" s="34">
        <f>'Raw Data'!G214</f>
        <v>45978</v>
      </c>
      <c r="G218">
        <f>'Raw Data'!J214</f>
        <v>26013.45</v>
      </c>
      <c r="H218" s="36">
        <f t="shared" si="7"/>
        <v>-3.9748668477268545E-3</v>
      </c>
    </row>
    <row r="219" spans="2:8" x14ac:dyDescent="0.3">
      <c r="B219" s="34">
        <f>'Raw Data'!G215</f>
        <v>45975</v>
      </c>
      <c r="C219">
        <v>403.2</v>
      </c>
      <c r="D219" s="36">
        <f t="shared" si="6"/>
        <v>-5.456349206349187E-3</v>
      </c>
      <c r="F219" s="34">
        <f>'Raw Data'!G215</f>
        <v>45975</v>
      </c>
      <c r="G219">
        <f>'Raw Data'!J215</f>
        <v>25910.05</v>
      </c>
      <c r="H219" s="36">
        <f t="shared" si="7"/>
        <v>3.9907294659795589E-3</v>
      </c>
    </row>
    <row r="220" spans="2:8" x14ac:dyDescent="0.3">
      <c r="B220" s="34">
        <f>'Raw Data'!G216</f>
        <v>45974</v>
      </c>
      <c r="C220">
        <v>406.95</v>
      </c>
      <c r="D220" s="36">
        <f t="shared" si="6"/>
        <v>-9.2148912642830982E-3</v>
      </c>
      <c r="F220" s="34">
        <f>'Raw Data'!G216</f>
        <v>45974</v>
      </c>
      <c r="G220">
        <f>'Raw Data'!J216</f>
        <v>25879.15</v>
      </c>
      <c r="H220" s="36">
        <f t="shared" si="7"/>
        <v>1.194011395273753E-3</v>
      </c>
    </row>
    <row r="221" spans="2:8" x14ac:dyDescent="0.3">
      <c r="B221" s="34">
        <f>'Raw Data'!G217</f>
        <v>45973</v>
      </c>
      <c r="C221">
        <v>410.65</v>
      </c>
      <c r="D221" s="36">
        <f t="shared" si="6"/>
        <v>-9.0101059296237018E-3</v>
      </c>
      <c r="F221" s="34">
        <f>'Raw Data'!G217</f>
        <v>45973</v>
      </c>
      <c r="G221">
        <f>'Raw Data'!J217</f>
        <v>25875.8</v>
      </c>
      <c r="H221" s="36">
        <f t="shared" si="7"/>
        <v>1.2946459626372864E-4</v>
      </c>
    </row>
    <row r="222" spans="2:8" x14ac:dyDescent="0.3">
      <c r="B222" s="34">
        <f>'Raw Data'!G218</f>
        <v>45972</v>
      </c>
      <c r="C222">
        <v>411.55</v>
      </c>
      <c r="D222" s="36">
        <f t="shared" si="6"/>
        <v>-2.1868545741708934E-3</v>
      </c>
      <c r="F222" s="34">
        <f>'Raw Data'!G218</f>
        <v>45972</v>
      </c>
      <c r="G222">
        <f>'Raw Data'!J218</f>
        <v>25694.95</v>
      </c>
      <c r="H222" s="36">
        <f t="shared" si="7"/>
        <v>7.0383480022337963E-3</v>
      </c>
    </row>
    <row r="223" spans="2:8" x14ac:dyDescent="0.3">
      <c r="B223" s="34">
        <f>'Raw Data'!G219</f>
        <v>45971</v>
      </c>
      <c r="C223">
        <v>409.3</v>
      </c>
      <c r="D223" s="36">
        <f t="shared" si="6"/>
        <v>5.4971903249450005E-3</v>
      </c>
      <c r="F223" s="34">
        <f>'Raw Data'!G219</f>
        <v>45971</v>
      </c>
      <c r="G223">
        <f>'Raw Data'!J219</f>
        <v>25574.35</v>
      </c>
      <c r="H223" s="36">
        <f t="shared" si="7"/>
        <v>4.7156623726507529E-3</v>
      </c>
    </row>
    <row r="224" spans="2:8" x14ac:dyDescent="0.3">
      <c r="B224" s="34">
        <f>'Raw Data'!G220</f>
        <v>45968</v>
      </c>
      <c r="C224">
        <v>413.1</v>
      </c>
      <c r="D224" s="36">
        <f t="shared" si="6"/>
        <v>-9.1987412248850653E-3</v>
      </c>
      <c r="F224" s="34">
        <f>'Raw Data'!G220</f>
        <v>45968</v>
      </c>
      <c r="G224">
        <f>'Raw Data'!J220</f>
        <v>25492.3</v>
      </c>
      <c r="H224" s="36">
        <f t="shared" si="7"/>
        <v>3.2186189555276634E-3</v>
      </c>
    </row>
    <row r="225" spans="2:8" x14ac:dyDescent="0.3">
      <c r="B225" s="34">
        <f>'Raw Data'!G221</f>
        <v>45967</v>
      </c>
      <c r="C225">
        <v>412.65</v>
      </c>
      <c r="D225" s="36">
        <f t="shared" si="6"/>
        <v>1.0905125408944283E-3</v>
      </c>
      <c r="F225" s="34">
        <f>'Raw Data'!G221</f>
        <v>45967</v>
      </c>
      <c r="G225">
        <f>'Raw Data'!J221</f>
        <v>25509.7</v>
      </c>
      <c r="H225" s="36">
        <f t="shared" si="7"/>
        <v>-6.8209347816716726E-4</v>
      </c>
    </row>
    <row r="226" spans="2:8" x14ac:dyDescent="0.3">
      <c r="B226" s="34">
        <f>'Raw Data'!G222</f>
        <v>45965</v>
      </c>
      <c r="C226">
        <v>413.75</v>
      </c>
      <c r="D226" s="36">
        <f t="shared" si="6"/>
        <v>-2.6586102719033944E-3</v>
      </c>
      <c r="F226" s="34">
        <f>'Raw Data'!G222</f>
        <v>45965</v>
      </c>
      <c r="G226">
        <f>'Raw Data'!J222</f>
        <v>25597.65</v>
      </c>
      <c r="H226" s="36">
        <f t="shared" si="7"/>
        <v>-3.4358622764198987E-3</v>
      </c>
    </row>
    <row r="227" spans="2:8" x14ac:dyDescent="0.3">
      <c r="B227" s="34">
        <f>'Raw Data'!G223</f>
        <v>45964</v>
      </c>
      <c r="C227">
        <v>415.05</v>
      </c>
      <c r="D227" s="36">
        <f t="shared" si="6"/>
        <v>-3.1321527526804172E-3</v>
      </c>
      <c r="F227" s="34">
        <f>'Raw Data'!G223</f>
        <v>45964</v>
      </c>
      <c r="G227">
        <f>'Raw Data'!J223</f>
        <v>25763.35</v>
      </c>
      <c r="H227" s="36">
        <f t="shared" si="7"/>
        <v>-6.4316170063286604E-3</v>
      </c>
    </row>
    <row r="228" spans="2:8" x14ac:dyDescent="0.3">
      <c r="B228" s="34">
        <f>'Raw Data'!G224</f>
        <v>45961</v>
      </c>
      <c r="C228">
        <v>413.05</v>
      </c>
      <c r="D228" s="36">
        <f t="shared" si="6"/>
        <v>4.8420288100714526E-3</v>
      </c>
      <c r="F228" s="34">
        <f>'Raw Data'!G224</f>
        <v>45961</v>
      </c>
      <c r="G228">
        <f>'Raw Data'!J224</f>
        <v>25722.1</v>
      </c>
      <c r="H228" s="36">
        <f t="shared" si="7"/>
        <v>1.6036793263380922E-3</v>
      </c>
    </row>
    <row r="229" spans="2:8" x14ac:dyDescent="0.3">
      <c r="B229" s="34">
        <f>'Raw Data'!G225</f>
        <v>45960</v>
      </c>
      <c r="C229">
        <v>410.05</v>
      </c>
      <c r="D229" s="36">
        <f t="shared" si="6"/>
        <v>7.3161809535422506E-3</v>
      </c>
      <c r="F229" s="34">
        <f>'Raw Data'!G225</f>
        <v>45960</v>
      </c>
      <c r="G229">
        <f>'Raw Data'!J225</f>
        <v>25877.85</v>
      </c>
      <c r="H229" s="36">
        <f t="shared" si="7"/>
        <v>-6.0186607465457787E-3</v>
      </c>
    </row>
    <row r="230" spans="2:8" x14ac:dyDescent="0.3">
      <c r="B230" s="34">
        <f>'Raw Data'!G226</f>
        <v>45959</v>
      </c>
      <c r="C230">
        <v>407.55</v>
      </c>
      <c r="D230" s="36">
        <f t="shared" si="6"/>
        <v>6.1342166605324877E-3</v>
      </c>
      <c r="F230" s="34">
        <f>'Raw Data'!G226</f>
        <v>45959</v>
      </c>
      <c r="G230">
        <f>'Raw Data'!J226</f>
        <v>26053.9</v>
      </c>
      <c r="H230" s="36">
        <f t="shared" si="7"/>
        <v>-6.7571457632064069E-3</v>
      </c>
    </row>
    <row r="231" spans="2:8" x14ac:dyDescent="0.3">
      <c r="B231" s="34">
        <f>'Raw Data'!G227</f>
        <v>45958</v>
      </c>
      <c r="C231">
        <v>407.35</v>
      </c>
      <c r="D231" s="36">
        <f t="shared" si="6"/>
        <v>4.9097827421129558E-4</v>
      </c>
      <c r="F231" s="34">
        <f>'Raw Data'!G227</f>
        <v>45958</v>
      </c>
      <c r="G231">
        <f>'Raw Data'!J227</f>
        <v>25936.2</v>
      </c>
      <c r="H231" s="36">
        <f t="shared" si="7"/>
        <v>4.5380587749941359E-3</v>
      </c>
    </row>
    <row r="232" spans="2:8" x14ac:dyDescent="0.3">
      <c r="B232" s="34">
        <f>'Raw Data'!G228</f>
        <v>45957</v>
      </c>
      <c r="C232">
        <v>415.9</v>
      </c>
      <c r="D232" s="36">
        <f t="shared" si="6"/>
        <v>-2.0557826400576906E-2</v>
      </c>
      <c r="F232" s="34">
        <f>'Raw Data'!G228</f>
        <v>45957</v>
      </c>
      <c r="G232">
        <f>'Raw Data'!J228</f>
        <v>25966.05</v>
      </c>
      <c r="H232" s="36">
        <f t="shared" si="7"/>
        <v>-1.1495780066663741E-3</v>
      </c>
    </row>
    <row r="233" spans="2:8" x14ac:dyDescent="0.3">
      <c r="B233" s="34">
        <f>'Raw Data'!G229</f>
        <v>45954</v>
      </c>
      <c r="C233">
        <v>411.75</v>
      </c>
      <c r="D233" s="36">
        <f t="shared" si="6"/>
        <v>1.0078931390406831E-2</v>
      </c>
      <c r="F233" s="34">
        <f>'Raw Data'!G229</f>
        <v>45954</v>
      </c>
      <c r="G233">
        <f>'Raw Data'!J229</f>
        <v>25795.15</v>
      </c>
      <c r="H233" s="36">
        <f t="shared" si="7"/>
        <v>6.6252764570082778E-3</v>
      </c>
    </row>
    <row r="234" spans="2:8" x14ac:dyDescent="0.3">
      <c r="B234" s="34">
        <f>'Raw Data'!G230</f>
        <v>45953</v>
      </c>
      <c r="C234">
        <v>406.75</v>
      </c>
      <c r="D234" s="36">
        <f t="shared" si="6"/>
        <v>1.2292562999385304E-2</v>
      </c>
      <c r="F234" s="34">
        <f>'Raw Data'!G230</f>
        <v>45953</v>
      </c>
      <c r="G234">
        <f>'Raw Data'!J230</f>
        <v>25891.4</v>
      </c>
      <c r="H234" s="36">
        <f t="shared" si="7"/>
        <v>-3.7174505820465331E-3</v>
      </c>
    </row>
    <row r="235" spans="2:8" x14ac:dyDescent="0.3">
      <c r="B235" s="34">
        <f>'Raw Data'!G231</f>
        <v>45951</v>
      </c>
      <c r="C235">
        <v>405.85</v>
      </c>
      <c r="D235" s="36">
        <f t="shared" si="6"/>
        <v>2.2175680670197817E-3</v>
      </c>
      <c r="F235" s="34">
        <f>'Raw Data'!G231</f>
        <v>45951</v>
      </c>
      <c r="G235">
        <f>'Raw Data'!J231</f>
        <v>25868.6</v>
      </c>
      <c r="H235" s="36">
        <f t="shared" si="7"/>
        <v>8.8137742282157205E-4</v>
      </c>
    </row>
    <row r="236" spans="2:8" x14ac:dyDescent="0.3">
      <c r="B236" s="34">
        <f>'Raw Data'!G232</f>
        <v>45950</v>
      </c>
      <c r="C236">
        <v>409.75</v>
      </c>
      <c r="D236" s="36">
        <f t="shared" si="6"/>
        <v>-9.517998779743686E-3</v>
      </c>
      <c r="F236" s="34">
        <f>'Raw Data'!G232</f>
        <v>45950</v>
      </c>
      <c r="G236">
        <f>'Raw Data'!J232</f>
        <v>25843.15</v>
      </c>
      <c r="H236" s="36">
        <f t="shared" si="7"/>
        <v>9.8478707123539344E-4</v>
      </c>
    </row>
    <row r="237" spans="2:8" x14ac:dyDescent="0.3">
      <c r="B237" s="34">
        <f>'Raw Data'!G233</f>
        <v>45947</v>
      </c>
      <c r="C237">
        <v>400.9</v>
      </c>
      <c r="D237" s="36">
        <f t="shared" si="6"/>
        <v>2.2075330506360791E-2</v>
      </c>
      <c r="F237" s="34">
        <f>'Raw Data'!G233</f>
        <v>45947</v>
      </c>
      <c r="G237">
        <f>'Raw Data'!J233</f>
        <v>25709.85</v>
      </c>
      <c r="H237" s="36">
        <f t="shared" si="7"/>
        <v>5.1847832640019575E-3</v>
      </c>
    </row>
    <row r="238" spans="2:8" x14ac:dyDescent="0.3">
      <c r="B238" s="34">
        <f>'Raw Data'!G234</f>
        <v>45946</v>
      </c>
      <c r="C238">
        <v>403.35</v>
      </c>
      <c r="D238" s="36">
        <f t="shared" si="6"/>
        <v>-6.0741291682162579E-3</v>
      </c>
      <c r="F238" s="34">
        <f>'Raw Data'!G234</f>
        <v>45946</v>
      </c>
      <c r="G238">
        <f>'Raw Data'!J234</f>
        <v>25585.3</v>
      </c>
      <c r="H238" s="36">
        <f t="shared" si="7"/>
        <v>4.8680296889229702E-3</v>
      </c>
    </row>
    <row r="239" spans="2:8" x14ac:dyDescent="0.3">
      <c r="B239" s="34">
        <f>'Raw Data'!G235</f>
        <v>45945</v>
      </c>
      <c r="C239">
        <v>399.35</v>
      </c>
      <c r="D239" s="36">
        <f t="shared" si="6"/>
        <v>1.0016276449229977E-2</v>
      </c>
      <c r="F239" s="34">
        <f>'Raw Data'!G235</f>
        <v>45945</v>
      </c>
      <c r="G239">
        <f>'Raw Data'!J235</f>
        <v>25323.55</v>
      </c>
      <c r="H239" s="36">
        <f t="shared" si="7"/>
        <v>1.0336228530360092E-2</v>
      </c>
    </row>
    <row r="240" spans="2:8" x14ac:dyDescent="0.3">
      <c r="B240" s="34">
        <f>'Raw Data'!G236</f>
        <v>45944</v>
      </c>
      <c r="C240">
        <v>398.3</v>
      </c>
      <c r="D240" s="36">
        <f t="shared" si="6"/>
        <v>2.6362038664322629E-3</v>
      </c>
      <c r="F240" s="34">
        <f>'Raw Data'!G236</f>
        <v>45944</v>
      </c>
      <c r="G240">
        <f>'Raw Data'!J236</f>
        <v>25145.5</v>
      </c>
      <c r="H240" s="36">
        <f t="shared" si="7"/>
        <v>7.0807898033444783E-3</v>
      </c>
    </row>
    <row r="241" spans="2:8" x14ac:dyDescent="0.3">
      <c r="B241" s="34">
        <f>'Raw Data'!G237</f>
        <v>45943</v>
      </c>
      <c r="C241">
        <v>405.55</v>
      </c>
      <c r="D241" s="36">
        <f t="shared" si="6"/>
        <v>-1.787695721859206E-2</v>
      </c>
      <c r="F241" s="34">
        <f>'Raw Data'!G237</f>
        <v>45943</v>
      </c>
      <c r="G241">
        <f>'Raw Data'!J237</f>
        <v>25227.35</v>
      </c>
      <c r="H241" s="36">
        <f t="shared" si="7"/>
        <v>-3.2444945664129587E-3</v>
      </c>
    </row>
    <row r="242" spans="2:8" x14ac:dyDescent="0.3">
      <c r="B242" s="34">
        <f>'Raw Data'!G238</f>
        <v>45940</v>
      </c>
      <c r="C242">
        <v>406.05</v>
      </c>
      <c r="D242" s="36">
        <f t="shared" si="6"/>
        <v>-1.2313754463736393E-3</v>
      </c>
      <c r="F242" s="34">
        <f>'Raw Data'!G238</f>
        <v>45940</v>
      </c>
      <c r="G242">
        <f>'Raw Data'!J238</f>
        <v>25285.35</v>
      </c>
      <c r="H242" s="36">
        <f t="shared" si="7"/>
        <v>-2.2938183572701609E-3</v>
      </c>
    </row>
    <row r="243" spans="2:8" x14ac:dyDescent="0.3">
      <c r="B243" s="34">
        <f>'Raw Data'!G239</f>
        <v>45939</v>
      </c>
      <c r="C243">
        <v>409.1</v>
      </c>
      <c r="D243" s="36">
        <f t="shared" si="6"/>
        <v>-7.4553898802248719E-3</v>
      </c>
      <c r="F243" s="34">
        <f>'Raw Data'!G239</f>
        <v>45939</v>
      </c>
      <c r="G243">
        <f>'Raw Data'!J239</f>
        <v>25181.8</v>
      </c>
      <c r="H243" s="36">
        <f t="shared" si="7"/>
        <v>4.1120968318388851E-3</v>
      </c>
    </row>
    <row r="244" spans="2:8" x14ac:dyDescent="0.3">
      <c r="B244" s="34">
        <f>'Raw Data'!G240</f>
        <v>45938</v>
      </c>
      <c r="C244">
        <v>406.3</v>
      </c>
      <c r="D244" s="36">
        <f t="shared" si="6"/>
        <v>6.8914595126754463E-3</v>
      </c>
      <c r="F244" s="34">
        <f>'Raw Data'!G240</f>
        <v>45938</v>
      </c>
      <c r="G244">
        <f>'Raw Data'!J240</f>
        <v>25046.15</v>
      </c>
      <c r="H244" s="36">
        <f t="shared" si="7"/>
        <v>5.4160020601967673E-3</v>
      </c>
    </row>
    <row r="245" spans="2:8" x14ac:dyDescent="0.3">
      <c r="B245" s="34">
        <f>'Raw Data'!G241</f>
        <v>45937</v>
      </c>
      <c r="C245">
        <v>411.45</v>
      </c>
      <c r="D245" s="36">
        <f t="shared" si="6"/>
        <v>-1.2516709199173581E-2</v>
      </c>
      <c r="F245" s="34">
        <f>'Raw Data'!G241</f>
        <v>45937</v>
      </c>
      <c r="G245">
        <f>'Raw Data'!J241</f>
        <v>25108.3</v>
      </c>
      <c r="H245" s="36">
        <f t="shared" si="7"/>
        <v>-2.4752770996043783E-3</v>
      </c>
    </row>
    <row r="246" spans="2:8" x14ac:dyDescent="0.3">
      <c r="B246" s="34">
        <f>'Raw Data'!G242</f>
        <v>45936</v>
      </c>
      <c r="C246">
        <v>414.1</v>
      </c>
      <c r="D246" s="36">
        <f t="shared" si="6"/>
        <v>-6.3994204298479795E-3</v>
      </c>
      <c r="F246" s="34">
        <f>'Raw Data'!G242</f>
        <v>45936</v>
      </c>
      <c r="G246">
        <f>'Raw Data'!J242</f>
        <v>25077.65</v>
      </c>
      <c r="H246" s="36">
        <f t="shared" si="7"/>
        <v>1.222203834888802E-3</v>
      </c>
    </row>
    <row r="247" spans="2:8" x14ac:dyDescent="0.3">
      <c r="B247" s="34">
        <f>'Raw Data'!G243</f>
        <v>45933</v>
      </c>
      <c r="C247">
        <v>416.35</v>
      </c>
      <c r="D247" s="36">
        <f t="shared" si="6"/>
        <v>-5.4041071214122605E-3</v>
      </c>
      <c r="F247" s="34">
        <f>'Raw Data'!G243</f>
        <v>45933</v>
      </c>
      <c r="G247">
        <f>'Raw Data'!J243</f>
        <v>24894.25</v>
      </c>
      <c r="H247" s="36">
        <f t="shared" si="7"/>
        <v>7.3671630999125881E-3</v>
      </c>
    </row>
    <row r="248" spans="2:8" x14ac:dyDescent="0.3">
      <c r="B248" s="34">
        <f>'Raw Data'!G244</f>
        <v>45931</v>
      </c>
      <c r="C248">
        <v>416.85</v>
      </c>
      <c r="D248" s="36">
        <f t="shared" si="6"/>
        <v>-1.1994722322178353E-3</v>
      </c>
      <c r="F248" s="34">
        <f>'Raw Data'!G244</f>
        <v>45931</v>
      </c>
      <c r="G248">
        <f>'Raw Data'!J244</f>
        <v>24836.3</v>
      </c>
      <c r="H248" s="36">
        <f t="shared" si="7"/>
        <v>2.3332783063501061E-3</v>
      </c>
    </row>
    <row r="249" spans="2:8" x14ac:dyDescent="0.3">
      <c r="B249" s="34">
        <f>'Raw Data'!G245</f>
        <v>45930</v>
      </c>
      <c r="C249">
        <v>414.5</v>
      </c>
      <c r="D249" s="36">
        <f t="shared" si="6"/>
        <v>5.6694813027744484E-3</v>
      </c>
      <c r="F249" s="34">
        <f>'Raw Data'!G245</f>
        <v>45930</v>
      </c>
      <c r="G249">
        <f>'Raw Data'!J245</f>
        <v>24611.1</v>
      </c>
      <c r="H249" s="36">
        <f t="shared" si="7"/>
        <v>9.1503427315318131E-3</v>
      </c>
    </row>
    <row r="250" spans="2:8" x14ac:dyDescent="0.3">
      <c r="B250" s="34">
        <f>'Raw Data'!G246</f>
        <v>45929</v>
      </c>
      <c r="C250">
        <v>413.6</v>
      </c>
      <c r="D250" s="36">
        <f t="shared" si="6"/>
        <v>2.1760154738876825E-3</v>
      </c>
      <c r="F250" s="34">
        <f>'Raw Data'!G246</f>
        <v>45929</v>
      </c>
      <c r="G250">
        <f>'Raw Data'!J246</f>
        <v>24634.9</v>
      </c>
      <c r="H250" s="36">
        <f t="shared" si="7"/>
        <v>-9.6610905666361102E-4</v>
      </c>
    </row>
    <row r="251" spans="2:8" x14ac:dyDescent="0.3">
      <c r="B251" s="34">
        <f>'Raw Data'!G247</f>
        <v>45926</v>
      </c>
      <c r="C251">
        <v>412</v>
      </c>
      <c r="D251" s="36">
        <f t="shared" si="6"/>
        <v>3.8834951456310218E-3</v>
      </c>
      <c r="F251" s="34">
        <f>'Raw Data'!G247</f>
        <v>45926</v>
      </c>
      <c r="G251">
        <f>'Raw Data'!J247</f>
        <v>24654.7</v>
      </c>
      <c r="H251" s="36">
        <f t="shared" si="7"/>
        <v>-8.0309231099950917E-4</v>
      </c>
    </row>
    <row r="252" spans="2:8" x14ac:dyDescent="0.3">
      <c r="B252" s="34">
        <f>'Raw Data'!G248</f>
        <v>45925</v>
      </c>
      <c r="C252">
        <v>414.15</v>
      </c>
      <c r="D252" s="36">
        <f t="shared" si="6"/>
        <v>-5.1913557889653461E-3</v>
      </c>
      <c r="F252" s="34">
        <f>'Raw Data'!G248</f>
        <v>45925</v>
      </c>
      <c r="G252">
        <f>'Raw Data'!J248</f>
        <v>24890.85</v>
      </c>
      <c r="H252" s="36">
        <f t="shared" si="7"/>
        <v>-9.4874220848222279E-3</v>
      </c>
    </row>
    <row r="253" spans="2:8" x14ac:dyDescent="0.3">
      <c r="B253" s="34"/>
    </row>
    <row r="254" spans="2:8" x14ac:dyDescent="0.3">
      <c r="B254" s="34"/>
    </row>
    <row r="255" spans="2:8" x14ac:dyDescent="0.3">
      <c r="B255" s="34"/>
    </row>
    <row r="256" spans="2:8" x14ac:dyDescent="0.3">
      <c r="B256" s="34"/>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TCS</v>
      </c>
      <c r="C14" s="119"/>
      <c r="D14" s="119" t="str">
        <f>'Raw Data'!Q24</f>
        <v>India</v>
      </c>
      <c r="E14" s="124">
        <f>'Raw Data'!R24</f>
        <v>190401.9</v>
      </c>
      <c r="F14" s="124">
        <f>'Raw Data'!S24</f>
        <v>761607.42</v>
      </c>
      <c r="G14" s="120">
        <f>'Raw Data'!T24</f>
        <v>0.3</v>
      </c>
      <c r="H14" s="36">
        <f>E14/F14</f>
        <v>0.25000005908555878</v>
      </c>
      <c r="I14" s="36">
        <f>E14/SUM(E14:F14)</f>
        <v>0.20000003781475584</v>
      </c>
      <c r="J14" s="47">
        <v>1</v>
      </c>
      <c r="K14" s="47">
        <f>J14/(1+(1-G14)*H14)</f>
        <v>0.85106379982986713</v>
      </c>
    </row>
    <row r="15" spans="1:12" x14ac:dyDescent="0.3">
      <c r="B15" s="119" t="str">
        <f>'Raw Data'!O25</f>
        <v>Infosys Ltd</v>
      </c>
      <c r="C15" s="119"/>
      <c r="D15" s="119" t="str">
        <f>'Raw Data'!Q25</f>
        <v>India</v>
      </c>
      <c r="E15" s="124">
        <f>'Raw Data'!R25</f>
        <v>9176</v>
      </c>
      <c r="F15" s="124">
        <f>'Raw Data'!S25</f>
        <v>426683</v>
      </c>
      <c r="G15" s="120">
        <f>'Raw Data'!T25</f>
        <v>0.3</v>
      </c>
      <c r="H15" s="36">
        <f t="shared" ref="H15:H18" si="0">E15/F15</f>
        <v>2.1505426745382403E-2</v>
      </c>
      <c r="I15" s="36">
        <f t="shared" ref="I15:I18" si="1">E15/SUM(E15:F15)</f>
        <v>2.1052679880420044E-2</v>
      </c>
      <c r="J15" s="47">
        <f>'Beta-Regression'!L15</f>
        <v>0.34844470599506983</v>
      </c>
      <c r="K15" s="47">
        <f t="shared" ref="K15:K18" si="2">J15/(1+(1-G15)*H15)</f>
        <v>0.34327708189837597</v>
      </c>
    </row>
    <row r="16" spans="1:12" x14ac:dyDescent="0.3">
      <c r="B16" s="119" t="str">
        <f>'Raw Data'!O26</f>
        <v>HCL Technologies</v>
      </c>
      <c r="C16" s="119"/>
      <c r="D16" s="119" t="str">
        <f>'Raw Data'!Q26</f>
        <v>India</v>
      </c>
      <c r="E16" s="124">
        <f>'Raw Data'!R26</f>
        <v>84754.5</v>
      </c>
      <c r="F16" s="124">
        <f>'Raw Data'!S26</f>
        <v>339018.18</v>
      </c>
      <c r="G16" s="120">
        <f>'Raw Data'!T26</f>
        <v>0.3</v>
      </c>
      <c r="H16" s="36">
        <f t="shared" si="0"/>
        <v>0.24999986726375559</v>
      </c>
      <c r="I16" s="36">
        <f t="shared" si="1"/>
        <v>0.19999991504879455</v>
      </c>
      <c r="J16">
        <v>1</v>
      </c>
      <c r="K16" s="47">
        <f t="shared" si="2"/>
        <v>0.85106389708673857</v>
      </c>
    </row>
    <row r="17" spans="2:11" x14ac:dyDescent="0.3">
      <c r="B17" s="119" t="str">
        <f>'Raw Data'!O27</f>
        <v>Wipro</v>
      </c>
      <c r="C17" s="119"/>
      <c r="D17" s="119" t="str">
        <f>'Raw Data'!Q27</f>
        <v>India</v>
      </c>
      <c r="E17" s="124">
        <f>'Raw Data'!R27</f>
        <v>41311</v>
      </c>
      <c r="F17" s="124">
        <f>'Raw Data'!S27</f>
        <v>165244.04</v>
      </c>
      <c r="G17" s="120">
        <f>'Raw Data'!T27</f>
        <v>0.3</v>
      </c>
      <c r="H17" s="36">
        <f t="shared" si="0"/>
        <v>0.2499999394834452</v>
      </c>
      <c r="I17" s="36">
        <f t="shared" si="1"/>
        <v>0.19999996126940306</v>
      </c>
      <c r="J17" s="47">
        <v>1</v>
      </c>
      <c r="K17" s="47">
        <f t="shared" si="2"/>
        <v>0.85106386047014215</v>
      </c>
    </row>
    <row r="18" spans="2:11" x14ac:dyDescent="0.3">
      <c r="B18" s="119" t="str">
        <f>'Raw Data'!O28</f>
        <v>Tech Mahindra</v>
      </c>
      <c r="C18" s="119"/>
      <c r="D18" s="119" t="str">
        <f>'Raw Data'!Q28</f>
        <v>India</v>
      </c>
      <c r="E18" s="124">
        <f>'Raw Data'!R28</f>
        <v>37664.1</v>
      </c>
      <c r="F18" s="124">
        <f>'Raw Data'!S28</f>
        <v>150656.35999999999</v>
      </c>
      <c r="G18" s="120">
        <f>'Raw Data'!T28</f>
        <v>0.3</v>
      </c>
      <c r="H18" s="36">
        <f t="shared" si="0"/>
        <v>0.25000006637622202</v>
      </c>
      <c r="I18" s="36">
        <f t="shared" si="1"/>
        <v>0.20000004248077985</v>
      </c>
      <c r="J18">
        <v>1</v>
      </c>
      <c r="K18" s="47">
        <f t="shared" si="2"/>
        <v>0.85106379613337901</v>
      </c>
    </row>
    <row r="20" spans="2:11" x14ac:dyDescent="0.3">
      <c r="F20" s="122" t="s">
        <v>343</v>
      </c>
      <c r="G20" s="69">
        <f>AVERAGE(G14:G18)</f>
        <v>0.3</v>
      </c>
      <c r="H20" s="69">
        <f t="shared" ref="H20:K20" si="3">AVERAGE(H14:H18)</f>
        <v>0.20430107179087281</v>
      </c>
      <c r="I20" s="69">
        <f t="shared" si="3"/>
        <v>0.16421052729883068</v>
      </c>
      <c r="J20" s="69">
        <f t="shared" si="3"/>
        <v>0.86968894119901385</v>
      </c>
      <c r="K20" s="69">
        <f t="shared" si="3"/>
        <v>0.7495064870837006</v>
      </c>
    </row>
    <row r="21" spans="2:11" x14ac:dyDescent="0.3">
      <c r="F21" s="68" t="s">
        <v>160</v>
      </c>
      <c r="G21" s="70">
        <f>MEDIAN(G14:G18)</f>
        <v>0.3</v>
      </c>
      <c r="H21" s="70">
        <f t="shared" ref="H21:K21" si="4">MEDIAN(H14:H18)</f>
        <v>0.2499999394834452</v>
      </c>
      <c r="I21" s="70">
        <f t="shared" si="4"/>
        <v>0.19999996126940306</v>
      </c>
      <c r="J21" s="70">
        <f t="shared" si="4"/>
        <v>1</v>
      </c>
      <c r="K21" s="70">
        <f t="shared" si="4"/>
        <v>0.85106379982986713</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0.96811186986398667</v>
      </c>
    </row>
    <row r="29" spans="2:11" x14ac:dyDescent="0.3">
      <c r="G29" s="67" t="s">
        <v>231</v>
      </c>
      <c r="H29" s="64"/>
      <c r="I29" s="64"/>
      <c r="J29" s="64"/>
      <c r="K29" s="66">
        <f>K26+K27*K28</f>
        <v>0.13292727154115913</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0.85106379982986713</v>
      </c>
    </row>
    <row r="34" spans="2:11" x14ac:dyDescent="0.3">
      <c r="B34" t="s">
        <v>224</v>
      </c>
      <c r="C34" s="106">
        <f>E15</f>
        <v>9176</v>
      </c>
      <c r="D34" s="36">
        <f>C34/C$36</f>
        <v>2.1052679880420044E-2</v>
      </c>
      <c r="E34" s="46">
        <f>I20</f>
        <v>0.16421052729883068</v>
      </c>
      <c r="G34" t="s">
        <v>238</v>
      </c>
      <c r="K34" s="46">
        <f>E38</f>
        <v>0.19647355304455122</v>
      </c>
    </row>
    <row r="35" spans="2:11" x14ac:dyDescent="0.3">
      <c r="B35" t="s">
        <v>79</v>
      </c>
      <c r="C35" s="106">
        <f>F15</f>
        <v>426683</v>
      </c>
      <c r="D35" s="36">
        <f t="shared" ref="D35:D36" si="5">C35/C$36</f>
        <v>0.97894732011957997</v>
      </c>
      <c r="E35" s="46">
        <f>E36-E34</f>
        <v>0.83578947270116932</v>
      </c>
      <c r="G35" t="s">
        <v>111</v>
      </c>
      <c r="K35" s="46">
        <f>E27</f>
        <v>0.3</v>
      </c>
    </row>
    <row r="36" spans="2:11" x14ac:dyDescent="0.3">
      <c r="B36" t="s">
        <v>241</v>
      </c>
      <c r="C36" s="125">
        <f>SUM(C34:C35)</f>
        <v>435859</v>
      </c>
      <c r="D36" s="63">
        <f t="shared" si="5"/>
        <v>1</v>
      </c>
      <c r="E36" s="62">
        <f>D36</f>
        <v>1</v>
      </c>
      <c r="G36" s="67" t="s">
        <v>228</v>
      </c>
      <c r="H36" s="64"/>
      <c r="I36" s="64"/>
      <c r="J36" s="64"/>
      <c r="K36" s="126">
        <f>K33*(1+(1-K35)*K34)</f>
        <v>0.96811186986398667</v>
      </c>
    </row>
    <row r="38" spans="2:11" x14ac:dyDescent="0.3">
      <c r="B38" t="s">
        <v>226</v>
      </c>
      <c r="D38" s="65">
        <f>D34/D35</f>
        <v>2.1505426745382403E-2</v>
      </c>
      <c r="E38" s="65">
        <f>E34/E35</f>
        <v>0.19647355304455122</v>
      </c>
      <c r="G38" s="37" t="s">
        <v>242</v>
      </c>
    </row>
    <row r="39" spans="2:11" x14ac:dyDescent="0.3">
      <c r="G39" s="60"/>
      <c r="H39" s="60"/>
      <c r="I39" s="60"/>
      <c r="J39" s="60"/>
      <c r="K39" s="60"/>
    </row>
    <row r="40" spans="2:11" x14ac:dyDescent="0.3">
      <c r="G40" s="18" t="s">
        <v>244</v>
      </c>
      <c r="K40" s="46">
        <f>K29</f>
        <v>0.13292727154115913</v>
      </c>
    </row>
    <row r="41" spans="2:11" x14ac:dyDescent="0.3">
      <c r="G41" s="18" t="s">
        <v>243</v>
      </c>
      <c r="K41" s="46">
        <f>E35</f>
        <v>0.83578947270116932</v>
      </c>
    </row>
    <row r="43" spans="2:11" x14ac:dyDescent="0.3">
      <c r="G43" t="s">
        <v>230</v>
      </c>
      <c r="K43" s="46">
        <f>E28</f>
        <v>5.6349999999999997E-2</v>
      </c>
    </row>
    <row r="44" spans="2:11" x14ac:dyDescent="0.3">
      <c r="G44" t="s">
        <v>245</v>
      </c>
      <c r="K44" s="46">
        <f>E34</f>
        <v>0.16421052729883068</v>
      </c>
    </row>
    <row r="45" spans="2:11" ht="3.6" customHeight="1" x14ac:dyDescent="0.3"/>
    <row r="46" spans="2:11" x14ac:dyDescent="0.3">
      <c r="G46" s="67" t="s">
        <v>242</v>
      </c>
      <c r="H46" s="64"/>
      <c r="I46" s="64"/>
      <c r="J46" s="64"/>
      <c r="K46" s="66">
        <f>(K40*K41)+(K43*K44)</f>
        <v>0.12035247740227965</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277</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278</v>
      </c>
    </row>
    <row r="16" spans="1:12" x14ac:dyDescent="0.3">
      <c r="B16" s="72" t="str">
        <f>'Raw FS'!B14</f>
        <v>Trade Payables</v>
      </c>
      <c r="C16" s="72"/>
      <c r="D16" s="72"/>
      <c r="E16" s="72"/>
      <c r="F16" s="72"/>
      <c r="G16" s="72"/>
      <c r="H16" s="130">
        <f>'Raw FS'!J14</f>
        <v>4134</v>
      </c>
      <c r="I16" s="130">
        <f>'Raw FS'!K14</f>
        <v>3865</v>
      </c>
      <c r="J16" s="130">
        <f>'Raw FS'!L14</f>
        <v>3956</v>
      </c>
      <c r="K16" s="130">
        <f>'Raw FS'!M14</f>
        <v>4164</v>
      </c>
      <c r="L16" s="130">
        <f>'Raw FS'!N14</f>
        <v>4744</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31385</v>
      </c>
      <c r="I18" s="106">
        <f>'Raw FS'!K16</f>
        <v>36637</v>
      </c>
      <c r="J18" s="106">
        <f>'Raw FS'!L16</f>
        <v>35244</v>
      </c>
      <c r="K18" s="106">
        <f>'Raw FS'!M16</f>
        <v>39201</v>
      </c>
      <c r="L18" s="106">
        <f>'Raw FS'!N16</f>
        <v>47071</v>
      </c>
    </row>
    <row r="19" spans="1:12" ht="15" thickTop="1" x14ac:dyDescent="0.3">
      <c r="B19" s="139" t="s">
        <v>279</v>
      </c>
      <c r="C19" s="139"/>
      <c r="D19" s="139"/>
      <c r="E19" s="139"/>
      <c r="F19" s="139"/>
      <c r="G19" s="139"/>
      <c r="H19" s="140">
        <f>SUM(H16:H18)</f>
        <v>35519</v>
      </c>
      <c r="I19" s="140">
        <f t="shared" ref="I19:L19" si="1">SUM(I16:I18)</f>
        <v>40502</v>
      </c>
      <c r="J19" s="140">
        <f t="shared" si="1"/>
        <v>39200</v>
      </c>
      <c r="K19" s="140">
        <f t="shared" si="1"/>
        <v>43365</v>
      </c>
      <c r="L19" s="140">
        <f t="shared" si="1"/>
        <v>51815</v>
      </c>
    </row>
    <row r="20" spans="1:12" ht="15" thickBot="1" x14ac:dyDescent="0.35"/>
    <row r="21" spans="1:12" ht="15" thickBot="1" x14ac:dyDescent="0.35">
      <c r="A21" t="s">
        <v>121</v>
      </c>
      <c r="B21" s="141" t="s">
        <v>280</v>
      </c>
      <c r="C21" s="141"/>
      <c r="D21" s="141"/>
      <c r="E21" s="141"/>
      <c r="F21" s="141"/>
      <c r="G21" s="141"/>
      <c r="H21" s="142">
        <f>H13-H19</f>
        <v>28062</v>
      </c>
      <c r="I21" s="142">
        <f t="shared" ref="I21:L21" si="2">I13-I19</f>
        <v>34701</v>
      </c>
      <c r="J21" s="142">
        <f t="shared" si="2"/>
        <v>43649</v>
      </c>
      <c r="K21" s="142">
        <f t="shared" si="2"/>
        <v>40297</v>
      </c>
      <c r="L21" s="142">
        <f t="shared" si="2"/>
        <v>42719</v>
      </c>
    </row>
    <row r="23" spans="1:12" x14ac:dyDescent="0.3">
      <c r="B23" s="37" t="s">
        <v>282</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281</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283</v>
      </c>
      <c r="C37" s="145"/>
      <c r="D37" s="145"/>
      <c r="E37" s="145"/>
      <c r="F37" s="145"/>
      <c r="G37" s="145"/>
      <c r="H37" s="146">
        <f>H35+H21</f>
        <v>53862</v>
      </c>
      <c r="I37" s="146">
        <f t="shared" ref="I37:L37" si="3">I35+I21</f>
        <v>63926</v>
      </c>
      <c r="J37" s="146">
        <f t="shared" si="3"/>
        <v>71271</v>
      </c>
      <c r="K37" s="146">
        <f t="shared" si="3"/>
        <v>71258</v>
      </c>
      <c r="L37" s="146">
        <f t="shared" si="3"/>
        <v>76489</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291</v>
      </c>
      <c r="C40" s="141"/>
      <c r="D40" s="141"/>
      <c r="E40" s="141"/>
      <c r="F40" s="141"/>
      <c r="G40" s="141"/>
      <c r="H40" s="144">
        <f>H38/H37</f>
        <v>0.56273439530652403</v>
      </c>
      <c r="I40" s="144">
        <f t="shared" ref="I40:L40" si="4">I38/I37</f>
        <v>0.52570159246628911</v>
      </c>
      <c r="J40" s="144">
        <f t="shared" si="4"/>
        <v>0.51154045825090144</v>
      </c>
      <c r="K40" s="144">
        <f t="shared" si="4"/>
        <v>0.53361026130399392</v>
      </c>
      <c r="L40" s="144">
        <f t="shared" si="4"/>
        <v>0.52832433421799208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2028</v>
      </c>
      <c r="I44" s="130">
        <f>-SUM('Raw FS'!AA27:AA28)</f>
        <v>2530</v>
      </c>
      <c r="J44" s="130">
        <f>-SUM('Raw FS'!AB27:AB28)</f>
        <v>2094</v>
      </c>
      <c r="K44" s="130">
        <f>-SUM('Raw FS'!AC27:AC28)</f>
        <v>2062</v>
      </c>
      <c r="L44" s="130">
        <f>-SUM('Raw FS'!AD27:AD28)</f>
        <v>2677</v>
      </c>
    </row>
    <row r="45" spans="2:12" x14ac:dyDescent="0.3">
      <c r="B45" s="72" t="s">
        <v>294</v>
      </c>
      <c r="C45" s="72"/>
      <c r="D45" s="72"/>
      <c r="E45" s="72"/>
      <c r="F45" s="72"/>
      <c r="G45" s="72"/>
      <c r="H45" s="132" t="s">
        <v>120</v>
      </c>
      <c r="I45" s="133">
        <f>I21-H21</f>
        <v>6639</v>
      </c>
      <c r="J45" s="133">
        <f t="shared" ref="J45:L45" si="5">J21-I21</f>
        <v>8948</v>
      </c>
      <c r="K45" s="133">
        <f t="shared" si="5"/>
        <v>-3352</v>
      </c>
      <c r="L45" s="133">
        <f t="shared" si="5"/>
        <v>2422</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296</v>
      </c>
      <c r="H51" s="45" t="s">
        <v>120</v>
      </c>
      <c r="I51" s="106">
        <f>SUM(I44:I45)</f>
        <v>9169</v>
      </c>
      <c r="J51" s="106">
        <f t="shared" ref="J51:L51" si="9">SUM(J44:J45)</f>
        <v>11042</v>
      </c>
      <c r="K51" s="106">
        <f t="shared" si="9"/>
        <v>-1290</v>
      </c>
      <c r="L51" s="106">
        <f t="shared" si="9"/>
        <v>5099</v>
      </c>
    </row>
    <row r="52" spans="2:12" ht="15" thickBot="1" x14ac:dyDescent="0.35">
      <c r="B52" s="127" t="s">
        <v>297</v>
      </c>
      <c r="C52" s="127"/>
      <c r="D52" s="127"/>
      <c r="E52" s="127"/>
      <c r="F52" s="127"/>
      <c r="G52" s="127"/>
      <c r="H52" s="147" t="s">
        <v>120</v>
      </c>
      <c r="I52" s="143">
        <f>I51/I49</f>
        <v>0.38976883379668603</v>
      </c>
      <c r="J52" s="143">
        <f t="shared" ref="J52:L52" si="10">J51/J49</f>
        <v>0.43267007828969539</v>
      </c>
      <c r="K52" s="143">
        <f t="shared" si="10"/>
        <v>-4.8465630729464096E-2</v>
      </c>
      <c r="L52" s="143">
        <f t="shared" si="10"/>
        <v>0.18025502250094566</v>
      </c>
    </row>
    <row r="54" spans="2:12" x14ac:dyDescent="0.3">
      <c r="J54" s="37" t="s">
        <v>298</v>
      </c>
      <c r="K54" s="37"/>
      <c r="L54" s="114">
        <f>AVERAGE(I52:L52)</f>
        <v>0.23855707596446574</v>
      </c>
    </row>
    <row r="55" spans="2:12" x14ac:dyDescent="0.3">
      <c r="J55" s="37" t="s">
        <v>299</v>
      </c>
      <c r="K55" s="37"/>
      <c r="L55" s="114">
        <f>MEDIAN(I52:L52)</f>
        <v>0.28501192814881582</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0.56273439530652403</v>
      </c>
      <c r="I59" s="81">
        <f t="shared" ref="I59:L59" si="11">I40</f>
        <v>0.52570159246628911</v>
      </c>
      <c r="J59" s="81">
        <f t="shared" si="11"/>
        <v>0.51154045825090144</v>
      </c>
      <c r="K59" s="81">
        <f t="shared" si="11"/>
        <v>0.53361026130399392</v>
      </c>
      <c r="L59" s="81">
        <f t="shared" si="11"/>
        <v>0.52832433421799208</v>
      </c>
    </row>
    <row r="60" spans="2:12" x14ac:dyDescent="0.3">
      <c r="B60" s="72" t="s">
        <v>297</v>
      </c>
      <c r="C60" s="72"/>
      <c r="D60" s="72"/>
      <c r="E60" s="72"/>
      <c r="F60" s="72"/>
      <c r="G60" s="72"/>
      <c r="H60" s="82" t="s">
        <v>120</v>
      </c>
      <c r="I60" s="134">
        <f>I52</f>
        <v>0.38976883379668603</v>
      </c>
      <c r="J60" s="134">
        <f t="shared" ref="J60:L60" si="12">J52</f>
        <v>0.43267007828969539</v>
      </c>
      <c r="K60" s="134">
        <f t="shared" si="12"/>
        <v>-4.8465630729464096E-2</v>
      </c>
      <c r="L60" s="134">
        <f t="shared" si="12"/>
        <v>0.18025502250094566</v>
      </c>
    </row>
    <row r="61" spans="2:12" ht="4.2" customHeight="1" x14ac:dyDescent="0.3"/>
    <row r="62" spans="2:12" ht="15" thickBot="1" x14ac:dyDescent="0.35">
      <c r="B62" s="74" t="s">
        <v>301</v>
      </c>
      <c r="C62" s="74"/>
      <c r="D62" s="74"/>
      <c r="E62" s="74"/>
      <c r="F62" s="74"/>
      <c r="G62" s="74"/>
      <c r="H62" s="74"/>
      <c r="I62" s="135">
        <f>I59*I60</f>
        <v>0.20490209662064621</v>
      </c>
      <c r="J62" s="135">
        <f t="shared" ref="J62:L62" si="13">J59*J60</f>
        <v>0.22132825011976417</v>
      </c>
      <c r="K62" s="135">
        <f t="shared" si="13"/>
        <v>-2.5861757877812214E-2</v>
      </c>
      <c r="L62" s="135">
        <f t="shared" si="13"/>
        <v>9.5233114752261303E-2</v>
      </c>
    </row>
    <row r="64" spans="2:12" x14ac:dyDescent="0.3">
      <c r="J64" s="37" t="s">
        <v>298</v>
      </c>
      <c r="K64" s="37"/>
      <c r="L64" s="114">
        <f>AVERAGE(I62:L62)</f>
        <v>0.12390042590371488</v>
      </c>
    </row>
    <row r="65" spans="10:12" x14ac:dyDescent="0.3">
      <c r="J65" s="37" t="s">
        <v>299</v>
      </c>
      <c r="K65" s="37"/>
      <c r="L65" s="114">
        <f>MEDIAN(I62:L62)</f>
        <v>0.15006760568645375</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307</v>
      </c>
      <c r="C11" s="72"/>
      <c r="D11" s="72"/>
      <c r="E11" s="72"/>
      <c r="F11" s="72"/>
      <c r="G11" s="72"/>
      <c r="H11" s="81">
        <f>'Intrinsic Valuation'!$L$55</f>
        <v>0.28501192814881582</v>
      </c>
      <c r="I11" s="81">
        <f>MIN(0.85, MAX(0.15, 'Intrinsic Valuation'!$L$55))</f>
        <v>0.28501192814881582</v>
      </c>
      <c r="J11" s="81">
        <f>$I$11+($M$11-$I$11)/4*1</f>
        <v>0.29684822034877506</v>
      </c>
      <c r="K11" s="81">
        <f>$I$11+($M$11-$I$11)/4*2</f>
        <v>0.3086845125487343</v>
      </c>
      <c r="L11" s="81">
        <f>$I$11+($M$11-$I$11)/4*3</f>
        <v>0.32052080474869354</v>
      </c>
      <c r="M11" s="81">
        <f>D21</f>
        <v>0.33235709694865279</v>
      </c>
    </row>
    <row r="12" spans="1:13" x14ac:dyDescent="0.3">
      <c r="B12" s="72" t="s">
        <v>308</v>
      </c>
      <c r="C12" s="72"/>
      <c r="D12" s="72"/>
      <c r="E12" s="72"/>
      <c r="F12" s="72"/>
      <c r="G12" s="72"/>
      <c r="H12" s="130">
        <f>H10*(1-H11)</f>
        <v>20225.368080104741</v>
      </c>
      <c r="I12" s="130">
        <f>I10*(1-MIN(0.85, I11))</f>
        <v>21277.08722027019</v>
      </c>
      <c r="J12" s="130">
        <f>J10*(1-MIN(0.85, J11))</f>
        <v>22012.94748135185</v>
      </c>
      <c r="K12" s="130">
        <f>K10*(1-MIN(0.85, K11))</f>
        <v>22767.803965742391</v>
      </c>
      <c r="L12" s="130">
        <f>L10*(1-MIN(0.85, L11))</f>
        <v>23541.642514519972</v>
      </c>
      <c r="M12" s="130">
        <f>M10*(1-MIN(0.85, M11))</f>
        <v>24334.396130447054</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0.94476253018102574</v>
      </c>
      <c r="J14" s="72">
        <f t="shared" ref="J14:M14" si="4">1/(1+$D$20)^J13</f>
        <v>0.84327258540241923</v>
      </c>
      <c r="K14" s="72">
        <f t="shared" si="4"/>
        <v>0.75268507225305059</v>
      </c>
      <c r="L14" s="72">
        <f t="shared" si="4"/>
        <v>0.67182881051709187</v>
      </c>
      <c r="M14" s="72">
        <f t="shared" si="4"/>
        <v>0.59965843256297047</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20101.794757104832</v>
      </c>
      <c r="J16" s="131">
        <f t="shared" ref="J16:M16" si="5">J12*J14</f>
        <v>18562.915134927247</v>
      </c>
      <c r="K16" s="131">
        <f t="shared" si="5"/>
        <v>17136.986172998102</v>
      </c>
      <c r="L16" s="131">
        <f t="shared" si="5"/>
        <v>15815.953688148553</v>
      </c>
      <c r="M16" s="131">
        <f t="shared" si="5"/>
        <v>14592.325840950294</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0.12035247740227965</v>
      </c>
    </row>
    <row r="21" spans="2:4" x14ac:dyDescent="0.3">
      <c r="B21" s="79" t="s">
        <v>311</v>
      </c>
      <c r="C21" s="79"/>
      <c r="D21" s="80">
        <f>D19/D20</f>
        <v>0.33235709694865279</v>
      </c>
    </row>
    <row r="23" spans="2:4" x14ac:dyDescent="0.3">
      <c r="B23" s="32" t="s">
        <v>312</v>
      </c>
      <c r="C23" s="32"/>
      <c r="D23" s="32"/>
    </row>
    <row r="25" spans="2:4" x14ac:dyDescent="0.3">
      <c r="B25" t="s">
        <v>313</v>
      </c>
      <c r="D25" s="106">
        <f>M12*(1+D19)</f>
        <v>25307.771975664939</v>
      </c>
    </row>
    <row r="26" spans="2:4" x14ac:dyDescent="0.3">
      <c r="B26" t="s">
        <v>242</v>
      </c>
      <c r="D26" s="46">
        <f>D20</f>
        <v>0.12035247740227965</v>
      </c>
    </row>
    <row r="27" spans="2:4" x14ac:dyDescent="0.3">
      <c r="B27" t="s">
        <v>310</v>
      </c>
      <c r="D27" s="46">
        <f>D19</f>
        <v>0.04</v>
      </c>
    </row>
    <row r="28" spans="2:4" x14ac:dyDescent="0.3">
      <c r="D28" s="46"/>
    </row>
    <row r="29" spans="2:4" ht="15" thickBot="1" x14ac:dyDescent="0.35">
      <c r="B29" s="127" t="s">
        <v>314</v>
      </c>
      <c r="C29" s="127"/>
      <c r="D29" s="128">
        <f>D25/(D26-D27)</f>
        <v>314959.44859252014</v>
      </c>
    </row>
    <row r="31" spans="2:4" x14ac:dyDescent="0.3">
      <c r="B31" s="32" t="s">
        <v>315</v>
      </c>
      <c r="C31" s="32"/>
      <c r="D31" s="32"/>
    </row>
    <row r="33" spans="2:4" x14ac:dyDescent="0.3">
      <c r="B33" t="s">
        <v>306</v>
      </c>
      <c r="D33" s="106">
        <f>SUM(I16:M16)</f>
        <v>86209.97559412902</v>
      </c>
    </row>
    <row r="34" spans="2:4" x14ac:dyDescent="0.3">
      <c r="B34" t="s">
        <v>314</v>
      </c>
      <c r="D34" s="106">
        <f>D29*M14</f>
        <v>188868.08926388811</v>
      </c>
    </row>
    <row r="35" spans="2:4" x14ac:dyDescent="0.3">
      <c r="B35" s="37" t="s">
        <v>318</v>
      </c>
      <c r="C35" s="37"/>
      <c r="D35" s="129">
        <f>SUM(D33:D34)</f>
        <v>275078.06485801714</v>
      </c>
    </row>
    <row r="37" spans="2:4" x14ac:dyDescent="0.3">
      <c r="B37" t="s">
        <v>316</v>
      </c>
      <c r="D37" s="106">
        <f>'Data Sheet'!K69</f>
        <v>22201</v>
      </c>
    </row>
    <row r="38" spans="2:4" x14ac:dyDescent="0.3">
      <c r="B38" t="s">
        <v>317</v>
      </c>
      <c r="D38" s="106">
        <f>'Data Sheet'!K59</f>
        <v>9176</v>
      </c>
    </row>
    <row r="39" spans="2:4" x14ac:dyDescent="0.3">
      <c r="B39" s="37" t="s">
        <v>319</v>
      </c>
      <c r="C39" s="37"/>
      <c r="D39" s="129">
        <f>D35+D37-D38</f>
        <v>288103.06485801714</v>
      </c>
    </row>
    <row r="40" spans="2:4" x14ac:dyDescent="0.3">
      <c r="B40" t="s">
        <v>320</v>
      </c>
      <c r="D40">
        <f>'Data Sheet'!K70/10000000</f>
        <v>404.8</v>
      </c>
    </row>
    <row r="42" spans="2:4" ht="15" thickBot="1" x14ac:dyDescent="0.35">
      <c r="B42" s="127" t="s">
        <v>321</v>
      </c>
      <c r="C42" s="127"/>
      <c r="D42" s="128">
        <f>D39/D40</f>
        <v>711.71705745557597</v>
      </c>
    </row>
    <row r="44" spans="2:4" x14ac:dyDescent="0.3">
      <c r="B44" t="s">
        <v>322</v>
      </c>
      <c r="D44" s="106">
        <v>1051</v>
      </c>
    </row>
    <row r="45" spans="2:4" x14ac:dyDescent="0.3">
      <c r="B45" t="s">
        <v>323</v>
      </c>
      <c r="D45" s="83">
        <f>D44/D42</f>
        <v>1.4767104272551477</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1051.4000000000001</v>
      </c>
      <c r="J6">
        <v>23346.400000000001</v>
      </c>
    </row>
    <row r="7" spans="2:24" x14ac:dyDescent="0.3">
      <c r="B7">
        <v>2024</v>
      </c>
      <c r="C7" s="46">
        <v>8.7499999999999994E-2</v>
      </c>
      <c r="G7" s="34">
        <v>46282</v>
      </c>
      <c r="H7">
        <v>1058.5999999999999</v>
      </c>
      <c r="J7">
        <v>23270.6</v>
      </c>
    </row>
    <row r="8" spans="2:24" x14ac:dyDescent="0.3">
      <c r="B8">
        <v>2023</v>
      </c>
      <c r="C8" s="46">
        <v>0.19420000000000001</v>
      </c>
      <c r="G8" s="34">
        <v>46281</v>
      </c>
      <c r="H8">
        <v>1060</v>
      </c>
      <c r="J8">
        <v>23217.599999999999</v>
      </c>
    </row>
    <row r="9" spans="2:24" x14ac:dyDescent="0.3">
      <c r="B9">
        <v>2022</v>
      </c>
      <c r="C9" s="46">
        <v>4.3200000000000002E-2</v>
      </c>
      <c r="G9" s="34">
        <v>46280</v>
      </c>
      <c r="H9">
        <v>1077</v>
      </c>
      <c r="J9">
        <v>23118.6</v>
      </c>
    </row>
    <row r="10" spans="2:24" x14ac:dyDescent="0.3">
      <c r="B10">
        <v>2021</v>
      </c>
      <c r="C10" s="46">
        <v>0.2412</v>
      </c>
      <c r="G10" s="34">
        <v>46276</v>
      </c>
      <c r="H10">
        <v>1037.7</v>
      </c>
      <c r="J10">
        <v>23398.1</v>
      </c>
    </row>
    <row r="11" spans="2:24" x14ac:dyDescent="0.3">
      <c r="B11">
        <v>2020</v>
      </c>
      <c r="C11" s="46">
        <v>0.14899999999999999</v>
      </c>
      <c r="G11" s="34">
        <v>46275</v>
      </c>
      <c r="H11">
        <v>1036.5</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1035</v>
      </c>
      <c r="J12">
        <v>23431.5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46273</v>
      </c>
      <c r="H13">
        <v>1082</v>
      </c>
      <c r="J13">
        <v>23635.1</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46272</v>
      </c>
      <c r="H14">
        <v>1087.5</v>
      </c>
      <c r="J14">
        <v>23779.15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46269</v>
      </c>
      <c r="H15">
        <v>1130</v>
      </c>
      <c r="J15">
        <v>23897.7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46268</v>
      </c>
      <c r="H16">
        <v>1130.3</v>
      </c>
      <c r="J16">
        <v>23873.45</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46267</v>
      </c>
      <c r="H17">
        <v>1140</v>
      </c>
      <c r="J17">
        <v>23914.45</v>
      </c>
    </row>
    <row r="18" spans="2:20" x14ac:dyDescent="0.3">
      <c r="B18">
        <v>2013</v>
      </c>
      <c r="C18" s="46">
        <v>6.7599999999999993E-2</v>
      </c>
      <c r="G18" s="34">
        <v>46266</v>
      </c>
      <c r="H18">
        <v>1156</v>
      </c>
      <c r="J18">
        <v>24055.8</v>
      </c>
    </row>
    <row r="19" spans="2:20" x14ac:dyDescent="0.3">
      <c r="B19">
        <v>2012</v>
      </c>
      <c r="C19" s="46">
        <v>0.27700000000000002</v>
      </c>
      <c r="G19" s="34">
        <v>46265</v>
      </c>
      <c r="H19">
        <v>1133.8</v>
      </c>
      <c r="J19">
        <v>24080.400000000001</v>
      </c>
    </row>
    <row r="20" spans="2:20" x14ac:dyDescent="0.3">
      <c r="B20">
        <v>2011</v>
      </c>
      <c r="C20" s="46">
        <v>-0.2462</v>
      </c>
      <c r="G20" s="34">
        <v>46262</v>
      </c>
      <c r="H20">
        <v>1144</v>
      </c>
      <c r="J20">
        <v>24175.65</v>
      </c>
    </row>
    <row r="21" spans="2:20" x14ac:dyDescent="0.3">
      <c r="B21">
        <v>2010</v>
      </c>
      <c r="C21" s="46">
        <v>0.17949999999999999</v>
      </c>
      <c r="G21" s="34">
        <v>46261</v>
      </c>
      <c r="H21">
        <v>1110.8</v>
      </c>
      <c r="J21">
        <v>24090.85</v>
      </c>
    </row>
    <row r="22" spans="2:20" x14ac:dyDescent="0.3">
      <c r="B22">
        <v>2009</v>
      </c>
      <c r="C22" s="46">
        <v>0.75760000000000005</v>
      </c>
      <c r="G22" s="34">
        <v>46260</v>
      </c>
      <c r="H22">
        <v>1120</v>
      </c>
      <c r="J22">
        <v>24207.75</v>
      </c>
    </row>
    <row r="23" spans="2:20" x14ac:dyDescent="0.3">
      <c r="B23">
        <v>2008</v>
      </c>
      <c r="C23" s="46">
        <v>-0.51790000000000003</v>
      </c>
      <c r="G23" s="34">
        <v>46259</v>
      </c>
      <c r="H23">
        <v>1144</v>
      </c>
      <c r="J23">
        <v>24334.55</v>
      </c>
    </row>
    <row r="24" spans="2:20" x14ac:dyDescent="0.3">
      <c r="B24">
        <v>2007</v>
      </c>
      <c r="C24" s="46">
        <v>0.54769999999999996</v>
      </c>
      <c r="G24" s="34">
        <v>46258</v>
      </c>
      <c r="H24">
        <v>1130</v>
      </c>
      <c r="J24">
        <v>24219.05</v>
      </c>
      <c r="O24" t="s">
        <v>6499</v>
      </c>
      <c r="Q24" t="s">
        <v>218</v>
      </c>
      <c r="R24">
        <v>190401.9</v>
      </c>
      <c r="S24">
        <v>761607.42</v>
      </c>
      <c r="T24" s="46">
        <v>0.3</v>
      </c>
    </row>
    <row r="25" spans="2:20" x14ac:dyDescent="0.3">
      <c r="B25">
        <v>2006</v>
      </c>
      <c r="C25" s="46">
        <v>0.39829999999999999</v>
      </c>
      <c r="G25" s="34">
        <v>46255</v>
      </c>
      <c r="H25">
        <v>1121</v>
      </c>
      <c r="J25">
        <v>24252</v>
      </c>
      <c r="O25" t="s">
        <v>8616</v>
      </c>
      <c r="Q25" t="str">
        <f>Q24</f>
        <v>India</v>
      </c>
      <c r="R25">
        <v>9176</v>
      </c>
      <c r="S25">
        <v>426683</v>
      </c>
      <c r="T25" s="46">
        <f>T24</f>
        <v>0.3</v>
      </c>
    </row>
    <row r="26" spans="2:20" x14ac:dyDescent="0.3">
      <c r="B26">
        <v>2005</v>
      </c>
      <c r="C26" s="46">
        <v>0.3634</v>
      </c>
      <c r="G26" s="34">
        <v>46254</v>
      </c>
      <c r="H26">
        <v>1130</v>
      </c>
      <c r="J26">
        <v>24231.85</v>
      </c>
      <c r="O26" t="s">
        <v>8618</v>
      </c>
      <c r="Q26" t="str">
        <f>Q25</f>
        <v>India</v>
      </c>
      <c r="R26">
        <v>84754.5</v>
      </c>
      <c r="S26">
        <v>339018.18</v>
      </c>
      <c r="T26" s="46">
        <f>T25</f>
        <v>0.3</v>
      </c>
    </row>
    <row r="27" spans="2:20" x14ac:dyDescent="0.3">
      <c r="B27">
        <v>2004</v>
      </c>
      <c r="C27" s="46">
        <v>0.10680000000000001</v>
      </c>
      <c r="G27" s="34">
        <v>46253</v>
      </c>
      <c r="H27">
        <v>1119.8</v>
      </c>
      <c r="J27">
        <v>24078.3</v>
      </c>
      <c r="O27" t="s">
        <v>8619</v>
      </c>
      <c r="Q27" t="str">
        <f>Q26</f>
        <v>India</v>
      </c>
      <c r="R27">
        <v>41311</v>
      </c>
      <c r="S27">
        <v>165244.04</v>
      </c>
      <c r="T27" s="46">
        <f>T26</f>
        <v>0.3</v>
      </c>
    </row>
    <row r="28" spans="2:20" x14ac:dyDescent="0.3">
      <c r="B28">
        <v>2003</v>
      </c>
      <c r="C28" s="46">
        <v>0.71899999999999997</v>
      </c>
      <c r="G28" s="34">
        <v>46252</v>
      </c>
      <c r="H28">
        <v>1115</v>
      </c>
      <c r="J28">
        <v>24154.9</v>
      </c>
      <c r="O28" t="s">
        <v>8620</v>
      </c>
      <c r="Q28" t="str">
        <f>Q27</f>
        <v>India</v>
      </c>
      <c r="R28">
        <v>37664.1</v>
      </c>
      <c r="S28">
        <v>150656.35999999999</v>
      </c>
      <c r="T28" s="46">
        <f>T27</f>
        <v>0.3</v>
      </c>
    </row>
    <row r="29" spans="2:20" x14ac:dyDescent="0.3">
      <c r="B29">
        <v>2002</v>
      </c>
      <c r="C29" s="46">
        <v>3.2500000000000001E-2</v>
      </c>
      <c r="G29" s="34">
        <v>46251</v>
      </c>
      <c r="H29">
        <v>1139.9000000000001</v>
      </c>
      <c r="J29">
        <v>24287.65</v>
      </c>
    </row>
    <row r="30" spans="2:20" x14ac:dyDescent="0.3">
      <c r="G30" s="34">
        <v>46248</v>
      </c>
      <c r="H30">
        <v>1169.2</v>
      </c>
      <c r="J30">
        <v>24366</v>
      </c>
    </row>
    <row r="31" spans="2:20" x14ac:dyDescent="0.3">
      <c r="G31" s="34">
        <v>46247</v>
      </c>
      <c r="H31">
        <v>1175</v>
      </c>
      <c r="J31">
        <v>24395.85</v>
      </c>
    </row>
    <row r="32" spans="2:20" x14ac:dyDescent="0.3">
      <c r="G32" s="34">
        <v>46246</v>
      </c>
      <c r="H32">
        <v>1176.0999999999999</v>
      </c>
      <c r="J32">
        <v>24435.95</v>
      </c>
    </row>
    <row r="33" spans="7:10" x14ac:dyDescent="0.3">
      <c r="G33" s="34">
        <v>46245</v>
      </c>
      <c r="H33">
        <v>1190.7</v>
      </c>
      <c r="J33">
        <v>24471.7</v>
      </c>
    </row>
    <row r="34" spans="7:10" x14ac:dyDescent="0.3">
      <c r="G34" s="34">
        <v>46244</v>
      </c>
      <c r="H34">
        <v>1183</v>
      </c>
      <c r="J34">
        <v>24583.8</v>
      </c>
    </row>
    <row r="35" spans="7:10" x14ac:dyDescent="0.3">
      <c r="G35" s="34">
        <v>46241</v>
      </c>
      <c r="H35">
        <v>1175.0999999999999</v>
      </c>
      <c r="J35">
        <v>24570.65</v>
      </c>
    </row>
    <row r="36" spans="7:10" x14ac:dyDescent="0.3">
      <c r="G36" s="34">
        <v>46240</v>
      </c>
      <c r="H36">
        <v>1165</v>
      </c>
      <c r="J36">
        <v>24636</v>
      </c>
    </row>
    <row r="37" spans="7:10" x14ac:dyDescent="0.3">
      <c r="G37" s="34">
        <v>46239</v>
      </c>
      <c r="H37">
        <v>1174</v>
      </c>
      <c r="J37">
        <v>24624.65</v>
      </c>
    </row>
    <row r="38" spans="7:10" x14ac:dyDescent="0.3">
      <c r="G38" s="34">
        <v>46238</v>
      </c>
      <c r="H38">
        <v>1167.5</v>
      </c>
      <c r="J38">
        <v>24614.9</v>
      </c>
    </row>
    <row r="39" spans="7:10" x14ac:dyDescent="0.3">
      <c r="G39" s="34">
        <v>46237</v>
      </c>
      <c r="H39">
        <v>1180</v>
      </c>
      <c r="J39">
        <v>24774.3</v>
      </c>
    </row>
    <row r="40" spans="7:10" x14ac:dyDescent="0.3">
      <c r="G40" s="34">
        <v>46234</v>
      </c>
      <c r="H40">
        <v>1130.0999999999999</v>
      </c>
      <c r="J40">
        <v>24383.599999999999</v>
      </c>
    </row>
    <row r="41" spans="7:10" x14ac:dyDescent="0.3">
      <c r="G41" s="34">
        <v>46233</v>
      </c>
      <c r="H41">
        <v>1155.0999999999999</v>
      </c>
      <c r="J41">
        <v>24317.15</v>
      </c>
    </row>
    <row r="42" spans="7:10" x14ac:dyDescent="0.3">
      <c r="G42" s="34">
        <v>46232</v>
      </c>
      <c r="H42">
        <v>1155.5999999999999</v>
      </c>
      <c r="J42">
        <v>24250.2</v>
      </c>
    </row>
    <row r="43" spans="7:10" x14ac:dyDescent="0.3">
      <c r="G43" s="34">
        <v>46231</v>
      </c>
      <c r="H43">
        <v>1105.7</v>
      </c>
      <c r="J43">
        <v>23985.35</v>
      </c>
    </row>
    <row r="44" spans="7:10" x14ac:dyDescent="0.3">
      <c r="G44" s="34">
        <v>46230</v>
      </c>
      <c r="H44">
        <v>1079.2</v>
      </c>
      <c r="J44">
        <v>23995.95</v>
      </c>
    </row>
    <row r="45" spans="7:10" x14ac:dyDescent="0.3">
      <c r="G45" s="34">
        <v>46227</v>
      </c>
      <c r="H45">
        <v>1040.9000000000001</v>
      </c>
      <c r="J45">
        <v>23767.45</v>
      </c>
    </row>
    <row r="46" spans="7:10" x14ac:dyDescent="0.3">
      <c r="G46" s="34">
        <v>46226</v>
      </c>
      <c r="H46">
        <v>1047.4000000000001</v>
      </c>
      <c r="J46">
        <v>23869.599999999999</v>
      </c>
    </row>
    <row r="47" spans="7:10" x14ac:dyDescent="0.3">
      <c r="G47" s="34">
        <v>46225</v>
      </c>
      <c r="H47">
        <v>1052.0999999999999</v>
      </c>
      <c r="J47">
        <v>23996.25</v>
      </c>
    </row>
    <row r="48" spans="7:10" x14ac:dyDescent="0.3">
      <c r="G48" s="34">
        <v>46224</v>
      </c>
      <c r="H48">
        <v>1073.5</v>
      </c>
      <c r="J48">
        <v>24187.7</v>
      </c>
    </row>
    <row r="49" spans="7:10" x14ac:dyDescent="0.3">
      <c r="G49" s="34">
        <v>46223</v>
      </c>
      <c r="H49">
        <v>1087.0999999999999</v>
      </c>
      <c r="J49">
        <v>24238.5</v>
      </c>
    </row>
    <row r="50" spans="7:10" x14ac:dyDescent="0.3">
      <c r="G50" s="34">
        <v>46220</v>
      </c>
      <c r="H50">
        <v>1096.5</v>
      </c>
      <c r="J50">
        <v>24334.3</v>
      </c>
    </row>
    <row r="51" spans="7:10" x14ac:dyDescent="0.3">
      <c r="G51" s="34">
        <v>46219</v>
      </c>
      <c r="H51">
        <v>1082.4000000000001</v>
      </c>
      <c r="J51">
        <v>24072.75</v>
      </c>
    </row>
    <row r="52" spans="7:10" x14ac:dyDescent="0.3">
      <c r="G52" s="34">
        <v>46218</v>
      </c>
      <c r="H52">
        <v>1076.3</v>
      </c>
      <c r="J52">
        <v>24078.5</v>
      </c>
    </row>
    <row r="53" spans="7:10" x14ac:dyDescent="0.3">
      <c r="G53" s="34">
        <v>46217</v>
      </c>
      <c r="H53">
        <v>1092.9000000000001</v>
      </c>
      <c r="J53">
        <v>24052.05</v>
      </c>
    </row>
    <row r="54" spans="7:10" x14ac:dyDescent="0.3">
      <c r="G54" s="34">
        <v>46216</v>
      </c>
      <c r="H54">
        <v>1102.5999999999999</v>
      </c>
      <c r="J54">
        <v>24211</v>
      </c>
    </row>
    <row r="55" spans="7:10" x14ac:dyDescent="0.3">
      <c r="G55" s="34">
        <v>46213</v>
      </c>
      <c r="H55">
        <v>1068</v>
      </c>
      <c r="J55">
        <v>24206.9</v>
      </c>
    </row>
    <row r="56" spans="7:10" x14ac:dyDescent="0.3">
      <c r="G56" s="34">
        <v>46212</v>
      </c>
      <c r="H56">
        <v>1050.8</v>
      </c>
      <c r="J56">
        <v>23962.799999999999</v>
      </c>
    </row>
    <row r="57" spans="7:10" x14ac:dyDescent="0.3">
      <c r="G57" s="34">
        <v>46211</v>
      </c>
      <c r="H57">
        <v>1069.3</v>
      </c>
      <c r="J57">
        <v>23882.05</v>
      </c>
    </row>
    <row r="58" spans="7:10" x14ac:dyDescent="0.3">
      <c r="G58" s="34">
        <v>46210</v>
      </c>
      <c r="H58">
        <v>1071.8</v>
      </c>
      <c r="J58">
        <v>24398.7</v>
      </c>
    </row>
    <row r="59" spans="7:10" x14ac:dyDescent="0.3">
      <c r="G59" s="34">
        <v>46209</v>
      </c>
      <c r="H59">
        <v>1042.2</v>
      </c>
      <c r="J59">
        <v>24430.35</v>
      </c>
    </row>
    <row r="60" spans="7:10" x14ac:dyDescent="0.3">
      <c r="G60" s="34">
        <v>46206</v>
      </c>
      <c r="H60">
        <v>1047.2</v>
      </c>
      <c r="J60">
        <v>24270.85</v>
      </c>
    </row>
    <row r="61" spans="7:10" x14ac:dyDescent="0.3">
      <c r="G61" s="34">
        <v>46205</v>
      </c>
      <c r="H61">
        <v>1040.9000000000001</v>
      </c>
      <c r="J61">
        <v>24175.7</v>
      </c>
    </row>
    <row r="62" spans="7:10" x14ac:dyDescent="0.3">
      <c r="G62" s="34">
        <v>46204</v>
      </c>
      <c r="H62">
        <v>985.3</v>
      </c>
      <c r="J62">
        <v>24005.85</v>
      </c>
    </row>
    <row r="63" spans="7:10" x14ac:dyDescent="0.3">
      <c r="G63" s="34">
        <v>46203</v>
      </c>
      <c r="H63">
        <v>1000.4</v>
      </c>
      <c r="J63">
        <v>23865.75</v>
      </c>
    </row>
    <row r="64" spans="7:10" x14ac:dyDescent="0.3">
      <c r="G64" s="34">
        <v>46202</v>
      </c>
      <c r="H64">
        <v>1036.7</v>
      </c>
      <c r="J64">
        <v>23946.25</v>
      </c>
    </row>
    <row r="65" spans="7:10" x14ac:dyDescent="0.3">
      <c r="G65" s="34">
        <v>46198</v>
      </c>
      <c r="H65">
        <v>1041.2</v>
      </c>
      <c r="J65">
        <v>24056</v>
      </c>
    </row>
    <row r="66" spans="7:10" x14ac:dyDescent="0.3">
      <c r="G66" s="34">
        <v>46197</v>
      </c>
      <c r="H66">
        <v>1056.5999999999999</v>
      </c>
      <c r="J66">
        <v>24021.65</v>
      </c>
    </row>
    <row r="67" spans="7:10" x14ac:dyDescent="0.3">
      <c r="G67" s="34">
        <v>46196</v>
      </c>
      <c r="H67">
        <v>1029.3</v>
      </c>
      <c r="J67">
        <v>23824.1</v>
      </c>
    </row>
    <row r="68" spans="7:10" x14ac:dyDescent="0.3">
      <c r="G68" s="34">
        <v>46195</v>
      </c>
      <c r="H68">
        <v>1065.4000000000001</v>
      </c>
      <c r="J68">
        <v>24102.9</v>
      </c>
    </row>
    <row r="69" spans="7:10" x14ac:dyDescent="0.3">
      <c r="G69" s="34">
        <v>46192</v>
      </c>
      <c r="H69">
        <v>1051.4000000000001</v>
      </c>
      <c r="J69">
        <v>24013.1</v>
      </c>
    </row>
    <row r="70" spans="7:10" x14ac:dyDescent="0.3">
      <c r="G70" s="34">
        <v>46191</v>
      </c>
      <c r="H70">
        <v>1127.5</v>
      </c>
      <c r="J70">
        <v>24168</v>
      </c>
    </row>
    <row r="71" spans="7:10" x14ac:dyDescent="0.3">
      <c r="G71" s="34">
        <v>46190</v>
      </c>
      <c r="H71">
        <v>1157.7</v>
      </c>
      <c r="J71">
        <v>24085.7</v>
      </c>
    </row>
    <row r="72" spans="7:10" x14ac:dyDescent="0.3">
      <c r="G72" s="34">
        <v>46189</v>
      </c>
      <c r="H72">
        <v>1143.5999999999999</v>
      </c>
      <c r="J72">
        <v>23989.15</v>
      </c>
    </row>
    <row r="73" spans="7:10" x14ac:dyDescent="0.3">
      <c r="G73" s="34">
        <v>46188</v>
      </c>
      <c r="H73">
        <v>1134.9000000000001</v>
      </c>
      <c r="J73">
        <v>23853.9</v>
      </c>
    </row>
    <row r="74" spans="7:10" x14ac:dyDescent="0.3">
      <c r="G74" s="34">
        <v>46185</v>
      </c>
      <c r="H74">
        <v>1116.4000000000001</v>
      </c>
      <c r="J74">
        <v>23622.9</v>
      </c>
    </row>
    <row r="75" spans="7:10" x14ac:dyDescent="0.3">
      <c r="G75" s="34">
        <v>46184</v>
      </c>
      <c r="H75">
        <v>1114.5999999999999</v>
      </c>
      <c r="J75">
        <v>23161.599999999999</v>
      </c>
    </row>
    <row r="76" spans="7:10" x14ac:dyDescent="0.3">
      <c r="G76" s="34">
        <v>46183</v>
      </c>
      <c r="H76">
        <v>1145.3</v>
      </c>
      <c r="J76">
        <v>23214.95</v>
      </c>
    </row>
    <row r="77" spans="7:10" x14ac:dyDescent="0.3">
      <c r="G77" s="34">
        <v>46182</v>
      </c>
      <c r="H77">
        <v>1180.3</v>
      </c>
      <c r="J77">
        <v>23242.1</v>
      </c>
    </row>
    <row r="78" spans="7:10" x14ac:dyDescent="0.3">
      <c r="G78" s="34">
        <v>46181</v>
      </c>
      <c r="H78">
        <v>1187.5999999999999</v>
      </c>
      <c r="J78">
        <v>23123</v>
      </c>
    </row>
    <row r="79" spans="7:10" x14ac:dyDescent="0.3">
      <c r="G79" s="34">
        <v>46178</v>
      </c>
      <c r="H79">
        <v>1197.5</v>
      </c>
      <c r="J79">
        <v>23366.7</v>
      </c>
    </row>
    <row r="80" spans="7:10" x14ac:dyDescent="0.3">
      <c r="G80" s="34">
        <v>46177</v>
      </c>
      <c r="H80">
        <v>1201.3</v>
      </c>
      <c r="J80">
        <v>23416.55</v>
      </c>
    </row>
    <row r="81" spans="7:10" x14ac:dyDescent="0.3">
      <c r="G81" s="34">
        <v>46176</v>
      </c>
      <c r="H81">
        <v>1222.5999999999999</v>
      </c>
      <c r="J81">
        <v>23405.599999999999</v>
      </c>
    </row>
    <row r="82" spans="7:10" x14ac:dyDescent="0.3">
      <c r="G82" s="34">
        <v>46175</v>
      </c>
      <c r="H82">
        <v>1270.8</v>
      </c>
      <c r="J82">
        <v>23483.55</v>
      </c>
    </row>
    <row r="83" spans="7:10" x14ac:dyDescent="0.3">
      <c r="G83" s="34">
        <v>46174</v>
      </c>
      <c r="H83">
        <v>1202.5</v>
      </c>
      <c r="J83">
        <v>23382.6</v>
      </c>
    </row>
    <row r="84" spans="7:10" x14ac:dyDescent="0.3">
      <c r="G84" s="34">
        <v>46171</v>
      </c>
      <c r="H84">
        <v>1160.9000000000001</v>
      </c>
      <c r="J84">
        <v>23547.75</v>
      </c>
    </row>
    <row r="85" spans="7:10" x14ac:dyDescent="0.3">
      <c r="G85" s="34">
        <v>46169</v>
      </c>
      <c r="H85">
        <v>1159.9000000000001</v>
      </c>
      <c r="J85">
        <v>23907.15</v>
      </c>
    </row>
    <row r="86" spans="7:10" x14ac:dyDescent="0.3">
      <c r="G86" s="34">
        <v>46168</v>
      </c>
      <c r="H86">
        <v>1167.7</v>
      </c>
      <c r="J86">
        <v>23913.7</v>
      </c>
    </row>
    <row r="87" spans="7:10" x14ac:dyDescent="0.3">
      <c r="G87" s="34">
        <v>46167</v>
      </c>
      <c r="H87">
        <v>1168.5</v>
      </c>
      <c r="J87">
        <v>24031.7</v>
      </c>
    </row>
    <row r="88" spans="7:10" x14ac:dyDescent="0.3">
      <c r="G88" s="34">
        <v>46164</v>
      </c>
      <c r="H88">
        <v>1174.5</v>
      </c>
      <c r="J88">
        <v>23719.3</v>
      </c>
    </row>
    <row r="89" spans="7:10" x14ac:dyDescent="0.3">
      <c r="G89" s="34">
        <v>46163</v>
      </c>
      <c r="H89">
        <v>1181.2</v>
      </c>
      <c r="J89">
        <v>23654.7</v>
      </c>
    </row>
    <row r="90" spans="7:10" x14ac:dyDescent="0.3">
      <c r="G90" s="34">
        <v>46162</v>
      </c>
      <c r="H90">
        <v>1193.7</v>
      </c>
      <c r="J90">
        <v>23659</v>
      </c>
    </row>
    <row r="91" spans="7:10" x14ac:dyDescent="0.3">
      <c r="G91" s="34">
        <v>46161</v>
      </c>
      <c r="H91">
        <v>1196.9000000000001</v>
      </c>
      <c r="J91">
        <v>23618</v>
      </c>
    </row>
    <row r="92" spans="7:10" x14ac:dyDescent="0.3">
      <c r="G92" s="34">
        <v>46160</v>
      </c>
      <c r="H92">
        <v>1142.5</v>
      </c>
      <c r="J92">
        <v>23649.95</v>
      </c>
    </row>
    <row r="93" spans="7:10" x14ac:dyDescent="0.3">
      <c r="G93" s="34">
        <v>46157</v>
      </c>
      <c r="H93">
        <v>1119</v>
      </c>
      <c r="J93">
        <v>23643.5</v>
      </c>
    </row>
    <row r="94" spans="7:10" x14ac:dyDescent="0.3">
      <c r="G94" s="34">
        <v>46156</v>
      </c>
      <c r="H94">
        <v>1095</v>
      </c>
      <c r="J94">
        <v>23689.599999999999</v>
      </c>
    </row>
    <row r="95" spans="7:10" x14ac:dyDescent="0.3">
      <c r="G95" s="34">
        <v>46155</v>
      </c>
      <c r="H95">
        <v>1123.0999999999999</v>
      </c>
      <c r="J95">
        <v>23412.6</v>
      </c>
    </row>
    <row r="96" spans="7:10" x14ac:dyDescent="0.3">
      <c r="G96" s="34">
        <v>46154</v>
      </c>
      <c r="H96">
        <v>1140.3</v>
      </c>
      <c r="J96">
        <v>23379.55</v>
      </c>
    </row>
    <row r="97" spans="7:10" x14ac:dyDescent="0.3">
      <c r="G97" s="34">
        <v>46153</v>
      </c>
      <c r="H97">
        <v>1177</v>
      </c>
      <c r="J97">
        <v>23815.85</v>
      </c>
    </row>
    <row r="98" spans="7:10" x14ac:dyDescent="0.3">
      <c r="G98" s="34">
        <v>46150</v>
      </c>
      <c r="H98">
        <v>1179.2</v>
      </c>
      <c r="J98">
        <v>24176.15</v>
      </c>
    </row>
    <row r="99" spans="7:10" x14ac:dyDescent="0.3">
      <c r="G99" s="34">
        <v>46149</v>
      </c>
      <c r="H99">
        <v>1162.7</v>
      </c>
      <c r="J99">
        <v>24326.65</v>
      </c>
    </row>
    <row r="100" spans="7:10" x14ac:dyDescent="0.3">
      <c r="G100" s="34">
        <v>46148</v>
      </c>
      <c r="H100">
        <v>1167.2</v>
      </c>
      <c r="J100">
        <v>24330.95</v>
      </c>
    </row>
    <row r="101" spans="7:10" x14ac:dyDescent="0.3">
      <c r="G101" s="34">
        <v>46147</v>
      </c>
      <c r="H101">
        <v>1178.0999999999999</v>
      </c>
      <c r="J101">
        <v>24032.799999999999</v>
      </c>
    </row>
    <row r="102" spans="7:10" x14ac:dyDescent="0.3">
      <c r="G102" s="34">
        <v>46146</v>
      </c>
      <c r="H102">
        <v>1168.4000000000001</v>
      </c>
      <c r="J102">
        <v>24119.3</v>
      </c>
    </row>
    <row r="103" spans="7:10" x14ac:dyDescent="0.3">
      <c r="G103" s="34">
        <v>46142</v>
      </c>
      <c r="H103">
        <v>1181.8</v>
      </c>
      <c r="J103">
        <v>23997.55</v>
      </c>
    </row>
    <row r="104" spans="7:10" x14ac:dyDescent="0.3">
      <c r="G104" s="34">
        <v>46141</v>
      </c>
      <c r="H104">
        <v>1167.5</v>
      </c>
      <c r="J104">
        <v>24177.65</v>
      </c>
    </row>
    <row r="105" spans="7:10" x14ac:dyDescent="0.3">
      <c r="G105" s="34">
        <v>46140</v>
      </c>
      <c r="H105">
        <v>1152.0999999999999</v>
      </c>
      <c r="J105">
        <v>23995.7</v>
      </c>
    </row>
    <row r="106" spans="7:10" x14ac:dyDescent="0.3">
      <c r="G106" s="34">
        <v>46139</v>
      </c>
      <c r="H106">
        <v>1170.3</v>
      </c>
      <c r="J106">
        <v>24092.7</v>
      </c>
    </row>
    <row r="107" spans="7:10" x14ac:dyDescent="0.3">
      <c r="G107" s="34">
        <v>46136</v>
      </c>
      <c r="H107">
        <v>1154.5999999999999</v>
      </c>
      <c r="J107">
        <v>23897.95</v>
      </c>
    </row>
    <row r="108" spans="7:10" x14ac:dyDescent="0.3">
      <c r="G108" s="34">
        <v>46135</v>
      </c>
      <c r="H108">
        <v>1240.5999999999999</v>
      </c>
      <c r="J108">
        <v>24173.05</v>
      </c>
    </row>
    <row r="109" spans="7:10" x14ac:dyDescent="0.3">
      <c r="G109" s="34">
        <v>46134</v>
      </c>
      <c r="H109">
        <v>1268.5999999999999</v>
      </c>
      <c r="J109">
        <v>24378.1</v>
      </c>
    </row>
    <row r="110" spans="7:10" x14ac:dyDescent="0.3">
      <c r="G110" s="34">
        <v>46133</v>
      </c>
      <c r="H110">
        <v>1313.2</v>
      </c>
      <c r="J110">
        <v>24576.6</v>
      </c>
    </row>
    <row r="111" spans="7:10" x14ac:dyDescent="0.3">
      <c r="G111" s="34">
        <v>46132</v>
      </c>
      <c r="H111">
        <v>1312.6</v>
      </c>
      <c r="J111">
        <v>24364.85</v>
      </c>
    </row>
    <row r="112" spans="7:10" x14ac:dyDescent="0.3">
      <c r="G112" s="34">
        <v>46129</v>
      </c>
      <c r="H112">
        <v>1318.7</v>
      </c>
      <c r="J112">
        <v>24353.55</v>
      </c>
    </row>
    <row r="113" spans="7:10" x14ac:dyDescent="0.3">
      <c r="G113" s="34">
        <v>46128</v>
      </c>
      <c r="H113">
        <v>1319.2</v>
      </c>
      <c r="J113">
        <v>24196.75</v>
      </c>
    </row>
    <row r="114" spans="7:10" x14ac:dyDescent="0.3">
      <c r="G114" s="34">
        <v>46127</v>
      </c>
      <c r="H114">
        <v>1305.3</v>
      </c>
      <c r="J114">
        <v>24231.3</v>
      </c>
    </row>
    <row r="115" spans="7:10" x14ac:dyDescent="0.3">
      <c r="G115" s="34">
        <v>46125</v>
      </c>
      <c r="H115">
        <v>1276.8</v>
      </c>
      <c r="J115">
        <v>23842.65</v>
      </c>
    </row>
    <row r="116" spans="7:10" x14ac:dyDescent="0.3">
      <c r="G116" s="34">
        <v>46122</v>
      </c>
      <c r="H116">
        <v>1292.5</v>
      </c>
      <c r="J116">
        <v>24050.6</v>
      </c>
    </row>
    <row r="117" spans="7:10" x14ac:dyDescent="0.3">
      <c r="G117" s="34">
        <v>46121</v>
      </c>
      <c r="H117">
        <v>1331.6</v>
      </c>
      <c r="J117">
        <v>23775.1</v>
      </c>
    </row>
    <row r="118" spans="7:10" x14ac:dyDescent="0.3">
      <c r="G118" s="34">
        <v>46120</v>
      </c>
      <c r="H118">
        <v>1346.2</v>
      </c>
      <c r="J118">
        <v>23997.35</v>
      </c>
    </row>
    <row r="119" spans="7:10" x14ac:dyDescent="0.3">
      <c r="G119" s="34">
        <v>46119</v>
      </c>
      <c r="H119">
        <v>1339.4</v>
      </c>
      <c r="J119">
        <v>23123.65</v>
      </c>
    </row>
    <row r="120" spans="7:10" x14ac:dyDescent="0.3">
      <c r="G120" s="34">
        <v>46118</v>
      </c>
      <c r="H120">
        <v>1306.2</v>
      </c>
      <c r="J120">
        <v>22968.25</v>
      </c>
    </row>
    <row r="121" spans="7:10" x14ac:dyDescent="0.3">
      <c r="G121" s="34">
        <v>46114</v>
      </c>
      <c r="H121">
        <v>1300.8</v>
      </c>
      <c r="J121">
        <v>22713.1</v>
      </c>
    </row>
    <row r="122" spans="7:10" x14ac:dyDescent="0.3">
      <c r="G122" s="34">
        <v>46113</v>
      </c>
      <c r="H122">
        <v>1275.7</v>
      </c>
      <c r="J122">
        <v>22679.4</v>
      </c>
    </row>
    <row r="123" spans="7:10" x14ac:dyDescent="0.3">
      <c r="G123" s="34">
        <v>46111</v>
      </c>
      <c r="H123">
        <v>1250.5999999999999</v>
      </c>
      <c r="J123">
        <v>22331.4</v>
      </c>
    </row>
    <row r="124" spans="7:10" x14ac:dyDescent="0.3">
      <c r="G124" s="34">
        <v>46108</v>
      </c>
      <c r="H124">
        <v>1269.7</v>
      </c>
      <c r="J124">
        <v>22819.599999999999</v>
      </c>
    </row>
    <row r="125" spans="7:10" x14ac:dyDescent="0.3">
      <c r="G125" s="34">
        <v>46106</v>
      </c>
      <c r="H125">
        <v>1279.0999999999999</v>
      </c>
      <c r="J125">
        <v>23306.45</v>
      </c>
    </row>
    <row r="126" spans="7:10" x14ac:dyDescent="0.3">
      <c r="G126" s="34">
        <v>46105</v>
      </c>
      <c r="H126">
        <v>1278.3</v>
      </c>
      <c r="J126">
        <v>22912.400000000001</v>
      </c>
    </row>
    <row r="127" spans="7:10" x14ac:dyDescent="0.3">
      <c r="G127" s="34">
        <v>46104</v>
      </c>
      <c r="H127">
        <v>1256.8</v>
      </c>
      <c r="J127">
        <v>22512.65</v>
      </c>
    </row>
    <row r="128" spans="7:10" x14ac:dyDescent="0.3">
      <c r="G128" s="34">
        <v>46101</v>
      </c>
      <c r="H128">
        <v>1255.9000000000001</v>
      </c>
      <c r="J128">
        <v>23114.5</v>
      </c>
    </row>
    <row r="129" spans="7:10" x14ac:dyDescent="0.3">
      <c r="G129" s="34">
        <v>46100</v>
      </c>
      <c r="H129">
        <v>1220.8</v>
      </c>
      <c r="J129">
        <v>23002.15</v>
      </c>
    </row>
    <row r="130" spans="7:10" x14ac:dyDescent="0.3">
      <c r="G130" s="34">
        <v>46099</v>
      </c>
      <c r="H130">
        <v>1267.0999999999999</v>
      </c>
      <c r="J130">
        <v>23777.8</v>
      </c>
    </row>
    <row r="131" spans="7:10" x14ac:dyDescent="0.3">
      <c r="G131" s="34">
        <v>46098</v>
      </c>
      <c r="H131">
        <v>1232.9000000000001</v>
      </c>
      <c r="J131">
        <v>23581.15</v>
      </c>
    </row>
    <row r="132" spans="7:10" x14ac:dyDescent="0.3">
      <c r="G132" s="34">
        <v>46097</v>
      </c>
      <c r="H132">
        <v>1249.8</v>
      </c>
      <c r="J132">
        <v>23408.799999999999</v>
      </c>
    </row>
    <row r="133" spans="7:10" x14ac:dyDescent="0.3">
      <c r="G133" s="34">
        <v>46094</v>
      </c>
      <c r="H133">
        <v>1248.3</v>
      </c>
      <c r="J133">
        <v>23151.1</v>
      </c>
    </row>
    <row r="134" spans="7:10" x14ac:dyDescent="0.3">
      <c r="G134" s="34">
        <v>46093</v>
      </c>
      <c r="H134">
        <v>1265.8</v>
      </c>
      <c r="J134">
        <v>23639.15</v>
      </c>
    </row>
    <row r="135" spans="7:10" x14ac:dyDescent="0.3">
      <c r="G135" s="34">
        <v>46092</v>
      </c>
      <c r="H135">
        <v>1276.3</v>
      </c>
      <c r="J135">
        <v>23866.85</v>
      </c>
    </row>
    <row r="136" spans="7:10" x14ac:dyDescent="0.3">
      <c r="G136" s="34">
        <v>46091</v>
      </c>
      <c r="H136">
        <v>1295.5999999999999</v>
      </c>
      <c r="J136">
        <v>24261.599999999999</v>
      </c>
    </row>
    <row r="137" spans="7:10" x14ac:dyDescent="0.3">
      <c r="G137" s="34">
        <v>46090</v>
      </c>
      <c r="H137">
        <v>1315</v>
      </c>
      <c r="J137">
        <v>24028.05</v>
      </c>
    </row>
    <row r="138" spans="7:10" x14ac:dyDescent="0.3">
      <c r="G138" s="34">
        <v>46087</v>
      </c>
      <c r="H138">
        <v>1308.4000000000001</v>
      </c>
      <c r="J138">
        <v>24450.45</v>
      </c>
    </row>
    <row r="139" spans="7:10" x14ac:dyDescent="0.3">
      <c r="G139" s="34">
        <v>46086</v>
      </c>
      <c r="H139">
        <v>1305.8</v>
      </c>
      <c r="J139">
        <v>24765.9</v>
      </c>
    </row>
    <row r="140" spans="7:10" x14ac:dyDescent="0.3">
      <c r="G140" s="34">
        <v>46085</v>
      </c>
      <c r="H140">
        <v>1307.4000000000001</v>
      </c>
      <c r="J140">
        <v>24480.5</v>
      </c>
    </row>
    <row r="141" spans="7:10" x14ac:dyDescent="0.3">
      <c r="G141" s="34">
        <v>46083</v>
      </c>
      <c r="H141">
        <v>1288.9000000000001</v>
      </c>
      <c r="J141">
        <v>24865.7</v>
      </c>
    </row>
    <row r="142" spans="7:10" x14ac:dyDescent="0.3">
      <c r="G142" s="34">
        <v>46080</v>
      </c>
      <c r="H142">
        <v>1300.0999999999999</v>
      </c>
      <c r="J142">
        <v>25178.65</v>
      </c>
    </row>
    <row r="143" spans="7:10" x14ac:dyDescent="0.3">
      <c r="G143" s="34">
        <v>46079</v>
      </c>
      <c r="H143">
        <v>1289.0999999999999</v>
      </c>
      <c r="J143">
        <v>25496.55</v>
      </c>
    </row>
    <row r="144" spans="7:10" x14ac:dyDescent="0.3">
      <c r="G144" s="34">
        <v>46078</v>
      </c>
      <c r="H144">
        <v>1290.0999999999999</v>
      </c>
      <c r="J144">
        <v>25482.5</v>
      </c>
    </row>
    <row r="145" spans="7:10" x14ac:dyDescent="0.3">
      <c r="G145" s="34">
        <v>46077</v>
      </c>
      <c r="H145">
        <v>1275.5</v>
      </c>
      <c r="J145">
        <v>25424.65</v>
      </c>
    </row>
    <row r="146" spans="7:10" x14ac:dyDescent="0.3">
      <c r="G146" s="34">
        <v>46076</v>
      </c>
      <c r="H146">
        <v>1327.5</v>
      </c>
      <c r="J146">
        <v>25713</v>
      </c>
    </row>
    <row r="147" spans="7:10" x14ac:dyDescent="0.3">
      <c r="G147" s="34">
        <v>46073</v>
      </c>
      <c r="H147">
        <v>1353.2</v>
      </c>
      <c r="J147">
        <v>25571.25</v>
      </c>
    </row>
    <row r="148" spans="7:10" x14ac:dyDescent="0.3">
      <c r="G148" s="34">
        <v>46072</v>
      </c>
      <c r="H148">
        <v>1370.5</v>
      </c>
      <c r="J148">
        <v>25454.35</v>
      </c>
    </row>
    <row r="149" spans="7:10" x14ac:dyDescent="0.3">
      <c r="G149" s="34">
        <v>46071</v>
      </c>
      <c r="H149">
        <v>1373.7</v>
      </c>
      <c r="J149">
        <v>25819.35</v>
      </c>
    </row>
    <row r="150" spans="7:10" x14ac:dyDescent="0.3">
      <c r="G150" s="34">
        <v>46070</v>
      </c>
      <c r="H150">
        <v>1391.2</v>
      </c>
      <c r="J150">
        <v>25725.4</v>
      </c>
    </row>
    <row r="151" spans="7:10" x14ac:dyDescent="0.3">
      <c r="G151" s="34">
        <v>46069</v>
      </c>
      <c r="H151">
        <v>1365.6</v>
      </c>
      <c r="J151">
        <v>25682.75</v>
      </c>
    </row>
    <row r="152" spans="7:10" x14ac:dyDescent="0.3">
      <c r="G152" s="34">
        <v>46066</v>
      </c>
      <c r="H152">
        <v>1369.1</v>
      </c>
      <c r="J152">
        <v>25471.1</v>
      </c>
    </row>
    <row r="153" spans="7:10" x14ac:dyDescent="0.3">
      <c r="G153" s="34">
        <v>46065</v>
      </c>
      <c r="H153">
        <v>1386</v>
      </c>
      <c r="J153">
        <v>25807.200000000001</v>
      </c>
    </row>
    <row r="154" spans="7:10" x14ac:dyDescent="0.3">
      <c r="G154" s="34">
        <v>46064</v>
      </c>
      <c r="H154">
        <v>1471.9</v>
      </c>
      <c r="J154">
        <v>25953.85</v>
      </c>
    </row>
    <row r="155" spans="7:10" x14ac:dyDescent="0.3">
      <c r="G155" s="34">
        <v>46063</v>
      </c>
      <c r="H155">
        <v>1497.8</v>
      </c>
      <c r="J155">
        <v>25935.15</v>
      </c>
    </row>
    <row r="156" spans="7:10" x14ac:dyDescent="0.3">
      <c r="G156" s="34">
        <v>46062</v>
      </c>
      <c r="H156">
        <v>1497.2</v>
      </c>
      <c r="J156">
        <v>25867.3</v>
      </c>
    </row>
    <row r="157" spans="7:10" x14ac:dyDescent="0.3">
      <c r="G157" s="34">
        <v>46059</v>
      </c>
      <c r="H157">
        <v>1507.1</v>
      </c>
      <c r="J157">
        <v>25693.7</v>
      </c>
    </row>
    <row r="158" spans="7:10" x14ac:dyDescent="0.3">
      <c r="G158" s="34">
        <v>46058</v>
      </c>
      <c r="H158">
        <v>1520.2</v>
      </c>
      <c r="J158">
        <v>25642.799999999999</v>
      </c>
    </row>
    <row r="159" spans="7:10" x14ac:dyDescent="0.3">
      <c r="G159" s="34">
        <v>46057</v>
      </c>
      <c r="H159">
        <v>1535.8</v>
      </c>
      <c r="J159">
        <v>25776</v>
      </c>
    </row>
    <row r="160" spans="7:10" x14ac:dyDescent="0.3">
      <c r="G160" s="34">
        <v>46056</v>
      </c>
      <c r="H160">
        <v>1656</v>
      </c>
      <c r="J160">
        <v>25727.55</v>
      </c>
    </row>
    <row r="161" spans="7:10" x14ac:dyDescent="0.3">
      <c r="G161" s="34">
        <v>46055</v>
      </c>
      <c r="H161">
        <v>1629.4</v>
      </c>
      <c r="J161">
        <v>25088.400000000001</v>
      </c>
    </row>
    <row r="162" spans="7:10" x14ac:dyDescent="0.3">
      <c r="G162" s="34">
        <v>46054</v>
      </c>
      <c r="H162">
        <v>1654.5</v>
      </c>
      <c r="J162">
        <v>25320.65</v>
      </c>
    </row>
    <row r="163" spans="7:10" x14ac:dyDescent="0.3">
      <c r="G163" s="34">
        <v>46052</v>
      </c>
      <c r="H163">
        <v>1641</v>
      </c>
      <c r="J163">
        <v>25320.65</v>
      </c>
    </row>
    <row r="164" spans="7:10" x14ac:dyDescent="0.3">
      <c r="G164" s="34">
        <v>46051</v>
      </c>
      <c r="H164">
        <v>1659.5</v>
      </c>
      <c r="J164">
        <v>25418.9</v>
      </c>
    </row>
    <row r="165" spans="7:10" x14ac:dyDescent="0.3">
      <c r="G165" s="34">
        <v>46050</v>
      </c>
      <c r="H165">
        <v>1666.5</v>
      </c>
      <c r="J165">
        <v>25342.75</v>
      </c>
    </row>
    <row r="166" spans="7:10" x14ac:dyDescent="0.3">
      <c r="G166" s="34">
        <v>46049</v>
      </c>
      <c r="H166">
        <v>1682.7</v>
      </c>
      <c r="J166">
        <v>25175.4</v>
      </c>
    </row>
    <row r="167" spans="7:10" x14ac:dyDescent="0.3">
      <c r="G167" s="34">
        <v>46045</v>
      </c>
      <c r="H167">
        <v>1670.8</v>
      </c>
      <c r="J167">
        <v>25048.65</v>
      </c>
    </row>
    <row r="168" spans="7:10" x14ac:dyDescent="0.3">
      <c r="G168" s="34">
        <v>46044</v>
      </c>
      <c r="H168">
        <v>1663.5</v>
      </c>
      <c r="J168">
        <v>25289.9</v>
      </c>
    </row>
    <row r="169" spans="7:10" x14ac:dyDescent="0.3">
      <c r="G169" s="34">
        <v>46043</v>
      </c>
      <c r="H169">
        <v>1654.4</v>
      </c>
      <c r="J169">
        <v>25157.5</v>
      </c>
    </row>
    <row r="170" spans="7:10" x14ac:dyDescent="0.3">
      <c r="G170" s="34">
        <v>46042</v>
      </c>
      <c r="H170">
        <v>1658.9</v>
      </c>
      <c r="J170">
        <v>25232.5</v>
      </c>
    </row>
    <row r="171" spans="7:10" x14ac:dyDescent="0.3">
      <c r="G171" s="34">
        <v>46041</v>
      </c>
      <c r="H171">
        <v>1681.2</v>
      </c>
      <c r="J171">
        <v>25585.5</v>
      </c>
    </row>
    <row r="172" spans="7:10" x14ac:dyDescent="0.3">
      <c r="G172" s="34">
        <v>46038</v>
      </c>
      <c r="H172">
        <v>1689.8</v>
      </c>
      <c r="J172">
        <v>25694.35</v>
      </c>
    </row>
    <row r="173" spans="7:10" x14ac:dyDescent="0.3">
      <c r="G173" s="34">
        <v>46036</v>
      </c>
      <c r="H173">
        <v>1599.8</v>
      </c>
      <c r="J173">
        <v>25665.599999999999</v>
      </c>
    </row>
    <row r="174" spans="7:10" x14ac:dyDescent="0.3">
      <c r="G174" s="34">
        <v>46035</v>
      </c>
      <c r="H174">
        <v>1599</v>
      </c>
      <c r="J174">
        <v>25732.3</v>
      </c>
    </row>
    <row r="175" spans="7:10" x14ac:dyDescent="0.3">
      <c r="G175" s="34">
        <v>46034</v>
      </c>
      <c r="H175">
        <v>1595.9</v>
      </c>
      <c r="J175">
        <v>25790.25</v>
      </c>
    </row>
    <row r="176" spans="7:10" x14ac:dyDescent="0.3">
      <c r="G176" s="34">
        <v>46031</v>
      </c>
      <c r="H176">
        <v>1614.1</v>
      </c>
      <c r="J176">
        <v>25683.3</v>
      </c>
    </row>
    <row r="177" spans="7:10" x14ac:dyDescent="0.3">
      <c r="G177" s="34">
        <v>46030</v>
      </c>
      <c r="H177">
        <v>1613.3</v>
      </c>
      <c r="J177">
        <v>25876.85</v>
      </c>
    </row>
    <row r="178" spans="7:10" x14ac:dyDescent="0.3">
      <c r="G178" s="34">
        <v>46029</v>
      </c>
      <c r="H178">
        <v>1639</v>
      </c>
      <c r="J178">
        <v>26140.75</v>
      </c>
    </row>
    <row r="179" spans="7:10" x14ac:dyDescent="0.3">
      <c r="G179" s="34">
        <v>46028</v>
      </c>
      <c r="H179">
        <v>1612.2</v>
      </c>
      <c r="J179">
        <v>26178.7</v>
      </c>
    </row>
    <row r="180" spans="7:10" x14ac:dyDescent="0.3">
      <c r="G180" s="34">
        <v>46027</v>
      </c>
      <c r="H180">
        <v>1606.4</v>
      </c>
      <c r="J180">
        <v>26250.3</v>
      </c>
    </row>
    <row r="181" spans="7:10" x14ac:dyDescent="0.3">
      <c r="G181" s="34">
        <v>46024</v>
      </c>
      <c r="H181">
        <v>1640.4</v>
      </c>
      <c r="J181">
        <v>26328.55</v>
      </c>
    </row>
    <row r="182" spans="7:10" x14ac:dyDescent="0.3">
      <c r="G182" s="34">
        <v>46023</v>
      </c>
      <c r="H182">
        <v>1629.8</v>
      </c>
      <c r="J182">
        <v>26146.55</v>
      </c>
    </row>
    <row r="183" spans="7:10" x14ac:dyDescent="0.3">
      <c r="G183" s="34">
        <v>46022</v>
      </c>
      <c r="H183">
        <v>1615.4</v>
      </c>
      <c r="J183">
        <v>26129.599999999999</v>
      </c>
    </row>
    <row r="184" spans="7:10" x14ac:dyDescent="0.3">
      <c r="G184" s="34">
        <v>46021</v>
      </c>
      <c r="H184">
        <v>1621.6</v>
      </c>
      <c r="J184">
        <v>25938.85</v>
      </c>
    </row>
    <row r="185" spans="7:10" x14ac:dyDescent="0.3">
      <c r="G185" s="34">
        <v>46020</v>
      </c>
      <c r="H185">
        <v>1644.7</v>
      </c>
      <c r="J185">
        <v>25942.1</v>
      </c>
    </row>
    <row r="186" spans="7:10" x14ac:dyDescent="0.3">
      <c r="G186" s="34">
        <v>46017</v>
      </c>
      <c r="H186">
        <v>1656.1</v>
      </c>
      <c r="J186">
        <v>26042.3</v>
      </c>
    </row>
    <row r="187" spans="7:10" x14ac:dyDescent="0.3">
      <c r="G187" s="34">
        <v>46015</v>
      </c>
      <c r="H187">
        <v>1663.4</v>
      </c>
      <c r="J187">
        <v>26142.1</v>
      </c>
    </row>
    <row r="188" spans="7:10" x14ac:dyDescent="0.3">
      <c r="G188" s="34">
        <v>46014</v>
      </c>
      <c r="H188">
        <v>1668.3</v>
      </c>
      <c r="J188">
        <v>26177.15</v>
      </c>
    </row>
    <row r="189" spans="7:10" x14ac:dyDescent="0.3">
      <c r="G189" s="34">
        <v>46013</v>
      </c>
      <c r="H189">
        <v>1689.6</v>
      </c>
      <c r="J189">
        <v>26172.400000000001</v>
      </c>
    </row>
    <row r="190" spans="7:10" x14ac:dyDescent="0.3">
      <c r="G190" s="34">
        <v>46010</v>
      </c>
      <c r="H190">
        <v>1638.7</v>
      </c>
      <c r="J190">
        <v>25966.400000000001</v>
      </c>
    </row>
    <row r="191" spans="7:10" x14ac:dyDescent="0.3">
      <c r="G191" s="34">
        <v>46009</v>
      </c>
      <c r="H191">
        <v>1626.8</v>
      </c>
      <c r="J191">
        <v>25815.55</v>
      </c>
    </row>
    <row r="192" spans="7:10" x14ac:dyDescent="0.3">
      <c r="G192" s="34">
        <v>46008</v>
      </c>
      <c r="H192">
        <v>1602</v>
      </c>
      <c r="J192">
        <v>25818.55</v>
      </c>
    </row>
    <row r="193" spans="7:10" x14ac:dyDescent="0.3">
      <c r="G193" s="34">
        <v>46007</v>
      </c>
      <c r="H193">
        <v>1592.9</v>
      </c>
      <c r="J193">
        <v>25860.1</v>
      </c>
    </row>
    <row r="194" spans="7:10" x14ac:dyDescent="0.3">
      <c r="G194" s="34">
        <v>46006</v>
      </c>
      <c r="H194">
        <v>1606.8</v>
      </c>
      <c r="J194">
        <v>26027.3</v>
      </c>
    </row>
    <row r="195" spans="7:10" x14ac:dyDescent="0.3">
      <c r="G195" s="34">
        <v>46003</v>
      </c>
      <c r="H195">
        <v>1598.2</v>
      </c>
      <c r="J195">
        <v>26046.95</v>
      </c>
    </row>
    <row r="196" spans="7:10" x14ac:dyDescent="0.3">
      <c r="G196" s="34">
        <v>46002</v>
      </c>
      <c r="H196">
        <v>1598</v>
      </c>
      <c r="J196">
        <v>25898.55</v>
      </c>
    </row>
    <row r="197" spans="7:10" x14ac:dyDescent="0.3">
      <c r="G197" s="34">
        <v>46001</v>
      </c>
      <c r="H197">
        <v>1584.8</v>
      </c>
      <c r="J197">
        <v>25758</v>
      </c>
    </row>
    <row r="198" spans="7:10" x14ac:dyDescent="0.3">
      <c r="G198" s="34">
        <v>46000</v>
      </c>
      <c r="H198">
        <v>1599</v>
      </c>
      <c r="J198">
        <v>25839.65</v>
      </c>
    </row>
    <row r="199" spans="7:10" x14ac:dyDescent="0.3">
      <c r="G199" s="34">
        <v>45999</v>
      </c>
      <c r="H199">
        <v>1610.8</v>
      </c>
      <c r="J199">
        <v>25960.55</v>
      </c>
    </row>
    <row r="200" spans="7:10" x14ac:dyDescent="0.3">
      <c r="G200" s="34">
        <v>45996</v>
      </c>
      <c r="H200">
        <v>1616.2</v>
      </c>
      <c r="J200">
        <v>26186.45</v>
      </c>
    </row>
    <row r="201" spans="7:10" x14ac:dyDescent="0.3">
      <c r="G201" s="34">
        <v>45995</v>
      </c>
      <c r="H201">
        <v>1597.6</v>
      </c>
      <c r="J201">
        <v>26033.75</v>
      </c>
    </row>
    <row r="202" spans="7:10" x14ac:dyDescent="0.3">
      <c r="G202" s="34">
        <v>45994</v>
      </c>
      <c r="H202">
        <v>1578.7</v>
      </c>
      <c r="J202">
        <v>25986</v>
      </c>
    </row>
    <row r="203" spans="7:10" x14ac:dyDescent="0.3">
      <c r="G203" s="34">
        <v>45993</v>
      </c>
      <c r="H203">
        <v>1561</v>
      </c>
      <c r="J203">
        <v>26032.2</v>
      </c>
    </row>
    <row r="204" spans="7:10" x14ac:dyDescent="0.3">
      <c r="G204" s="34">
        <v>45992</v>
      </c>
      <c r="H204">
        <v>1564</v>
      </c>
      <c r="J204">
        <v>26175.75</v>
      </c>
    </row>
    <row r="205" spans="7:10" x14ac:dyDescent="0.3">
      <c r="G205" s="34">
        <v>45989</v>
      </c>
      <c r="H205">
        <v>1560.1</v>
      </c>
      <c r="J205">
        <v>26202.95</v>
      </c>
    </row>
    <row r="206" spans="7:10" x14ac:dyDescent="0.3">
      <c r="G206" s="34">
        <v>45988</v>
      </c>
      <c r="H206">
        <v>1566.4</v>
      </c>
      <c r="J206">
        <v>26215.55</v>
      </c>
    </row>
    <row r="207" spans="7:10" x14ac:dyDescent="0.3">
      <c r="G207" s="34">
        <v>45987</v>
      </c>
      <c r="H207">
        <v>1557.9</v>
      </c>
      <c r="J207">
        <v>26205.3</v>
      </c>
    </row>
    <row r="208" spans="7:10" x14ac:dyDescent="0.3">
      <c r="G208" s="34">
        <v>45986</v>
      </c>
      <c r="H208">
        <v>1530.6</v>
      </c>
      <c r="J208">
        <v>25884.799999999999</v>
      </c>
    </row>
    <row r="209" spans="7:10" x14ac:dyDescent="0.3">
      <c r="G209" s="34">
        <v>45985</v>
      </c>
      <c r="H209">
        <v>1548</v>
      </c>
      <c r="J209">
        <v>25959.5</v>
      </c>
    </row>
    <row r="210" spans="7:10" x14ac:dyDescent="0.3">
      <c r="G210" s="34">
        <v>45982</v>
      </c>
      <c r="H210">
        <v>1545</v>
      </c>
      <c r="J210">
        <v>26068.15</v>
      </c>
    </row>
    <row r="211" spans="7:10" x14ac:dyDescent="0.3">
      <c r="G211" s="34">
        <v>45981</v>
      </c>
      <c r="H211">
        <v>1536.5</v>
      </c>
      <c r="J211">
        <v>26192.15</v>
      </c>
    </row>
    <row r="212" spans="7:10" x14ac:dyDescent="0.3">
      <c r="G212" s="34">
        <v>45980</v>
      </c>
      <c r="H212">
        <v>1541.1</v>
      </c>
      <c r="J212">
        <v>26052.65</v>
      </c>
    </row>
    <row r="213" spans="7:10" x14ac:dyDescent="0.3">
      <c r="G213" s="34">
        <v>45979</v>
      </c>
      <c r="H213">
        <v>1486.4</v>
      </c>
      <c r="J213">
        <v>25910.05</v>
      </c>
    </row>
    <row r="214" spans="7:10" x14ac:dyDescent="0.3">
      <c r="G214" s="34">
        <v>45978</v>
      </c>
      <c r="H214">
        <v>1507.6</v>
      </c>
      <c r="J214">
        <v>26013.45</v>
      </c>
    </row>
    <row r="215" spans="7:10" x14ac:dyDescent="0.3">
      <c r="G215" s="34">
        <v>45975</v>
      </c>
      <c r="H215">
        <v>1502.8</v>
      </c>
      <c r="J215">
        <v>25910.05</v>
      </c>
    </row>
    <row r="216" spans="7:10" x14ac:dyDescent="0.3">
      <c r="G216" s="34">
        <v>45974</v>
      </c>
      <c r="H216">
        <v>1541.8</v>
      </c>
      <c r="J216">
        <v>25879.15</v>
      </c>
    </row>
    <row r="217" spans="7:10" x14ac:dyDescent="0.3">
      <c r="G217" s="34">
        <v>45973</v>
      </c>
      <c r="H217">
        <v>1551.7</v>
      </c>
      <c r="J217">
        <v>25875.8</v>
      </c>
    </row>
    <row r="218" spans="7:10" x14ac:dyDescent="0.3">
      <c r="G218" s="34">
        <v>45972</v>
      </c>
      <c r="H218">
        <v>1530.3</v>
      </c>
      <c r="J218">
        <v>25694.95</v>
      </c>
    </row>
    <row r="219" spans="7:10" x14ac:dyDescent="0.3">
      <c r="G219" s="34">
        <v>45971</v>
      </c>
      <c r="H219">
        <v>1513.5</v>
      </c>
      <c r="J219">
        <v>25574.35</v>
      </c>
    </row>
    <row r="220" spans="7:10" x14ac:dyDescent="0.3">
      <c r="G220" s="34">
        <v>45968</v>
      </c>
      <c r="H220">
        <v>1476.8</v>
      </c>
      <c r="J220">
        <v>25492.3</v>
      </c>
    </row>
    <row r="221" spans="7:10" x14ac:dyDescent="0.3">
      <c r="G221" s="34">
        <v>45967</v>
      </c>
      <c r="H221">
        <v>1466.7</v>
      </c>
      <c r="J221">
        <v>25509.7</v>
      </c>
    </row>
    <row r="222" spans="7:10" x14ac:dyDescent="0.3">
      <c r="G222" s="34">
        <v>45965</v>
      </c>
      <c r="H222">
        <v>1467.9</v>
      </c>
      <c r="J222">
        <v>25597.65</v>
      </c>
    </row>
    <row r="223" spans="7:10" x14ac:dyDescent="0.3">
      <c r="G223" s="34">
        <v>45964</v>
      </c>
      <c r="H223">
        <v>1485.5</v>
      </c>
      <c r="J223">
        <v>25763.35</v>
      </c>
    </row>
    <row r="224" spans="7:10" x14ac:dyDescent="0.3">
      <c r="G224" s="34">
        <v>45961</v>
      </c>
      <c r="H224">
        <v>1482.3</v>
      </c>
      <c r="J224">
        <v>25722.1</v>
      </c>
    </row>
    <row r="225" spans="7:10" x14ac:dyDescent="0.3">
      <c r="G225" s="34">
        <v>45960</v>
      </c>
      <c r="H225">
        <v>1493.8</v>
      </c>
      <c r="J225">
        <v>25877.85</v>
      </c>
    </row>
    <row r="226" spans="7:10" x14ac:dyDescent="0.3">
      <c r="G226" s="34">
        <v>45959</v>
      </c>
      <c r="H226">
        <v>1510.4</v>
      </c>
      <c r="J226">
        <v>26053.9</v>
      </c>
    </row>
    <row r="227" spans="7:10" x14ac:dyDescent="0.3">
      <c r="G227" s="34">
        <v>45958</v>
      </c>
      <c r="H227">
        <v>1500.2</v>
      </c>
      <c r="J227">
        <v>25936.2</v>
      </c>
    </row>
    <row r="228" spans="7:10" x14ac:dyDescent="0.3">
      <c r="G228" s="34">
        <v>45957</v>
      </c>
      <c r="H228">
        <v>1504.5</v>
      </c>
      <c r="J228">
        <v>25966.05</v>
      </c>
    </row>
    <row r="229" spans="7:10" x14ac:dyDescent="0.3">
      <c r="G229" s="34">
        <v>45954</v>
      </c>
      <c r="H229">
        <v>1525.4</v>
      </c>
      <c r="J229">
        <v>25795.15</v>
      </c>
    </row>
    <row r="230" spans="7:10" x14ac:dyDescent="0.3">
      <c r="G230" s="34">
        <v>45953</v>
      </c>
      <c r="H230">
        <v>1528.5</v>
      </c>
      <c r="J230">
        <v>25891.4</v>
      </c>
    </row>
    <row r="231" spans="7:10" x14ac:dyDescent="0.3">
      <c r="G231" s="34">
        <v>45951</v>
      </c>
      <c r="H231">
        <v>1472.4</v>
      </c>
      <c r="J231">
        <v>25868.6</v>
      </c>
    </row>
    <row r="232" spans="7:10" x14ac:dyDescent="0.3">
      <c r="G232" s="34">
        <v>45950</v>
      </c>
      <c r="H232">
        <v>1460.9</v>
      </c>
      <c r="J232">
        <v>25843.15</v>
      </c>
    </row>
    <row r="233" spans="7:10" x14ac:dyDescent="0.3">
      <c r="G233" s="34">
        <v>45947</v>
      </c>
      <c r="H233">
        <v>1441.1</v>
      </c>
      <c r="J233">
        <v>25709.85</v>
      </c>
    </row>
    <row r="234" spans="7:10" x14ac:dyDescent="0.3">
      <c r="G234" s="34">
        <v>45946</v>
      </c>
      <c r="H234">
        <v>1471.5</v>
      </c>
      <c r="J234">
        <v>25585.3</v>
      </c>
    </row>
    <row r="235" spans="7:10" x14ac:dyDescent="0.3">
      <c r="G235" s="34">
        <v>45945</v>
      </c>
      <c r="H235">
        <v>1474.4</v>
      </c>
      <c r="J235">
        <v>25323.55</v>
      </c>
    </row>
    <row r="236" spans="7:10" x14ac:dyDescent="0.3">
      <c r="G236" s="34">
        <v>45944</v>
      </c>
      <c r="H236">
        <v>1489.9</v>
      </c>
      <c r="J236">
        <v>25145.5</v>
      </c>
    </row>
    <row r="237" spans="7:10" x14ac:dyDescent="0.3">
      <c r="G237" s="34">
        <v>45943</v>
      </c>
      <c r="H237">
        <v>1493.2</v>
      </c>
      <c r="J237">
        <v>25227.35</v>
      </c>
    </row>
    <row r="238" spans="7:10" x14ac:dyDescent="0.3">
      <c r="G238" s="34">
        <v>45940</v>
      </c>
      <c r="H238">
        <v>1514.9</v>
      </c>
      <c r="J238">
        <v>25285.35</v>
      </c>
    </row>
    <row r="239" spans="7:10" x14ac:dyDescent="0.3">
      <c r="G239" s="34">
        <v>45939</v>
      </c>
      <c r="H239">
        <v>1509.3</v>
      </c>
      <c r="J239">
        <v>25181.8</v>
      </c>
    </row>
    <row r="240" spans="7:10" x14ac:dyDescent="0.3">
      <c r="G240" s="34">
        <v>45938</v>
      </c>
      <c r="H240">
        <v>1495</v>
      </c>
      <c r="J240">
        <v>25046.15</v>
      </c>
    </row>
    <row r="241" spans="7:10" x14ac:dyDescent="0.3">
      <c r="G241" s="34">
        <v>45937</v>
      </c>
      <c r="H241">
        <v>1458.5</v>
      </c>
      <c r="J241">
        <v>25108.3</v>
      </c>
    </row>
    <row r="242" spans="7:10" x14ac:dyDescent="0.3">
      <c r="G242" s="34">
        <v>45936</v>
      </c>
      <c r="H242">
        <v>1476</v>
      </c>
      <c r="J242">
        <v>25077.65</v>
      </c>
    </row>
    <row r="243" spans="7:10" x14ac:dyDescent="0.3">
      <c r="G243" s="34">
        <v>45933</v>
      </c>
      <c r="H243">
        <v>1446.6</v>
      </c>
      <c r="J243">
        <v>24894.25</v>
      </c>
    </row>
    <row r="244" spans="7:10" x14ac:dyDescent="0.3">
      <c r="G244" s="34">
        <v>45931</v>
      </c>
      <c r="H244">
        <v>1445.8</v>
      </c>
      <c r="J244">
        <v>24836.3</v>
      </c>
    </row>
    <row r="245" spans="7:10" x14ac:dyDescent="0.3">
      <c r="G245" s="34">
        <v>45930</v>
      </c>
      <c r="H245">
        <v>1441.8</v>
      </c>
      <c r="J245">
        <v>24611.1</v>
      </c>
    </row>
    <row r="246" spans="7:10" x14ac:dyDescent="0.3">
      <c r="G246" s="34">
        <v>45929</v>
      </c>
      <c r="H246">
        <v>1441.8</v>
      </c>
      <c r="J246">
        <v>24634.9</v>
      </c>
    </row>
    <row r="247" spans="7:10" x14ac:dyDescent="0.3">
      <c r="G247" s="34">
        <v>45926</v>
      </c>
      <c r="H247">
        <v>1448.9</v>
      </c>
      <c r="J247">
        <v>24654.7</v>
      </c>
    </row>
    <row r="248" spans="7:10" x14ac:dyDescent="0.3">
      <c r="G248" s="34">
        <v>45925</v>
      </c>
      <c r="H248">
        <v>1484.8</v>
      </c>
      <c r="J248">
        <v>24890.85</v>
      </c>
    </row>
    <row r="249" spans="7:10" x14ac:dyDescent="0.3">
      <c r="G249" s="171">
        <v>45924</v>
      </c>
      <c r="H249">
        <v>1494.6</v>
      </c>
      <c r="J249">
        <v>25056.9</v>
      </c>
    </row>
    <row r="250" spans="7:10" x14ac:dyDescent="0.3">
      <c r="G250" s="171">
        <v>45923</v>
      </c>
      <c r="H250">
        <v>1497.5</v>
      </c>
      <c r="J250">
        <v>25169.5</v>
      </c>
    </row>
    <row r="251" spans="7:10" x14ac:dyDescent="0.3">
      <c r="G251" s="171">
        <v>45922</v>
      </c>
      <c r="H251">
        <v>1499.5</v>
      </c>
      <c r="J251">
        <v>25202.35</v>
      </c>
    </row>
    <row r="252" spans="7:10" x14ac:dyDescent="0.3">
      <c r="G252" s="171">
        <v>45919</v>
      </c>
      <c r="H252">
        <v>1540.2</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-13025</v>
      </c>
      <c r="H13" s="155">
        <f>'Raw FS'!AT57</f>
        <v>413657.56</v>
      </c>
      <c r="I13" s="150"/>
      <c r="J13" s="150"/>
      <c r="K13" s="155">
        <f>'Raw FS'!AU57</f>
        <v>192844</v>
      </c>
      <c r="L13" s="155">
        <f>'Raw FS'!AV57</f>
        <v>10354.381977471839</v>
      </c>
      <c r="M13" s="155">
        <f>'Raw FS'!AW57</f>
        <v>31100</v>
      </c>
      <c r="N13" s="150"/>
      <c r="O13" s="151">
        <f t="shared" ref="O13:O20" si="1">$H13/K13</f>
        <v>2.1450372321669327</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341</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342</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343</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344</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8606</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8626</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K13*O26</f>
        <v>805961.84679422621</v>
      </c>
      <c r="P32" s="155">
        <f>L13*P26</f>
        <v>332743.81728048949</v>
      </c>
      <c r="Q32" s="155">
        <f>M13*Q26</f>
        <v>743021.74366807635</v>
      </c>
    </row>
    <row r="33" spans="2:17" x14ac:dyDescent="0.3">
      <c r="B33" s="150" t="s">
        <v>347</v>
      </c>
      <c r="C33" s="150"/>
      <c r="D33" s="150"/>
      <c r="E33" s="150"/>
      <c r="F33" s="150"/>
      <c r="G33" s="150"/>
      <c r="H33" s="150"/>
      <c r="I33" s="150"/>
      <c r="J33" s="150"/>
      <c r="K33" s="150"/>
      <c r="L33" s="150"/>
      <c r="M33" s="150"/>
      <c r="N33" s="150"/>
      <c r="O33" s="155">
        <f>$G$13</f>
        <v>-13025</v>
      </c>
      <c r="P33" s="155">
        <f>$G$13</f>
        <v>-13025</v>
      </c>
      <c r="Q33" s="155">
        <f>$G$13</f>
        <v>-13025</v>
      </c>
    </row>
    <row r="34" spans="2:17" x14ac:dyDescent="0.3">
      <c r="B34" s="150" t="s">
        <v>346</v>
      </c>
      <c r="C34" s="150"/>
      <c r="D34" s="150"/>
      <c r="E34" s="150"/>
      <c r="F34" s="150"/>
      <c r="G34" s="150"/>
      <c r="H34" s="150"/>
      <c r="I34" s="150"/>
      <c r="J34" s="150"/>
      <c r="K34" s="150"/>
      <c r="L34" s="150"/>
      <c r="M34" s="150"/>
      <c r="N34" s="150"/>
      <c r="O34" s="155">
        <f>O32-O33</f>
        <v>818986.84679422621</v>
      </c>
      <c r="P34" s="155">
        <f>P32-P33</f>
        <v>345768.81728048949</v>
      </c>
      <c r="Q34" s="155">
        <f>Q32</f>
        <v>743021.74366807635</v>
      </c>
    </row>
    <row r="35" spans="2:17" x14ac:dyDescent="0.3">
      <c r="B35" s="150" t="s">
        <v>328</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2018.1037080336755</v>
      </c>
      <c r="P37" s="157">
        <f>P34/P35</f>
        <v>852.02507831178718</v>
      </c>
      <c r="Q37" s="157">
        <f>Q34/Q35</f>
        <v>1830.914552432301</v>
      </c>
    </row>
    <row r="38" spans="2:17" x14ac:dyDescent="0.3">
      <c r="B38" s="52" t="s">
        <v>349</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350</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334</v>
      </c>
      <c r="E67" s="106">
        <f>'Data Sheet'!G17</f>
        <v>146767</v>
      </c>
      <c r="F67" s="106">
        <f>'Data Sheet'!H17</f>
        <v>153670</v>
      </c>
      <c r="G67" s="106">
        <f>'Data Sheet'!I17</f>
        <v>162990</v>
      </c>
      <c r="H67" s="106">
        <f>'Data Sheet'!J17</f>
        <v>178650</v>
      </c>
      <c r="I67" s="106">
        <f>'Data Sheet'!K17</f>
        <v>184582</v>
      </c>
    </row>
    <row r="68" spans="2:9" x14ac:dyDescent="0.3">
      <c r="B68" s="89" t="s">
        <v>352</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334</v>
      </c>
      <c r="E70" s="106">
        <f>E67</f>
        <v>146767</v>
      </c>
      <c r="F70" s="106">
        <f t="shared" ref="F70:I70" si="4">F67</f>
        <v>153670</v>
      </c>
      <c r="G70" s="106">
        <f t="shared" si="4"/>
        <v>162990</v>
      </c>
      <c r="H70" s="106">
        <f t="shared" si="4"/>
        <v>178650</v>
      </c>
      <c r="I70" s="106">
        <f t="shared" si="4"/>
        <v>184582</v>
      </c>
    </row>
    <row r="71" spans="2:9" x14ac:dyDescent="0.3">
      <c r="B71" t="s">
        <v>353</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354</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353</v>
      </c>
      <c r="E74" s="106">
        <f>E71</f>
        <v>112120</v>
      </c>
      <c r="F74" s="106">
        <f t="shared" ref="F74:I74" si="6">F71</f>
        <v>120662.5</v>
      </c>
      <c r="G74" s="106">
        <f t="shared" si="6"/>
        <v>130308</v>
      </c>
      <c r="H74" s="106">
        <f t="shared" si="6"/>
        <v>141907.5</v>
      </c>
      <c r="I74" s="106">
        <f t="shared" si="6"/>
        <v>151041.5</v>
      </c>
    </row>
    <row r="75" spans="2:9" x14ac:dyDescent="0.3">
      <c r="B75" t="s">
        <v>350</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355</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356</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353</v>
      </c>
      <c r="E83" s="106">
        <f>E74</f>
        <v>112120</v>
      </c>
      <c r="F83" s="106">
        <f t="shared" ref="F83:I83" si="10">F74</f>
        <v>120662.5</v>
      </c>
      <c r="G83" s="106">
        <f t="shared" si="10"/>
        <v>130308</v>
      </c>
      <c r="H83" s="106">
        <f t="shared" si="10"/>
        <v>141907.5</v>
      </c>
      <c r="I83" s="106">
        <f t="shared" si="10"/>
        <v>151041.5</v>
      </c>
    </row>
    <row r="84" spans="2:9" x14ac:dyDescent="0.3">
      <c r="B84" s="89" t="s">
        <v>357</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334</v>
      </c>
      <c r="E89" s="106">
        <f>E67</f>
        <v>146767</v>
      </c>
      <c r="F89" s="106">
        <f t="shared" ref="F89:I89" si="13">F67</f>
        <v>153670</v>
      </c>
      <c r="G89" s="106">
        <f t="shared" si="13"/>
        <v>162990</v>
      </c>
      <c r="H89" s="106">
        <f t="shared" si="13"/>
        <v>178650</v>
      </c>
      <c r="I89" s="106">
        <f t="shared" si="13"/>
        <v>184582</v>
      </c>
    </row>
    <row r="90" spans="2:9" x14ac:dyDescent="0.3">
      <c r="B90" s="89" t="s">
        <v>352</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334</v>
      </c>
      <c r="E92" s="106">
        <f>E67</f>
        <v>146767</v>
      </c>
      <c r="F92" s="106">
        <f t="shared" ref="F92:I92" si="15">F67</f>
        <v>153670</v>
      </c>
      <c r="G92" s="106">
        <f t="shared" si="15"/>
        <v>162990</v>
      </c>
      <c r="H92" s="106">
        <f t="shared" si="15"/>
        <v>178650</v>
      </c>
      <c r="I92" s="106">
        <f t="shared" si="15"/>
        <v>184582</v>
      </c>
    </row>
    <row r="93" spans="2:9" x14ac:dyDescent="0.3">
      <c r="B93" t="s">
        <v>353</v>
      </c>
      <c r="E93" s="106">
        <f>E71</f>
        <v>112120</v>
      </c>
      <c r="F93" s="106">
        <f t="shared" ref="F93:I93" si="16">F71</f>
        <v>120662.5</v>
      </c>
      <c r="G93" s="106">
        <f t="shared" si="16"/>
        <v>130308</v>
      </c>
      <c r="H93" s="106">
        <f t="shared" si="16"/>
        <v>141907.5</v>
      </c>
      <c r="I93" s="106">
        <f t="shared" si="16"/>
        <v>151041.5</v>
      </c>
    </row>
    <row r="94" spans="2:9" x14ac:dyDescent="0.3">
      <c r="B94" s="89" t="s">
        <v>354</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359</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8592</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8593</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8594</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791701.25300000003</v>
      </c>
      <c r="F77" s="106">
        <f>'Data Sheet'!H90*'Data Sheet'!H93</f>
        <v>679605.21299999999</v>
      </c>
      <c r="G77" s="106">
        <f>'Data Sheet'!I90*'Data Sheet'!I93</f>
        <v>760920.78300000005</v>
      </c>
      <c r="H77" s="106">
        <f>'Data Sheet'!J90*'Data Sheet'!J93</f>
        <v>775346.2570000001</v>
      </c>
      <c r="I77" s="106">
        <f>'Data Sheet'!K90*'Data Sheet'!K93</f>
        <v>597278.94099999999</v>
      </c>
    </row>
    <row r="78" spans="2:9" x14ac:dyDescent="0.3">
      <c r="B78" t="s">
        <v>8597</v>
      </c>
      <c r="E78" s="106">
        <f>SUM('Data Sheet'!G59:G60)</f>
        <v>41379</v>
      </c>
      <c r="F78" s="106">
        <f>SUM('Data Sheet'!H59:H60)</f>
        <v>49189</v>
      </c>
      <c r="G78" s="106">
        <f>SUM('Data Sheet'!I59:I60)</f>
        <v>47904</v>
      </c>
      <c r="H78" s="106">
        <f>SUM('Data Sheet'!J59:J60)</f>
        <v>51977</v>
      </c>
      <c r="I78" s="106">
        <f>SUM('Data Sheet'!K59:K60)</f>
        <v>61436</v>
      </c>
    </row>
    <row r="79" spans="2:9" x14ac:dyDescent="0.3">
      <c r="B79" s="89" t="s">
        <v>8595</v>
      </c>
      <c r="C79" s="89"/>
      <c r="D79" s="89"/>
      <c r="E79" s="90">
        <f>E77/E78</f>
        <v>19.132923777761668</v>
      </c>
      <c r="F79" s="90">
        <f t="shared" ref="F79:I79" si="5">F77/F78</f>
        <v>13.816203073857976</v>
      </c>
      <c r="G79" s="90">
        <f t="shared" si="5"/>
        <v>15.884284882264531</v>
      </c>
      <c r="H79" s="90">
        <f t="shared" si="5"/>
        <v>14.917102891663623</v>
      </c>
      <c r="I79" s="90">
        <f t="shared" si="5"/>
        <v>9.7219698710853564</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8599</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14.824969251793513</v>
      </c>
      <c r="F89" s="76">
        <f t="shared" ref="F89:I89" si="8">(1.2*F61)+(1.4*F67)+(3.3*F73)+(0.6*F79)+(F85*1)</f>
        <v>11.571536669830854</v>
      </c>
      <c r="G89" s="76">
        <f t="shared" si="8"/>
        <v>12.886612687923636</v>
      </c>
      <c r="H89" s="76">
        <f t="shared" si="8"/>
        <v>12.291694124456546</v>
      </c>
      <c r="I89" s="76">
        <f t="shared" si="8"/>
        <v>9.0746517712460495</v>
      </c>
    </row>
    <row r="90" spans="2:9" x14ac:dyDescent="0.3">
      <c r="B90" t="s">
        <v>8602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246</v>
      </c>
      <c r="C5" s="108">
        <v>572</v>
      </c>
      <c r="D5" s="47">
        <v>1144</v>
      </c>
      <c r="E5" s="47">
        <v>1144</v>
      </c>
      <c r="F5" s="47">
        <v>1088</v>
      </c>
      <c r="G5" s="47">
        <v>2170</v>
      </c>
      <c r="H5" s="47">
        <v>2122</v>
      </c>
      <c r="I5" s="47">
        <v>2124</v>
      </c>
      <c r="J5" s="47">
        <v>2098</v>
      </c>
      <c r="K5" s="47">
        <v>2069</v>
      </c>
      <c r="L5" s="47">
        <v>2071</v>
      </c>
      <c r="M5" s="47">
        <v>2073</v>
      </c>
      <c r="N5" s="47">
        <v>2024</v>
      </c>
      <c r="R5" t="s">
        <v>286</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247</v>
      </c>
      <c r="C7" s="48">
        <v>0</v>
      </c>
      <c r="D7" s="48">
        <v>0</v>
      </c>
      <c r="E7" s="48">
        <v>0</v>
      </c>
      <c r="F7" s="48">
        <v>0</v>
      </c>
      <c r="G7" s="48">
        <v>0</v>
      </c>
      <c r="H7" s="48">
        <v>4633</v>
      </c>
      <c r="I7" s="48">
        <v>5325</v>
      </c>
      <c r="J7" s="48">
        <v>5474</v>
      </c>
      <c r="K7" s="48">
        <v>8299</v>
      </c>
      <c r="L7" s="48">
        <v>8359</v>
      </c>
      <c r="M7" s="48">
        <v>8227</v>
      </c>
      <c r="N7" s="48">
        <v>9176</v>
      </c>
      <c r="O7" s="48"/>
      <c r="R7" t="s">
        <v>287</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248</v>
      </c>
      <c r="C8" s="48">
        <v>61</v>
      </c>
      <c r="D8" s="48">
        <v>27</v>
      </c>
      <c r="E8" s="48">
        <v>18</v>
      </c>
      <c r="F8" s="48">
        <v>12</v>
      </c>
      <c r="G8" s="48">
        <v>8</v>
      </c>
      <c r="H8" s="48">
        <v>6</v>
      </c>
      <c r="I8" s="48">
        <v>6</v>
      </c>
      <c r="J8" s="48">
        <v>5</v>
      </c>
      <c r="K8" s="48">
        <v>3</v>
      </c>
      <c r="L8" s="48">
        <v>2</v>
      </c>
      <c r="M8" s="48">
        <v>0</v>
      </c>
      <c r="N8" s="48">
        <v>60</v>
      </c>
      <c r="R8" t="s">
        <v>288</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249</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250</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8605</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251</v>
      </c>
      <c r="C12" s="48">
        <v>15553</v>
      </c>
      <c r="D12" s="48">
        <v>13354</v>
      </c>
      <c r="E12" s="48">
        <v>14166</v>
      </c>
      <c r="F12" s="48">
        <v>14426</v>
      </c>
      <c r="G12" s="48">
        <v>19118</v>
      </c>
      <c r="H12" s="48">
        <v>21717</v>
      </c>
      <c r="I12" s="48">
        <v>25835</v>
      </c>
      <c r="J12" s="48">
        <v>35905</v>
      </c>
      <c r="K12" s="48">
        <v>40890</v>
      </c>
      <c r="L12" s="48">
        <v>39545</v>
      </c>
      <c r="M12" s="48">
        <v>43750</v>
      </c>
      <c r="N12" s="48">
        <v>52260</v>
      </c>
      <c r="R12" t="s">
        <v>289</v>
      </c>
      <c r="S12" s="75">
        <v>28</v>
      </c>
      <c r="T12" s="75">
        <v>28</v>
      </c>
      <c r="U12" s="75">
        <v>28</v>
      </c>
      <c r="V12" s="75">
        <v>21</v>
      </c>
      <c r="W12" s="75">
        <v>27</v>
      </c>
      <c r="X12" s="75">
        <v>24</v>
      </c>
      <c r="Y12" s="75">
        <v>27</v>
      </c>
      <c r="Z12" s="75">
        <v>26</v>
      </c>
      <c r="AA12" s="75">
        <v>28</v>
      </c>
      <c r="AB12" s="75">
        <v>27</v>
      </c>
      <c r="AC12" s="75">
        <v>29</v>
      </c>
      <c r="AD12" s="75">
        <v>26</v>
      </c>
      <c r="AE12">
        <v>0</v>
      </c>
    </row>
    <row r="13" spans="2:31" x14ac:dyDescent="0.3">
      <c r="B13" t="s">
        <v>252</v>
      </c>
      <c r="C13">
        <v>0</v>
      </c>
      <c r="D13">
        <v>0</v>
      </c>
      <c r="E13">
        <v>0</v>
      </c>
      <c r="F13">
        <v>1</v>
      </c>
      <c r="G13">
        <v>58</v>
      </c>
      <c r="H13">
        <v>394</v>
      </c>
      <c r="I13">
        <v>431</v>
      </c>
      <c r="J13">
        <v>386</v>
      </c>
      <c r="K13">
        <v>388</v>
      </c>
      <c r="L13">
        <v>345</v>
      </c>
      <c r="M13">
        <v>385</v>
      </c>
      <c r="N13">
        <v>445</v>
      </c>
      <c r="O13" s="48"/>
      <c r="R13" t="s">
        <v>290</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253</v>
      </c>
      <c r="C14" s="48">
        <v>140</v>
      </c>
      <c r="D14" s="48">
        <v>386</v>
      </c>
      <c r="E14" s="48">
        <v>367</v>
      </c>
      <c r="F14" s="48">
        <v>694</v>
      </c>
      <c r="G14" s="48">
        <v>1655</v>
      </c>
      <c r="H14" s="48">
        <v>2852</v>
      </c>
      <c r="I14" s="48">
        <v>2645</v>
      </c>
      <c r="J14" s="48">
        <v>4134</v>
      </c>
      <c r="K14" s="48">
        <v>3865</v>
      </c>
      <c r="L14" s="48">
        <v>3956</v>
      </c>
      <c r="M14" s="48">
        <v>4164</v>
      </c>
      <c r="N14" s="48">
        <v>4744</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254</v>
      </c>
      <c r="C15">
        <v>27</v>
      </c>
      <c r="D15">
        <v>28</v>
      </c>
      <c r="E15">
        <v>0</v>
      </c>
      <c r="F15">
        <v>0</v>
      </c>
      <c r="G15">
        <v>0</v>
      </c>
      <c r="H15">
        <v>0</v>
      </c>
      <c r="I15">
        <v>0</v>
      </c>
      <c r="J15" s="48">
        <v>0</v>
      </c>
      <c r="K15" s="48">
        <v>0</v>
      </c>
      <c r="L15">
        <v>0</v>
      </c>
      <c r="M15" s="48">
        <v>0</v>
      </c>
      <c r="N15" s="48">
        <v>0</v>
      </c>
      <c r="O15" s="48"/>
      <c r="S15">
        <v>55</v>
      </c>
      <c r="T15">
        <v>41</v>
      </c>
      <c r="U15">
        <v>41</v>
      </c>
      <c r="V15">
        <v>59</v>
      </c>
      <c r="W15">
        <v>60</v>
      </c>
      <c r="X15">
        <v>45</v>
      </c>
      <c r="Y15">
        <v>59</v>
      </c>
      <c r="Z15">
        <v>59</v>
      </c>
      <c r="AA15">
        <v>58</v>
      </c>
      <c r="AB15">
        <v>73</v>
      </c>
      <c r="AC15">
        <v>67</v>
      </c>
      <c r="AD15">
        <v>66</v>
      </c>
      <c r="AE15">
        <v>0</v>
      </c>
    </row>
    <row r="16" spans="2:31" x14ac:dyDescent="0.3">
      <c r="B16" s="48" t="s">
        <v>255</v>
      </c>
      <c r="C16" s="48">
        <v>15386</v>
      </c>
      <c r="D16" s="48">
        <v>12940</v>
      </c>
      <c r="E16" s="48">
        <v>13799</v>
      </c>
      <c r="F16" s="48">
        <v>13731</v>
      </c>
      <c r="G16" s="48">
        <v>17405</v>
      </c>
      <c r="H16" s="48">
        <v>18471</v>
      </c>
      <c r="I16" s="48">
        <v>22759</v>
      </c>
      <c r="J16" s="48">
        <v>31385</v>
      </c>
      <c r="K16" s="48">
        <v>36637</v>
      </c>
      <c r="L16" s="48">
        <v>35244</v>
      </c>
      <c r="M16" s="48">
        <v>39201</v>
      </c>
      <c r="N16" s="48">
        <v>47071</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15946</v>
      </c>
      <c r="T20" s="48">
        <v>17839</v>
      </c>
      <c r="U20" s="48">
        <v>19340</v>
      </c>
      <c r="V20" s="48">
        <v>19963</v>
      </c>
      <c r="W20" s="48">
        <v>22126</v>
      </c>
      <c r="X20" s="48">
        <v>23920</v>
      </c>
      <c r="Y20" s="48">
        <v>28845</v>
      </c>
      <c r="Z20" s="48">
        <v>32921</v>
      </c>
      <c r="AA20" s="48">
        <v>37605</v>
      </c>
      <c r="AB20" s="48">
        <v>39523</v>
      </c>
      <c r="AC20" s="48">
        <v>41591</v>
      </c>
      <c r="AD20" s="48">
        <v>45273</v>
      </c>
    </row>
    <row r="21" spans="2:30" x14ac:dyDescent="0.3">
      <c r="B21" s="73" t="s">
        <v>256</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-1475</v>
      </c>
      <c r="T21">
        <v>-1654</v>
      </c>
      <c r="U21">
        <v>-1743</v>
      </c>
      <c r="V21">
        <v>-1523</v>
      </c>
      <c r="W21">
        <v>-2881</v>
      </c>
      <c r="X21" s="48">
        <v>-3861</v>
      </c>
      <c r="Y21">
        <v>-1835</v>
      </c>
      <c r="Z21">
        <v>-7937</v>
      </c>
      <c r="AA21">
        <v>-7076</v>
      </c>
      <c r="AB21">
        <v>-2667</v>
      </c>
      <c r="AC21" s="48">
        <v>-1769</v>
      </c>
      <c r="AD21">
        <v>-5177</v>
      </c>
    </row>
    <row r="22" spans="2:30" x14ac:dyDescent="0.3">
      <c r="B22" s="48" t="s">
        <v>257</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258</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0</v>
      </c>
      <c r="T23">
        <v>242</v>
      </c>
      <c r="U23">
        <v>-19</v>
      </c>
      <c r="V23" s="48">
        <v>328</v>
      </c>
      <c r="W23">
        <v>916</v>
      </c>
      <c r="X23">
        <v>-373</v>
      </c>
      <c r="Y23" s="48">
        <v>-245</v>
      </c>
      <c r="Z23" s="48">
        <v>1489</v>
      </c>
      <c r="AA23" s="48">
        <v>-279</v>
      </c>
      <c r="AB23">
        <v>91</v>
      </c>
      <c r="AC23" s="48">
        <v>176</v>
      </c>
      <c r="AD23">
        <v>-26</v>
      </c>
    </row>
    <row r="24" spans="2:30" x14ac:dyDescent="0.3">
      <c r="B24" s="48" t="s">
        <v>259</v>
      </c>
      <c r="C24" s="48">
        <v>1427</v>
      </c>
      <c r="D24" s="48">
        <v>1759</v>
      </c>
      <c r="E24" s="48">
        <v>2048</v>
      </c>
      <c r="F24" s="48">
        <v>2306</v>
      </c>
      <c r="G24" s="48">
        <v>2709</v>
      </c>
      <c r="H24" s="48">
        <v>3185</v>
      </c>
      <c r="I24" s="48">
        <v>3296</v>
      </c>
      <c r="J24" s="48">
        <v>3210</v>
      </c>
      <c r="K24" s="48">
        <v>3302</v>
      </c>
      <c r="L24" s="48">
        <v>3428</v>
      </c>
      <c r="M24" s="48">
        <v>3461</v>
      </c>
      <c r="N24" s="48">
        <v>3714</v>
      </c>
      <c r="R24" t="s">
        <v>132</v>
      </c>
      <c r="S24">
        <v>-842</v>
      </c>
      <c r="T24">
        <v>-1946</v>
      </c>
      <c r="U24">
        <v>-2156</v>
      </c>
      <c r="V24" s="48">
        <v>84</v>
      </c>
      <c r="W24">
        <v>-453</v>
      </c>
      <c r="X24">
        <v>-2367</v>
      </c>
      <c r="Y24">
        <v>768</v>
      </c>
      <c r="Z24">
        <v>-1424</v>
      </c>
      <c r="AA24">
        <v>-6344</v>
      </c>
      <c r="AB24" s="48">
        <v>-5082</v>
      </c>
      <c r="AC24" s="48">
        <v>-295</v>
      </c>
      <c r="AD24" s="48">
        <v>-2639</v>
      </c>
    </row>
    <row r="25" spans="2:30" x14ac:dyDescent="0.3">
      <c r="B25" t="s">
        <v>260</v>
      </c>
      <c r="C25">
        <v>676</v>
      </c>
      <c r="D25">
        <v>839</v>
      </c>
      <c r="E25">
        <v>922</v>
      </c>
      <c r="F25">
        <v>1002</v>
      </c>
      <c r="G25">
        <v>1101</v>
      </c>
      <c r="H25">
        <v>1265</v>
      </c>
      <c r="I25">
        <v>1371</v>
      </c>
      <c r="J25">
        <v>1427</v>
      </c>
      <c r="K25">
        <v>1482</v>
      </c>
      <c r="L25">
        <v>1528</v>
      </c>
      <c r="M25">
        <v>1628</v>
      </c>
      <c r="N25">
        <v>1732</v>
      </c>
      <c r="R25" t="s">
        <v>133</v>
      </c>
      <c r="S25" s="48">
        <v>-6751</v>
      </c>
      <c r="T25" s="48">
        <v>-5865</v>
      </c>
      <c r="U25" s="48">
        <v>-5653</v>
      </c>
      <c r="V25" s="48">
        <v>-6829</v>
      </c>
      <c r="W25" s="48">
        <v>-6832</v>
      </c>
      <c r="X25" s="48">
        <v>-4550</v>
      </c>
      <c r="Y25" s="48">
        <v>-6389</v>
      </c>
      <c r="Z25" s="48">
        <v>-7612</v>
      </c>
      <c r="AA25" s="48">
        <v>-8794</v>
      </c>
      <c r="AB25" s="48">
        <v>-9231</v>
      </c>
      <c r="AC25" s="48">
        <v>-5602</v>
      </c>
      <c r="AD25" s="48">
        <v>-8648</v>
      </c>
    </row>
    <row r="26" spans="2:30" x14ac:dyDescent="0.3">
      <c r="B26" s="48" t="s">
        <v>261</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-2247</v>
      </c>
      <c r="T27" s="48">
        <v>-2723</v>
      </c>
      <c r="U27" s="48">
        <v>-2760</v>
      </c>
      <c r="V27" s="48">
        <v>-1998</v>
      </c>
      <c r="W27" s="48">
        <v>-2445</v>
      </c>
      <c r="X27" s="48">
        <v>-3307</v>
      </c>
      <c r="Y27" s="48">
        <v>-2107</v>
      </c>
      <c r="Z27" s="48">
        <v>-2161</v>
      </c>
      <c r="AA27" s="48">
        <v>-2579</v>
      </c>
      <c r="AB27" s="48">
        <v>-2201</v>
      </c>
      <c r="AC27" s="48">
        <v>-2237</v>
      </c>
      <c r="AD27" s="48">
        <v>-2727</v>
      </c>
    </row>
    <row r="28" spans="2:30" x14ac:dyDescent="0.3">
      <c r="B28" t="s">
        <v>263</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264</v>
      </c>
      <c r="C29">
        <v>3637</v>
      </c>
      <c r="D29">
        <v>3858</v>
      </c>
      <c r="E29">
        <v>3743</v>
      </c>
      <c r="F29">
        <v>2237</v>
      </c>
      <c r="G29">
        <v>3640</v>
      </c>
      <c r="H29">
        <v>5528</v>
      </c>
      <c r="I29" s="48">
        <v>6373</v>
      </c>
      <c r="J29" s="48">
        <v>6495</v>
      </c>
      <c r="K29" s="48">
        <v>7594</v>
      </c>
      <c r="L29" s="48">
        <v>7652</v>
      </c>
      <c r="M29" s="48">
        <v>10626</v>
      </c>
      <c r="N29" s="48">
        <v>12729</v>
      </c>
      <c r="R29" t="s">
        <v>137</v>
      </c>
      <c r="S29" s="48">
        <v>-23923</v>
      </c>
      <c r="T29" s="48">
        <v>-24577</v>
      </c>
      <c r="U29" s="48">
        <v>-66410</v>
      </c>
      <c r="V29" s="48">
        <v>-69159</v>
      </c>
      <c r="W29" s="48">
        <v>-79410</v>
      </c>
      <c r="X29" s="48">
        <v>-37482</v>
      </c>
      <c r="Y29" s="48">
        <v>-46738</v>
      </c>
      <c r="Z29" s="48">
        <v>-59951</v>
      </c>
      <c r="AA29" s="48">
        <v>-75800</v>
      </c>
      <c r="AB29" s="48">
        <v>-78092</v>
      </c>
      <c r="AC29" s="48">
        <v>-82742</v>
      </c>
      <c r="AD29" s="48">
        <v>-82617</v>
      </c>
    </row>
    <row r="30" spans="2:30" x14ac:dyDescent="0.3">
      <c r="B30" t="s">
        <v>265</v>
      </c>
      <c r="C30">
        <v>71</v>
      </c>
      <c r="D30">
        <v>931</v>
      </c>
      <c r="E30">
        <v>899</v>
      </c>
      <c r="F30">
        <v>545</v>
      </c>
      <c r="G30">
        <v>1093</v>
      </c>
      <c r="H30">
        <v>2289</v>
      </c>
      <c r="I30">
        <v>2730</v>
      </c>
      <c r="J30">
        <v>2766</v>
      </c>
      <c r="K30">
        <v>3281</v>
      </c>
      <c r="L30">
        <v>3294</v>
      </c>
      <c r="M30">
        <v>5184</v>
      </c>
      <c r="N30" s="48">
        <v>6296</v>
      </c>
      <c r="O30" s="48"/>
      <c r="R30" t="s">
        <v>138</v>
      </c>
      <c r="S30" s="48">
        <v>25253</v>
      </c>
      <c r="T30" s="48">
        <v>24980</v>
      </c>
      <c r="U30" s="48">
        <v>52048</v>
      </c>
      <c r="V30" s="48">
        <v>74003</v>
      </c>
      <c r="W30" s="48">
        <v>78098</v>
      </c>
      <c r="X30" s="48">
        <v>38861</v>
      </c>
      <c r="Y30" s="48">
        <v>40381</v>
      </c>
      <c r="Z30" s="48">
        <v>57356</v>
      </c>
      <c r="AA30" s="48">
        <v>76722</v>
      </c>
      <c r="AB30" s="48">
        <v>72930</v>
      </c>
      <c r="AC30" s="48">
        <v>84877</v>
      </c>
      <c r="AD30" s="48">
        <v>89699</v>
      </c>
    </row>
    <row r="31" spans="2:30" x14ac:dyDescent="0.3">
      <c r="B31" t="s">
        <v>266</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2551</v>
      </c>
      <c r="T31">
        <v>2383</v>
      </c>
      <c r="U31" s="48">
        <v>0</v>
      </c>
      <c r="V31" s="48">
        <v>0</v>
      </c>
      <c r="W31" s="48">
        <v>0</v>
      </c>
      <c r="X31" s="48">
        <v>0</v>
      </c>
      <c r="Y31" s="48">
        <v>0</v>
      </c>
      <c r="Z31" s="48">
        <v>0</v>
      </c>
      <c r="AA31" s="48">
        <v>0</v>
      </c>
      <c r="AB31" s="48">
        <v>0</v>
      </c>
      <c r="AC31" s="48">
        <v>0</v>
      </c>
      <c r="AD31" s="48">
        <v>0</v>
      </c>
    </row>
    <row r="32" spans="2:30" x14ac:dyDescent="0.3">
      <c r="B32" s="48" t="s">
        <v>267</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0</v>
      </c>
      <c r="T32">
        <v>0</v>
      </c>
      <c r="U32" s="48">
        <v>2753</v>
      </c>
      <c r="V32">
        <v>1768</v>
      </c>
      <c r="W32">
        <v>1557</v>
      </c>
      <c r="X32">
        <v>1929</v>
      </c>
      <c r="Y32" s="48">
        <v>1418</v>
      </c>
      <c r="Z32" s="48">
        <v>1898</v>
      </c>
      <c r="AA32" s="48">
        <v>1525</v>
      </c>
      <c r="AB32" s="48">
        <v>1768</v>
      </c>
      <c r="AC32" s="48">
        <v>2040</v>
      </c>
      <c r="AD32" s="48">
        <v>2713</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741</v>
      </c>
      <c r="T34" s="48">
        <v>-59</v>
      </c>
      <c r="U34" s="48">
        <v>-131</v>
      </c>
      <c r="V34" s="48">
        <v>49</v>
      </c>
      <c r="W34" s="48">
        <v>1592</v>
      </c>
      <c r="X34" s="48">
        <v>-224</v>
      </c>
      <c r="Y34" s="48">
        <v>-327</v>
      </c>
      <c r="Z34" s="48">
        <v>-3627</v>
      </c>
      <c r="AA34" s="48">
        <v>-939</v>
      </c>
      <c r="AB34" s="48">
        <v>502</v>
      </c>
      <c r="AC34" s="48">
        <v>-3802</v>
      </c>
      <c r="AD34" s="48">
        <v>-3522</v>
      </c>
    </row>
    <row r="35" spans="2:58" x14ac:dyDescent="0.3">
      <c r="B35" t="s">
        <v>268</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0</v>
      </c>
      <c r="T37" s="48">
        <v>0</v>
      </c>
      <c r="U37" s="48">
        <v>0</v>
      </c>
      <c r="V37" s="48">
        <v>5</v>
      </c>
      <c r="W37" s="48">
        <v>6</v>
      </c>
      <c r="X37" s="48">
        <v>6</v>
      </c>
      <c r="Y37" s="48">
        <v>15</v>
      </c>
      <c r="Z37" s="48">
        <v>21</v>
      </c>
      <c r="AA37" s="48">
        <v>35</v>
      </c>
      <c r="AB37" s="48">
        <v>5</v>
      </c>
      <c r="AC37" s="48">
        <v>6</v>
      </c>
      <c r="AD37" s="48">
        <v>2</v>
      </c>
    </row>
    <row r="38" spans="2:58" x14ac:dyDescent="0.3">
      <c r="B38" t="s">
        <v>269</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270</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0</v>
      </c>
      <c r="X39">
        <v>0</v>
      </c>
      <c r="Y39">
        <v>0</v>
      </c>
      <c r="Z39">
        <v>0</v>
      </c>
      <c r="AA39">
        <v>0</v>
      </c>
      <c r="AB39">
        <v>0</v>
      </c>
      <c r="AC39">
        <v>-985</v>
      </c>
      <c r="AD39" s="48">
        <v>0</v>
      </c>
    </row>
    <row r="40" spans="2:58" x14ac:dyDescent="0.3">
      <c r="B40" t="s">
        <v>271</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272</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-4935</v>
      </c>
      <c r="T41" s="48">
        <v>-6813</v>
      </c>
      <c r="U41" s="48">
        <v>-6939</v>
      </c>
      <c r="V41" s="48">
        <v>-7464</v>
      </c>
      <c r="W41" s="48">
        <v>-13705</v>
      </c>
      <c r="X41" s="48">
        <v>-9548</v>
      </c>
      <c r="Y41" s="48">
        <v>-9137</v>
      </c>
      <c r="Z41" s="48">
        <v>-12731</v>
      </c>
      <c r="AA41" s="48">
        <v>-13653</v>
      </c>
      <c r="AB41" s="48">
        <v>-14731</v>
      </c>
      <c r="AC41" s="48">
        <v>-20289</v>
      </c>
      <c r="AD41" s="48">
        <v>-18656</v>
      </c>
    </row>
    <row r="42" spans="2:58" x14ac:dyDescent="0.3">
      <c r="B42" t="s">
        <v>273</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6499</v>
      </c>
      <c r="M57">
        <v>2105</v>
      </c>
      <c r="N57">
        <v>361.81</v>
      </c>
      <c r="AR57">
        <v>426682.56</v>
      </c>
      <c r="AS57">
        <f>AZ57-BA57</f>
        <v>-13025</v>
      </c>
      <c r="AT57">
        <f>AR57+AS57</f>
        <v>413657.56</v>
      </c>
      <c r="AU57">
        <v>192844</v>
      </c>
      <c r="AV57">
        <f t="shared" si="0"/>
        <v>10354.381977471839</v>
      </c>
      <c r="AW57">
        <v>31100</v>
      </c>
      <c r="AX57">
        <v>39.950000000000003</v>
      </c>
      <c r="AZ57">
        <v>9176</v>
      </c>
      <c r="BA57">
        <v>22201</v>
      </c>
    </row>
    <row r="58" spans="11:58" x14ac:dyDescent="0.3">
      <c r="K58">
        <v>2</v>
      </c>
      <c r="L58" t="s">
        <v>8617</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8618</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8619</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8620</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8621</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8622</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8623</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8624</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2026-09-19T13:10:40Z</dcterms:modified>
</cp:coreProperties>
</file>