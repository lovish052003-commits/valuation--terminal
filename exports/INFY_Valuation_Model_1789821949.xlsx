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7">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4" fontId="0" fillId="0" borderId="0" pivotButton="0" quotePrefix="0" xfId="0"/>
    <xf numFmtId="175"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Infosys Ltd (INFY)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70">
        <f>DCF!D44</f>
        <v/>
      </c>
      <c r="B5" s="170">
        <f>DCF!D42</f>
        <v/>
      </c>
      <c r="C5" s="171">
        <f>(B5-A5)/A5</f>
        <v/>
      </c>
      <c r="D5">
        <f>IF(C5&gt;0.15,"UNDERVALUED / BUY",IF(C5&lt;-0.15,"OVERVALUED / SELL","FAIRLY VALUED / HOLD"))</f>
        <v/>
      </c>
      <c r="E5" s="46">
        <f>DCF!D20</f>
        <v/>
      </c>
      <c r="F5" s="47">
        <f>'Altman''s Z Score'!I89</f>
        <v/>
      </c>
      <c r="G5" s="46">
        <f>'Dupont Analysis'!I78</f>
        <v/>
      </c>
    </row>
    <row r="6">
      <c r="C6">
        <f>DCF!D42</f>
        <v/>
      </c>
    </row>
    <row r="7">
      <c r="C7">
        <f>DCF!D44</f>
        <v/>
      </c>
    </row>
    <row r="8">
      <c r="C8">
        <f>(C6-C7)/C7</f>
        <v/>
      </c>
    </row>
    <row r="10">
      <c r="C10">
        <f>WACC!K29</f>
        <v/>
      </c>
    </row>
    <row r="11">
      <c r="C11">
        <f>WACC!K26</f>
        <v/>
      </c>
    </row>
    <row r="12">
      <c r="C12">
        <f>WACC!K28</f>
        <v/>
      </c>
    </row>
    <row r="15">
      <c r="A15" t="inlineStr">
        <is>
          <t>Year 1</t>
        </is>
      </c>
      <c r="B15">
        <f>DCF!I8</f>
        <v/>
      </c>
      <c r="C15">
        <f>DCF!I10</f>
        <v/>
      </c>
      <c r="D15">
        <f>DCF!I11</f>
        <v/>
      </c>
      <c r="E15">
        <f>DCF!I12</f>
        <v/>
      </c>
      <c r="F15">
        <f>DCF!I14</f>
        <v/>
      </c>
      <c r="G15">
        <f>DCF!I16</f>
        <v/>
      </c>
    </row>
    <row r="16">
      <c r="A16" t="inlineStr">
        <is>
          <t>Year 2</t>
        </is>
      </c>
      <c r="B16">
        <f>DCF!J8</f>
        <v/>
      </c>
      <c r="C16">
        <f>DCF!J10</f>
        <v/>
      </c>
      <c r="D16">
        <f>DCF!J11</f>
        <v/>
      </c>
      <c r="E16">
        <f>DCF!J12</f>
        <v/>
      </c>
      <c r="F16">
        <f>DCF!J14</f>
        <v/>
      </c>
      <c r="G16">
        <f>DCF!J16</f>
        <v/>
      </c>
    </row>
    <row r="17">
      <c r="A17" t="inlineStr">
        <is>
          <t>Year 3</t>
        </is>
      </c>
      <c r="B17">
        <f>DCF!K8</f>
        <v/>
      </c>
      <c r="C17">
        <f>DCF!K10</f>
        <v/>
      </c>
      <c r="D17">
        <f>DCF!K11</f>
        <v/>
      </c>
      <c r="E17">
        <f>DCF!K12</f>
        <v/>
      </c>
      <c r="F17">
        <f>DCF!K14</f>
        <v/>
      </c>
      <c r="G17">
        <f>DCF!K16</f>
        <v/>
      </c>
    </row>
    <row r="18">
      <c r="A18" t="inlineStr">
        <is>
          <t>Year 4</t>
        </is>
      </c>
      <c r="B18">
        <f>DCF!L8</f>
        <v/>
      </c>
      <c r="C18">
        <f>DCF!L10</f>
        <v/>
      </c>
      <c r="D18">
        <f>DCF!L11</f>
        <v/>
      </c>
      <c r="E18">
        <f>DCF!L12</f>
        <v/>
      </c>
      <c r="F18">
        <f>DCF!L14</f>
        <v/>
      </c>
      <c r="G18">
        <f>DCF!L16</f>
        <v/>
      </c>
    </row>
    <row r="19">
      <c r="A19" t="inlineStr">
        <is>
          <t>Year 5</t>
        </is>
      </c>
      <c r="B19">
        <f>DCF!M8</f>
        <v/>
      </c>
      <c r="C19">
        <f>DCF!M10</f>
        <v/>
      </c>
      <c r="D19">
        <f>DCF!M11</f>
        <v/>
      </c>
      <c r="E19">
        <f>DCF!M12</f>
        <v/>
      </c>
      <c r="F19">
        <f>DCF!M14</f>
        <v/>
      </c>
      <c r="G19">
        <f>DCF!M16</f>
        <v/>
      </c>
    </row>
    <row r="22">
      <c r="B22">
        <f>DCF!D33</f>
        <v/>
      </c>
      <c r="C22">
        <f>Comp_Valuation!O25</f>
        <v/>
      </c>
    </row>
    <row r="23">
      <c r="B23">
        <f>DCF!D29</f>
        <v/>
      </c>
      <c r="C23">
        <f>Comp_Valuation!P25</f>
        <v/>
      </c>
    </row>
    <row r="24">
      <c r="B24">
        <f>DCF!D34</f>
        <v/>
      </c>
    </row>
    <row r="25">
      <c r="B25">
        <f>DCF!D35</f>
        <v/>
      </c>
    </row>
    <row r="26">
      <c r="B26">
        <f>DCF!D37</f>
        <v/>
      </c>
    </row>
    <row r="27">
      <c r="B27">
        <f>DCF!D38</f>
        <v/>
      </c>
    </row>
    <row r="28">
      <c r="B28">
        <f>DCF!D39</f>
        <v/>
      </c>
    </row>
    <row r="29">
      <c r="B29">
        <f>DCF!D40</f>
        <v/>
      </c>
    </row>
    <row r="30">
      <c r="B30">
        <f>DCF!D42</f>
        <v/>
      </c>
    </row>
    <row r="31">
      <c r="B31">
        <f>DCF!D44</f>
        <v/>
      </c>
    </row>
    <row r="32">
      <c r="B32">
        <f>(B30-B31)/B31</f>
        <v/>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2">
        <f>'Data Sheet'!B17</f>
        <v/>
      </c>
      <c r="C4" s="172">
        <f>'Data Sheet'!C17</f>
        <v/>
      </c>
      <c r="D4" s="172">
        <f>'Data Sheet'!D17</f>
        <v/>
      </c>
      <c r="E4" s="172">
        <f>'Data Sheet'!E17</f>
        <v/>
      </c>
      <c r="F4" s="172">
        <f>'Data Sheet'!F17</f>
        <v/>
      </c>
      <c r="G4" s="172">
        <f>'Data Sheet'!G17</f>
        <v/>
      </c>
      <c r="H4" s="172">
        <f>'Data Sheet'!H17</f>
        <v/>
      </c>
      <c r="I4" s="172">
        <f>'Data Sheet'!I17</f>
        <v/>
      </c>
      <c r="J4" s="172">
        <f>'Data Sheet'!J17</f>
        <v/>
      </c>
      <c r="K4" s="172">
        <f>'Data Sheet'!K17</f>
        <v/>
      </c>
      <c r="L4" s="172">
        <f>SUM(Quarters!H4:K4)</f>
        <v/>
      </c>
      <c r="M4" s="172">
        <f>$K4+M23*K4</f>
        <v/>
      </c>
      <c r="N4" s="172">
        <f>$K4+N23*L4</f>
        <v/>
      </c>
    </row>
    <row r="5">
      <c r="A5" t="inlineStr">
        <is>
          <t>Expenses</t>
        </is>
      </c>
      <c r="B5" s="173">
        <f>SUM('Data Sheet'!B18,'Data Sheet'!B20:B24, -1*'Data Sheet'!B19)</f>
        <v/>
      </c>
      <c r="C5" s="173">
        <f>SUM('Data Sheet'!C18,'Data Sheet'!C20:C24, -1*'Data Sheet'!C19)</f>
        <v/>
      </c>
      <c r="D5" s="173">
        <f>SUM('Data Sheet'!D18,'Data Sheet'!D20:D24, -1*'Data Sheet'!D19)</f>
        <v/>
      </c>
      <c r="E5" s="173">
        <f>SUM('Data Sheet'!E18,'Data Sheet'!E20:E24, -1*'Data Sheet'!E19)</f>
        <v/>
      </c>
      <c r="F5" s="173">
        <f>SUM('Data Sheet'!F18,'Data Sheet'!F20:F24, -1*'Data Sheet'!F19)</f>
        <v/>
      </c>
      <c r="G5" s="173">
        <f>SUM('Data Sheet'!G18,'Data Sheet'!G20:G24, -1*'Data Sheet'!G19)</f>
        <v/>
      </c>
      <c r="H5" s="173">
        <f>SUM('Data Sheet'!H18,'Data Sheet'!H20:H24, -1*'Data Sheet'!H19)</f>
        <v/>
      </c>
      <c r="I5" s="173">
        <f>SUM('Data Sheet'!I18,'Data Sheet'!I20:I24, -1*'Data Sheet'!I19)</f>
        <v/>
      </c>
      <c r="J5" s="173">
        <f>SUM('Data Sheet'!J18,'Data Sheet'!J20:J24, -1*'Data Sheet'!J19)</f>
        <v/>
      </c>
      <c r="K5" s="173">
        <f>SUM('Data Sheet'!K18,'Data Sheet'!K20:K24, -1*'Data Sheet'!K19)</f>
        <v/>
      </c>
      <c r="L5" s="173">
        <f>SUM(Quarters!H5:K5)</f>
        <v/>
      </c>
      <c r="M5" s="173">
        <f>M4-M6</f>
        <v/>
      </c>
      <c r="N5" s="173">
        <f>N4-N6</f>
        <v/>
      </c>
    </row>
    <row r="6" customFormat="1" s="37">
      <c r="A6" s="37" t="inlineStr">
        <is>
          <t>Operating Profit</t>
        </is>
      </c>
      <c r="B6" s="172">
        <f>B4-B5</f>
        <v/>
      </c>
      <c r="C6" s="172">
        <f>C4-C5</f>
        <v/>
      </c>
      <c r="D6" s="172">
        <f>D4-D5</f>
        <v/>
      </c>
      <c r="E6" s="172">
        <f>E4-E5</f>
        <v/>
      </c>
      <c r="F6" s="172">
        <f>F4-F5</f>
        <v/>
      </c>
      <c r="G6" s="172">
        <f>G4-G5</f>
        <v/>
      </c>
      <c r="H6" s="172">
        <f>H4-H5</f>
        <v/>
      </c>
      <c r="I6" s="172">
        <f>I4-I5</f>
        <v/>
      </c>
      <c r="J6" s="172">
        <f>J4-J5</f>
        <v/>
      </c>
      <c r="K6" s="172">
        <f>K4-K5</f>
        <v/>
      </c>
      <c r="L6" s="172">
        <f>SUM(Quarters!H6:K6)</f>
        <v/>
      </c>
      <c r="M6" s="172">
        <f>M4*M24</f>
        <v/>
      </c>
      <c r="N6" s="172">
        <f>N4*N24</f>
        <v/>
      </c>
    </row>
    <row r="7">
      <c r="A7" t="inlineStr">
        <is>
          <t>Other Income</t>
        </is>
      </c>
      <c r="B7" s="173">
        <f>'Data Sheet'!B25</f>
        <v/>
      </c>
      <c r="C7" s="173">
        <f>'Data Sheet'!C25</f>
        <v/>
      </c>
      <c r="D7" s="173">
        <f>'Data Sheet'!D25</f>
        <v/>
      </c>
      <c r="E7" s="173">
        <f>'Data Sheet'!E25</f>
        <v/>
      </c>
      <c r="F7" s="173">
        <f>'Data Sheet'!F25</f>
        <v/>
      </c>
      <c r="G7" s="173">
        <f>'Data Sheet'!G25</f>
        <v/>
      </c>
      <c r="H7" s="173">
        <f>'Data Sheet'!H25</f>
        <v/>
      </c>
      <c r="I7" s="173">
        <f>'Data Sheet'!I25</f>
        <v/>
      </c>
      <c r="J7" s="173">
        <f>'Data Sheet'!J25</f>
        <v/>
      </c>
      <c r="K7" s="173">
        <f>'Data Sheet'!K25</f>
        <v/>
      </c>
      <c r="L7" s="173">
        <f>SUM(Quarters!H7:K7)</f>
        <v/>
      </c>
      <c r="M7" s="173" t="n">
        <v>0</v>
      </c>
      <c r="N7" s="173" t="n">
        <v>0</v>
      </c>
    </row>
    <row r="8">
      <c r="A8" t="inlineStr">
        <is>
          <t>Depreciation</t>
        </is>
      </c>
      <c r="B8" s="173">
        <f>'Data Sheet'!B26</f>
        <v/>
      </c>
      <c r="C8" s="173">
        <f>'Data Sheet'!C26</f>
        <v/>
      </c>
      <c r="D8" s="173">
        <f>'Data Sheet'!D26</f>
        <v/>
      </c>
      <c r="E8" s="173">
        <f>'Data Sheet'!E26</f>
        <v/>
      </c>
      <c r="F8" s="173">
        <f>'Data Sheet'!F26</f>
        <v/>
      </c>
      <c r="G8" s="173">
        <f>'Data Sheet'!G26</f>
        <v/>
      </c>
      <c r="H8" s="173">
        <f>'Data Sheet'!H26</f>
        <v/>
      </c>
      <c r="I8" s="173">
        <f>'Data Sheet'!I26</f>
        <v/>
      </c>
      <c r="J8" s="173">
        <f>'Data Sheet'!J26</f>
        <v/>
      </c>
      <c r="K8" s="173">
        <f>'Data Sheet'!K26</f>
        <v/>
      </c>
      <c r="L8" s="173">
        <f>SUM(Quarters!H8:K8)</f>
        <v/>
      </c>
      <c r="M8" s="173">
        <f>+$L8</f>
        <v/>
      </c>
      <c r="N8" s="173">
        <f>+$L8</f>
        <v/>
      </c>
    </row>
    <row r="9">
      <c r="A9" t="inlineStr">
        <is>
          <t>Interest</t>
        </is>
      </c>
      <c r="B9" s="173">
        <f>'Data Sheet'!B27</f>
        <v/>
      </c>
      <c r="C9" s="173">
        <f>'Data Sheet'!C27</f>
        <v/>
      </c>
      <c r="D9" s="173">
        <f>'Data Sheet'!D27</f>
        <v/>
      </c>
      <c r="E9" s="173">
        <f>'Data Sheet'!E27</f>
        <v/>
      </c>
      <c r="F9" s="173">
        <f>'Data Sheet'!F27</f>
        <v/>
      </c>
      <c r="G9" s="173">
        <f>'Data Sheet'!G27</f>
        <v/>
      </c>
      <c r="H9" s="173">
        <f>'Data Sheet'!H27</f>
        <v/>
      </c>
      <c r="I9" s="173">
        <f>'Data Sheet'!I27</f>
        <v/>
      </c>
      <c r="J9" s="173">
        <f>'Data Sheet'!J27</f>
        <v/>
      </c>
      <c r="K9" s="173">
        <f>'Data Sheet'!K27</f>
        <v/>
      </c>
      <c r="L9" s="173">
        <f>SUM(Quarters!H9:K9)</f>
        <v/>
      </c>
      <c r="M9" s="173">
        <f>+$L9</f>
        <v/>
      </c>
      <c r="N9" s="173">
        <f>+$L9</f>
        <v/>
      </c>
    </row>
    <row r="10">
      <c r="A10" t="inlineStr">
        <is>
          <t>Profit before tax</t>
        </is>
      </c>
      <c r="B10" s="173">
        <f>'Data Sheet'!B28</f>
        <v/>
      </c>
      <c r="C10" s="173">
        <f>'Data Sheet'!C28</f>
        <v/>
      </c>
      <c r="D10" s="173">
        <f>'Data Sheet'!D28</f>
        <v/>
      </c>
      <c r="E10" s="173">
        <f>'Data Sheet'!E28</f>
        <v/>
      </c>
      <c r="F10" s="173">
        <f>'Data Sheet'!F28</f>
        <v/>
      </c>
      <c r="G10" s="173">
        <f>'Data Sheet'!G28</f>
        <v/>
      </c>
      <c r="H10" s="173">
        <f>'Data Sheet'!H28</f>
        <v/>
      </c>
      <c r="I10" s="173">
        <f>'Data Sheet'!I28</f>
        <v/>
      </c>
      <c r="J10" s="173">
        <f>'Data Sheet'!J28</f>
        <v/>
      </c>
      <c r="K10" s="173">
        <f>'Data Sheet'!K28</f>
        <v/>
      </c>
      <c r="L10" s="173">
        <f>SUM(Quarters!H10:K10)</f>
        <v/>
      </c>
      <c r="M10" s="173">
        <f>M6+M7-SUM(M8:M9)</f>
        <v/>
      </c>
      <c r="N10" s="173">
        <f>N6+N7-SUM(N8:N9)</f>
        <v/>
      </c>
    </row>
    <row r="11">
      <c r="A11" t="inlineStr">
        <is>
          <t>Tax</t>
        </is>
      </c>
      <c r="B11" s="173">
        <f>'Data Sheet'!B29</f>
        <v/>
      </c>
      <c r="C11" s="173">
        <f>'Data Sheet'!C29</f>
        <v/>
      </c>
      <c r="D11" s="173">
        <f>'Data Sheet'!D29</f>
        <v/>
      </c>
      <c r="E11" s="173">
        <f>'Data Sheet'!E29</f>
        <v/>
      </c>
      <c r="F11" s="173">
        <f>'Data Sheet'!F29</f>
        <v/>
      </c>
      <c r="G11" s="173">
        <f>'Data Sheet'!G29</f>
        <v/>
      </c>
      <c r="H11" s="173">
        <f>'Data Sheet'!H29</f>
        <v/>
      </c>
      <c r="I11" s="173">
        <f>'Data Sheet'!I29</f>
        <v/>
      </c>
      <c r="J11" s="173">
        <f>'Data Sheet'!J29</f>
        <v/>
      </c>
      <c r="K11" s="173">
        <f>'Data Sheet'!K29</f>
        <v/>
      </c>
      <c r="L11" s="173">
        <f>SUM(Quarters!H11:K11)</f>
        <v/>
      </c>
      <c r="M11" s="10">
        <f>IF($L10&gt;0,$L11/$L10,0)</f>
        <v/>
      </c>
      <c r="N11" s="10">
        <f>IF($L10&gt;0,$L11/$L10,0)</f>
        <v/>
      </c>
    </row>
    <row r="12" customFormat="1" s="37">
      <c r="A12" s="37" t="inlineStr">
        <is>
          <t>Net profit</t>
        </is>
      </c>
      <c r="B12" s="172">
        <f>'Data Sheet'!B30</f>
        <v/>
      </c>
      <c r="C12" s="172">
        <f>'Data Sheet'!C30</f>
        <v/>
      </c>
      <c r="D12" s="172">
        <f>'Data Sheet'!D30</f>
        <v/>
      </c>
      <c r="E12" s="172">
        <f>'Data Sheet'!E30</f>
        <v/>
      </c>
      <c r="F12" s="172">
        <f>'Data Sheet'!F30</f>
        <v/>
      </c>
      <c r="G12" s="172">
        <f>'Data Sheet'!G30</f>
        <v/>
      </c>
      <c r="H12" s="172">
        <f>'Data Sheet'!H30</f>
        <v/>
      </c>
      <c r="I12" s="172">
        <f>'Data Sheet'!I30</f>
        <v/>
      </c>
      <c r="J12" s="172">
        <f>'Data Sheet'!J30</f>
        <v/>
      </c>
      <c r="K12" s="172">
        <f>'Data Sheet'!K30</f>
        <v/>
      </c>
      <c r="L12" s="172">
        <f>SUM(Quarters!H12:K12)</f>
        <v/>
      </c>
      <c r="M12" s="172">
        <f>M10-M11*M10</f>
        <v/>
      </c>
      <c r="N12" s="172">
        <f>N10-N11*N10</f>
        <v/>
      </c>
    </row>
    <row r="13">
      <c r="A13" t="inlineStr">
        <is>
          <t>EPS</t>
        </is>
      </c>
      <c r="B13" s="173">
        <f>IF('Data Sheet'!B93&gt;0,B12/'Data Sheet'!B93,0)</f>
        <v/>
      </c>
      <c r="C13" s="173">
        <f>IF('Data Sheet'!C93&gt;0,C12/'Data Sheet'!C93,0)</f>
        <v/>
      </c>
      <c r="D13" s="173">
        <f>IF('Data Sheet'!D93&gt;0,D12/'Data Sheet'!D93,0)</f>
        <v/>
      </c>
      <c r="E13" s="173">
        <f>IF('Data Sheet'!E93&gt;0,E12/'Data Sheet'!E93,0)</f>
        <v/>
      </c>
      <c r="F13" s="173">
        <f>IF('Data Sheet'!F93&gt;0,F12/'Data Sheet'!F93,0)</f>
        <v/>
      </c>
      <c r="G13" s="173">
        <f>IF('Data Sheet'!G93&gt;0,G12/'Data Sheet'!G93,0)</f>
        <v/>
      </c>
      <c r="H13" s="173">
        <f>IF('Data Sheet'!H93&gt;0,H12/'Data Sheet'!H93,0)</f>
        <v/>
      </c>
      <c r="I13" s="173">
        <f>IF('Data Sheet'!I93&gt;0,I12/'Data Sheet'!I93,0)</f>
        <v/>
      </c>
      <c r="J13" s="173">
        <f>IF('Data Sheet'!J93&gt;0,J12/'Data Sheet'!J93,0)</f>
        <v/>
      </c>
      <c r="K13" s="173">
        <f>IF('Data Sheet'!K93&gt;0,K12/'Data Sheet'!K93,0)</f>
        <v/>
      </c>
      <c r="L13" s="173">
        <f>IF('Data Sheet'!$B6&gt;0,'Profit &amp; Loss'!L12/'Data Sheet'!$B6,0)</f>
        <v/>
      </c>
      <c r="M13" s="173">
        <f>IF('Data Sheet'!$B6&gt;0,'Profit &amp; Loss'!M12/'Data Sheet'!$B6,0)</f>
        <v/>
      </c>
      <c r="N13" s="173">
        <f>IF('Data Sheet'!$B6&gt;0,'Profit &amp; Loss'!N12/'Data Sheet'!$B6,0)</f>
        <v/>
      </c>
    </row>
    <row r="14">
      <c r="A14" t="inlineStr">
        <is>
          <t>Price to earning</t>
        </is>
      </c>
      <c r="B14" s="173">
        <f>IF(B15&gt;0,B15/B13,"")</f>
        <v/>
      </c>
      <c r="C14" s="173">
        <f>IF(C15&gt;0,C15/C13,"")</f>
        <v/>
      </c>
      <c r="D14" s="173">
        <f>IF(D15&gt;0,D15/D13,"")</f>
        <v/>
      </c>
      <c r="E14" s="173">
        <f>IF(E15&gt;0,E15/E13,"")</f>
        <v/>
      </c>
      <c r="F14" s="173">
        <f>IF(F15&gt;0,F15/F13,"")</f>
        <v/>
      </c>
      <c r="G14" s="173">
        <f>IF(G15&gt;0,G15/G13,"")</f>
        <v/>
      </c>
      <c r="H14" s="173">
        <f>IF(H15&gt;0,H15/H13,"")</f>
        <v/>
      </c>
      <c r="I14" s="173">
        <f>IF(I15&gt;0,I15/I13,"")</f>
        <v/>
      </c>
      <c r="J14" s="173">
        <f>IF(J15&gt;0,J15/J13,"")</f>
        <v/>
      </c>
      <c r="K14" s="173">
        <f>IF(K15&gt;0,K15/K13,"")</f>
        <v/>
      </c>
      <c r="L14" s="173">
        <f>IF(L13&gt;0,L15/L13,0)</f>
        <v/>
      </c>
      <c r="M14" s="173">
        <f>M25</f>
        <v/>
      </c>
      <c r="N14" s="173">
        <f>N25</f>
        <v/>
      </c>
    </row>
    <row r="15" customFormat="1" s="37">
      <c r="A15" s="37" t="inlineStr">
        <is>
          <t>Price</t>
        </is>
      </c>
      <c r="B15" s="172">
        <f>'Data Sheet'!B90</f>
        <v/>
      </c>
      <c r="C15" s="172">
        <f>'Data Sheet'!C90</f>
        <v/>
      </c>
      <c r="D15" s="172">
        <f>'Data Sheet'!D90</f>
        <v/>
      </c>
      <c r="E15" s="172">
        <f>'Data Sheet'!E90</f>
        <v/>
      </c>
      <c r="F15" s="172">
        <f>'Data Sheet'!F90</f>
        <v/>
      </c>
      <c r="G15" s="172">
        <f>'Data Sheet'!G90</f>
        <v/>
      </c>
      <c r="H15" s="172">
        <f>'Data Sheet'!H90</f>
        <v/>
      </c>
      <c r="I15" s="172">
        <f>'Data Sheet'!I90</f>
        <v/>
      </c>
      <c r="J15" s="172">
        <f>'Data Sheet'!J90</f>
        <v/>
      </c>
      <c r="K15" s="172">
        <f>'Data Sheet'!K90</f>
        <v/>
      </c>
      <c r="L15" s="172">
        <f>'Data Sheet'!B8</f>
        <v/>
      </c>
      <c r="M15" s="174">
        <f>M13*M14</f>
        <v/>
      </c>
      <c r="N15" s="175">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3">
        <f>IF(ISERROR(AVERAGEIF(B14:$L14,"&gt;0")),"",AVERAGEIF(B14:$L14,"&gt;0"))</f>
        <v/>
      </c>
      <c r="I25" s="173">
        <f>IF(ISERROR(AVERAGEIF(E14:$L14,"&gt;0")),"",AVERAGEIF(E14:$L14,"&gt;0"))</f>
        <v/>
      </c>
      <c r="J25" s="173">
        <f>IF(ISERROR(AVERAGEIF(G14:$L14,"&gt;0")),"",AVERAGEIF(G14:$L14,"&gt;0"))</f>
        <v/>
      </c>
      <c r="K25" s="173">
        <f>IF(ISERROR(AVERAGEIF(I14:$L14,"&gt;0")),"",AVERAGEIF(I14:$L14,"&gt;0"))</f>
        <v/>
      </c>
      <c r="L25" s="173">
        <f>L14</f>
        <v/>
      </c>
      <c r="M25" s="172">
        <f>MAX(K25:L25)</f>
        <v/>
      </c>
      <c r="N25" s="172">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2">
        <f>'Data Sheet'!B42</f>
        <v/>
      </c>
      <c r="C4" s="172">
        <f>'Data Sheet'!C42</f>
        <v/>
      </c>
      <c r="D4" s="172">
        <f>'Data Sheet'!D42</f>
        <v/>
      </c>
      <c r="E4" s="172">
        <f>'Data Sheet'!E42</f>
        <v/>
      </c>
      <c r="F4" s="172">
        <f>'Data Sheet'!F42</f>
        <v/>
      </c>
      <c r="G4" s="172">
        <f>'Data Sheet'!G42</f>
        <v/>
      </c>
      <c r="H4" s="172">
        <f>'Data Sheet'!H42</f>
        <v/>
      </c>
      <c r="I4" s="172">
        <f>'Data Sheet'!I42</f>
        <v/>
      </c>
      <c r="J4" s="172">
        <f>'Data Sheet'!J42</f>
        <v/>
      </c>
      <c r="K4" s="172">
        <f>'Data Sheet'!K42</f>
        <v/>
      </c>
    </row>
    <row r="5">
      <c r="A5" t="inlineStr">
        <is>
          <t>Expenses</t>
        </is>
      </c>
      <c r="B5" s="173">
        <f>'Data Sheet'!B43</f>
        <v/>
      </c>
      <c r="C5" s="173">
        <f>'Data Sheet'!C43</f>
        <v/>
      </c>
      <c r="D5" s="173">
        <f>'Data Sheet'!D43</f>
        <v/>
      </c>
      <c r="E5" s="173">
        <f>'Data Sheet'!E43</f>
        <v/>
      </c>
      <c r="F5" s="173">
        <f>'Data Sheet'!F43</f>
        <v/>
      </c>
      <c r="G5" s="173">
        <f>'Data Sheet'!G43</f>
        <v/>
      </c>
      <c r="H5" s="173">
        <f>'Data Sheet'!H43</f>
        <v/>
      </c>
      <c r="I5" s="173">
        <f>'Data Sheet'!I43</f>
        <v/>
      </c>
      <c r="J5" s="173">
        <f>'Data Sheet'!J43</f>
        <v/>
      </c>
      <c r="K5" s="173">
        <f>'Data Sheet'!K43</f>
        <v/>
      </c>
    </row>
    <row r="6" customFormat="1" s="37">
      <c r="A6" s="37" t="inlineStr">
        <is>
          <t>Operating Profit</t>
        </is>
      </c>
      <c r="B6" s="172">
        <f>'Data Sheet'!B50</f>
        <v/>
      </c>
      <c r="C6" s="172">
        <f>'Data Sheet'!C50</f>
        <v/>
      </c>
      <c r="D6" s="172">
        <f>'Data Sheet'!D50</f>
        <v/>
      </c>
      <c r="E6" s="172">
        <f>'Data Sheet'!E50</f>
        <v/>
      </c>
      <c r="F6" s="172">
        <f>'Data Sheet'!F50</f>
        <v/>
      </c>
      <c r="G6" s="172">
        <f>'Data Sheet'!G50</f>
        <v/>
      </c>
      <c r="H6" s="172">
        <f>'Data Sheet'!H50</f>
        <v/>
      </c>
      <c r="I6" s="172">
        <f>'Data Sheet'!I50</f>
        <v/>
      </c>
      <c r="J6" s="172">
        <f>'Data Sheet'!J50</f>
        <v/>
      </c>
      <c r="K6" s="172">
        <f>'Data Sheet'!K50</f>
        <v/>
      </c>
    </row>
    <row r="7">
      <c r="A7" t="inlineStr">
        <is>
          <t>Other Income</t>
        </is>
      </c>
      <c r="B7" s="173">
        <f>'Data Sheet'!B44</f>
        <v/>
      </c>
      <c r="C7" s="173">
        <f>'Data Sheet'!C44</f>
        <v/>
      </c>
      <c r="D7" s="173">
        <f>'Data Sheet'!D44</f>
        <v/>
      </c>
      <c r="E7" s="173">
        <f>'Data Sheet'!E44</f>
        <v/>
      </c>
      <c r="F7" s="173">
        <f>'Data Sheet'!F44</f>
        <v/>
      </c>
      <c r="G7" s="173">
        <f>'Data Sheet'!G44</f>
        <v/>
      </c>
      <c r="H7" s="173">
        <f>'Data Sheet'!H44</f>
        <v/>
      </c>
      <c r="I7" s="173">
        <f>'Data Sheet'!I44</f>
        <v/>
      </c>
      <c r="J7" s="173">
        <f>'Data Sheet'!J44</f>
        <v/>
      </c>
      <c r="K7" s="173">
        <f>'Data Sheet'!K44</f>
        <v/>
      </c>
    </row>
    <row r="8">
      <c r="A8" t="inlineStr">
        <is>
          <t>Depreciation</t>
        </is>
      </c>
      <c r="B8" s="173">
        <f>'Data Sheet'!B45</f>
        <v/>
      </c>
      <c r="C8" s="173">
        <f>'Data Sheet'!C45</f>
        <v/>
      </c>
      <c r="D8" s="173">
        <f>'Data Sheet'!D45</f>
        <v/>
      </c>
      <c r="E8" s="173">
        <f>'Data Sheet'!E45</f>
        <v/>
      </c>
      <c r="F8" s="173">
        <f>'Data Sheet'!F45</f>
        <v/>
      </c>
      <c r="G8" s="173">
        <f>'Data Sheet'!G45</f>
        <v/>
      </c>
      <c r="H8" s="173">
        <f>'Data Sheet'!H45</f>
        <v/>
      </c>
      <c r="I8" s="173">
        <f>'Data Sheet'!I45</f>
        <v/>
      </c>
      <c r="J8" s="173">
        <f>'Data Sheet'!J45</f>
        <v/>
      </c>
      <c r="K8" s="173">
        <f>'Data Sheet'!K45</f>
        <v/>
      </c>
    </row>
    <row r="9">
      <c r="A9" t="inlineStr">
        <is>
          <t>Interest</t>
        </is>
      </c>
      <c r="B9" s="173">
        <f>'Data Sheet'!B46</f>
        <v/>
      </c>
      <c r="C9" s="173">
        <f>'Data Sheet'!C46</f>
        <v/>
      </c>
      <c r="D9" s="173">
        <f>'Data Sheet'!D46</f>
        <v/>
      </c>
      <c r="E9" s="173">
        <f>'Data Sheet'!E46</f>
        <v/>
      </c>
      <c r="F9" s="173">
        <f>'Data Sheet'!F46</f>
        <v/>
      </c>
      <c r="G9" s="173">
        <f>'Data Sheet'!G46</f>
        <v/>
      </c>
      <c r="H9" s="173">
        <f>'Data Sheet'!H46</f>
        <v/>
      </c>
      <c r="I9" s="173">
        <f>'Data Sheet'!I46</f>
        <v/>
      </c>
      <c r="J9" s="173">
        <f>'Data Sheet'!J46</f>
        <v/>
      </c>
      <c r="K9" s="173">
        <f>'Data Sheet'!K46</f>
        <v/>
      </c>
    </row>
    <row r="10">
      <c r="A10" t="inlineStr">
        <is>
          <t>Profit before tax</t>
        </is>
      </c>
      <c r="B10" s="173">
        <f>'Data Sheet'!B47</f>
        <v/>
      </c>
      <c r="C10" s="173">
        <f>'Data Sheet'!C47</f>
        <v/>
      </c>
      <c r="D10" s="173">
        <f>'Data Sheet'!D47</f>
        <v/>
      </c>
      <c r="E10" s="173">
        <f>'Data Sheet'!E47</f>
        <v/>
      </c>
      <c r="F10" s="173">
        <f>'Data Sheet'!F47</f>
        <v/>
      </c>
      <c r="G10" s="173">
        <f>'Data Sheet'!G47</f>
        <v/>
      </c>
      <c r="H10" s="173">
        <f>'Data Sheet'!H47</f>
        <v/>
      </c>
      <c r="I10" s="173">
        <f>'Data Sheet'!I47</f>
        <v/>
      </c>
      <c r="J10" s="173">
        <f>'Data Sheet'!J47</f>
        <v/>
      </c>
      <c r="K10" s="173">
        <f>'Data Sheet'!K47</f>
        <v/>
      </c>
    </row>
    <row r="11">
      <c r="A11" t="inlineStr">
        <is>
          <t>Tax</t>
        </is>
      </c>
      <c r="B11" s="173">
        <f>'Data Sheet'!B48</f>
        <v/>
      </c>
      <c r="C11" s="173">
        <f>'Data Sheet'!C48</f>
        <v/>
      </c>
      <c r="D11" s="173">
        <f>'Data Sheet'!D48</f>
        <v/>
      </c>
      <c r="E11" s="173">
        <f>'Data Sheet'!E48</f>
        <v/>
      </c>
      <c r="F11" s="173">
        <f>'Data Sheet'!F48</f>
        <v/>
      </c>
      <c r="G11" s="173">
        <f>'Data Sheet'!G48</f>
        <v/>
      </c>
      <c r="H11" s="173">
        <f>'Data Sheet'!H48</f>
        <v/>
      </c>
      <c r="I11" s="173">
        <f>'Data Sheet'!I48</f>
        <v/>
      </c>
      <c r="J11" s="173">
        <f>'Data Sheet'!J48</f>
        <v/>
      </c>
      <c r="K11" s="173">
        <f>'Data Sheet'!K48</f>
        <v/>
      </c>
    </row>
    <row r="12" customFormat="1" s="37">
      <c r="A12" s="37" t="inlineStr">
        <is>
          <t>Net profit</t>
        </is>
      </c>
      <c r="B12" s="172">
        <f>'Data Sheet'!B49</f>
        <v/>
      </c>
      <c r="C12" s="172">
        <f>'Data Sheet'!C49</f>
        <v/>
      </c>
      <c r="D12" s="172">
        <f>'Data Sheet'!D49</f>
        <v/>
      </c>
      <c r="E12" s="172">
        <f>'Data Sheet'!E49</f>
        <v/>
      </c>
      <c r="F12" s="172">
        <f>'Data Sheet'!F49</f>
        <v/>
      </c>
      <c r="G12" s="172">
        <f>'Data Sheet'!G49</f>
        <v/>
      </c>
      <c r="H12" s="172">
        <f>'Data Sheet'!H49</f>
        <v/>
      </c>
      <c r="I12" s="172">
        <f>'Data Sheet'!I49</f>
        <v/>
      </c>
      <c r="J12" s="172">
        <f>'Data Sheet'!J49</f>
        <v/>
      </c>
      <c r="K12" s="172">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6">
        <f>'Data Sheet'!B57</f>
        <v/>
      </c>
      <c r="C4" s="176">
        <f>'Data Sheet'!C57</f>
        <v/>
      </c>
      <c r="D4" s="176">
        <f>'Data Sheet'!D57</f>
        <v/>
      </c>
      <c r="E4" s="176">
        <f>'Data Sheet'!E57</f>
        <v/>
      </c>
      <c r="F4" s="176">
        <f>'Data Sheet'!F57</f>
        <v/>
      </c>
      <c r="G4" s="176">
        <f>'Data Sheet'!G57</f>
        <v/>
      </c>
      <c r="H4" s="176">
        <f>'Data Sheet'!H57</f>
        <v/>
      </c>
      <c r="I4" s="176">
        <f>'Data Sheet'!I57</f>
        <v/>
      </c>
      <c r="J4" s="176">
        <f>'Data Sheet'!J57</f>
        <v/>
      </c>
      <c r="K4" s="176">
        <f>'Data Sheet'!K57</f>
        <v/>
      </c>
    </row>
    <row r="5" s="109">
      <c r="A5" t="inlineStr">
        <is>
          <t>Reserves</t>
        </is>
      </c>
      <c r="B5" s="176">
        <f>'Data Sheet'!B58</f>
        <v/>
      </c>
      <c r="C5" s="176">
        <f>'Data Sheet'!C58</f>
        <v/>
      </c>
      <c r="D5" s="176">
        <f>'Data Sheet'!D58</f>
        <v/>
      </c>
      <c r="E5" s="176">
        <f>'Data Sheet'!E58</f>
        <v/>
      </c>
      <c r="F5" s="176">
        <f>'Data Sheet'!F58</f>
        <v/>
      </c>
      <c r="G5" s="176">
        <f>'Data Sheet'!G58</f>
        <v/>
      </c>
      <c r="H5" s="176">
        <f>'Data Sheet'!H58</f>
        <v/>
      </c>
      <c r="I5" s="176">
        <f>'Data Sheet'!I58</f>
        <v/>
      </c>
      <c r="J5" s="176">
        <f>'Data Sheet'!J58</f>
        <v/>
      </c>
      <c r="K5" s="176">
        <f>'Data Sheet'!K58</f>
        <v/>
      </c>
    </row>
    <row r="6">
      <c r="A6" t="inlineStr">
        <is>
          <t>Borrowings</t>
        </is>
      </c>
      <c r="B6" s="176">
        <f>'Data Sheet'!B59</f>
        <v/>
      </c>
      <c r="C6" s="176">
        <f>'Data Sheet'!C59</f>
        <v/>
      </c>
      <c r="D6" s="176">
        <f>'Data Sheet'!D59</f>
        <v/>
      </c>
      <c r="E6" s="176">
        <f>'Data Sheet'!E59</f>
        <v/>
      </c>
      <c r="F6" s="176">
        <f>'Data Sheet'!F59</f>
        <v/>
      </c>
      <c r="G6" s="176">
        <f>'Data Sheet'!G59</f>
        <v/>
      </c>
      <c r="H6" s="176">
        <f>'Data Sheet'!H59</f>
        <v/>
      </c>
      <c r="I6" s="176">
        <f>'Data Sheet'!I59</f>
        <v/>
      </c>
      <c r="J6" s="176">
        <f>'Data Sheet'!J59</f>
        <v/>
      </c>
      <c r="K6" s="176">
        <f>'Data Sheet'!K59</f>
        <v/>
      </c>
    </row>
    <row r="7" s="109">
      <c r="A7" t="inlineStr">
        <is>
          <t>Other Liabilities</t>
        </is>
      </c>
      <c r="B7" s="176">
        <f>'Data Sheet'!B60</f>
        <v/>
      </c>
      <c r="C7" s="176">
        <f>'Data Sheet'!C60</f>
        <v/>
      </c>
      <c r="D7" s="176">
        <f>'Data Sheet'!D60</f>
        <v/>
      </c>
      <c r="E7" s="176">
        <f>'Data Sheet'!E60</f>
        <v/>
      </c>
      <c r="F7" s="176">
        <f>'Data Sheet'!F60</f>
        <v/>
      </c>
      <c r="G7" s="176">
        <f>'Data Sheet'!G60</f>
        <v/>
      </c>
      <c r="H7" s="176">
        <f>'Data Sheet'!H60</f>
        <v/>
      </c>
      <c r="I7" s="176">
        <f>'Data Sheet'!I60</f>
        <v/>
      </c>
      <c r="J7" s="176">
        <f>'Data Sheet'!J60</f>
        <v/>
      </c>
      <c r="K7" s="176">
        <f>'Data Sheet'!K60</f>
        <v/>
      </c>
    </row>
    <row r="8" customFormat="1" s="37">
      <c r="A8" s="37" t="inlineStr">
        <is>
          <t>Total</t>
        </is>
      </c>
      <c r="B8" s="177">
        <f>'Data Sheet'!B61</f>
        <v/>
      </c>
      <c r="C8" s="177">
        <f>'Data Sheet'!C61</f>
        <v/>
      </c>
      <c r="D8" s="177">
        <f>'Data Sheet'!D61</f>
        <v/>
      </c>
      <c r="E8" s="177">
        <f>'Data Sheet'!E61</f>
        <v/>
      </c>
      <c r="F8" s="177">
        <f>'Data Sheet'!F61</f>
        <v/>
      </c>
      <c r="G8" s="177">
        <f>'Data Sheet'!G61</f>
        <v/>
      </c>
      <c r="H8" s="177">
        <f>'Data Sheet'!H61</f>
        <v/>
      </c>
      <c r="I8" s="177">
        <f>'Data Sheet'!I61</f>
        <v/>
      </c>
      <c r="J8" s="177">
        <f>'Data Sheet'!J61</f>
        <v/>
      </c>
      <c r="K8" s="177">
        <f>'Data Sheet'!K61</f>
        <v/>
      </c>
    </row>
    <row r="9" customFormat="1" s="37">
      <c r="B9" s="177" t="n"/>
      <c r="C9" s="177" t="n"/>
      <c r="D9" s="177" t="n"/>
      <c r="E9" s="177" t="n"/>
      <c r="F9" s="177" t="n"/>
      <c r="G9" s="177" t="n"/>
      <c r="H9" s="177" t="n"/>
      <c r="I9" s="177" t="n"/>
      <c r="J9" s="177" t="n"/>
      <c r="K9" s="177" t="n"/>
    </row>
    <row r="10">
      <c r="A10" t="inlineStr">
        <is>
          <t>Net Block</t>
        </is>
      </c>
      <c r="B10" s="176">
        <f>'Data Sheet'!B62</f>
        <v/>
      </c>
      <c r="C10" s="176">
        <f>'Data Sheet'!C62</f>
        <v/>
      </c>
      <c r="D10" s="176">
        <f>'Data Sheet'!D62</f>
        <v/>
      </c>
      <c r="E10" s="176">
        <f>'Data Sheet'!E62</f>
        <v/>
      </c>
      <c r="F10" s="176">
        <f>'Data Sheet'!F62</f>
        <v/>
      </c>
      <c r="G10" s="176">
        <f>'Data Sheet'!G62</f>
        <v/>
      </c>
      <c r="H10" s="176">
        <f>'Data Sheet'!H62</f>
        <v/>
      </c>
      <c r="I10" s="176">
        <f>'Data Sheet'!I62</f>
        <v/>
      </c>
      <c r="J10" s="176">
        <f>'Data Sheet'!J62</f>
        <v/>
      </c>
      <c r="K10" s="176">
        <f>'Data Sheet'!K62</f>
        <v/>
      </c>
    </row>
    <row r="11">
      <c r="A11" t="inlineStr">
        <is>
          <t>Capital Work in Progress</t>
        </is>
      </c>
      <c r="B11" s="176">
        <f>'Data Sheet'!B63</f>
        <v/>
      </c>
      <c r="C11" s="176">
        <f>'Data Sheet'!C63</f>
        <v/>
      </c>
      <c r="D11" s="176">
        <f>'Data Sheet'!D63</f>
        <v/>
      </c>
      <c r="E11" s="176">
        <f>'Data Sheet'!E63</f>
        <v/>
      </c>
      <c r="F11" s="176">
        <f>'Data Sheet'!F63</f>
        <v/>
      </c>
      <c r="G11" s="176">
        <f>'Data Sheet'!G63</f>
        <v/>
      </c>
      <c r="H11" s="176">
        <f>'Data Sheet'!H63</f>
        <v/>
      </c>
      <c r="I11" s="176">
        <f>'Data Sheet'!I63</f>
        <v/>
      </c>
      <c r="J11" s="176">
        <f>'Data Sheet'!J63</f>
        <v/>
      </c>
      <c r="K11" s="176">
        <f>'Data Sheet'!K63</f>
        <v/>
      </c>
    </row>
    <row r="12">
      <c r="A12" t="inlineStr">
        <is>
          <t>Investments</t>
        </is>
      </c>
      <c r="B12" s="176">
        <f>'Data Sheet'!B64</f>
        <v/>
      </c>
      <c r="C12" s="176">
        <f>'Data Sheet'!C64</f>
        <v/>
      </c>
      <c r="D12" s="176">
        <f>'Data Sheet'!D64</f>
        <v/>
      </c>
      <c r="E12" s="176">
        <f>'Data Sheet'!E64</f>
        <v/>
      </c>
      <c r="F12" s="176">
        <f>'Data Sheet'!F64</f>
        <v/>
      </c>
      <c r="G12" s="176">
        <f>'Data Sheet'!G64</f>
        <v/>
      </c>
      <c r="H12" s="176">
        <f>'Data Sheet'!H64</f>
        <v/>
      </c>
      <c r="I12" s="176">
        <f>'Data Sheet'!I64</f>
        <v/>
      </c>
      <c r="J12" s="176">
        <f>'Data Sheet'!J64</f>
        <v/>
      </c>
      <c r="K12" s="176">
        <f>'Data Sheet'!K64</f>
        <v/>
      </c>
    </row>
    <row r="13">
      <c r="A13" t="inlineStr">
        <is>
          <t>Other Assets</t>
        </is>
      </c>
      <c r="B13" s="176">
        <f>'Data Sheet'!B65</f>
        <v/>
      </c>
      <c r="C13" s="176">
        <f>'Data Sheet'!C65</f>
        <v/>
      </c>
      <c r="D13" s="176">
        <f>'Data Sheet'!D65</f>
        <v/>
      </c>
      <c r="E13" s="176">
        <f>'Data Sheet'!E65</f>
        <v/>
      </c>
      <c r="F13" s="176">
        <f>'Data Sheet'!F65</f>
        <v/>
      </c>
      <c r="G13" s="176">
        <f>'Data Sheet'!G65</f>
        <v/>
      </c>
      <c r="H13" s="176">
        <f>'Data Sheet'!H65</f>
        <v/>
      </c>
      <c r="I13" s="176">
        <f>'Data Sheet'!I65</f>
        <v/>
      </c>
      <c r="J13" s="176">
        <f>'Data Sheet'!J65</f>
        <v/>
      </c>
      <c r="K13" s="176">
        <f>'Data Sheet'!K65</f>
        <v/>
      </c>
    </row>
    <row r="14" customFormat="1" s="37">
      <c r="A14" s="37" t="inlineStr">
        <is>
          <t>Total</t>
        </is>
      </c>
      <c r="B14" s="176">
        <f>'Data Sheet'!B66</f>
        <v/>
      </c>
      <c r="C14" s="176">
        <f>'Data Sheet'!C66</f>
        <v/>
      </c>
      <c r="D14" s="176">
        <f>'Data Sheet'!D66</f>
        <v/>
      </c>
      <c r="E14" s="176">
        <f>'Data Sheet'!E66</f>
        <v/>
      </c>
      <c r="F14" s="176">
        <f>'Data Sheet'!F66</f>
        <v/>
      </c>
      <c r="G14" s="176">
        <f>'Data Sheet'!G66</f>
        <v/>
      </c>
      <c r="H14" s="176">
        <f>'Data Sheet'!H66</f>
        <v/>
      </c>
      <c r="I14" s="176">
        <f>'Data Sheet'!I66</f>
        <v/>
      </c>
      <c r="J14" s="176">
        <f>'Data Sheet'!J66</f>
        <v/>
      </c>
      <c r="K14" s="176">
        <f>'Data Sheet'!K66</f>
        <v/>
      </c>
    </row>
    <row r="15">
      <c r="B15" s="178" t="n"/>
      <c r="C15" s="178" t="n"/>
      <c r="D15" s="178" t="n"/>
      <c r="E15" s="178" t="n"/>
      <c r="F15" s="178" t="n"/>
      <c r="G15" s="178" t="n"/>
      <c r="H15" s="178" t="n"/>
      <c r="I15" s="178" t="n"/>
      <c r="J15" s="178" t="n"/>
      <c r="K15" s="178" t="n"/>
    </row>
    <row r="16">
      <c r="A16" t="inlineStr">
        <is>
          <t>Working Capital</t>
        </is>
      </c>
      <c r="B16" s="178">
        <f>B13-B7</f>
        <v/>
      </c>
      <c r="C16" s="178">
        <f>C13-C7</f>
        <v/>
      </c>
      <c r="D16" s="178">
        <f>D13-D7</f>
        <v/>
      </c>
      <c r="E16" s="178">
        <f>E13-E7</f>
        <v/>
      </c>
      <c r="F16" s="178">
        <f>F13-F7</f>
        <v/>
      </c>
      <c r="G16" s="178">
        <f>G13-G7</f>
        <v/>
      </c>
      <c r="H16" s="178">
        <f>H13-H7</f>
        <v/>
      </c>
      <c r="I16" s="178">
        <f>I13-I7</f>
        <v/>
      </c>
      <c r="J16" s="178">
        <f>J13-J7</f>
        <v/>
      </c>
      <c r="K16" s="178">
        <f>K13-K7</f>
        <v/>
      </c>
    </row>
    <row r="17">
      <c r="A17" t="inlineStr">
        <is>
          <t>Debtors</t>
        </is>
      </c>
      <c r="B17" s="178">
        <f>'Data Sheet'!B67</f>
        <v/>
      </c>
      <c r="C17" s="178">
        <f>'Data Sheet'!C67</f>
        <v/>
      </c>
      <c r="D17" s="178">
        <f>'Data Sheet'!D67</f>
        <v/>
      </c>
      <c r="E17" s="178">
        <f>'Data Sheet'!E67</f>
        <v/>
      </c>
      <c r="F17" s="178">
        <f>'Data Sheet'!F67</f>
        <v/>
      </c>
      <c r="G17" s="178">
        <f>'Data Sheet'!G67</f>
        <v/>
      </c>
      <c r="H17" s="178">
        <f>'Data Sheet'!H67</f>
        <v/>
      </c>
      <c r="I17" s="178">
        <f>'Data Sheet'!I67</f>
        <v/>
      </c>
      <c r="J17" s="178">
        <f>'Data Sheet'!J67</f>
        <v/>
      </c>
      <c r="K17" s="178">
        <f>'Data Sheet'!K67</f>
        <v/>
      </c>
    </row>
    <row r="18">
      <c r="A18" t="inlineStr">
        <is>
          <t>Inventory</t>
        </is>
      </c>
      <c r="B18" s="178">
        <f>'Data Sheet'!B68</f>
        <v/>
      </c>
      <c r="C18" s="178">
        <f>'Data Sheet'!C68</f>
        <v/>
      </c>
      <c r="D18" s="178">
        <f>'Data Sheet'!D68</f>
        <v/>
      </c>
      <c r="E18" s="178">
        <f>'Data Sheet'!E68</f>
        <v/>
      </c>
      <c r="F18" s="178">
        <f>'Data Sheet'!F68</f>
        <v/>
      </c>
      <c r="G18" s="178">
        <f>'Data Sheet'!G68</f>
        <v/>
      </c>
      <c r="H18" s="178">
        <f>'Data Sheet'!H68</f>
        <v/>
      </c>
      <c r="I18" s="178">
        <f>'Data Sheet'!I68</f>
        <v/>
      </c>
      <c r="J18" s="178">
        <f>'Data Sheet'!J68</f>
        <v/>
      </c>
      <c r="K18" s="178">
        <f>'Data Sheet'!K68</f>
        <v/>
      </c>
    </row>
    <row r="20">
      <c r="A20" t="inlineStr">
        <is>
          <t>Debtor Days</t>
        </is>
      </c>
      <c r="B20" s="178">
        <f>IF('Profit &amp; Loss'!B4&gt;0,'Balance Sheet'!B17/('Profit &amp; Loss'!B4/365),0)</f>
        <v/>
      </c>
      <c r="C20" s="178">
        <f>IF('Profit &amp; Loss'!C4&gt;0,'Balance Sheet'!C17/('Profit &amp; Loss'!C4/365),0)</f>
        <v/>
      </c>
      <c r="D20" s="178">
        <f>IF('Profit &amp; Loss'!D4&gt;0,'Balance Sheet'!D17/('Profit &amp; Loss'!D4/365),0)</f>
        <v/>
      </c>
      <c r="E20" s="178">
        <f>IF('Profit &amp; Loss'!E4&gt;0,'Balance Sheet'!E17/('Profit &amp; Loss'!E4/365),0)</f>
        <v/>
      </c>
      <c r="F20" s="178">
        <f>IF('Profit &amp; Loss'!F4&gt;0,'Balance Sheet'!F17/('Profit &amp; Loss'!F4/365),0)</f>
        <v/>
      </c>
      <c r="G20" s="178">
        <f>IF('Profit &amp; Loss'!G4&gt;0,'Balance Sheet'!G17/('Profit &amp; Loss'!G4/365),0)</f>
        <v/>
      </c>
      <c r="H20" s="178">
        <f>IF('Profit &amp; Loss'!H4&gt;0,'Balance Sheet'!H17/('Profit &amp; Loss'!H4/365),0)</f>
        <v/>
      </c>
      <c r="I20" s="178">
        <f>IF('Profit &amp; Loss'!I4&gt;0,'Balance Sheet'!I17/('Profit &amp; Loss'!I4/365),0)</f>
        <v/>
      </c>
      <c r="J20" s="178">
        <f>IF('Profit &amp; Loss'!J4&gt;0,'Balance Sheet'!J17/('Profit &amp; Loss'!J4/365),0)</f>
        <v/>
      </c>
      <c r="K20" s="178">
        <f>IF('Profit &amp; Loss'!K4&gt;0,'Balance Sheet'!K17/('Profit &amp; Loss'!K4/365),0)</f>
        <v/>
      </c>
    </row>
    <row r="21">
      <c r="A21" t="inlineStr">
        <is>
          <t>Inventory Turnover</t>
        </is>
      </c>
      <c r="B21" s="178">
        <f>IF('Balance Sheet'!B18&gt;0,'Profit &amp; Loss'!B4/'Balance Sheet'!B18,0)</f>
        <v/>
      </c>
      <c r="C21" s="178">
        <f>IF('Balance Sheet'!C18&gt;0,'Profit &amp; Loss'!C4/'Balance Sheet'!C18,0)</f>
        <v/>
      </c>
      <c r="D21" s="178">
        <f>IF('Balance Sheet'!D18&gt;0,'Profit &amp; Loss'!D4/'Balance Sheet'!D18,0)</f>
        <v/>
      </c>
      <c r="E21" s="178">
        <f>IF('Balance Sheet'!E18&gt;0,'Profit &amp; Loss'!E4/'Balance Sheet'!E18,0)</f>
        <v/>
      </c>
      <c r="F21" s="178">
        <f>IF('Balance Sheet'!F18&gt;0,'Profit &amp; Loss'!F4/'Balance Sheet'!F18,0)</f>
        <v/>
      </c>
      <c r="G21" s="178">
        <f>IF('Balance Sheet'!G18&gt;0,'Profit &amp; Loss'!G4/'Balance Sheet'!G18,0)</f>
        <v/>
      </c>
      <c r="H21" s="178">
        <f>IF('Balance Sheet'!H18&gt;0,'Profit &amp; Loss'!H4/'Balance Sheet'!H18,0)</f>
        <v/>
      </c>
      <c r="I21" s="178">
        <f>IF('Balance Sheet'!I18&gt;0,'Profit &amp; Loss'!I4/'Balance Sheet'!I18,0)</f>
        <v/>
      </c>
      <c r="J21" s="178">
        <f>IF('Balance Sheet'!J18&gt;0,'Profit &amp; Loss'!J4/'Balance Sheet'!J18,0)</f>
        <v/>
      </c>
      <c r="K21" s="178">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2">
        <f>'Data Sheet'!B82</f>
        <v/>
      </c>
      <c r="C4" s="172">
        <f>'Data Sheet'!C82</f>
        <v/>
      </c>
      <c r="D4" s="172">
        <f>'Data Sheet'!D82</f>
        <v/>
      </c>
      <c r="E4" s="172">
        <f>'Data Sheet'!E82</f>
        <v/>
      </c>
      <c r="F4" s="172">
        <f>'Data Sheet'!F82</f>
        <v/>
      </c>
      <c r="G4" s="172">
        <f>'Data Sheet'!G82</f>
        <v/>
      </c>
      <c r="H4" s="172">
        <f>'Data Sheet'!H82</f>
        <v/>
      </c>
      <c r="I4" s="172">
        <f>'Data Sheet'!I82</f>
        <v/>
      </c>
      <c r="J4" s="172">
        <f>'Data Sheet'!J82</f>
        <v/>
      </c>
      <c r="K4" s="172">
        <f>'Data Sheet'!K82</f>
        <v/>
      </c>
    </row>
    <row r="5">
      <c r="A5" t="inlineStr">
        <is>
          <t>Cash from Investing Activity</t>
        </is>
      </c>
      <c r="B5" s="173">
        <f>'Data Sheet'!B83</f>
        <v/>
      </c>
      <c r="C5" s="173">
        <f>'Data Sheet'!C83</f>
        <v/>
      </c>
      <c r="D5" s="173">
        <f>'Data Sheet'!D83</f>
        <v/>
      </c>
      <c r="E5" s="173">
        <f>'Data Sheet'!E83</f>
        <v/>
      </c>
      <c r="F5" s="173">
        <f>'Data Sheet'!F83</f>
        <v/>
      </c>
      <c r="G5" s="173">
        <f>'Data Sheet'!G83</f>
        <v/>
      </c>
      <c r="H5" s="173">
        <f>'Data Sheet'!H83</f>
        <v/>
      </c>
      <c r="I5" s="173">
        <f>'Data Sheet'!I83</f>
        <v/>
      </c>
      <c r="J5" s="173">
        <f>'Data Sheet'!J83</f>
        <v/>
      </c>
      <c r="K5" s="173">
        <f>'Data Sheet'!K83</f>
        <v/>
      </c>
    </row>
    <row r="6">
      <c r="A6" t="inlineStr">
        <is>
          <t>Cash from Financing Activity</t>
        </is>
      </c>
      <c r="B6" s="173">
        <f>'Data Sheet'!B84</f>
        <v/>
      </c>
      <c r="C6" s="173">
        <f>'Data Sheet'!C84</f>
        <v/>
      </c>
      <c r="D6" s="173">
        <f>'Data Sheet'!D84</f>
        <v/>
      </c>
      <c r="E6" s="173">
        <f>'Data Sheet'!E84</f>
        <v/>
      </c>
      <c r="F6" s="173">
        <f>'Data Sheet'!F84</f>
        <v/>
      </c>
      <c r="G6" s="173">
        <f>'Data Sheet'!G84</f>
        <v/>
      </c>
      <c r="H6" s="173">
        <f>'Data Sheet'!H84</f>
        <v/>
      </c>
      <c r="I6" s="173">
        <f>'Data Sheet'!I84</f>
        <v/>
      </c>
      <c r="J6" s="173">
        <f>'Data Sheet'!J84</f>
        <v/>
      </c>
      <c r="K6" s="173">
        <f>'Data Sheet'!K84</f>
        <v/>
      </c>
    </row>
    <row r="7" customFormat="1" s="37">
      <c r="A7" s="37" t="inlineStr">
        <is>
          <t>Net Cash Flow</t>
        </is>
      </c>
      <c r="B7" s="172">
        <f>'Data Sheet'!B85</f>
        <v/>
      </c>
      <c r="C7" s="172">
        <f>'Data Sheet'!C85</f>
        <v/>
      </c>
      <c r="D7" s="172">
        <f>'Data Sheet'!D85</f>
        <v/>
      </c>
      <c r="E7" s="172">
        <f>'Data Sheet'!E85</f>
        <v/>
      </c>
      <c r="F7" s="172">
        <f>'Data Sheet'!F85</f>
        <v/>
      </c>
      <c r="G7" s="172">
        <f>'Data Sheet'!G85</f>
        <v/>
      </c>
      <c r="H7" s="172">
        <f>'Data Sheet'!H85</f>
        <v/>
      </c>
      <c r="I7" s="172">
        <f>'Data Sheet'!I85</f>
        <v/>
      </c>
      <c r="J7" s="172">
        <f>'Data Sheet'!J85</f>
        <v/>
      </c>
      <c r="K7" s="172">
        <f>'Data Sheet'!K85</f>
        <v/>
      </c>
    </row>
    <row r="8">
      <c r="B8" s="173" t="n"/>
      <c r="C8" s="173" t="n"/>
      <c r="D8" s="173" t="n"/>
      <c r="E8" s="173" t="n"/>
      <c r="F8" s="173" t="n"/>
      <c r="G8" s="173" t="n"/>
      <c r="H8" s="173" t="n"/>
      <c r="I8" s="173" t="n"/>
      <c r="J8" s="173" t="n"/>
      <c r="K8" s="173"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9">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80">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0">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0">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0">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0">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0">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0">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0">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0">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0">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0">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0">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0">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0">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0">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9"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80">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0">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0">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0">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9"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80"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0">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0">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0">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0">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0">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0">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8" min="1" max="1"/>
    <col width="13.44140625" bestFit="1" customWidth="1" style="178" min="2" max="11"/>
    <col width="8.77734375" customWidth="1" style="178" min="12" max="16384"/>
  </cols>
  <sheetData>
    <row r="1" customFormat="1" s="172">
      <c r="A1" s="172" t="inlineStr">
        <is>
          <t>COMPANY NAME</t>
        </is>
      </c>
      <c r="B1" s="172" t="inlineStr">
        <is>
          <t>Infosys Ltd</t>
        </is>
      </c>
      <c r="E1" s="181">
        <f>IF(B2&lt;&gt;B3, "A NEW VERSION OF THE WORKSHEET IS AVAILABLE", "")</f>
        <v/>
      </c>
    </row>
    <row r="2">
      <c r="A2" s="172" t="inlineStr">
        <is>
          <t>LATEST VERSION</t>
        </is>
      </c>
      <c r="B2" s="178" t="n">
        <v>2.1</v>
      </c>
      <c r="E2" s="182" t="inlineStr">
        <is>
          <t>PLEASE DO NOT MAKE ANY CHANGES TO THIS SHEET</t>
        </is>
      </c>
    </row>
    <row r="3">
      <c r="A3" s="172" t="inlineStr">
        <is>
          <t>CURRENT VERSION</t>
        </is>
      </c>
      <c r="B3" s="178" t="n">
        <v>2.1</v>
      </c>
    </row>
    <row r="4">
      <c r="A4" s="172" t="n"/>
    </row>
    <row r="5">
      <c r="A5" s="172" t="inlineStr">
        <is>
          <t>META</t>
        </is>
      </c>
    </row>
    <row r="6">
      <c r="A6" s="178" t="inlineStr">
        <is>
          <t>Number of shares</t>
        </is>
      </c>
      <c r="B6" s="178">
        <f>IF(B9&gt;0, B9/B8, 0)</f>
        <v/>
      </c>
    </row>
    <row r="7">
      <c r="A7" s="178" t="inlineStr">
        <is>
          <t>Face Value</t>
        </is>
      </c>
      <c r="B7" t="n">
        <v>5</v>
      </c>
    </row>
    <row r="8">
      <c r="A8" s="178" t="inlineStr">
        <is>
          <t>Current Price</t>
        </is>
      </c>
      <c r="B8" t="n">
        <v>1051</v>
      </c>
    </row>
    <row r="9">
      <c r="A9" s="178" t="inlineStr">
        <is>
          <t>Market Capitalization</t>
        </is>
      </c>
      <c r="B9" t="n">
        <v>425444.8</v>
      </c>
    </row>
    <row r="15">
      <c r="A15" s="172"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3">
      <c r="A17" s="173" t="inlineStr">
        <is>
          <t>Sales</t>
        </is>
      </c>
      <c r="B17" t="n">
        <v>68484</v>
      </c>
      <c r="C17" t="n">
        <v>70522</v>
      </c>
      <c r="D17" t="n">
        <v>82675</v>
      </c>
      <c r="E17" t="n">
        <v>90791</v>
      </c>
      <c r="F17" t="n">
        <v>100472</v>
      </c>
      <c r="G17" t="n">
        <v>121641</v>
      </c>
      <c r="H17" t="n">
        <v>146767</v>
      </c>
      <c r="I17" t="n">
        <v>153670</v>
      </c>
      <c r="J17" t="n">
        <v>162990</v>
      </c>
      <c r="K17" t="n">
        <v>178650</v>
      </c>
    </row>
    <row r="18" customFormat="1" s="173">
      <c r="A18" s="178" t="inlineStr">
        <is>
          <t>Raw Material Cost</t>
        </is>
      </c>
      <c r="B18" t="n">
        <v>0</v>
      </c>
      <c r="C18" t="n">
        <v>0</v>
      </c>
      <c r="D18" t="n">
        <v>0</v>
      </c>
      <c r="E18" t="n">
        <v>0</v>
      </c>
      <c r="F18" t="n">
        <v>0</v>
      </c>
      <c r="G18" t="n">
        <v>0</v>
      </c>
      <c r="H18" t="n">
        <v>0</v>
      </c>
      <c r="I18" t="n">
        <v>0</v>
      </c>
      <c r="J18" t="n">
        <v>0</v>
      </c>
      <c r="K18" t="n">
        <v>0</v>
      </c>
    </row>
    <row r="19" customFormat="1" s="173">
      <c r="A19" s="178" t="inlineStr">
        <is>
          <t>Change in Inventory</t>
        </is>
      </c>
      <c r="B19" t="n">
        <v>0</v>
      </c>
      <c r="C19" t="n">
        <v>0</v>
      </c>
      <c r="D19" t="n">
        <v>0</v>
      </c>
      <c r="E19" t="n">
        <v>0</v>
      </c>
      <c r="F19" t="n">
        <v>0</v>
      </c>
      <c r="G19" t="n">
        <v>0</v>
      </c>
      <c r="H19" t="n">
        <v>0</v>
      </c>
      <c r="I19" t="n">
        <v>0</v>
      </c>
      <c r="J19" t="n">
        <v>0</v>
      </c>
      <c r="K19" t="n">
        <v>0</v>
      </c>
    </row>
    <row r="20" customFormat="1" s="173">
      <c r="A20" s="178" t="inlineStr">
        <is>
          <t>Power and Fuel</t>
        </is>
      </c>
      <c r="B20" t="n">
        <v>0</v>
      </c>
      <c r="C20" t="n">
        <v>0</v>
      </c>
      <c r="D20" t="n">
        <v>0</v>
      </c>
      <c r="E20" t="n">
        <v>0</v>
      </c>
      <c r="F20" t="n">
        <v>0</v>
      </c>
      <c r="G20" t="n">
        <v>0</v>
      </c>
      <c r="H20" t="n">
        <v>0</v>
      </c>
      <c r="I20" t="n">
        <v>0</v>
      </c>
      <c r="J20" t="n">
        <v>0</v>
      </c>
      <c r="K20" t="n">
        <v>0</v>
      </c>
    </row>
    <row r="21" customFormat="1" s="173">
      <c r="A21" s="178" t="inlineStr">
        <is>
          <t>Other Mfr. Exp</t>
        </is>
      </c>
      <c r="B21" t="n">
        <v>0</v>
      </c>
      <c r="C21" t="n">
        <v>0</v>
      </c>
      <c r="D21" t="n">
        <v>0</v>
      </c>
      <c r="E21" t="n">
        <v>0</v>
      </c>
      <c r="F21" t="n">
        <v>0</v>
      </c>
      <c r="G21" t="n">
        <v>0</v>
      </c>
      <c r="H21" t="n">
        <v>0</v>
      </c>
      <c r="I21" t="n">
        <v>0</v>
      </c>
      <c r="J21" t="n">
        <v>0</v>
      </c>
      <c r="K21" t="n">
        <v>0</v>
      </c>
    </row>
    <row r="22" customFormat="1" s="173">
      <c r="A22" s="178" t="inlineStr">
        <is>
          <t>Employee Cost</t>
        </is>
      </c>
      <c r="B22" t="n">
        <v>0</v>
      </c>
      <c r="C22" t="n">
        <v>0</v>
      </c>
      <c r="D22" t="n">
        <v>0</v>
      </c>
      <c r="E22" t="n">
        <v>0</v>
      </c>
      <c r="F22" t="n">
        <v>0</v>
      </c>
      <c r="G22" t="n">
        <v>0</v>
      </c>
      <c r="H22" t="n">
        <v>0</v>
      </c>
      <c r="I22" t="n">
        <v>0</v>
      </c>
      <c r="J22" t="n">
        <v>0</v>
      </c>
      <c r="K22" t="n">
        <v>0</v>
      </c>
    </row>
    <row r="23" customFormat="1" s="173">
      <c r="A23" s="178" t="inlineStr">
        <is>
          <t>Selling and admin</t>
        </is>
      </c>
      <c r="B23" t="n">
        <v>0</v>
      </c>
      <c r="C23" t="n">
        <v>0</v>
      </c>
      <c r="D23" t="n">
        <v>0</v>
      </c>
      <c r="E23" t="n">
        <v>0</v>
      </c>
      <c r="F23" t="n">
        <v>0</v>
      </c>
      <c r="G23" t="n">
        <v>0</v>
      </c>
      <c r="H23" t="n">
        <v>0</v>
      </c>
      <c r="I23" t="n">
        <v>0</v>
      </c>
      <c r="J23" t="n">
        <v>0</v>
      </c>
      <c r="K23" t="n">
        <v>0</v>
      </c>
    </row>
    <row r="24" customFormat="1" s="173">
      <c r="A24" s="178" t="inlineStr">
        <is>
          <t>Other Expenses</t>
        </is>
      </c>
      <c r="B24" t="n">
        <v>49880</v>
      </c>
      <c r="C24" t="n">
        <v>51700</v>
      </c>
      <c r="D24" t="n">
        <v>62505</v>
      </c>
      <c r="E24" t="n">
        <v>68524</v>
      </c>
      <c r="F24" t="n">
        <v>72583</v>
      </c>
      <c r="G24" t="n">
        <v>90150</v>
      </c>
      <c r="H24" t="n">
        <v>111637</v>
      </c>
      <c r="I24" t="n">
        <v>117245</v>
      </c>
      <c r="J24" t="n">
        <v>123754</v>
      </c>
      <c r="K24" t="n">
        <v>136370</v>
      </c>
    </row>
    <row r="25" customFormat="1" s="173">
      <c r="A25" s="173" t="inlineStr">
        <is>
          <t>Other Income</t>
        </is>
      </c>
      <c r="B25" t="n">
        <v>3050</v>
      </c>
      <c r="C25" t="n">
        <v>3311</v>
      </c>
      <c r="D25" t="n">
        <v>2882</v>
      </c>
      <c r="E25" t="n">
        <v>2803</v>
      </c>
      <c r="F25" t="n">
        <v>2201</v>
      </c>
      <c r="G25" t="n">
        <v>2295</v>
      </c>
      <c r="H25" t="n">
        <v>2701</v>
      </c>
      <c r="I25" t="n">
        <v>4711</v>
      </c>
      <c r="J25" t="n">
        <v>3600</v>
      </c>
      <c r="K25" t="n">
        <v>3033</v>
      </c>
    </row>
    <row r="26" customFormat="1" s="173">
      <c r="A26" s="173" t="inlineStr">
        <is>
          <t>Depreciation</t>
        </is>
      </c>
      <c r="B26" t="n">
        <v>1703</v>
      </c>
      <c r="C26" t="n">
        <v>1863</v>
      </c>
      <c r="D26" t="n">
        <v>2011</v>
      </c>
      <c r="E26" t="n">
        <v>2893</v>
      </c>
      <c r="F26" t="n">
        <v>3267</v>
      </c>
      <c r="G26" t="n">
        <v>3476</v>
      </c>
      <c r="H26" t="n">
        <v>4225</v>
      </c>
      <c r="I26" t="n">
        <v>4678</v>
      </c>
      <c r="J26" t="n">
        <v>4812</v>
      </c>
      <c r="K26" t="n">
        <v>4902</v>
      </c>
    </row>
    <row r="27" customFormat="1" s="173">
      <c r="A27" s="173" t="inlineStr">
        <is>
          <t>Interest</t>
        </is>
      </c>
      <c r="B27" t="n">
        <v>0</v>
      </c>
      <c r="C27" t="n">
        <v>0</v>
      </c>
      <c r="D27" t="n">
        <v>0</v>
      </c>
      <c r="E27" t="n">
        <v>170</v>
      </c>
      <c r="F27" t="n">
        <v>195</v>
      </c>
      <c r="G27" t="n">
        <v>200</v>
      </c>
      <c r="H27" t="n">
        <v>284</v>
      </c>
      <c r="I27" t="n">
        <v>470</v>
      </c>
      <c r="J27" t="n">
        <v>416</v>
      </c>
      <c r="K27" t="n">
        <v>416</v>
      </c>
    </row>
    <row r="28" customFormat="1" s="173">
      <c r="A28" s="173" t="inlineStr">
        <is>
          <t>Profit before tax</t>
        </is>
      </c>
      <c r="B28" t="n">
        <v>19951</v>
      </c>
      <c r="C28" t="n">
        <v>20270</v>
      </c>
      <c r="D28" t="n">
        <v>21041</v>
      </c>
      <c r="E28" t="n">
        <v>22007</v>
      </c>
      <c r="F28" t="n">
        <v>26628</v>
      </c>
      <c r="G28" t="n">
        <v>30110</v>
      </c>
      <c r="H28" t="n">
        <v>33322</v>
      </c>
      <c r="I28" t="n">
        <v>35988</v>
      </c>
      <c r="J28" t="n">
        <v>37608</v>
      </c>
      <c r="K28" t="n">
        <v>39995</v>
      </c>
    </row>
    <row r="29" customFormat="1" s="173">
      <c r="A29" s="173" t="inlineStr">
        <is>
          <t>Tax</t>
        </is>
      </c>
      <c r="B29" t="n">
        <v>19951</v>
      </c>
      <c r="C29" t="n">
        <v>20270</v>
      </c>
      <c r="D29" t="n">
        <v>21041</v>
      </c>
      <c r="E29" t="n">
        <v>22007</v>
      </c>
      <c r="F29" t="n">
        <v>26628</v>
      </c>
      <c r="G29" t="n">
        <v>30110</v>
      </c>
      <c r="H29" t="n">
        <v>33322</v>
      </c>
      <c r="I29" t="n">
        <v>35988</v>
      </c>
      <c r="J29" t="n">
        <v>37608</v>
      </c>
      <c r="K29" t="n">
        <v>39995</v>
      </c>
    </row>
    <row r="30" customFormat="1" s="173">
      <c r="A30" s="173" t="inlineStr">
        <is>
          <t>Net profit</t>
        </is>
      </c>
      <c r="B30" t="n">
        <v>14353</v>
      </c>
      <c r="C30" t="n">
        <v>16029</v>
      </c>
      <c r="D30" t="n">
        <v>15410</v>
      </c>
      <c r="E30" t="n">
        <v>16639</v>
      </c>
      <c r="F30" t="n">
        <v>19423</v>
      </c>
      <c r="G30" t="n">
        <v>22146</v>
      </c>
      <c r="H30" t="n">
        <v>24108</v>
      </c>
      <c r="I30" t="n">
        <v>26248</v>
      </c>
      <c r="J30" t="n">
        <v>26750</v>
      </c>
      <c r="K30" t="n">
        <v>29474</v>
      </c>
    </row>
    <row r="31" customFormat="1" s="173">
      <c r="A31" s="173" t="inlineStr">
        <is>
          <t>Dividend Amount</t>
        </is>
      </c>
      <c r="B31" t="n">
        <v>5884.73</v>
      </c>
      <c r="C31" t="n">
        <v>9457.110000000001</v>
      </c>
      <c r="D31" t="n">
        <v>9246</v>
      </c>
      <c r="E31" t="n">
        <v>7487.55</v>
      </c>
      <c r="F31" t="n">
        <v>11459.57</v>
      </c>
      <c r="G31" t="n">
        <v>13066.14</v>
      </c>
      <c r="H31" t="n">
        <v>13982.64</v>
      </c>
      <c r="I31" t="n">
        <v>19161.04</v>
      </c>
      <c r="J31" t="n">
        <v>17922.5</v>
      </c>
      <c r="K31" t="n">
        <v>19452.84</v>
      </c>
    </row>
    <row r="32" customFormat="1" s="173">
      <c r="A32" s="173" t="inlineStr">
        <is>
          <t>EBITDA</t>
        </is>
      </c>
      <c r="B32" s="173">
        <f>SUM(B26:B28)</f>
        <v/>
      </c>
      <c r="C32" s="173">
        <f>SUM(C26:C28)</f>
        <v/>
      </c>
      <c r="D32" s="173">
        <f>SUM(D26:D28)</f>
        <v/>
      </c>
      <c r="E32" s="173">
        <f>SUM(E26:E28)</f>
        <v/>
      </c>
      <c r="F32" s="173">
        <f>SUM(F26:F28)</f>
        <v/>
      </c>
      <c r="G32" s="173">
        <f>SUM(G26:G28)</f>
        <v/>
      </c>
      <c r="H32" s="173">
        <f>SUM(H26:H28)</f>
        <v/>
      </c>
      <c r="I32" s="173">
        <f>SUM(I26:I28)</f>
        <v/>
      </c>
      <c r="J32" s="173">
        <f>SUM(J26:J28)</f>
        <v/>
      </c>
      <c r="K32" s="173">
        <f>SUM(K26:K28)</f>
        <v/>
      </c>
    </row>
    <row r="33">
      <c r="A33" s="173" t="n"/>
      <c r="B33">
        <f>B30+B29+B27+B26</f>
        <v/>
      </c>
      <c r="C33">
        <f>C30+C29+C27+C26</f>
        <v/>
      </c>
      <c r="D33">
        <f>D30+D29+D27+D26</f>
        <v/>
      </c>
      <c r="E33">
        <f>E30+E29+E27+E26</f>
        <v/>
      </c>
      <c r="F33">
        <f>F30+F29+F27+F26</f>
        <v/>
      </c>
      <c r="G33">
        <f>G30+G29+G27+G26</f>
        <v/>
      </c>
      <c r="H33">
        <f>H30+H29+H27+H26</f>
        <v/>
      </c>
      <c r="I33">
        <f>I30+I29+I27+I26</f>
        <v/>
      </c>
      <c r="J33">
        <f>J30+J29+J27+J26</f>
        <v/>
      </c>
      <c r="K33">
        <f>K30+K29+K27+K26</f>
        <v/>
      </c>
    </row>
    <row r="34">
      <c r="A34" s="173" t="n"/>
    </row>
    <row r="35">
      <c r="A35" s="173" t="n"/>
    </row>
    <row r="36">
      <c r="A36" s="173" t="n"/>
    </row>
    <row r="37">
      <c r="A37" s="173" t="n"/>
    </row>
    <row r="38">
      <c r="A38" s="173" t="n"/>
    </row>
    <row r="39">
      <c r="A39" s="173" t="n"/>
    </row>
    <row r="40">
      <c r="A40" s="172"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3">
      <c r="A42" s="173" t="inlineStr">
        <is>
          <t>Sales</t>
        </is>
      </c>
      <c r="B42" t="n">
        <v>37923</v>
      </c>
      <c r="C42" t="n">
        <v>39315</v>
      </c>
      <c r="D42" t="n">
        <v>40986</v>
      </c>
      <c r="E42" t="n">
        <v>41764</v>
      </c>
      <c r="F42" t="n">
        <v>40925</v>
      </c>
      <c r="G42" t="n">
        <v>42279</v>
      </c>
      <c r="H42" t="n">
        <v>44490</v>
      </c>
      <c r="I42" t="n">
        <v>45479</v>
      </c>
      <c r="J42" t="n">
        <v>46402</v>
      </c>
      <c r="K42" t="n">
        <v>48211</v>
      </c>
    </row>
    <row r="43" customFormat="1" s="173">
      <c r="A43" s="173" t="inlineStr">
        <is>
          <t>Expenses</t>
        </is>
      </c>
      <c r="B43" t="n">
        <v>29139</v>
      </c>
      <c r="C43" t="n">
        <v>29878</v>
      </c>
      <c r="D43" t="n">
        <v>31177</v>
      </c>
      <c r="E43" t="n">
        <v>31649</v>
      </c>
      <c r="F43" t="n">
        <v>31051</v>
      </c>
      <c r="G43" t="n">
        <v>32336</v>
      </c>
      <c r="H43" t="n">
        <v>33955</v>
      </c>
      <c r="I43" t="n">
        <v>34845</v>
      </c>
      <c r="J43" t="n">
        <v>35235</v>
      </c>
      <c r="K43" t="n">
        <v>36802</v>
      </c>
    </row>
    <row r="44" customFormat="1" s="173">
      <c r="A44" s="173" t="inlineStr">
        <is>
          <t>Other Income</t>
        </is>
      </c>
      <c r="B44" t="n">
        <v>2729</v>
      </c>
      <c r="C44" t="n">
        <v>838</v>
      </c>
      <c r="D44" t="n">
        <v>712</v>
      </c>
      <c r="E44" t="n">
        <v>859</v>
      </c>
      <c r="F44" t="n">
        <v>1190</v>
      </c>
      <c r="G44" t="n">
        <v>1042</v>
      </c>
      <c r="H44" t="n">
        <v>982</v>
      </c>
      <c r="I44" t="n">
        <v>-150</v>
      </c>
      <c r="J44" t="n">
        <v>1159</v>
      </c>
      <c r="K44" t="n">
        <v>984</v>
      </c>
    </row>
    <row r="45" customFormat="1" s="173">
      <c r="A45" s="173" t="inlineStr">
        <is>
          <t>Depreciation</t>
        </is>
      </c>
      <c r="B45" t="n">
        <v>1163</v>
      </c>
      <c r="C45" t="n">
        <v>1149</v>
      </c>
      <c r="D45" t="n">
        <v>1160</v>
      </c>
      <c r="E45" t="n">
        <v>1203</v>
      </c>
      <c r="F45" t="n">
        <v>1299</v>
      </c>
      <c r="G45" t="n">
        <v>1140</v>
      </c>
      <c r="H45" t="n">
        <v>1182</v>
      </c>
      <c r="I45" t="n">
        <v>1155</v>
      </c>
      <c r="J45" t="n">
        <v>1424</v>
      </c>
      <c r="K45" t="n">
        <v>1246</v>
      </c>
    </row>
    <row r="46" customFormat="1" s="173">
      <c r="A46" s="173" t="inlineStr">
        <is>
          <t>Interest</t>
        </is>
      </c>
      <c r="B46" t="n">
        <v>110</v>
      </c>
      <c r="C46" t="n">
        <v>105</v>
      </c>
      <c r="D46" t="n">
        <v>108</v>
      </c>
      <c r="E46" t="n">
        <v>101</v>
      </c>
      <c r="F46" t="n">
        <v>102</v>
      </c>
      <c r="G46" t="n">
        <v>105</v>
      </c>
      <c r="H46" t="n">
        <v>106</v>
      </c>
      <c r="I46" t="n">
        <v>100</v>
      </c>
      <c r="J46" t="n">
        <v>105</v>
      </c>
      <c r="K46" t="n">
        <v>119</v>
      </c>
    </row>
    <row r="47" customFormat="1" s="173">
      <c r="A47" s="173" t="inlineStr">
        <is>
          <t>Profit before tax</t>
        </is>
      </c>
      <c r="B47" t="n">
        <v>10240</v>
      </c>
      <c r="C47" t="n">
        <v>9021</v>
      </c>
      <c r="D47" t="n">
        <v>9253</v>
      </c>
      <c r="E47" t="n">
        <v>9670</v>
      </c>
      <c r="F47" t="n">
        <v>9663</v>
      </c>
      <c r="G47" t="n">
        <v>9740</v>
      </c>
      <c r="H47" t="n">
        <v>10229</v>
      </c>
      <c r="I47" t="n">
        <v>9229</v>
      </c>
      <c r="J47" t="n">
        <v>10797</v>
      </c>
      <c r="K47" t="n">
        <v>11028</v>
      </c>
    </row>
    <row r="48" customFormat="1" s="173">
      <c r="A48" s="173" t="inlineStr">
        <is>
          <t>Tax</t>
        </is>
      </c>
      <c r="B48" t="n">
        <v>10240</v>
      </c>
      <c r="C48" t="n">
        <v>9021</v>
      </c>
      <c r="D48" t="n">
        <v>9253</v>
      </c>
      <c r="E48" t="n">
        <v>9670</v>
      </c>
      <c r="F48" t="n">
        <v>9663</v>
      </c>
      <c r="G48" t="n">
        <v>9740</v>
      </c>
      <c r="H48" t="n">
        <v>10229</v>
      </c>
      <c r="I48" t="n">
        <v>9229</v>
      </c>
      <c r="J48" t="n">
        <v>10797</v>
      </c>
      <c r="K48" t="n">
        <v>11028</v>
      </c>
    </row>
    <row r="49" customFormat="1" s="173">
      <c r="A49" s="173" t="inlineStr">
        <is>
          <t>Net profit</t>
        </is>
      </c>
      <c r="B49" t="n">
        <v>7975</v>
      </c>
      <c r="C49" t="n">
        <v>6374</v>
      </c>
      <c r="D49" t="n">
        <v>6516</v>
      </c>
      <c r="E49" t="n">
        <v>6822</v>
      </c>
      <c r="F49" t="n">
        <v>7038</v>
      </c>
      <c r="G49" t="n">
        <v>6924</v>
      </c>
      <c r="H49" t="n">
        <v>7375</v>
      </c>
      <c r="I49" t="n">
        <v>6666</v>
      </c>
      <c r="J49" t="n">
        <v>8509</v>
      </c>
      <c r="K49" t="n">
        <v>7775</v>
      </c>
    </row>
    <row r="50">
      <c r="A50" s="173" t="inlineStr">
        <is>
          <t>Operating Profit</t>
        </is>
      </c>
      <c r="B50" t="n">
        <v>8784</v>
      </c>
      <c r="C50" t="n">
        <v>9437</v>
      </c>
      <c r="D50" t="n">
        <v>9809</v>
      </c>
      <c r="E50" t="n">
        <v>10115</v>
      </c>
      <c r="F50" t="n">
        <v>9874</v>
      </c>
      <c r="G50" t="n">
        <v>9943</v>
      </c>
      <c r="H50" t="n">
        <v>10535</v>
      </c>
      <c r="I50" t="n">
        <v>10634</v>
      </c>
      <c r="J50" t="n">
        <v>11167</v>
      </c>
      <c r="K50" t="n">
        <v>11409</v>
      </c>
    </row>
    <row r="51">
      <c r="A51" s="173" t="n"/>
    </row>
    <row r="52">
      <c r="A52" s="173" t="n"/>
    </row>
    <row r="53">
      <c r="A53" s="173" t="n"/>
    </row>
    <row r="54">
      <c r="A54" s="173" t="n"/>
    </row>
    <row r="55">
      <c r="A55" s="172"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3" t="inlineStr">
        <is>
          <t>Equity Share Capital</t>
        </is>
      </c>
      <c r="B57" t="n">
        <v>1144</v>
      </c>
      <c r="C57" t="n">
        <v>1088</v>
      </c>
      <c r="D57" t="n">
        <v>2170</v>
      </c>
      <c r="E57" t="n">
        <v>2122</v>
      </c>
      <c r="F57" t="n">
        <v>2124</v>
      </c>
      <c r="G57" t="n">
        <v>2098</v>
      </c>
      <c r="H57" t="n">
        <v>2069</v>
      </c>
      <c r="I57" t="n">
        <v>2071</v>
      </c>
      <c r="J57" t="n">
        <v>2073</v>
      </c>
      <c r="K57" t="n">
        <v>2024</v>
      </c>
    </row>
    <row r="58">
      <c r="A58" s="173" t="inlineStr">
        <is>
          <t>Reserves</t>
        </is>
      </c>
      <c r="B58" t="n">
        <v>67838</v>
      </c>
      <c r="C58" t="n">
        <v>63835</v>
      </c>
      <c r="D58" t="n">
        <v>62778</v>
      </c>
      <c r="E58" t="n">
        <v>63328</v>
      </c>
      <c r="F58" t="n">
        <v>74227</v>
      </c>
      <c r="G58" t="n">
        <v>73252</v>
      </c>
      <c r="H58" t="n">
        <v>73338</v>
      </c>
      <c r="I58" t="n">
        <v>86045</v>
      </c>
      <c r="J58" t="n">
        <v>93745</v>
      </c>
      <c r="K58" t="n">
        <v>90828</v>
      </c>
    </row>
    <row r="59">
      <c r="A59" s="173" t="inlineStr">
        <is>
          <t>Borrowings</t>
        </is>
      </c>
      <c r="B59" t="n">
        <v>0</v>
      </c>
      <c r="C59" t="n">
        <v>0</v>
      </c>
      <c r="D59" t="n">
        <v>0</v>
      </c>
      <c r="E59" t="n">
        <v>4633</v>
      </c>
      <c r="F59" t="n">
        <v>5325</v>
      </c>
      <c r="G59" t="n">
        <v>5474</v>
      </c>
      <c r="H59" t="n">
        <v>8299</v>
      </c>
      <c r="I59" t="n">
        <v>8359</v>
      </c>
      <c r="J59" t="n">
        <v>8227</v>
      </c>
      <c r="K59" t="n">
        <v>9176</v>
      </c>
    </row>
    <row r="60">
      <c r="A60" s="173" t="inlineStr">
        <is>
          <t>Other Liabilities</t>
        </is>
      </c>
      <c r="B60" t="n">
        <v>14166</v>
      </c>
      <c r="C60" t="n">
        <v>14426</v>
      </c>
      <c r="D60" t="n">
        <v>19118</v>
      </c>
      <c r="E60" t="n">
        <v>21717</v>
      </c>
      <c r="F60" t="n">
        <v>25835</v>
      </c>
      <c r="G60" t="n">
        <v>35905</v>
      </c>
      <c r="H60" t="n">
        <v>40890</v>
      </c>
      <c r="I60" t="n">
        <v>39545</v>
      </c>
      <c r="J60" t="n">
        <v>43750</v>
      </c>
      <c r="K60" t="n">
        <v>52260</v>
      </c>
    </row>
    <row r="61" customFormat="1" s="172">
      <c r="A61" s="172" t="inlineStr">
        <is>
          <t>Total</t>
        </is>
      </c>
      <c r="B61" t="n">
        <v>83148</v>
      </c>
      <c r="C61" t="n">
        <v>79349</v>
      </c>
      <c r="D61" t="n">
        <v>84066</v>
      </c>
      <c r="E61" t="n">
        <v>91800</v>
      </c>
      <c r="F61" t="n">
        <v>107511</v>
      </c>
      <c r="G61" t="n">
        <v>116729</v>
      </c>
      <c r="H61" t="n">
        <v>124596</v>
      </c>
      <c r="I61" t="n">
        <v>136020</v>
      </c>
      <c r="J61" t="n">
        <v>147795</v>
      </c>
      <c r="K61" t="n">
        <v>154288</v>
      </c>
    </row>
    <row r="62">
      <c r="A62" s="173" t="inlineStr">
        <is>
          <t>Net Block</t>
        </is>
      </c>
      <c r="B62" t="n">
        <v>14179</v>
      </c>
      <c r="C62" t="n">
        <v>12574</v>
      </c>
      <c r="D62" t="n">
        <v>15710</v>
      </c>
      <c r="E62" t="n">
        <v>23789</v>
      </c>
      <c r="F62" t="n">
        <v>25505</v>
      </c>
      <c r="G62" t="n">
        <v>25800</v>
      </c>
      <c r="H62" t="n">
        <v>29225</v>
      </c>
      <c r="I62" t="n">
        <v>27622</v>
      </c>
      <c r="J62" t="n">
        <v>30961</v>
      </c>
      <c r="K62" t="n">
        <v>33770</v>
      </c>
    </row>
    <row r="63">
      <c r="A63" s="173" t="inlineStr">
        <is>
          <t>Capital Work in Progress</t>
        </is>
      </c>
      <c r="B63" t="n">
        <v>1365</v>
      </c>
      <c r="C63" t="n">
        <v>1606</v>
      </c>
      <c r="D63" t="n">
        <v>1388</v>
      </c>
      <c r="E63" t="n">
        <v>954</v>
      </c>
      <c r="F63" t="n">
        <v>922</v>
      </c>
      <c r="G63" t="n">
        <v>416</v>
      </c>
      <c r="H63" t="n">
        <v>288</v>
      </c>
      <c r="I63" t="n">
        <v>293</v>
      </c>
      <c r="J63" t="n">
        <v>814</v>
      </c>
      <c r="K63" t="n">
        <v>526</v>
      </c>
    </row>
    <row r="64">
      <c r="A64" s="173" t="inlineStr">
        <is>
          <t>Investments</t>
        </is>
      </c>
      <c r="B64" t="n">
        <v>16423</v>
      </c>
      <c r="C64" t="n">
        <v>12163</v>
      </c>
      <c r="D64" t="n">
        <v>11261</v>
      </c>
      <c r="E64" t="n">
        <v>8792</v>
      </c>
      <c r="F64" t="n">
        <v>14205</v>
      </c>
      <c r="G64" t="n">
        <v>20324</v>
      </c>
      <c r="H64" t="n">
        <v>19478</v>
      </c>
      <c r="I64" t="n">
        <v>24623</v>
      </c>
      <c r="J64" t="n">
        <v>23541</v>
      </c>
      <c r="K64" t="n">
        <v>21880</v>
      </c>
    </row>
    <row r="65">
      <c r="A65" s="173" t="inlineStr">
        <is>
          <t>Other Assets</t>
        </is>
      </c>
      <c r="B65" t="n">
        <v>51181</v>
      </c>
      <c r="C65" t="n">
        <v>53006</v>
      </c>
      <c r="D65" t="n">
        <v>55707</v>
      </c>
      <c r="E65" t="n">
        <v>58265</v>
      </c>
      <c r="F65" t="n">
        <v>66879</v>
      </c>
      <c r="G65" t="n">
        <v>70189</v>
      </c>
      <c r="H65" t="n">
        <v>75605</v>
      </c>
      <c r="I65" t="n">
        <v>83482</v>
      </c>
      <c r="J65" t="n">
        <v>92479</v>
      </c>
      <c r="K65" t="n">
        <v>98112</v>
      </c>
    </row>
    <row r="66" customFormat="1" s="172">
      <c r="A66" s="172" t="inlineStr">
        <is>
          <t>Total</t>
        </is>
      </c>
      <c r="B66" t="n">
        <v>83148</v>
      </c>
      <c r="C66" t="n">
        <v>79349</v>
      </c>
      <c r="D66" t="n">
        <v>84066</v>
      </c>
      <c r="E66" t="n">
        <v>91800</v>
      </c>
      <c r="F66" t="n">
        <v>107511</v>
      </c>
      <c r="G66" t="n">
        <v>116729</v>
      </c>
      <c r="H66" t="n">
        <v>124596</v>
      </c>
      <c r="I66" t="n">
        <v>136020</v>
      </c>
      <c r="J66" t="n">
        <v>147795</v>
      </c>
      <c r="K66" t="n">
        <v>154288</v>
      </c>
    </row>
    <row r="67" customFormat="1" s="173">
      <c r="A67" s="173" t="inlineStr">
        <is>
          <t>Receivables</t>
        </is>
      </c>
      <c r="B67" t="n">
        <v>12322</v>
      </c>
      <c r="C67" t="n">
        <v>13142</v>
      </c>
      <c r="D67" t="n">
        <v>14827</v>
      </c>
      <c r="E67" t="n">
        <v>18487</v>
      </c>
      <c r="F67" t="n">
        <v>19294</v>
      </c>
      <c r="G67" t="n">
        <v>22698</v>
      </c>
      <c r="H67" t="n">
        <v>25424</v>
      </c>
      <c r="I67" t="n">
        <v>30193</v>
      </c>
      <c r="J67" t="n">
        <v>31158</v>
      </c>
      <c r="K67" t="n">
        <v>35234</v>
      </c>
    </row>
    <row r="68">
      <c r="A68" s="173" t="inlineStr">
        <is>
          <t>Inventory</t>
        </is>
      </c>
      <c r="B68" t="n">
        <v>0</v>
      </c>
      <c r="C68" t="n">
        <v>0</v>
      </c>
      <c r="D68" t="n">
        <v>0</v>
      </c>
      <c r="E68" t="n">
        <v>0</v>
      </c>
      <c r="F68" t="n">
        <v>0</v>
      </c>
      <c r="G68" t="n">
        <v>0</v>
      </c>
      <c r="H68" t="n">
        <v>0</v>
      </c>
      <c r="I68" t="n">
        <v>0</v>
      </c>
      <c r="J68" t="n">
        <v>0</v>
      </c>
      <c r="K68" t="n">
        <v>0</v>
      </c>
    </row>
    <row r="69">
      <c r="A69" s="178" t="inlineStr">
        <is>
          <t>Cash &amp; Bank</t>
        </is>
      </c>
      <c r="B69" t="n">
        <v>22625</v>
      </c>
      <c r="C69" t="n">
        <v>19818</v>
      </c>
      <c r="D69" t="n">
        <v>19568</v>
      </c>
      <c r="E69" t="n">
        <v>18649</v>
      </c>
      <c r="F69" t="n">
        <v>24714</v>
      </c>
      <c r="G69" t="n">
        <v>17472</v>
      </c>
      <c r="H69" t="n">
        <v>12173</v>
      </c>
      <c r="I69" t="n">
        <v>14786</v>
      </c>
      <c r="J69" t="n">
        <v>24455</v>
      </c>
      <c r="K69" t="n">
        <v>22201</v>
      </c>
    </row>
    <row r="70">
      <c r="A70" s="178" t="inlineStr">
        <is>
          <t>No. of Equity Shares</t>
        </is>
      </c>
      <c r="B70" t="n">
        <v>2288000000</v>
      </c>
      <c r="C70" t="n">
        <v>2176000000</v>
      </c>
      <c r="D70" t="n">
        <v>4340000000</v>
      </c>
      <c r="E70" t="n">
        <v>4244000000</v>
      </c>
      <c r="F70" t="n">
        <v>4248000000</v>
      </c>
      <c r="G70" t="n">
        <v>4196000000</v>
      </c>
      <c r="H70" t="n">
        <v>4138000000</v>
      </c>
      <c r="I70" t="n">
        <v>4142000000</v>
      </c>
      <c r="J70" t="n">
        <v>4146000000</v>
      </c>
      <c r="K70" t="n">
        <v>4048000000</v>
      </c>
    </row>
    <row r="71">
      <c r="A71" s="178" t="inlineStr">
        <is>
          <t>New Bonus Shares</t>
        </is>
      </c>
      <c r="B71" t="n">
        <v>4026657100</v>
      </c>
    </row>
    <row r="72">
      <c r="A72" s="178" t="inlineStr">
        <is>
          <t>Face value</t>
        </is>
      </c>
      <c r="B72" t="n">
        <v>5</v>
      </c>
      <c r="C72" t="n">
        <v>5</v>
      </c>
      <c r="D72" t="n">
        <v>5</v>
      </c>
      <c r="E72" t="n">
        <v>5</v>
      </c>
      <c r="F72" t="n">
        <v>5</v>
      </c>
      <c r="G72" t="n">
        <v>5</v>
      </c>
      <c r="H72" t="n">
        <v>5</v>
      </c>
      <c r="I72" t="n">
        <v>5</v>
      </c>
      <c r="J72" t="n">
        <v>5</v>
      </c>
      <c r="K72" t="n">
        <v>5</v>
      </c>
    </row>
    <row r="74">
      <c r="A74" s="173" t="n"/>
      <c r="B74" s="178">
        <f>B65-SUM(B67:B69)</f>
        <v/>
      </c>
      <c r="C74" s="178">
        <f>C65-SUM(C67:C69)</f>
        <v/>
      </c>
      <c r="D74" s="178">
        <f>D65-SUM(D67:D69)</f>
        <v/>
      </c>
      <c r="E74" s="178">
        <f>E65-SUM(E67:E69)</f>
        <v/>
      </c>
      <c r="F74" s="178">
        <f>F65-SUM(F67:F69)</f>
        <v/>
      </c>
      <c r="G74" s="178">
        <f>G65-SUM(G67:G69)</f>
        <v/>
      </c>
      <c r="H74" s="178">
        <f>H65-SUM(H67:H69)</f>
        <v/>
      </c>
      <c r="I74" s="178">
        <f>I65-SUM(I67:I69)</f>
        <v/>
      </c>
      <c r="J74" s="178">
        <f>J65-SUM(J67:J69)</f>
        <v/>
      </c>
      <c r="K74" s="178">
        <f>K65-SUM(K67:K69)</f>
        <v/>
      </c>
    </row>
    <row r="75">
      <c r="A75" s="173"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3" t="n"/>
    </row>
    <row r="77">
      <c r="A77" s="173" t="n"/>
    </row>
    <row r="78">
      <c r="A78" s="173" t="n"/>
    </row>
    <row r="79">
      <c r="A79" s="173" t="n"/>
    </row>
    <row r="80">
      <c r="A80" s="172"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2">
      <c r="A82" s="173" t="inlineStr">
        <is>
          <t>Cash from Operating Activity</t>
        </is>
      </c>
      <c r="B82" t="n">
        <v>11531</v>
      </c>
      <c r="C82" t="n">
        <v>13218</v>
      </c>
      <c r="D82" t="n">
        <v>14841</v>
      </c>
      <c r="E82" t="n">
        <v>17003</v>
      </c>
      <c r="F82" t="n">
        <v>23224</v>
      </c>
      <c r="G82" t="n">
        <v>23885</v>
      </c>
      <c r="H82" t="n">
        <v>22467</v>
      </c>
      <c r="I82" t="n">
        <v>25210</v>
      </c>
      <c r="J82" t="n">
        <v>35694</v>
      </c>
      <c r="K82" t="n">
        <v>33986</v>
      </c>
    </row>
    <row r="83" customFormat="1" s="173">
      <c r="A83" s="173" t="inlineStr">
        <is>
          <t>Cash from Investing Activity</t>
        </is>
      </c>
      <c r="B83" t="n">
        <v>-14664</v>
      </c>
      <c r="C83" t="n">
        <v>4533</v>
      </c>
      <c r="D83" t="n">
        <v>-632</v>
      </c>
      <c r="E83" t="n">
        <v>-331</v>
      </c>
      <c r="F83" t="n">
        <v>-7373</v>
      </c>
      <c r="G83" t="n">
        <v>-6485</v>
      </c>
      <c r="H83" t="n">
        <v>-1071</v>
      </c>
      <c r="I83" t="n">
        <v>-5093</v>
      </c>
      <c r="J83" t="n">
        <v>-1864</v>
      </c>
      <c r="K83" t="n">
        <v>3546</v>
      </c>
    </row>
    <row r="84" customFormat="1" s="173">
      <c r="A84" s="173" t="inlineStr">
        <is>
          <t>Cash from Financing Activity</t>
        </is>
      </c>
      <c r="B84" t="n">
        <v>-6939</v>
      </c>
      <c r="C84" t="n">
        <v>-20505</v>
      </c>
      <c r="D84" t="n">
        <v>-14512</v>
      </c>
      <c r="E84" t="n">
        <v>-17591</v>
      </c>
      <c r="F84" t="n">
        <v>-9786</v>
      </c>
      <c r="G84" t="n">
        <v>-24642</v>
      </c>
      <c r="H84" t="n">
        <v>-26695</v>
      </c>
      <c r="I84" t="n">
        <v>-17504</v>
      </c>
      <c r="J84" t="n">
        <v>-24161</v>
      </c>
      <c r="K84" t="n">
        <v>-39786</v>
      </c>
    </row>
    <row r="85" customFormat="1" s="172">
      <c r="A85" s="173" t="inlineStr">
        <is>
          <t>Net Cash Flow</t>
        </is>
      </c>
      <c r="B85" t="n">
        <v>-10072</v>
      </c>
      <c r="C85" t="n">
        <v>-2754</v>
      </c>
      <c r="D85" t="n">
        <v>-303</v>
      </c>
      <c r="E85" t="n">
        <v>-919</v>
      </c>
      <c r="F85" t="n">
        <v>6065</v>
      </c>
      <c r="G85" t="n">
        <v>-7242</v>
      </c>
      <c r="H85" t="n">
        <v>-5299</v>
      </c>
      <c r="I85" t="n">
        <v>2613</v>
      </c>
      <c r="J85" t="n">
        <v>9669</v>
      </c>
      <c r="K85" t="n">
        <v>-2254</v>
      </c>
    </row>
    <row r="86">
      <c r="A86" s="173" t="n"/>
    </row>
    <row r="87">
      <c r="A87" s="173" t="n"/>
    </row>
    <row r="88">
      <c r="A88" s="173" t="n"/>
    </row>
    <row r="89">
      <c r="A89" s="173" t="n"/>
    </row>
    <row r="90" customFormat="1" s="172">
      <c r="A90" s="172" t="inlineStr">
        <is>
          <t>PRICE:</t>
        </is>
      </c>
      <c r="B90" t="n">
        <v>1051</v>
      </c>
      <c r="C90" t="n">
        <v>1051</v>
      </c>
      <c r="D90" t="n">
        <v>1051</v>
      </c>
      <c r="E90" t="n">
        <v>1051</v>
      </c>
      <c r="F90" t="n">
        <v>1051</v>
      </c>
      <c r="G90" t="n">
        <v>1051</v>
      </c>
      <c r="H90" t="n">
        <v>1051</v>
      </c>
      <c r="I90" t="n">
        <v>1051</v>
      </c>
      <c r="J90" t="n">
        <v>1051</v>
      </c>
      <c r="K90" t="n">
        <v>1051</v>
      </c>
    </row>
    <row r="92" customFormat="1" s="172">
      <c r="A92" s="172" t="inlineStr">
        <is>
          <t>DERIVED:</t>
        </is>
      </c>
    </row>
    <row r="93">
      <c r="A93" s="178" t="inlineStr">
        <is>
          <t>Adjusted Equity Shares in Cr</t>
        </is>
      </c>
      <c r="B93" s="183" t="n">
        <v>459.41</v>
      </c>
      <c r="C93" s="183" t="n">
        <v>459.41</v>
      </c>
      <c r="D93" s="183" t="n">
        <v>459.41</v>
      </c>
      <c r="E93" s="183" t="n">
        <v>459.41</v>
      </c>
      <c r="F93" s="183" t="n">
        <v>459.41</v>
      </c>
      <c r="G93" s="183" t="n">
        <v>459.41</v>
      </c>
      <c r="H93" s="183" t="n">
        <v>459.41</v>
      </c>
      <c r="I93" s="183" t="n">
        <v>459.41</v>
      </c>
      <c r="J93" s="183" t="n">
        <v>459.41</v>
      </c>
      <c r="K93" s="183" t="n">
        <v>459.41</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Infosys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8353</v>
      </c>
      <c r="D6" s="73" t="n">
        <v>10028</v>
      </c>
      <c r="E6" s="73" t="n">
        <v>11531</v>
      </c>
      <c r="F6" s="73" t="n">
        <v>13218</v>
      </c>
      <c r="G6" s="73" t="n">
        <v>14841</v>
      </c>
      <c r="H6" s="73" t="n">
        <v>17003</v>
      </c>
      <c r="I6" s="73" t="n">
        <v>23224</v>
      </c>
      <c r="J6" s="73" t="n">
        <v>23885</v>
      </c>
      <c r="K6" s="73" t="n">
        <v>22467</v>
      </c>
      <c r="L6" s="73" t="n">
        <v>25210</v>
      </c>
      <c r="M6" s="73" t="n">
        <v>35694</v>
      </c>
      <c r="N6" s="73" t="n">
        <v>33986</v>
      </c>
    </row>
    <row r="7">
      <c r="B7" t="inlineStr">
        <is>
          <t>Profit from operations</t>
        </is>
      </c>
      <c r="C7" s="73" t="n">
        <v>0</v>
      </c>
      <c r="D7" s="73" t="n">
        <v>0</v>
      </c>
      <c r="E7" s="73" t="n">
        <v>0</v>
      </c>
      <c r="F7" s="73" t="n">
        <v>0</v>
      </c>
      <c r="G7" s="73" t="n">
        <v>0</v>
      </c>
      <c r="H7" s="73" t="n">
        <v>0</v>
      </c>
      <c r="I7" s="73" t="n">
        <v>0</v>
      </c>
      <c r="J7" s="73" t="n">
        <v>0</v>
      </c>
      <c r="K7" s="73" t="n">
        <v>0</v>
      </c>
      <c r="L7" s="73" t="n">
        <v>0</v>
      </c>
      <c r="M7" s="73" t="n">
        <v>0</v>
      </c>
      <c r="N7" s="73" t="n">
        <v>0</v>
      </c>
    </row>
    <row r="8">
      <c r="B8" t="inlineStr">
        <is>
          <t>Receivables</t>
        </is>
      </c>
      <c r="C8" t="n">
        <v>0</v>
      </c>
      <c r="D8" t="n">
        <v>0</v>
      </c>
      <c r="E8" t="n">
        <v>0</v>
      </c>
      <c r="F8" t="n">
        <v>0</v>
      </c>
      <c r="G8" t="n">
        <v>0</v>
      </c>
      <c r="H8" s="73" t="n">
        <v>0</v>
      </c>
      <c r="I8" t="n">
        <v>0</v>
      </c>
      <c r="J8" t="n">
        <v>0</v>
      </c>
      <c r="K8" t="n">
        <v>0</v>
      </c>
      <c r="L8" t="n">
        <v>0</v>
      </c>
      <c r="M8" s="73" t="n">
        <v>0</v>
      </c>
      <c r="N8" t="n">
        <v>0</v>
      </c>
    </row>
    <row r="9">
      <c r="B9" t="inlineStr">
        <is>
          <t>Inventory</t>
        </is>
      </c>
      <c r="C9" t="n">
        <v>0</v>
      </c>
      <c r="D9" t="n">
        <v>0</v>
      </c>
      <c r="E9" t="n">
        <v>0</v>
      </c>
      <c r="F9" t="n">
        <v>0</v>
      </c>
      <c r="G9" t="n">
        <v>0</v>
      </c>
      <c r="H9" t="n">
        <v>0</v>
      </c>
      <c r="I9" s="73" t="n">
        <v>0</v>
      </c>
      <c r="J9" t="n">
        <v>0</v>
      </c>
      <c r="K9" s="73" t="n">
        <v>0</v>
      </c>
      <c r="L9" s="73" t="n">
        <v>0</v>
      </c>
      <c r="M9" s="73" t="n">
        <v>0</v>
      </c>
      <c r="N9" s="73" t="n">
        <v>0</v>
      </c>
    </row>
    <row r="10">
      <c r="B10" t="inlineStr">
        <is>
          <t>Payables</t>
        </is>
      </c>
      <c r="C10" t="n">
        <v>0</v>
      </c>
      <c r="D10" t="n">
        <v>0</v>
      </c>
      <c r="E10" t="n">
        <v>0</v>
      </c>
      <c r="F10" s="73" t="n">
        <v>0</v>
      </c>
      <c r="G10" t="n">
        <v>0</v>
      </c>
      <c r="H10" t="n">
        <v>0</v>
      </c>
      <c r="I10" s="73" t="n">
        <v>0</v>
      </c>
      <c r="J10" s="73" t="n">
        <v>0</v>
      </c>
      <c r="K10" s="73" t="n">
        <v>0</v>
      </c>
      <c r="L10" t="n">
        <v>0</v>
      </c>
      <c r="M10" s="73" t="n">
        <v>0</v>
      </c>
      <c r="N10" t="n">
        <v>0</v>
      </c>
    </row>
    <row r="11">
      <c r="B11" t="inlineStr">
        <is>
          <t>Working capital changes</t>
        </is>
      </c>
      <c r="C11" t="n">
        <v>0</v>
      </c>
      <c r="D11" t="n">
        <v>0</v>
      </c>
      <c r="E11" t="n">
        <v>0</v>
      </c>
      <c r="F11" s="73" t="n">
        <v>0</v>
      </c>
      <c r="G11" t="n">
        <v>0</v>
      </c>
      <c r="H11" t="n">
        <v>0</v>
      </c>
      <c r="I11" t="n">
        <v>0</v>
      </c>
      <c r="J11" t="n">
        <v>0</v>
      </c>
      <c r="K11" t="n">
        <v>0</v>
      </c>
      <c r="L11" s="73" t="n">
        <v>0</v>
      </c>
      <c r="M11" s="73" t="n">
        <v>0</v>
      </c>
      <c r="N11" s="73" t="n">
        <v>0</v>
      </c>
    </row>
    <row r="12">
      <c r="B12" t="inlineStr">
        <is>
          <t>Direct taxes</t>
        </is>
      </c>
      <c r="C12" s="73" t="n">
        <v>0</v>
      </c>
      <c r="D12" s="73" t="n">
        <v>0</v>
      </c>
      <c r="E12" s="73" t="n">
        <v>0</v>
      </c>
      <c r="F12" s="73" t="n">
        <v>0</v>
      </c>
      <c r="G12" s="73" t="n">
        <v>0</v>
      </c>
      <c r="H12" s="73" t="n">
        <v>0</v>
      </c>
      <c r="I12" s="73" t="n">
        <v>0</v>
      </c>
      <c r="J12" s="73" t="n">
        <v>0</v>
      </c>
      <c r="K12" s="73" t="n">
        <v>0</v>
      </c>
      <c r="L12" s="73" t="n">
        <v>0</v>
      </c>
      <c r="M12" s="73" t="n">
        <v>0</v>
      </c>
      <c r="N12" s="73" t="n">
        <v>0</v>
      </c>
    </row>
    <row r="13">
      <c r="B13" t="inlineStr">
        <is>
          <t>Cash from Investing Activity -</t>
        </is>
      </c>
      <c r="C13" s="73" t="n">
        <v>999</v>
      </c>
      <c r="D13" s="73" t="n">
        <v>-885</v>
      </c>
      <c r="E13" s="73" t="n">
        <v>-14664</v>
      </c>
      <c r="F13" s="73" t="n">
        <v>4533</v>
      </c>
      <c r="G13" s="73" t="n">
        <v>-632</v>
      </c>
      <c r="H13" s="73" t="n">
        <v>-331</v>
      </c>
      <c r="I13" s="73" t="n">
        <v>-7373</v>
      </c>
      <c r="J13" s="73" t="n">
        <v>-6485</v>
      </c>
      <c r="K13" s="73" t="n">
        <v>-1071</v>
      </c>
      <c r="L13" s="73" t="n">
        <v>-5093</v>
      </c>
      <c r="M13" t="n">
        <v>-1864</v>
      </c>
      <c r="N13" s="73" t="n">
        <v>3546</v>
      </c>
    </row>
    <row r="14">
      <c r="B14" t="inlineStr">
        <is>
          <t>Fixed assets purchased</t>
        </is>
      </c>
      <c r="C14" s="73" t="n">
        <v>0</v>
      </c>
      <c r="D14" s="73" t="n">
        <v>0</v>
      </c>
      <c r="E14" s="73" t="n">
        <v>0</v>
      </c>
      <c r="F14" s="73" t="n">
        <v>0</v>
      </c>
      <c r="G14" s="73" t="n">
        <v>0</v>
      </c>
      <c r="H14" s="73" t="n">
        <v>0</v>
      </c>
      <c r="I14" s="73" t="n">
        <v>0</v>
      </c>
      <c r="J14" s="73" t="n">
        <v>0</v>
      </c>
      <c r="K14" s="73" t="n">
        <v>0</v>
      </c>
      <c r="L14" s="73" t="n">
        <v>0</v>
      </c>
      <c r="M14" s="73" t="n">
        <v>0</v>
      </c>
      <c r="N14" s="73" t="n">
        <v>0</v>
      </c>
    </row>
    <row r="15">
      <c r="B15" t="inlineStr">
        <is>
          <t>Fixed assets sold</t>
        </is>
      </c>
      <c r="C15" t="n">
        <v>0</v>
      </c>
      <c r="D15" t="n">
        <v>0</v>
      </c>
      <c r="E15" t="n">
        <v>0</v>
      </c>
      <c r="F15" t="n">
        <v>0</v>
      </c>
      <c r="G15" t="n">
        <v>0</v>
      </c>
      <c r="H15" t="n">
        <v>0</v>
      </c>
      <c r="I15" t="n">
        <v>0</v>
      </c>
      <c r="J15" t="n">
        <v>0</v>
      </c>
      <c r="K15" t="n">
        <v>0</v>
      </c>
      <c r="L15" t="n">
        <v>0</v>
      </c>
      <c r="M15" t="n">
        <v>0</v>
      </c>
      <c r="N15" t="n">
        <v>0</v>
      </c>
    </row>
    <row r="16">
      <c r="B16" t="inlineStr">
        <is>
          <t>Investments purchased</t>
        </is>
      </c>
      <c r="C16" s="73" t="n">
        <v>0</v>
      </c>
      <c r="D16" s="73" t="n">
        <v>0</v>
      </c>
      <c r="E16" s="73" t="n">
        <v>0</v>
      </c>
      <c r="F16" s="73" t="n">
        <v>0</v>
      </c>
      <c r="G16" s="73" t="n">
        <v>0</v>
      </c>
      <c r="H16" s="73" t="n">
        <v>0</v>
      </c>
      <c r="I16" s="73" t="n">
        <v>0</v>
      </c>
      <c r="J16" s="73" t="n">
        <v>0</v>
      </c>
      <c r="K16" s="73" t="n">
        <v>0</v>
      </c>
      <c r="L16" s="73" t="n">
        <v>0</v>
      </c>
      <c r="M16" s="73" t="n">
        <v>0</v>
      </c>
      <c r="N16" s="73" t="n">
        <v>0</v>
      </c>
    </row>
    <row r="17">
      <c r="B17" t="inlineStr">
        <is>
          <t>Investments sold</t>
        </is>
      </c>
      <c r="C17" s="73" t="n">
        <v>0</v>
      </c>
      <c r="D17" s="73" t="n">
        <v>0</v>
      </c>
      <c r="E17" s="73" t="n">
        <v>0</v>
      </c>
      <c r="F17" s="73" t="n">
        <v>0</v>
      </c>
      <c r="G17" s="73" t="n">
        <v>0</v>
      </c>
      <c r="H17" s="73" t="n">
        <v>0</v>
      </c>
      <c r="I17" s="73" t="n">
        <v>0</v>
      </c>
      <c r="J17" s="73" t="n">
        <v>0</v>
      </c>
      <c r="K17" s="73" t="n">
        <v>0</v>
      </c>
      <c r="L17" s="73" t="n">
        <v>0</v>
      </c>
      <c r="M17" s="73" t="n">
        <v>0</v>
      </c>
      <c r="N17" s="73" t="n">
        <v>0</v>
      </c>
    </row>
    <row r="18">
      <c r="B18" t="inlineStr">
        <is>
          <t>Interest received</t>
        </is>
      </c>
      <c r="C18" t="n">
        <v>0</v>
      </c>
      <c r="D18" t="n">
        <v>0</v>
      </c>
      <c r="E18" t="n">
        <v>0</v>
      </c>
      <c r="F18" t="n">
        <v>0</v>
      </c>
      <c r="G18" s="73" t="n">
        <v>0</v>
      </c>
      <c r="H18" s="73" t="n">
        <v>0</v>
      </c>
      <c r="I18" s="73" t="n">
        <v>0</v>
      </c>
      <c r="J18" s="73" t="n">
        <v>0</v>
      </c>
      <c r="K18" s="73" t="n">
        <v>0</v>
      </c>
      <c r="L18" s="73" t="n">
        <v>0</v>
      </c>
      <c r="M18" s="73" t="n">
        <v>0</v>
      </c>
      <c r="N18" t="n">
        <v>0</v>
      </c>
    </row>
    <row r="19">
      <c r="B19" t="inlineStr">
        <is>
          <t>Dividends received</t>
        </is>
      </c>
      <c r="C19" t="n">
        <v>0</v>
      </c>
      <c r="D19" t="n">
        <v>0</v>
      </c>
      <c r="E19" t="n">
        <v>0</v>
      </c>
      <c r="F19" t="n">
        <v>0</v>
      </c>
      <c r="G19" t="n">
        <v>0</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0</v>
      </c>
      <c r="D23" s="73" t="n">
        <v>0</v>
      </c>
      <c r="E23" s="73" t="n">
        <v>0</v>
      </c>
      <c r="F23" s="73" t="n">
        <v>0</v>
      </c>
      <c r="G23" s="73" t="n">
        <v>0</v>
      </c>
      <c r="H23" s="73" t="n">
        <v>0</v>
      </c>
      <c r="I23" s="73" t="n">
        <v>0</v>
      </c>
      <c r="J23" s="73" t="n">
        <v>0</v>
      </c>
      <c r="K23" t="n">
        <v>0</v>
      </c>
      <c r="L23" s="73" t="n">
        <v>0</v>
      </c>
      <c r="M23" t="n">
        <v>0</v>
      </c>
      <c r="N23" s="73" t="n">
        <v>0</v>
      </c>
    </row>
    <row r="24">
      <c r="B24" t="inlineStr">
        <is>
          <t>Cash from Financing Activity -</t>
        </is>
      </c>
      <c r="C24" s="73" t="n">
        <v>-4935</v>
      </c>
      <c r="D24" s="73" t="n">
        <v>-6813</v>
      </c>
      <c r="E24" s="73" t="n">
        <v>-6939</v>
      </c>
      <c r="F24" s="73" t="n">
        <v>-20505</v>
      </c>
      <c r="G24" s="73" t="n">
        <v>-14512</v>
      </c>
      <c r="H24" s="73" t="n">
        <v>-17591</v>
      </c>
      <c r="I24" s="73" t="n">
        <v>-9786</v>
      </c>
      <c r="J24" s="73" t="n">
        <v>-24642</v>
      </c>
      <c r="K24" s="73" t="n">
        <v>-26695</v>
      </c>
      <c r="L24" s="73" t="n">
        <v>-17504</v>
      </c>
      <c r="M24" s="73" t="n">
        <v>-24161</v>
      </c>
      <c r="N24" s="73" t="n">
        <v>-39786</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0</v>
      </c>
      <c r="D27" t="n">
        <v>0</v>
      </c>
      <c r="E27" t="n">
        <v>0</v>
      </c>
      <c r="F27" t="n">
        <v>0</v>
      </c>
      <c r="G27" t="n">
        <v>0</v>
      </c>
      <c r="H27" t="n">
        <v>0</v>
      </c>
      <c r="I27" t="n">
        <v>0</v>
      </c>
      <c r="J27" t="n">
        <v>0</v>
      </c>
      <c r="K27" t="n">
        <v>0</v>
      </c>
      <c r="L27" t="n">
        <v>0</v>
      </c>
      <c r="M27" t="n">
        <v>0</v>
      </c>
      <c r="N27" t="n">
        <v>0</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0</v>
      </c>
      <c r="D29" s="73" t="n">
        <v>0</v>
      </c>
      <c r="E29" s="73" t="n">
        <v>0</v>
      </c>
      <c r="F29" s="73" t="n">
        <v>0</v>
      </c>
      <c r="G29" s="73" t="n">
        <v>0</v>
      </c>
      <c r="H29" s="73" t="n">
        <v>0</v>
      </c>
      <c r="I29" s="73" t="n">
        <v>0</v>
      </c>
      <c r="J29" s="73" t="n">
        <v>0</v>
      </c>
      <c r="K29" s="73" t="n">
        <v>0</v>
      </c>
      <c r="L29" s="73" t="n">
        <v>0</v>
      </c>
      <c r="M29" s="73" t="n">
        <v>0</v>
      </c>
      <c r="N29" s="73" t="n">
        <v>0</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v>
      </c>
      <c r="D31" t="n">
        <v>0</v>
      </c>
      <c r="E31" s="73" t="n">
        <v>0</v>
      </c>
      <c r="F31" s="73" t="n">
        <v>0</v>
      </c>
      <c r="G31" s="73" t="n">
        <v>0</v>
      </c>
      <c r="H31" s="73" t="n">
        <v>0</v>
      </c>
      <c r="I31" t="n">
        <v>0</v>
      </c>
      <c r="J31" t="n">
        <v>0</v>
      </c>
      <c r="K31" t="n">
        <v>0</v>
      </c>
      <c r="L31" t="n">
        <v>0</v>
      </c>
      <c r="M31" t="n">
        <v>0</v>
      </c>
      <c r="N31" t="n">
        <v>0</v>
      </c>
    </row>
    <row r="32">
      <c r="B32" t="inlineStr">
        <is>
          <t>Net Cash Flow</t>
        </is>
      </c>
      <c r="C32" t="n">
        <v>4417</v>
      </c>
      <c r="D32" t="n">
        <v>2330</v>
      </c>
      <c r="E32" t="n">
        <v>-10072</v>
      </c>
      <c r="F32" t="n">
        <v>-2754</v>
      </c>
      <c r="G32" t="n">
        <v>-303</v>
      </c>
      <c r="H32" t="n">
        <v>-919</v>
      </c>
      <c r="I32" t="n">
        <v>6065</v>
      </c>
      <c r="J32" t="n">
        <v>-7242</v>
      </c>
      <c r="K32" t="n">
        <v>-5299</v>
      </c>
      <c r="L32" t="n">
        <v>2613</v>
      </c>
      <c r="M32" t="n">
        <v>9669</v>
      </c>
      <c r="N32" t="n">
        <v>-2254</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0">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80">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80">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80">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80"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80"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80">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80">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80">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80"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80" t="n"/>
      <c r="C62" s="107" t="n"/>
      <c r="D62" s="107" t="n"/>
      <c r="E62" s="107" t="n"/>
      <c r="F62" s="107" t="n"/>
      <c r="G62" s="107" t="n"/>
      <c r="H62" s="107" t="n"/>
      <c r="I62" s="107" t="n"/>
      <c r="J62" s="107" t="n"/>
      <c r="K62" s="107" t="n"/>
      <c r="L62" s="107" t="n"/>
    </row>
    <row r="63">
      <c r="B63" s="180">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80">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80">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80"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80"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t="n">
        <v>285.05</v>
      </c>
      <c r="D10" s="163" t="inlineStr">
        <is>
          <t>-</t>
        </is>
      </c>
      <c r="F10" s="34">
        <f>'Raw Data'!G6</f>
        <v/>
      </c>
      <c r="G10">
        <f>'Raw Data'!J6</f>
        <v/>
      </c>
      <c r="H10" s="163" t="inlineStr">
        <is>
          <t>-</t>
        </is>
      </c>
      <c r="J10" t="inlineStr">
        <is>
          <t>Raw Beta Weight</t>
        </is>
      </c>
      <c r="L10" s="46" t="n">
        <v>0.75</v>
      </c>
    </row>
    <row r="11">
      <c r="B11" s="34">
        <f>'Raw Data'!G7</f>
        <v/>
      </c>
      <c r="C11" t="n">
        <v>286.25</v>
      </c>
      <c r="D11" s="36">
        <f>C10/C11-1</f>
        <v/>
      </c>
      <c r="F11" s="34">
        <f>'Raw Data'!G7</f>
        <v/>
      </c>
      <c r="G11">
        <f>'Raw Data'!J7</f>
        <v/>
      </c>
      <c r="H11" s="36">
        <f>G10/G11-1</f>
        <v/>
      </c>
      <c r="N11" t="inlineStr">
        <is>
          <t>Beta 1</t>
        </is>
      </c>
      <c r="O11">
        <f>SLOPE(D10:D252,H10:H252)</f>
        <v/>
      </c>
    </row>
    <row r="12">
      <c r="B12" s="34">
        <f>'Raw Data'!G8</f>
        <v/>
      </c>
      <c r="C12" t="n">
        <v>284.65</v>
      </c>
      <c r="D12" s="36">
        <f>C11/C12-1</f>
        <v/>
      </c>
      <c r="F12" s="34">
        <f>'Raw Data'!G8</f>
        <v/>
      </c>
      <c r="G12">
        <f>'Raw Data'!J8</f>
        <v/>
      </c>
      <c r="H12" s="36">
        <f>G11/G12-1</f>
        <v/>
      </c>
      <c r="J12" t="inlineStr">
        <is>
          <t>Market Beta</t>
        </is>
      </c>
      <c r="L12" s="47" t="n">
        <v>1</v>
      </c>
      <c r="N12" t="inlineStr">
        <is>
          <t>Beta 2</t>
        </is>
      </c>
      <c r="O12">
        <f>_xlfn.COVARIANCE.S(D10:D252,H10:H252)/_xlfn.VAR.S(H10:H252)</f>
        <v/>
      </c>
    </row>
    <row r="13">
      <c r="B13" s="34">
        <f>'Raw Data'!G9</f>
        <v/>
      </c>
      <c r="C13" t="n">
        <v>285.85</v>
      </c>
      <c r="D13" s="36">
        <f>C12/C13-1</f>
        <v/>
      </c>
      <c r="F13" s="34">
        <f>'Raw Data'!G9</f>
        <v/>
      </c>
      <c r="G13">
        <f>'Raw Data'!J9</f>
        <v/>
      </c>
      <c r="H13" s="36">
        <f>G12/G13-1</f>
        <v/>
      </c>
      <c r="J13" t="inlineStr">
        <is>
          <t>Market Beta Weight</t>
        </is>
      </c>
      <c r="L13" s="46" t="n">
        <v>0.25</v>
      </c>
    </row>
    <row r="14">
      <c r="B14" s="34">
        <f>'Raw Data'!G10</f>
        <v/>
      </c>
      <c r="C14" t="n">
        <v>283.45</v>
      </c>
      <c r="D14" s="36">
        <f>C13/C14-1</f>
        <v/>
      </c>
      <c r="F14" s="34">
        <f>'Raw Data'!G10</f>
        <v/>
      </c>
      <c r="G14">
        <f>'Raw Data'!J10</f>
        <v/>
      </c>
      <c r="H14" s="36">
        <f>G13/G14-1</f>
        <v/>
      </c>
    </row>
    <row r="15">
      <c r="B15" s="34">
        <f>'Raw Data'!G11</f>
        <v/>
      </c>
      <c r="C15" t="n">
        <v>281.3</v>
      </c>
      <c r="D15" s="36">
        <f>C14/C15-1</f>
        <v/>
      </c>
      <c r="F15" s="34">
        <f>'Raw Data'!G11</f>
        <v/>
      </c>
      <c r="G15">
        <f>'Raw Data'!J11</f>
        <v/>
      </c>
      <c r="H15" s="36">
        <f>G14/G15-1</f>
        <v/>
      </c>
      <c r="J15" s="79" t="inlineStr">
        <is>
          <t>Adjusted Beta</t>
        </is>
      </c>
      <c r="K15" s="79" t="n"/>
      <c r="L15" s="79">
        <f>(L9*L10)+(L12*L13)</f>
        <v/>
      </c>
    </row>
    <row r="16">
      <c r="B16" s="34">
        <f>'Raw Data'!G12</f>
        <v/>
      </c>
      <c r="C16" t="n">
        <v>280.8</v>
      </c>
      <c r="D16" s="36">
        <f>C15/C16-1</f>
        <v/>
      </c>
      <c r="F16" s="34">
        <f>'Raw Data'!G12</f>
        <v/>
      </c>
      <c r="G16">
        <f>'Raw Data'!J12</f>
        <v/>
      </c>
      <c r="H16" s="36">
        <f>G15/G16-1</f>
        <v/>
      </c>
    </row>
    <row r="17">
      <c r="B17" s="34">
        <f>'Raw Data'!G13</f>
        <v/>
      </c>
      <c r="C17" t="n">
        <v>281</v>
      </c>
      <c r="D17" s="36">
        <f>C16/C17-1</f>
        <v/>
      </c>
      <c r="F17" s="34">
        <f>'Raw Data'!G13</f>
        <v/>
      </c>
      <c r="G17">
        <f>'Raw Data'!J13</f>
        <v/>
      </c>
      <c r="H17" s="36">
        <f>G16/G17-1</f>
        <v/>
      </c>
    </row>
    <row r="18">
      <c r="B18" s="34">
        <f>'Raw Data'!G14</f>
        <v/>
      </c>
      <c r="C18" t="n">
        <v>282.7</v>
      </c>
      <c r="D18" s="36">
        <f>C17/C18-1</f>
        <v/>
      </c>
      <c r="F18" s="34">
        <f>'Raw Data'!G14</f>
        <v/>
      </c>
      <c r="G18">
        <f>'Raw Data'!J14</f>
        <v/>
      </c>
      <c r="H18" s="36">
        <f>G17/G18-1</f>
        <v/>
      </c>
    </row>
    <row r="19">
      <c r="B19" s="34">
        <f>'Raw Data'!G15</f>
        <v/>
      </c>
      <c r="C19" t="n">
        <v>280.7</v>
      </c>
      <c r="D19" s="36">
        <f>C18/C19-1</f>
        <v/>
      </c>
      <c r="F19" s="34">
        <f>'Raw Data'!G15</f>
        <v/>
      </c>
      <c r="G19">
        <f>'Raw Data'!J15</f>
        <v/>
      </c>
      <c r="H19" s="36">
        <f>G18/G19-1</f>
        <v/>
      </c>
    </row>
    <row r="20">
      <c r="B20" s="34">
        <f>'Raw Data'!G16</f>
        <v/>
      </c>
      <c r="C20" t="n">
        <v>279.35</v>
      </c>
      <c r="D20" s="36">
        <f>C19/C20-1</f>
        <v/>
      </c>
      <c r="F20" s="34">
        <f>'Raw Data'!G16</f>
        <v/>
      </c>
      <c r="G20">
        <f>'Raw Data'!J16</f>
        <v/>
      </c>
      <c r="H20" s="36">
        <f>G19/G20-1</f>
        <v/>
      </c>
    </row>
    <row r="21">
      <c r="B21" s="34">
        <f>'Raw Data'!G17</f>
        <v/>
      </c>
      <c r="C21" t="n">
        <v>276.65</v>
      </c>
      <c r="D21" s="36">
        <f>C20/C21-1</f>
        <v/>
      </c>
      <c r="F21" s="34">
        <f>'Raw Data'!G17</f>
        <v/>
      </c>
      <c r="G21">
        <f>'Raw Data'!J17</f>
        <v/>
      </c>
      <c r="H21" s="36">
        <f>G20/G21-1</f>
        <v/>
      </c>
    </row>
    <row r="22">
      <c r="B22" s="34">
        <f>'Raw Data'!G18</f>
        <v/>
      </c>
      <c r="C22" t="n">
        <v>275.55</v>
      </c>
      <c r="D22" s="36">
        <f>C21/C22-1</f>
        <v/>
      </c>
      <c r="F22" s="34">
        <f>'Raw Data'!G18</f>
        <v/>
      </c>
      <c r="G22">
        <f>'Raw Data'!J18</f>
        <v/>
      </c>
      <c r="H22" s="36">
        <f>G21/G22-1</f>
        <v/>
      </c>
    </row>
    <row r="23">
      <c r="B23" s="34">
        <f>'Raw Data'!G19</f>
        <v/>
      </c>
      <c r="C23" t="n">
        <v>279.65</v>
      </c>
      <c r="D23" s="36">
        <f>C22/C23-1</f>
        <v/>
      </c>
      <c r="F23" s="34">
        <f>'Raw Data'!G19</f>
        <v/>
      </c>
      <c r="G23">
        <f>'Raw Data'!J19</f>
        <v/>
      </c>
      <c r="H23" s="36">
        <f>G22/G23-1</f>
        <v/>
      </c>
    </row>
    <row r="24">
      <c r="B24" s="34">
        <f>'Raw Data'!G20</f>
        <v/>
      </c>
      <c r="C24" t="n">
        <v>281.75</v>
      </c>
      <c r="D24" s="36">
        <f>C23/C24-1</f>
        <v/>
      </c>
      <c r="F24" s="34">
        <f>'Raw Data'!G20</f>
        <v/>
      </c>
      <c r="G24">
        <f>'Raw Data'!J20</f>
        <v/>
      </c>
      <c r="H24" s="36">
        <f>G23/G24-1</f>
        <v/>
      </c>
    </row>
    <row r="25">
      <c r="B25" s="34">
        <f>'Raw Data'!G21</f>
        <v/>
      </c>
      <c r="C25" t="n">
        <v>282.05</v>
      </c>
      <c r="D25" s="36">
        <f>C24/C25-1</f>
        <v/>
      </c>
      <c r="F25" s="34">
        <f>'Raw Data'!G21</f>
        <v/>
      </c>
      <c r="G25">
        <f>'Raw Data'!J21</f>
        <v/>
      </c>
      <c r="H25" s="36">
        <f>G24/G25-1</f>
        <v/>
      </c>
    </row>
    <row r="26">
      <c r="B26" s="34">
        <f>'Raw Data'!G22</f>
        <v/>
      </c>
      <c r="C26" t="n">
        <v>280.65</v>
      </c>
      <c r="D26" s="36">
        <f>C25/C26-1</f>
        <v/>
      </c>
      <c r="F26" s="34">
        <f>'Raw Data'!G22</f>
        <v/>
      </c>
      <c r="G26">
        <f>'Raw Data'!J22</f>
        <v/>
      </c>
      <c r="H26" s="36">
        <f>G25/G26-1</f>
        <v/>
      </c>
    </row>
    <row r="27">
      <c r="B27" s="34">
        <f>'Raw Data'!G23</f>
        <v/>
      </c>
      <c r="C27" t="n">
        <v>288.75</v>
      </c>
      <c r="D27" s="36">
        <f>C26/C27-1</f>
        <v/>
      </c>
      <c r="F27" s="34">
        <f>'Raw Data'!G23</f>
        <v/>
      </c>
      <c r="G27">
        <f>'Raw Data'!J23</f>
        <v/>
      </c>
      <c r="H27" s="36">
        <f>G26/G27-1</f>
        <v/>
      </c>
    </row>
    <row r="28">
      <c r="B28" s="34">
        <f>'Raw Data'!G24</f>
        <v/>
      </c>
      <c r="C28" t="n">
        <v>288.25</v>
      </c>
      <c r="D28" s="36">
        <f>C27/C28-1</f>
        <v/>
      </c>
      <c r="F28" s="34">
        <f>'Raw Data'!G24</f>
        <v/>
      </c>
      <c r="G28">
        <f>'Raw Data'!J24</f>
        <v/>
      </c>
      <c r="H28" s="36">
        <f>G27/G28-1</f>
        <v/>
      </c>
    </row>
    <row r="29">
      <c r="B29" s="34">
        <f>'Raw Data'!G25</f>
        <v/>
      </c>
      <c r="C29" t="n">
        <v>289.95</v>
      </c>
      <c r="D29" s="36">
        <f>C28/C29-1</f>
        <v/>
      </c>
      <c r="F29" s="34">
        <f>'Raw Data'!G25</f>
        <v/>
      </c>
      <c r="G29">
        <f>'Raw Data'!J25</f>
        <v/>
      </c>
      <c r="H29" s="36">
        <f>G28/G29-1</f>
        <v/>
      </c>
    </row>
    <row r="30">
      <c r="B30" s="34">
        <f>'Raw Data'!G26</f>
        <v/>
      </c>
      <c r="C30" t="n">
        <v>289.9</v>
      </c>
      <c r="D30" s="36">
        <f>C29/C30-1</f>
        <v/>
      </c>
      <c r="F30" s="34">
        <f>'Raw Data'!G26</f>
        <v/>
      </c>
      <c r="G30">
        <f>'Raw Data'!J26</f>
        <v/>
      </c>
      <c r="H30" s="36">
        <f>G29/G30-1</f>
        <v/>
      </c>
    </row>
    <row r="31">
      <c r="B31" s="34">
        <f>'Raw Data'!G27</f>
        <v/>
      </c>
      <c r="C31" t="n">
        <v>290.3</v>
      </c>
      <c r="D31" s="36">
        <f>C30/C31-1</f>
        <v/>
      </c>
      <c r="F31" s="34">
        <f>'Raw Data'!G27</f>
        <v/>
      </c>
      <c r="G31">
        <f>'Raw Data'!J27</f>
        <v/>
      </c>
      <c r="H31" s="36">
        <f>G30/G31-1</f>
        <v/>
      </c>
    </row>
    <row r="32">
      <c r="B32" s="34">
        <f>'Raw Data'!G28</f>
        <v/>
      </c>
      <c r="C32" t="n">
        <v>286.95</v>
      </c>
      <c r="D32" s="36">
        <f>C31/C32-1</f>
        <v/>
      </c>
      <c r="F32" s="34">
        <f>'Raw Data'!G28</f>
        <v/>
      </c>
      <c r="G32">
        <f>'Raw Data'!J28</f>
        <v/>
      </c>
      <c r="H32" s="36">
        <f>G31/G32-1</f>
        <v/>
      </c>
    </row>
    <row r="33">
      <c r="B33" s="34">
        <f>'Raw Data'!G29</f>
        <v/>
      </c>
      <c r="C33" t="n">
        <v>290.7</v>
      </c>
      <c r="D33" s="36">
        <f>C32/C33-1</f>
        <v/>
      </c>
      <c r="F33" s="34">
        <f>'Raw Data'!G29</f>
        <v/>
      </c>
      <c r="G33">
        <f>'Raw Data'!J29</f>
        <v/>
      </c>
      <c r="H33" s="36">
        <f>G32/G33-1</f>
        <v/>
      </c>
    </row>
    <row r="34">
      <c r="B34" s="34">
        <f>'Raw Data'!G30</f>
        <v/>
      </c>
      <c r="C34" t="n">
        <v>290</v>
      </c>
      <c r="D34" s="36">
        <f>C33/C34-1</f>
        <v/>
      </c>
      <c r="F34" s="34">
        <f>'Raw Data'!G30</f>
        <v/>
      </c>
      <c r="G34">
        <f>'Raw Data'!J30</f>
        <v/>
      </c>
      <c r="H34" s="36">
        <f>G33/G34-1</f>
        <v/>
      </c>
    </row>
    <row r="35">
      <c r="B35" s="34">
        <f>'Raw Data'!G31</f>
        <v/>
      </c>
      <c r="C35" t="n">
        <v>290.35</v>
      </c>
      <c r="D35" s="36">
        <f>C34/C35-1</f>
        <v/>
      </c>
      <c r="F35" s="34">
        <f>'Raw Data'!G31</f>
        <v/>
      </c>
      <c r="G35">
        <f>'Raw Data'!J31</f>
        <v/>
      </c>
      <c r="H35" s="36">
        <f>G34/G35-1</f>
        <v/>
      </c>
    </row>
    <row r="36">
      <c r="B36" s="34">
        <f>'Raw Data'!G32</f>
        <v/>
      </c>
      <c r="C36" t="n">
        <v>290</v>
      </c>
      <c r="D36" s="36">
        <f>C35/C36-1</f>
        <v/>
      </c>
      <c r="F36" s="34">
        <f>'Raw Data'!G32</f>
        <v/>
      </c>
      <c r="G36">
        <f>'Raw Data'!J32</f>
        <v/>
      </c>
      <c r="H36" s="36">
        <f>G35/G36-1</f>
        <v/>
      </c>
    </row>
    <row r="37">
      <c r="B37" s="34">
        <f>'Raw Data'!G33</f>
        <v/>
      </c>
      <c r="C37" t="n">
        <v>291.25</v>
      </c>
      <c r="D37" s="36">
        <f>C36/C37-1</f>
        <v/>
      </c>
      <c r="F37" s="34">
        <f>'Raw Data'!G33</f>
        <v/>
      </c>
      <c r="G37">
        <f>'Raw Data'!J33</f>
        <v/>
      </c>
      <c r="H37" s="36">
        <f>G36/G37-1</f>
        <v/>
      </c>
    </row>
    <row r="38">
      <c r="B38" s="34">
        <f>'Raw Data'!G34</f>
        <v/>
      </c>
      <c r="C38" t="n">
        <v>292.5</v>
      </c>
      <c r="D38" s="36">
        <f>C37/C38-1</f>
        <v/>
      </c>
      <c r="F38" s="34">
        <f>'Raw Data'!G34</f>
        <v/>
      </c>
      <c r="G38">
        <f>'Raw Data'!J34</f>
        <v/>
      </c>
      <c r="H38" s="36">
        <f>G37/G38-1</f>
        <v/>
      </c>
    </row>
    <row r="39">
      <c r="B39" s="34">
        <f>'Raw Data'!G35</f>
        <v/>
      </c>
      <c r="C39" t="n">
        <v>291.15</v>
      </c>
      <c r="D39" s="36">
        <f>C38/C39-1</f>
        <v/>
      </c>
      <c r="F39" s="34">
        <f>'Raw Data'!G35</f>
        <v/>
      </c>
      <c r="G39">
        <f>'Raw Data'!J35</f>
        <v/>
      </c>
      <c r="H39" s="36">
        <f>G38/G39-1</f>
        <v/>
      </c>
    </row>
    <row r="40">
      <c r="B40" s="34">
        <f>'Raw Data'!G36</f>
        <v/>
      </c>
      <c r="C40" t="n">
        <v>290.75</v>
      </c>
      <c r="D40" s="36">
        <f>C39/C40-1</f>
        <v/>
      </c>
      <c r="F40" s="34">
        <f>'Raw Data'!G36</f>
        <v/>
      </c>
      <c r="G40">
        <f>'Raw Data'!J36</f>
        <v/>
      </c>
      <c r="H40" s="36">
        <f>G39/G40-1</f>
        <v/>
      </c>
    </row>
    <row r="41">
      <c r="B41" s="34">
        <f>'Raw Data'!G37</f>
        <v/>
      </c>
      <c r="C41" t="n">
        <v>291.65</v>
      </c>
      <c r="D41" s="36">
        <f>C40/C41-1</f>
        <v/>
      </c>
      <c r="F41" s="34">
        <f>'Raw Data'!G37</f>
        <v/>
      </c>
      <c r="G41">
        <f>'Raw Data'!J37</f>
        <v/>
      </c>
      <c r="H41" s="36">
        <f>G40/G41-1</f>
        <v/>
      </c>
    </row>
    <row r="42">
      <c r="B42" s="34">
        <f>'Raw Data'!G38</f>
        <v/>
      </c>
      <c r="C42" t="n">
        <v>287.9</v>
      </c>
      <c r="D42" s="36">
        <f>C41/C42-1</f>
        <v/>
      </c>
      <c r="F42" s="34">
        <f>'Raw Data'!G38</f>
        <v/>
      </c>
      <c r="G42">
        <f>'Raw Data'!J38</f>
        <v/>
      </c>
      <c r="H42" s="36">
        <f>G41/G42-1</f>
        <v/>
      </c>
    </row>
    <row r="43">
      <c r="B43" s="34">
        <f>'Raw Data'!G39</f>
        <v/>
      </c>
      <c r="C43" t="n">
        <v>285.1</v>
      </c>
      <c r="D43" s="36">
        <f>C42/C43-1</f>
        <v/>
      </c>
      <c r="F43" s="34">
        <f>'Raw Data'!G39</f>
        <v/>
      </c>
      <c r="G43">
        <f>'Raw Data'!J39</f>
        <v/>
      </c>
      <c r="H43" s="36">
        <f>G42/G43-1</f>
        <v/>
      </c>
    </row>
    <row r="44">
      <c r="B44" s="34">
        <f>'Raw Data'!G40</f>
        <v/>
      </c>
      <c r="C44" t="n">
        <v>282.4</v>
      </c>
      <c r="D44" s="36">
        <f>C43/C44-1</f>
        <v/>
      </c>
      <c r="F44" s="34">
        <f>'Raw Data'!G40</f>
        <v/>
      </c>
      <c r="G44">
        <f>'Raw Data'!J40</f>
        <v/>
      </c>
      <c r="H44" s="36">
        <f>G43/G44-1</f>
        <v/>
      </c>
    </row>
    <row r="45">
      <c r="B45" s="34">
        <f>'Raw Data'!G41</f>
        <v/>
      </c>
      <c r="C45" t="n">
        <v>283.65</v>
      </c>
      <c r="D45" s="36">
        <f>C44/C45-1</f>
        <v/>
      </c>
      <c r="F45" s="34">
        <f>'Raw Data'!G41</f>
        <v/>
      </c>
      <c r="G45">
        <f>'Raw Data'!J41</f>
        <v/>
      </c>
      <c r="H45" s="36">
        <f>G44/G45-1</f>
        <v/>
      </c>
    </row>
    <row r="46">
      <c r="B46" s="34">
        <f>'Raw Data'!G42</f>
        <v/>
      </c>
      <c r="C46" t="n">
        <v>280</v>
      </c>
      <c r="D46" s="36">
        <f>C45/C46-1</f>
        <v/>
      </c>
      <c r="F46" s="34">
        <f>'Raw Data'!G42</f>
        <v/>
      </c>
      <c r="G46">
        <f>'Raw Data'!J42</f>
        <v/>
      </c>
      <c r="H46" s="36">
        <f>G45/G46-1</f>
        <v/>
      </c>
    </row>
    <row r="47">
      <c r="B47" s="34">
        <f>'Raw Data'!G43</f>
        <v/>
      </c>
      <c r="C47" t="n">
        <v>279.45</v>
      </c>
      <c r="D47" s="36">
        <f>C46/C47-1</f>
        <v/>
      </c>
      <c r="F47" s="34">
        <f>'Raw Data'!G43</f>
        <v/>
      </c>
      <c r="G47">
        <f>'Raw Data'!J43</f>
        <v/>
      </c>
      <c r="H47" s="36">
        <f>G46/G47-1</f>
        <v/>
      </c>
    </row>
    <row r="48">
      <c r="B48" s="34">
        <f>'Raw Data'!G44</f>
        <v/>
      </c>
      <c r="C48" t="n">
        <v>280.7</v>
      </c>
      <c r="D48" s="36">
        <f>C47/C48-1</f>
        <v/>
      </c>
      <c r="F48" s="34">
        <f>'Raw Data'!G44</f>
        <v/>
      </c>
      <c r="G48">
        <f>'Raw Data'!J44</f>
        <v/>
      </c>
      <c r="H48" s="36">
        <f>G47/G48-1</f>
        <v/>
      </c>
    </row>
    <row r="49">
      <c r="B49" s="34">
        <f>'Raw Data'!G45</f>
        <v/>
      </c>
      <c r="C49" t="n">
        <v>280.3</v>
      </c>
      <c r="D49" s="36">
        <f>C48/C49-1</f>
        <v/>
      </c>
      <c r="F49" s="34">
        <f>'Raw Data'!G45</f>
        <v/>
      </c>
      <c r="G49">
        <f>'Raw Data'!J45</f>
        <v/>
      </c>
      <c r="H49" s="36">
        <f>G48/G49-1</f>
        <v/>
      </c>
    </row>
    <row r="50">
      <c r="B50" s="34">
        <f>'Raw Data'!G46</f>
        <v/>
      </c>
      <c r="C50" t="n">
        <v>277</v>
      </c>
      <c r="D50" s="36">
        <f>C49/C50-1</f>
        <v/>
      </c>
      <c r="F50" s="34">
        <f>'Raw Data'!G46</f>
        <v/>
      </c>
      <c r="G50">
        <f>'Raw Data'!J46</f>
        <v/>
      </c>
      <c r="H50" s="36">
        <f>G49/G50-1</f>
        <v/>
      </c>
    </row>
    <row r="51">
      <c r="B51" s="34">
        <f>'Raw Data'!G47</f>
        <v/>
      </c>
      <c r="C51" t="n">
        <v>283.25</v>
      </c>
      <c r="D51" s="36">
        <f>C50/C51-1</f>
        <v/>
      </c>
      <c r="F51" s="34">
        <f>'Raw Data'!G47</f>
        <v/>
      </c>
      <c r="G51">
        <f>'Raw Data'!J47</f>
        <v/>
      </c>
      <c r="H51" s="36">
        <f>G50/G51-1</f>
        <v/>
      </c>
    </row>
    <row r="52">
      <c r="B52" s="34">
        <f>'Raw Data'!G48</f>
        <v/>
      </c>
      <c r="C52" t="n">
        <v>279.65</v>
      </c>
      <c r="D52" s="36">
        <f>C51/C52-1</f>
        <v/>
      </c>
      <c r="F52" s="34">
        <f>'Raw Data'!G48</f>
        <v/>
      </c>
      <c r="G52">
        <f>'Raw Data'!J48</f>
        <v/>
      </c>
      <c r="H52" s="36">
        <f>G51/G52-1</f>
        <v/>
      </c>
    </row>
    <row r="53">
      <c r="B53" s="34">
        <f>'Raw Data'!G49</f>
        <v/>
      </c>
      <c r="C53" t="n">
        <v>286.9</v>
      </c>
      <c r="D53" s="36">
        <f>C52/C53-1</f>
        <v/>
      </c>
      <c r="F53" s="34">
        <f>'Raw Data'!G49</f>
        <v/>
      </c>
      <c r="G53">
        <f>'Raw Data'!J49</f>
        <v/>
      </c>
      <c r="H53" s="36">
        <f>G52/G53-1</f>
        <v/>
      </c>
    </row>
    <row r="54">
      <c r="B54" s="34">
        <f>'Raw Data'!G50</f>
        <v/>
      </c>
      <c r="C54" t="n">
        <v>291.95</v>
      </c>
      <c r="D54" s="36">
        <f>C53/C54-1</f>
        <v/>
      </c>
      <c r="F54" s="34">
        <f>'Raw Data'!G50</f>
        <v/>
      </c>
      <c r="G54">
        <f>'Raw Data'!J50</f>
        <v/>
      </c>
      <c r="H54" s="36">
        <f>G53/G54-1</f>
        <v/>
      </c>
    </row>
    <row r="55">
      <c r="B55" s="34">
        <f>'Raw Data'!G51</f>
        <v/>
      </c>
      <c r="C55" t="n">
        <v>301.65</v>
      </c>
      <c r="D55" s="36">
        <f>C54/C55-1</f>
        <v/>
      </c>
      <c r="F55" s="34">
        <f>'Raw Data'!G51</f>
        <v/>
      </c>
      <c r="G55">
        <f>'Raw Data'!J51</f>
        <v/>
      </c>
      <c r="H55" s="36">
        <f>G54/G55-1</f>
        <v/>
      </c>
    </row>
    <row r="56">
      <c r="B56" s="34">
        <f>'Raw Data'!G52</f>
        <v/>
      </c>
      <c r="C56" t="n">
        <v>303.95</v>
      </c>
      <c r="D56" s="36">
        <f>C55/C56-1</f>
        <v/>
      </c>
      <c r="F56" s="34">
        <f>'Raw Data'!G52</f>
        <v/>
      </c>
      <c r="G56">
        <f>'Raw Data'!J52</f>
        <v/>
      </c>
      <c r="H56" s="36">
        <f>G55/G56-1</f>
        <v/>
      </c>
    </row>
    <row r="57">
      <c r="B57" s="34">
        <f>'Raw Data'!G53</f>
        <v/>
      </c>
      <c r="C57" t="n">
        <v>301.7</v>
      </c>
      <c r="D57" s="36">
        <f>C56/C57-1</f>
        <v/>
      </c>
      <c r="F57" s="34">
        <f>'Raw Data'!G53</f>
        <v/>
      </c>
      <c r="G57">
        <f>'Raw Data'!J53</f>
        <v/>
      </c>
      <c r="H57" s="36">
        <f>G56/G57-1</f>
        <v/>
      </c>
    </row>
    <row r="58">
      <c r="B58" s="34">
        <f>'Raw Data'!G54</f>
        <v/>
      </c>
      <c r="C58" t="n">
        <v>308.05</v>
      </c>
      <c r="D58" s="36">
        <f>C57/C58-1</f>
        <v/>
      </c>
      <c r="F58" s="34">
        <f>'Raw Data'!G54</f>
        <v/>
      </c>
      <c r="G58">
        <f>'Raw Data'!J54</f>
        <v/>
      </c>
      <c r="H58" s="36">
        <f>G57/G58-1</f>
        <v/>
      </c>
    </row>
    <row r="59">
      <c r="B59" s="34">
        <f>'Raw Data'!G55</f>
        <v/>
      </c>
      <c r="C59" t="n">
        <v>307.55</v>
      </c>
      <c r="D59" s="36">
        <f>C58/C59-1</f>
        <v/>
      </c>
      <c r="F59" s="34">
        <f>'Raw Data'!G55</f>
        <v/>
      </c>
      <c r="G59">
        <f>'Raw Data'!J55</f>
        <v/>
      </c>
      <c r="H59" s="36">
        <f>G58/G59-1</f>
        <v/>
      </c>
    </row>
    <row r="60">
      <c r="B60" s="34">
        <f>'Raw Data'!G56</f>
        <v/>
      </c>
      <c r="C60" t="n">
        <v>310.3</v>
      </c>
      <c r="D60" s="36">
        <f>C59/C60-1</f>
        <v/>
      </c>
      <c r="F60" s="34">
        <f>'Raw Data'!G56</f>
        <v/>
      </c>
      <c r="G60">
        <f>'Raw Data'!J56</f>
        <v/>
      </c>
      <c r="H60" s="36">
        <f>G59/G60-1</f>
        <v/>
      </c>
    </row>
    <row r="61">
      <c r="B61" s="34">
        <f>'Raw Data'!G57</f>
        <v/>
      </c>
      <c r="C61" t="n">
        <v>310.15</v>
      </c>
      <c r="D61" s="36">
        <f>C60/C61-1</f>
        <v/>
      </c>
      <c r="F61" s="34">
        <f>'Raw Data'!G57</f>
        <v/>
      </c>
      <c r="G61">
        <f>'Raw Data'!J57</f>
        <v/>
      </c>
      <c r="H61" s="36">
        <f>G60/G61-1</f>
        <v/>
      </c>
    </row>
    <row r="62">
      <c r="B62" s="34">
        <f>'Raw Data'!G58</f>
        <v/>
      </c>
      <c r="C62" t="n">
        <v>309.45</v>
      </c>
      <c r="D62" s="36">
        <f>C61/C62-1</f>
        <v/>
      </c>
      <c r="F62" s="34">
        <f>'Raw Data'!G58</f>
        <v/>
      </c>
      <c r="G62">
        <f>'Raw Data'!J58</f>
        <v/>
      </c>
      <c r="H62" s="36">
        <f>G61/G62-1</f>
        <v/>
      </c>
    </row>
    <row r="63">
      <c r="B63" s="34">
        <f>'Raw Data'!G59</f>
        <v/>
      </c>
      <c r="C63" t="n">
        <v>307.2</v>
      </c>
      <c r="D63" s="36">
        <f>C62/C63-1</f>
        <v/>
      </c>
      <c r="F63" s="34">
        <f>'Raw Data'!G59</f>
        <v/>
      </c>
      <c r="G63">
        <f>'Raw Data'!J59</f>
        <v/>
      </c>
      <c r="H63" s="36">
        <f>G62/G63-1</f>
        <v/>
      </c>
    </row>
    <row r="64">
      <c r="B64" s="34">
        <f>'Raw Data'!G60</f>
        <v/>
      </c>
      <c r="C64" t="n">
        <v>304.45</v>
      </c>
      <c r="D64" s="36">
        <f>C63/C64-1</f>
        <v/>
      </c>
      <c r="F64" s="34">
        <f>'Raw Data'!G60</f>
        <v/>
      </c>
      <c r="G64">
        <f>'Raw Data'!J60</f>
        <v/>
      </c>
      <c r="H64" s="36">
        <f>G63/G64-1</f>
        <v/>
      </c>
    </row>
    <row r="65">
      <c r="B65" s="34">
        <f>'Raw Data'!G61</f>
        <v/>
      </c>
      <c r="C65" t="n">
        <v>300.7</v>
      </c>
      <c r="D65" s="36">
        <f>C64/C65-1</f>
        <v/>
      </c>
      <c r="F65" s="34">
        <f>'Raw Data'!G61</f>
        <v/>
      </c>
      <c r="G65">
        <f>'Raw Data'!J61</f>
        <v/>
      </c>
      <c r="H65" s="36">
        <f>G64/G65-1</f>
        <v/>
      </c>
    </row>
    <row r="66">
      <c r="B66" s="34">
        <f>'Raw Data'!G62</f>
        <v/>
      </c>
      <c r="C66" t="n">
        <v>305.85</v>
      </c>
      <c r="D66" s="36">
        <f>C65/C66-1</f>
        <v/>
      </c>
      <c r="F66" s="34">
        <f>'Raw Data'!G62</f>
        <v/>
      </c>
      <c r="G66">
        <f>'Raw Data'!J62</f>
        <v/>
      </c>
      <c r="H66" s="36">
        <f>G65/G66-1</f>
        <v/>
      </c>
    </row>
    <row r="67">
      <c r="B67" s="34">
        <f>'Raw Data'!G63</f>
        <v/>
      </c>
      <c r="C67" t="n">
        <v>307.45</v>
      </c>
      <c r="D67" s="36">
        <f>C66/C67-1</f>
        <v/>
      </c>
      <c r="F67" s="34">
        <f>'Raw Data'!G63</f>
        <v/>
      </c>
      <c r="G67">
        <f>'Raw Data'!J63</f>
        <v/>
      </c>
      <c r="H67" s="36">
        <f>G66/G67-1</f>
        <v/>
      </c>
    </row>
    <row r="68">
      <c r="B68" s="34">
        <f>'Raw Data'!G64</f>
        <v/>
      </c>
      <c r="C68" t="n">
        <v>307.4</v>
      </c>
      <c r="D68" s="36">
        <f>C67/C68-1</f>
        <v/>
      </c>
      <c r="F68" s="34">
        <f>'Raw Data'!G64</f>
        <v/>
      </c>
      <c r="G68">
        <f>'Raw Data'!J64</f>
        <v/>
      </c>
      <c r="H68" s="36">
        <f>G67/G68-1</f>
        <v/>
      </c>
    </row>
    <row r="69">
      <c r="B69" s="34">
        <f>'Raw Data'!G65</f>
        <v/>
      </c>
      <c r="C69" t="n">
        <v>310.7</v>
      </c>
      <c r="D69" s="36">
        <f>C68/C69-1</f>
        <v/>
      </c>
      <c r="F69" s="34">
        <f>'Raw Data'!G65</f>
        <v/>
      </c>
      <c r="G69">
        <f>'Raw Data'!J65</f>
        <v/>
      </c>
      <c r="H69" s="36">
        <f>G68/G69-1</f>
        <v/>
      </c>
    </row>
    <row r="70">
      <c r="B70" s="34">
        <f>'Raw Data'!G66</f>
        <v/>
      </c>
      <c r="C70" t="n">
        <v>311.45</v>
      </c>
      <c r="D70" s="36">
        <f>C69/C70-1</f>
        <v/>
      </c>
      <c r="F70" s="34">
        <f>'Raw Data'!G66</f>
        <v/>
      </c>
      <c r="G70">
        <f>'Raw Data'!J66</f>
        <v/>
      </c>
      <c r="H70" s="36">
        <f>G69/G70-1</f>
        <v/>
      </c>
    </row>
    <row r="71">
      <c r="B71" s="34">
        <f>'Raw Data'!G67</f>
        <v/>
      </c>
      <c r="C71" t="n">
        <v>311.1</v>
      </c>
      <c r="D71" s="36">
        <f>C70/C71-1</f>
        <v/>
      </c>
      <c r="F71" s="34">
        <f>'Raw Data'!G67</f>
        <v/>
      </c>
      <c r="G71">
        <f>'Raw Data'!J67</f>
        <v/>
      </c>
      <c r="H71" s="36">
        <f>G70/G71-1</f>
        <v/>
      </c>
    </row>
    <row r="72">
      <c r="B72" s="34">
        <f>'Raw Data'!G68</f>
        <v/>
      </c>
      <c r="C72" t="n">
        <v>314.9</v>
      </c>
      <c r="D72" s="36">
        <f>C71/C72-1</f>
        <v/>
      </c>
      <c r="F72" s="34">
        <f>'Raw Data'!G68</f>
        <v/>
      </c>
      <c r="G72">
        <f>'Raw Data'!J68</f>
        <v/>
      </c>
      <c r="H72" s="36">
        <f>G71/G72-1</f>
        <v/>
      </c>
    </row>
    <row r="73">
      <c r="B73" s="34">
        <f>'Raw Data'!G69</f>
        <v/>
      </c>
      <c r="C73" t="n">
        <v>316.25</v>
      </c>
      <c r="D73" s="36">
        <f>C72/C73-1</f>
        <v/>
      </c>
      <c r="F73" s="34">
        <f>'Raw Data'!G69</f>
        <v/>
      </c>
      <c r="G73">
        <f>'Raw Data'!J69</f>
        <v/>
      </c>
      <c r="H73" s="36">
        <f>G72/G73-1</f>
        <v/>
      </c>
    </row>
    <row r="74">
      <c r="B74" s="34">
        <f>'Raw Data'!G70</f>
        <v/>
      </c>
      <c r="C74" t="n">
        <v>304.45</v>
      </c>
      <c r="D74" s="36">
        <f>C73/C74-1</f>
        <v/>
      </c>
      <c r="F74" s="34">
        <f>'Raw Data'!G70</f>
        <v/>
      </c>
      <c r="G74">
        <f>'Raw Data'!J70</f>
        <v/>
      </c>
      <c r="H74" s="36">
        <f>G73/G74-1</f>
        <v/>
      </c>
    </row>
    <row r="75">
      <c r="B75" s="34">
        <f>'Raw Data'!G71</f>
        <v/>
      </c>
      <c r="C75" t="n">
        <v>303.85</v>
      </c>
      <c r="D75" s="36">
        <f>C74/C75-1</f>
        <v/>
      </c>
      <c r="F75" s="34">
        <f>'Raw Data'!G71</f>
        <v/>
      </c>
      <c r="G75">
        <f>'Raw Data'!J71</f>
        <v/>
      </c>
      <c r="H75" s="36">
        <f>G74/G75-1</f>
        <v/>
      </c>
    </row>
    <row r="76">
      <c r="B76" s="34">
        <f>'Raw Data'!G72</f>
        <v/>
      </c>
      <c r="C76" t="n">
        <v>301.6</v>
      </c>
      <c r="D76" s="36">
        <f>C75/C76-1</f>
        <v/>
      </c>
      <c r="F76" s="34">
        <f>'Raw Data'!G72</f>
        <v/>
      </c>
      <c r="G76">
        <f>'Raw Data'!J72</f>
        <v/>
      </c>
      <c r="H76" s="36">
        <f>G75/G76-1</f>
        <v/>
      </c>
    </row>
    <row r="77">
      <c r="B77" s="34">
        <f>'Raw Data'!G73</f>
        <v/>
      </c>
      <c r="C77" t="n">
        <v>305.3</v>
      </c>
      <c r="D77" s="36">
        <f>C76/C77-1</f>
        <v/>
      </c>
      <c r="F77" s="34">
        <f>'Raw Data'!G73</f>
        <v/>
      </c>
      <c r="G77">
        <f>'Raw Data'!J73</f>
        <v/>
      </c>
      <c r="H77" s="36">
        <f>G76/G77-1</f>
        <v/>
      </c>
    </row>
    <row r="78">
      <c r="B78" s="34">
        <f>'Raw Data'!G74</f>
        <v/>
      </c>
      <c r="C78" t="n">
        <v>305.5</v>
      </c>
      <c r="D78" s="36">
        <f>C77/C78-1</f>
        <v/>
      </c>
      <c r="F78" s="34">
        <f>'Raw Data'!G74</f>
        <v/>
      </c>
      <c r="G78">
        <f>'Raw Data'!J74</f>
        <v/>
      </c>
      <c r="H78" s="36">
        <f>G77/G78-1</f>
        <v/>
      </c>
    </row>
    <row r="79">
      <c r="B79" s="34">
        <f>'Raw Data'!G75</f>
        <v/>
      </c>
      <c r="C79" t="n">
        <v>309.65</v>
      </c>
      <c r="D79" s="36">
        <f>C78/C79-1</f>
        <v/>
      </c>
      <c r="F79" s="34">
        <f>'Raw Data'!G75</f>
        <v/>
      </c>
      <c r="G79">
        <f>'Raw Data'!J75</f>
        <v/>
      </c>
      <c r="H79" s="36">
        <f>G78/G79-1</f>
        <v/>
      </c>
    </row>
    <row r="80">
      <c r="B80" s="34">
        <f>'Raw Data'!G76</f>
        <v/>
      </c>
      <c r="C80" t="n">
        <v>305</v>
      </c>
      <c r="D80" s="36">
        <f>C79/C80-1</f>
        <v/>
      </c>
      <c r="F80" s="34">
        <f>'Raw Data'!G76</f>
        <v/>
      </c>
      <c r="G80">
        <f>'Raw Data'!J76</f>
        <v/>
      </c>
      <c r="H80" s="36">
        <f>G79/G80-1</f>
        <v/>
      </c>
    </row>
    <row r="81">
      <c r="B81" s="34">
        <f>'Raw Data'!G77</f>
        <v/>
      </c>
      <c r="C81" t="n">
        <v>306.8</v>
      </c>
      <c r="D81" s="36">
        <f>C80/C81-1</f>
        <v/>
      </c>
      <c r="F81" s="34">
        <f>'Raw Data'!G77</f>
        <v/>
      </c>
      <c r="G81">
        <f>'Raw Data'!J77</f>
        <v/>
      </c>
      <c r="H81" s="36">
        <f>G80/G81-1</f>
        <v/>
      </c>
    </row>
    <row r="82">
      <c r="B82" s="34">
        <f>'Raw Data'!G78</f>
        <v/>
      </c>
      <c r="C82" t="n">
        <v>303.4</v>
      </c>
      <c r="D82" s="36">
        <f>C81/C82-1</f>
        <v/>
      </c>
      <c r="F82" s="34">
        <f>'Raw Data'!G78</f>
        <v/>
      </c>
      <c r="G82">
        <f>'Raw Data'!J78</f>
        <v/>
      </c>
      <c r="H82" s="36">
        <f>G81/G82-1</f>
        <v/>
      </c>
    </row>
    <row r="83">
      <c r="B83" s="34">
        <f>'Raw Data'!G79</f>
        <v/>
      </c>
      <c r="C83" t="n">
        <v>302.05</v>
      </c>
      <c r="D83" s="36">
        <f>C82/C83-1</f>
        <v/>
      </c>
      <c r="F83" s="34">
        <f>'Raw Data'!G79</f>
        <v/>
      </c>
      <c r="G83">
        <f>'Raw Data'!J79</f>
        <v/>
      </c>
      <c r="H83" s="36">
        <f>G82/G83-1</f>
        <v/>
      </c>
    </row>
    <row r="84">
      <c r="B84" s="34">
        <f>'Raw Data'!G80</f>
        <v/>
      </c>
      <c r="C84" t="n">
        <v>298.65</v>
      </c>
      <c r="D84" s="36">
        <f>C83/C84-1</f>
        <v/>
      </c>
      <c r="F84" s="34">
        <f>'Raw Data'!G80</f>
        <v/>
      </c>
      <c r="G84">
        <f>'Raw Data'!J80</f>
        <v/>
      </c>
      <c r="H84" s="36">
        <f>G83/G84-1</f>
        <v/>
      </c>
    </row>
    <row r="85">
      <c r="B85" s="34">
        <f>'Raw Data'!G81</f>
        <v/>
      </c>
      <c r="C85" t="n">
        <v>304.25</v>
      </c>
      <c r="D85" s="36">
        <f>C84/C85-1</f>
        <v/>
      </c>
      <c r="F85" s="34">
        <f>'Raw Data'!G81</f>
        <v/>
      </c>
      <c r="G85">
        <f>'Raw Data'!J81</f>
        <v/>
      </c>
      <c r="H85" s="36">
        <f>G84/G85-1</f>
        <v/>
      </c>
    </row>
    <row r="86">
      <c r="B86" s="34">
        <f>'Raw Data'!G82</f>
        <v/>
      </c>
      <c r="C86" t="n">
        <v>303</v>
      </c>
      <c r="D86" s="36">
        <f>C85/C86-1</f>
        <v/>
      </c>
      <c r="F86" s="34">
        <f>'Raw Data'!G82</f>
        <v/>
      </c>
      <c r="G86">
        <f>'Raw Data'!J82</f>
        <v/>
      </c>
      <c r="H86" s="36">
        <f>G85/G86-1</f>
        <v/>
      </c>
    </row>
    <row r="87">
      <c r="B87" s="34">
        <f>'Raw Data'!G83</f>
        <v/>
      </c>
      <c r="C87" t="n">
        <v>302.45</v>
      </c>
      <c r="D87" s="36">
        <f>C86/C87-1</f>
        <v/>
      </c>
      <c r="F87" s="34">
        <f>'Raw Data'!G83</f>
        <v/>
      </c>
      <c r="G87">
        <f>'Raw Data'!J83</f>
        <v/>
      </c>
      <c r="H87" s="36">
        <f>G86/G87-1</f>
        <v/>
      </c>
    </row>
    <row r="88">
      <c r="B88" s="34">
        <f>'Raw Data'!G84</f>
        <v/>
      </c>
      <c r="C88" t="n">
        <v>298.45</v>
      </c>
      <c r="D88" s="36">
        <f>C87/C88-1</f>
        <v/>
      </c>
      <c r="F88" s="34">
        <f>'Raw Data'!G84</f>
        <v/>
      </c>
      <c r="G88">
        <f>'Raw Data'!J84</f>
        <v/>
      </c>
      <c r="H88" s="36">
        <f>G87/G88-1</f>
        <v/>
      </c>
    </row>
    <row r="89">
      <c r="B89" s="34">
        <f>'Raw Data'!G85</f>
        <v/>
      </c>
      <c r="C89" t="n">
        <v>294.85</v>
      </c>
      <c r="D89" s="36">
        <f>C88/C89-1</f>
        <v/>
      </c>
      <c r="F89" s="34">
        <f>'Raw Data'!G85</f>
        <v/>
      </c>
      <c r="G89">
        <f>'Raw Data'!J85</f>
        <v/>
      </c>
      <c r="H89" s="36">
        <f>G88/G89-1</f>
        <v/>
      </c>
    </row>
    <row r="90">
      <c r="B90" s="34">
        <f>'Raw Data'!G86</f>
        <v/>
      </c>
      <c r="C90" t="n">
        <v>292.85</v>
      </c>
      <c r="D90" s="36">
        <f>C89/C90-1</f>
        <v/>
      </c>
      <c r="F90" s="34">
        <f>'Raw Data'!G86</f>
        <v/>
      </c>
      <c r="G90">
        <f>'Raw Data'!J86</f>
        <v/>
      </c>
      <c r="H90" s="36">
        <f>G89/G90-1</f>
        <v/>
      </c>
    </row>
    <row r="91">
      <c r="B91" s="34">
        <f>'Raw Data'!G87</f>
        <v/>
      </c>
      <c r="C91" t="n">
        <v>291.7</v>
      </c>
      <c r="D91" s="36">
        <f>C90/C91-1</f>
        <v/>
      </c>
      <c r="F91" s="34">
        <f>'Raw Data'!G87</f>
        <v/>
      </c>
      <c r="G91">
        <f>'Raw Data'!J87</f>
        <v/>
      </c>
      <c r="H91" s="36">
        <f>G90/G91-1</f>
        <v/>
      </c>
    </row>
    <row r="92">
      <c r="B92" s="34">
        <f>'Raw Data'!G88</f>
        <v/>
      </c>
      <c r="C92" t="n">
        <v>287.7</v>
      </c>
      <c r="D92" s="36">
        <f>C91/C92-1</f>
        <v/>
      </c>
      <c r="F92" s="34">
        <f>'Raw Data'!G88</f>
        <v/>
      </c>
      <c r="G92">
        <f>'Raw Data'!J88</f>
        <v/>
      </c>
      <c r="H92" s="36">
        <f>G91/G92-1</f>
        <v/>
      </c>
    </row>
    <row r="93">
      <c r="B93" s="34">
        <f>'Raw Data'!G89</f>
        <v/>
      </c>
      <c r="C93" t="n">
        <v>294.7</v>
      </c>
      <c r="D93" s="36">
        <f>C92/C93-1</f>
        <v/>
      </c>
      <c r="F93" s="34">
        <f>'Raw Data'!G89</f>
        <v/>
      </c>
      <c r="G93">
        <f>'Raw Data'!J89</f>
        <v/>
      </c>
      <c r="H93" s="36">
        <f>G92/G93-1</f>
        <v/>
      </c>
    </row>
    <row r="94">
      <c r="B94" s="34">
        <f>'Raw Data'!G90</f>
        <v/>
      </c>
      <c r="C94" t="n">
        <v>295.7</v>
      </c>
      <c r="D94" s="36">
        <f>C93/C94-1</f>
        <v/>
      </c>
      <c r="F94" s="34">
        <f>'Raw Data'!G90</f>
        <v/>
      </c>
      <c r="G94">
        <f>'Raw Data'!J90</f>
        <v/>
      </c>
      <c r="H94" s="36">
        <f>G93/G94-1</f>
        <v/>
      </c>
    </row>
    <row r="95">
      <c r="B95" s="34">
        <f>'Raw Data'!G91</f>
        <v/>
      </c>
      <c r="C95" t="n">
        <v>291.25</v>
      </c>
      <c r="D95" s="36">
        <f>C94/C95-1</f>
        <v/>
      </c>
      <c r="F95" s="34">
        <f>'Raw Data'!G91</f>
        <v/>
      </c>
      <c r="G95">
        <f>'Raw Data'!J91</f>
        <v/>
      </c>
      <c r="H95" s="36">
        <f>G94/G95-1</f>
        <v/>
      </c>
    </row>
    <row r="96">
      <c r="B96" s="34">
        <f>'Raw Data'!G92</f>
        <v/>
      </c>
      <c r="C96" t="n">
        <v>290.45</v>
      </c>
      <c r="D96" s="36">
        <f>C95/C96-1</f>
        <v/>
      </c>
      <c r="F96" s="34">
        <f>'Raw Data'!G92</f>
        <v/>
      </c>
      <c r="G96">
        <f>'Raw Data'!J92</f>
        <v/>
      </c>
      <c r="H96" s="36">
        <f>G95/G96-1</f>
        <v/>
      </c>
    </row>
    <row r="97">
      <c r="B97" s="34">
        <f>'Raw Data'!G93</f>
        <v/>
      </c>
      <c r="C97" t="n">
        <v>299.95</v>
      </c>
      <c r="D97" s="36">
        <f>C96/C97-1</f>
        <v/>
      </c>
      <c r="F97" s="34">
        <f>'Raw Data'!G93</f>
        <v/>
      </c>
      <c r="G97">
        <f>'Raw Data'!J93</f>
        <v/>
      </c>
      <c r="H97" s="36">
        <f>G96/G97-1</f>
        <v/>
      </c>
    </row>
    <row r="98">
      <c r="B98" s="34">
        <f>'Raw Data'!G94</f>
        <v/>
      </c>
      <c r="C98" t="n">
        <v>298</v>
      </c>
      <c r="D98" s="36">
        <f>C97/C98-1</f>
        <v/>
      </c>
      <c r="F98" s="34">
        <f>'Raw Data'!G94</f>
        <v/>
      </c>
      <c r="G98">
        <f>'Raw Data'!J94</f>
        <v/>
      </c>
      <c r="H98" s="36">
        <f>G97/G98-1</f>
        <v/>
      </c>
    </row>
    <row r="99">
      <c r="B99" s="34">
        <f>'Raw Data'!G95</f>
        <v/>
      </c>
      <c r="C99" t="n">
        <v>304.05</v>
      </c>
      <c r="D99" s="36">
        <f>C98/C99-1</f>
        <v/>
      </c>
      <c r="F99" s="34">
        <f>'Raw Data'!G95</f>
        <v/>
      </c>
      <c r="G99">
        <f>'Raw Data'!J95</f>
        <v/>
      </c>
      <c r="H99" s="36">
        <f>G98/G99-1</f>
        <v/>
      </c>
    </row>
    <row r="100">
      <c r="B100" s="34">
        <f>'Raw Data'!G96</f>
        <v/>
      </c>
      <c r="C100" t="n">
        <v>304.85</v>
      </c>
      <c r="D100" s="36">
        <f>C99/C100-1</f>
        <v/>
      </c>
      <c r="F100" s="34">
        <f>'Raw Data'!G96</f>
        <v/>
      </c>
      <c r="G100">
        <f>'Raw Data'!J96</f>
        <v/>
      </c>
      <c r="H100" s="36">
        <f>G99/G100-1</f>
        <v/>
      </c>
    </row>
    <row r="101">
      <c r="B101" s="34">
        <f>'Raw Data'!G97</f>
        <v/>
      </c>
      <c r="C101" t="n">
        <v>308.25</v>
      </c>
      <c r="D101" s="36">
        <f>C100/C101-1</f>
        <v/>
      </c>
      <c r="F101" s="34">
        <f>'Raw Data'!G97</f>
        <v/>
      </c>
      <c r="G101">
        <f>'Raw Data'!J97</f>
        <v/>
      </c>
      <c r="H101" s="36">
        <f>G100/G101-1</f>
        <v/>
      </c>
    </row>
    <row r="102">
      <c r="B102" s="34">
        <f>'Raw Data'!G98</f>
        <v/>
      </c>
      <c r="C102" t="n">
        <v>301.45</v>
      </c>
      <c r="D102" s="36">
        <f>C101/C102-1</f>
        <v/>
      </c>
      <c r="F102" s="34">
        <f>'Raw Data'!G98</f>
        <v/>
      </c>
      <c r="G102">
        <f>'Raw Data'!J98</f>
        <v/>
      </c>
      <c r="H102" s="36">
        <f>G101/G102-1</f>
        <v/>
      </c>
    </row>
    <row r="103">
      <c r="B103" s="34">
        <f>'Raw Data'!G99</f>
        <v/>
      </c>
      <c r="C103" t="n">
        <v>304.1</v>
      </c>
      <c r="D103" s="36">
        <f>C102/C103-1</f>
        <v/>
      </c>
      <c r="F103" s="34">
        <f>'Raw Data'!G99</f>
        <v/>
      </c>
      <c r="G103">
        <f>'Raw Data'!J99</f>
        <v/>
      </c>
      <c r="H103" s="36">
        <f>G102/G103-1</f>
        <v/>
      </c>
    </row>
    <row r="104">
      <c r="B104" s="34">
        <f>'Raw Data'!G100</f>
        <v/>
      </c>
      <c r="C104" t="n">
        <v>309</v>
      </c>
      <c r="D104" s="36">
        <f>C103/C104-1</f>
        <v/>
      </c>
      <c r="F104" s="34">
        <f>'Raw Data'!G100</f>
        <v/>
      </c>
      <c r="G104">
        <f>'Raw Data'!J100</f>
        <v/>
      </c>
      <c r="H104" s="36">
        <f>G103/G104-1</f>
        <v/>
      </c>
    </row>
    <row r="105">
      <c r="B105" s="34">
        <f>'Raw Data'!G101</f>
        <v/>
      </c>
      <c r="C105" t="n">
        <v>309.05</v>
      </c>
      <c r="D105" s="36">
        <f>C104/C105-1</f>
        <v/>
      </c>
      <c r="F105" s="34">
        <f>'Raw Data'!G101</f>
        <v/>
      </c>
      <c r="G105">
        <f>'Raw Data'!J101</f>
        <v/>
      </c>
      <c r="H105" s="36">
        <f>G104/G105-1</f>
        <v/>
      </c>
    </row>
    <row r="106">
      <c r="B106" s="34">
        <f>'Raw Data'!G102</f>
        <v/>
      </c>
      <c r="C106" t="n">
        <v>306</v>
      </c>
      <c r="D106" s="36">
        <f>C105/C106-1</f>
        <v/>
      </c>
      <c r="F106" s="34">
        <f>'Raw Data'!G102</f>
        <v/>
      </c>
      <c r="G106">
        <f>'Raw Data'!J102</f>
        <v/>
      </c>
      <c r="H106" s="36">
        <f>G105/G106-1</f>
        <v/>
      </c>
    </row>
    <row r="107">
      <c r="B107" s="34">
        <f>'Raw Data'!G103</f>
        <v/>
      </c>
      <c r="C107" t="n">
        <v>309.7</v>
      </c>
      <c r="D107" s="36">
        <f>C106/C107-1</f>
        <v/>
      </c>
      <c r="F107" s="34">
        <f>'Raw Data'!G103</f>
        <v/>
      </c>
      <c r="G107">
        <f>'Raw Data'!J103</f>
        <v/>
      </c>
      <c r="H107" s="36">
        <f>G106/G107-1</f>
        <v/>
      </c>
    </row>
    <row r="108">
      <c r="B108" s="34">
        <f>'Raw Data'!G104</f>
        <v/>
      </c>
      <c r="C108" t="n">
        <v>311.5</v>
      </c>
      <c r="D108" s="36">
        <f>C107/C108-1</f>
        <v/>
      </c>
      <c r="F108" s="34">
        <f>'Raw Data'!G104</f>
        <v/>
      </c>
      <c r="G108">
        <f>'Raw Data'!J104</f>
        <v/>
      </c>
      <c r="H108" s="36">
        <f>G107/G108-1</f>
        <v/>
      </c>
    </row>
    <row r="109">
      <c r="B109" s="34">
        <f>'Raw Data'!G105</f>
        <v/>
      </c>
      <c r="C109" t="n">
        <v>311.95</v>
      </c>
      <c r="D109" s="36">
        <f>C108/C109-1</f>
        <v/>
      </c>
      <c r="F109" s="34">
        <f>'Raw Data'!G105</f>
        <v/>
      </c>
      <c r="G109">
        <f>'Raw Data'!J105</f>
        <v/>
      </c>
      <c r="H109" s="36">
        <f>G108/G109-1</f>
        <v/>
      </c>
    </row>
    <row r="110">
      <c r="B110" s="34">
        <f>'Raw Data'!G106</f>
        <v/>
      </c>
      <c r="C110" t="n">
        <v>314.9</v>
      </c>
      <c r="D110" s="36">
        <f>C109/C110-1</f>
        <v/>
      </c>
      <c r="F110" s="34">
        <f>'Raw Data'!G106</f>
        <v/>
      </c>
      <c r="G110">
        <f>'Raw Data'!J106</f>
        <v/>
      </c>
      <c r="H110" s="36">
        <f>G109/G110-1</f>
        <v/>
      </c>
    </row>
    <row r="111">
      <c r="B111" s="34">
        <f>'Raw Data'!G107</f>
        <v/>
      </c>
      <c r="C111" t="n">
        <v>313.6</v>
      </c>
      <c r="D111" s="36">
        <f>C110/C111-1</f>
        <v/>
      </c>
      <c r="F111" s="34">
        <f>'Raw Data'!G107</f>
        <v/>
      </c>
      <c r="G111">
        <f>'Raw Data'!J107</f>
        <v/>
      </c>
      <c r="H111" s="36">
        <f>G110/G111-1</f>
        <v/>
      </c>
    </row>
    <row r="112">
      <c r="B112" s="34">
        <f>'Raw Data'!G108</f>
        <v/>
      </c>
      <c r="C112" t="n">
        <v>318.3</v>
      </c>
      <c r="D112" s="36">
        <f>C111/C112-1</f>
        <v/>
      </c>
      <c r="F112" s="34">
        <f>'Raw Data'!G108</f>
        <v/>
      </c>
      <c r="G112">
        <f>'Raw Data'!J108</f>
        <v/>
      </c>
      <c r="H112" s="36">
        <f>G111/G112-1</f>
        <v/>
      </c>
    </row>
    <row r="113">
      <c r="B113" s="34">
        <f>'Raw Data'!G109</f>
        <v/>
      </c>
      <c r="C113" t="n">
        <v>319.75</v>
      </c>
      <c r="D113" s="36">
        <f>C112/C113-1</f>
        <v/>
      </c>
      <c r="F113" s="34">
        <f>'Raw Data'!G109</f>
        <v/>
      </c>
      <c r="G113">
        <f>'Raw Data'!J109</f>
        <v/>
      </c>
      <c r="H113" s="36">
        <f>G112/G113-1</f>
        <v/>
      </c>
    </row>
    <row r="114">
      <c r="B114" s="34">
        <f>'Raw Data'!G110</f>
        <v/>
      </c>
      <c r="C114" t="n">
        <v>323.5</v>
      </c>
      <c r="D114" s="36">
        <f>C113/C114-1</f>
        <v/>
      </c>
      <c r="F114" s="34">
        <f>'Raw Data'!G110</f>
        <v/>
      </c>
      <c r="G114">
        <f>'Raw Data'!J110</f>
        <v/>
      </c>
      <c r="H114" s="36">
        <f>G113/G114-1</f>
        <v/>
      </c>
    </row>
    <row r="115">
      <c r="B115" s="34">
        <f>'Raw Data'!G111</f>
        <v/>
      </c>
      <c r="C115" t="n">
        <v>325.4</v>
      </c>
      <c r="D115" s="36">
        <f>C114/C115-1</f>
        <v/>
      </c>
      <c r="F115" s="34">
        <f>'Raw Data'!G111</f>
        <v/>
      </c>
      <c r="G115">
        <f>'Raw Data'!J111</f>
        <v/>
      </c>
      <c r="H115" s="36">
        <f>G114/G115-1</f>
        <v/>
      </c>
    </row>
    <row r="116">
      <c r="B116" s="34">
        <f>'Raw Data'!G112</f>
        <v/>
      </c>
      <c r="C116" t="n">
        <v>327</v>
      </c>
      <c r="D116" s="36">
        <f>C115/C116-1</f>
        <v/>
      </c>
      <c r="F116" s="34">
        <f>'Raw Data'!G112</f>
        <v/>
      </c>
      <c r="G116">
        <f>'Raw Data'!J112</f>
        <v/>
      </c>
      <c r="H116" s="36">
        <f>G115/G116-1</f>
        <v/>
      </c>
    </row>
    <row r="117">
      <c r="B117" s="34">
        <f>'Raw Data'!G113</f>
        <v/>
      </c>
      <c r="C117" t="n">
        <v>326</v>
      </c>
      <c r="D117" s="36">
        <f>C116/C117-1</f>
        <v/>
      </c>
      <c r="F117" s="34">
        <f>'Raw Data'!G113</f>
        <v/>
      </c>
      <c r="G117">
        <f>'Raw Data'!J113</f>
        <v/>
      </c>
      <c r="H117" s="36">
        <f>G116/G117-1</f>
        <v/>
      </c>
    </row>
    <row r="118">
      <c r="B118" s="34">
        <f>'Raw Data'!G114</f>
        <v/>
      </c>
      <c r="C118" t="n">
        <v>332.45</v>
      </c>
      <c r="D118" s="36">
        <f>C117/C118-1</f>
        <v/>
      </c>
      <c r="F118" s="34">
        <f>'Raw Data'!G114</f>
        <v/>
      </c>
      <c r="G118">
        <f>'Raw Data'!J114</f>
        <v/>
      </c>
      <c r="H118" s="36">
        <f>G117/G118-1</f>
        <v/>
      </c>
    </row>
    <row r="119">
      <c r="B119" s="34">
        <f>'Raw Data'!G115</f>
        <v/>
      </c>
      <c r="C119" t="n">
        <v>325.45</v>
      </c>
      <c r="D119" s="36">
        <f>C118/C119-1</f>
        <v/>
      </c>
      <c r="F119" s="34">
        <f>'Raw Data'!G115</f>
        <v/>
      </c>
      <c r="G119">
        <f>'Raw Data'!J115</f>
        <v/>
      </c>
      <c r="H119" s="36">
        <f>G118/G119-1</f>
        <v/>
      </c>
    </row>
    <row r="120">
      <c r="B120" s="34">
        <f>'Raw Data'!G116</f>
        <v/>
      </c>
      <c r="C120" t="n">
        <v>317.95</v>
      </c>
      <c r="D120" s="36">
        <f>C119/C120-1</f>
        <v/>
      </c>
      <c r="F120" s="34">
        <f>'Raw Data'!G116</f>
        <v/>
      </c>
      <c r="G120">
        <f>'Raw Data'!J116</f>
        <v/>
      </c>
      <c r="H120" s="36">
        <f>G119/G120-1</f>
        <v/>
      </c>
    </row>
    <row r="121">
      <c r="B121" s="34">
        <f>'Raw Data'!G117</f>
        <v/>
      </c>
      <c r="C121" t="n">
        <v>313.75</v>
      </c>
      <c r="D121" s="36">
        <f>C120/C121-1</f>
        <v/>
      </c>
      <c r="F121" s="34">
        <f>'Raw Data'!G117</f>
        <v/>
      </c>
      <c r="G121">
        <f>'Raw Data'!J117</f>
        <v/>
      </c>
      <c r="H121" s="36">
        <f>G120/G121-1</f>
        <v/>
      </c>
    </row>
    <row r="122">
      <c r="B122" s="34">
        <f>'Raw Data'!G118</f>
        <v/>
      </c>
      <c r="C122" t="n">
        <v>317.45</v>
      </c>
      <c r="D122" s="36">
        <f>C121/C122-1</f>
        <v/>
      </c>
      <c r="F122" s="34">
        <f>'Raw Data'!G118</f>
        <v/>
      </c>
      <c r="G122">
        <f>'Raw Data'!J118</f>
        <v/>
      </c>
      <c r="H122" s="36">
        <f>G121/G122-1</f>
        <v/>
      </c>
    </row>
    <row r="123">
      <c r="B123" s="34">
        <f>'Raw Data'!G119</f>
        <v/>
      </c>
      <c r="C123" t="n">
        <v>318.25</v>
      </c>
      <c r="D123" s="36">
        <f>C122/C123-1</f>
        <v/>
      </c>
      <c r="F123" s="34">
        <f>'Raw Data'!G119</f>
        <v/>
      </c>
      <c r="G123">
        <f>'Raw Data'!J119</f>
        <v/>
      </c>
      <c r="H123" s="36">
        <f>G122/G123-1</f>
        <v/>
      </c>
    </row>
    <row r="124">
      <c r="B124" s="34">
        <f>'Raw Data'!G120</f>
        <v/>
      </c>
      <c r="C124" t="n">
        <v>321.4</v>
      </c>
      <c r="D124" s="36">
        <f>C123/C124-1</f>
        <v/>
      </c>
      <c r="F124" s="34">
        <f>'Raw Data'!G120</f>
        <v/>
      </c>
      <c r="G124">
        <f>'Raw Data'!J120</f>
        <v/>
      </c>
      <c r="H124" s="36">
        <f>G123/G124-1</f>
        <v/>
      </c>
    </row>
    <row r="125">
      <c r="B125" s="34">
        <f>'Raw Data'!G121</f>
        <v/>
      </c>
      <c r="C125" t="n">
        <v>322.8</v>
      </c>
      <c r="D125" s="36">
        <f>C124/C125-1</f>
        <v/>
      </c>
      <c r="F125" s="34">
        <f>'Raw Data'!G121</f>
        <v/>
      </c>
      <c r="G125">
        <f>'Raw Data'!J121</f>
        <v/>
      </c>
      <c r="H125" s="36">
        <f>G124/G125-1</f>
        <v/>
      </c>
    </row>
    <row r="126">
      <c r="B126" s="34">
        <f>'Raw Data'!G122</f>
        <v/>
      </c>
      <c r="C126" t="n">
        <v>325.8</v>
      </c>
      <c r="D126" s="36">
        <f>C125/C126-1</f>
        <v/>
      </c>
      <c r="F126" s="34">
        <f>'Raw Data'!G122</f>
        <v/>
      </c>
      <c r="G126">
        <f>'Raw Data'!J122</f>
        <v/>
      </c>
      <c r="H126" s="36">
        <f>G125/G126-1</f>
        <v/>
      </c>
    </row>
    <row r="127">
      <c r="B127" s="34">
        <f>'Raw Data'!G123</f>
        <v/>
      </c>
      <c r="C127" t="n">
        <v>310.2</v>
      </c>
      <c r="D127" s="36">
        <f>C126/C127-1</f>
        <v/>
      </c>
      <c r="F127" s="34">
        <f>'Raw Data'!G123</f>
        <v/>
      </c>
      <c r="G127">
        <f>'Raw Data'!J123</f>
        <v/>
      </c>
      <c r="H127" s="36">
        <f>G126/G127-1</f>
        <v/>
      </c>
    </row>
    <row r="128">
      <c r="B128" s="34">
        <f>'Raw Data'!G124</f>
        <v/>
      </c>
      <c r="C128" t="n">
        <v>313.85</v>
      </c>
      <c r="D128" s="36">
        <f>C127/C128-1</f>
        <v/>
      </c>
      <c r="F128" s="34">
        <f>'Raw Data'!G124</f>
        <v/>
      </c>
      <c r="G128">
        <f>'Raw Data'!J124</f>
        <v/>
      </c>
      <c r="H128" s="36">
        <f>G127/G128-1</f>
        <v/>
      </c>
    </row>
    <row r="129">
      <c r="B129" s="34">
        <f>'Raw Data'!G125</f>
        <v/>
      </c>
      <c r="C129" t="n">
        <v>316.65</v>
      </c>
      <c r="D129" s="36">
        <f>C128/C129-1</f>
        <v/>
      </c>
      <c r="F129" s="34">
        <f>'Raw Data'!G125</f>
        <v/>
      </c>
      <c r="G129">
        <f>'Raw Data'!J125</f>
        <v/>
      </c>
      <c r="H129" s="36">
        <f>G128/G129-1</f>
        <v/>
      </c>
    </row>
    <row r="130">
      <c r="B130" s="34">
        <f>'Raw Data'!G126</f>
        <v/>
      </c>
      <c r="C130" t="n">
        <v>314.7</v>
      </c>
      <c r="D130" s="36">
        <f>C129/C130-1</f>
        <v/>
      </c>
      <c r="F130" s="34">
        <f>'Raw Data'!G126</f>
        <v/>
      </c>
      <c r="G130">
        <f>'Raw Data'!J126</f>
        <v/>
      </c>
      <c r="H130" s="36">
        <f>G129/G130-1</f>
        <v/>
      </c>
    </row>
    <row r="131">
      <c r="B131" s="34">
        <f>'Raw Data'!G127</f>
        <v/>
      </c>
      <c r="C131" t="n">
        <v>309.45</v>
      </c>
      <c r="D131" s="36">
        <f>C130/C131-1</f>
        <v/>
      </c>
      <c r="F131" s="34">
        <f>'Raw Data'!G127</f>
        <v/>
      </c>
      <c r="G131">
        <f>'Raw Data'!J127</f>
        <v/>
      </c>
      <c r="H131" s="36">
        <f>G130/G131-1</f>
        <v/>
      </c>
    </row>
    <row r="132">
      <c r="B132" s="34">
        <f>'Raw Data'!G128</f>
        <v/>
      </c>
      <c r="C132" t="n">
        <v>322.15</v>
      </c>
      <c r="D132" s="36">
        <f>C131/C132-1</f>
        <v/>
      </c>
      <c r="F132" s="34">
        <f>'Raw Data'!G128</f>
        <v/>
      </c>
      <c r="G132">
        <f>'Raw Data'!J128</f>
        <v/>
      </c>
      <c r="H132" s="36">
        <f>G131/G132-1</f>
        <v/>
      </c>
    </row>
    <row r="133">
      <c r="B133" s="34">
        <f>'Raw Data'!G129</f>
        <v/>
      </c>
      <c r="C133" t="n">
        <v>318.6</v>
      </c>
      <c r="D133" s="36">
        <f>C132/C133-1</f>
        <v/>
      </c>
      <c r="F133" s="34">
        <f>'Raw Data'!G129</f>
        <v/>
      </c>
      <c r="G133">
        <f>'Raw Data'!J129</f>
        <v/>
      </c>
      <c r="H133" s="36">
        <f>G132/G133-1</f>
        <v/>
      </c>
    </row>
    <row r="134">
      <c r="B134" s="34">
        <f>'Raw Data'!G130</f>
        <v/>
      </c>
      <c r="C134" t="n">
        <v>321.15</v>
      </c>
      <c r="D134" s="36">
        <f>C133/C134-1</f>
        <v/>
      </c>
      <c r="F134" s="34">
        <f>'Raw Data'!G130</f>
        <v/>
      </c>
      <c r="G134">
        <f>'Raw Data'!J130</f>
        <v/>
      </c>
      <c r="H134" s="36">
        <f>G133/G134-1</f>
        <v/>
      </c>
    </row>
    <row r="135">
      <c r="B135" s="34">
        <f>'Raw Data'!G131</f>
        <v/>
      </c>
      <c r="C135" t="n">
        <v>318.65</v>
      </c>
      <c r="D135" s="36">
        <f>C134/C135-1</f>
        <v/>
      </c>
      <c r="F135" s="34">
        <f>'Raw Data'!G131</f>
        <v/>
      </c>
      <c r="G135">
        <f>'Raw Data'!J131</f>
        <v/>
      </c>
      <c r="H135" s="36">
        <f>G134/G135-1</f>
        <v/>
      </c>
    </row>
    <row r="136">
      <c r="B136" s="34">
        <f>'Raw Data'!G132</f>
        <v/>
      </c>
      <c r="C136" t="n">
        <v>323.4</v>
      </c>
      <c r="D136" s="36">
        <f>C135/C136-1</f>
        <v/>
      </c>
      <c r="F136" s="34">
        <f>'Raw Data'!G132</f>
        <v/>
      </c>
      <c r="G136">
        <f>'Raw Data'!J132</f>
        <v/>
      </c>
      <c r="H136" s="36">
        <f>G135/G136-1</f>
        <v/>
      </c>
    </row>
    <row r="137">
      <c r="B137" s="34">
        <f>'Raw Data'!G133</f>
        <v/>
      </c>
      <c r="C137" t="n">
        <v>324.85</v>
      </c>
      <c r="D137" s="36">
        <f>C136/C137-1</f>
        <v/>
      </c>
      <c r="F137" s="34">
        <f>'Raw Data'!G133</f>
        <v/>
      </c>
      <c r="G137">
        <f>'Raw Data'!J133</f>
        <v/>
      </c>
      <c r="H137" s="36">
        <f>G136/G137-1</f>
        <v/>
      </c>
    </row>
    <row r="138">
      <c r="B138" s="34">
        <f>'Raw Data'!G134</f>
        <v/>
      </c>
      <c r="C138" t="n">
        <v>324.75</v>
      </c>
      <c r="D138" s="36">
        <f>C137/C138-1</f>
        <v/>
      </c>
      <c r="F138" s="34">
        <f>'Raw Data'!G134</f>
        <v/>
      </c>
      <c r="G138">
        <f>'Raw Data'!J134</f>
        <v/>
      </c>
      <c r="H138" s="36">
        <f>G137/G138-1</f>
        <v/>
      </c>
    </row>
    <row r="139">
      <c r="B139" s="34">
        <f>'Raw Data'!G135</f>
        <v/>
      </c>
      <c r="C139" t="n">
        <v>326.3</v>
      </c>
      <c r="D139" s="36">
        <f>C138/C139-1</f>
        <v/>
      </c>
      <c r="F139" s="34">
        <f>'Raw Data'!G135</f>
        <v/>
      </c>
      <c r="G139">
        <f>'Raw Data'!J135</f>
        <v/>
      </c>
      <c r="H139" s="36">
        <f>G138/G139-1</f>
        <v/>
      </c>
    </row>
    <row r="140">
      <c r="B140" s="34">
        <f>'Raw Data'!G136</f>
        <v/>
      </c>
      <c r="C140" t="n">
        <v>333.2</v>
      </c>
      <c r="D140" s="36">
        <f>C139/C140-1</f>
        <v/>
      </c>
      <c r="F140" s="34">
        <f>'Raw Data'!G136</f>
        <v/>
      </c>
      <c r="G140">
        <f>'Raw Data'!J136</f>
        <v/>
      </c>
      <c r="H140" s="36">
        <f>G139/G140-1</f>
        <v/>
      </c>
    </row>
    <row r="141">
      <c r="B141" s="34">
        <f>'Raw Data'!G137</f>
        <v/>
      </c>
      <c r="C141" t="n">
        <v>329.2</v>
      </c>
      <c r="D141" s="36">
        <f>C140/C141-1</f>
        <v/>
      </c>
      <c r="F141" s="34">
        <f>'Raw Data'!G137</f>
        <v/>
      </c>
      <c r="G141">
        <f>'Raw Data'!J137</f>
        <v/>
      </c>
      <c r="H141" s="36">
        <f>G140/G141-1</f>
        <v/>
      </c>
    </row>
    <row r="142">
      <c r="B142" s="34">
        <f>'Raw Data'!G138</f>
        <v/>
      </c>
      <c r="C142" t="n">
        <v>334.75</v>
      </c>
      <c r="D142" s="36">
        <f>C141/C142-1</f>
        <v/>
      </c>
      <c r="F142" s="34">
        <f>'Raw Data'!G138</f>
        <v/>
      </c>
      <c r="G142">
        <f>'Raw Data'!J138</f>
        <v/>
      </c>
      <c r="H142" s="36">
        <f>G141/G142-1</f>
        <v/>
      </c>
    </row>
    <row r="143">
      <c r="B143" s="34">
        <f>'Raw Data'!G139</f>
        <v/>
      </c>
      <c r="C143" t="n">
        <v>334.7</v>
      </c>
      <c r="D143" s="36">
        <f>C142/C143-1</f>
        <v/>
      </c>
      <c r="F143" s="34">
        <f>'Raw Data'!G139</f>
        <v/>
      </c>
      <c r="G143">
        <f>'Raw Data'!J139</f>
        <v/>
      </c>
      <c r="H143" s="36">
        <f>G142/G143-1</f>
        <v/>
      </c>
    </row>
    <row r="144">
      <c r="B144" s="34">
        <f>'Raw Data'!G140</f>
        <v/>
      </c>
      <c r="C144" t="n">
        <v>338.4</v>
      </c>
      <c r="D144" s="36">
        <f>C143/C144-1</f>
        <v/>
      </c>
      <c r="F144" s="34">
        <f>'Raw Data'!G140</f>
        <v/>
      </c>
      <c r="G144">
        <f>'Raw Data'!J140</f>
        <v/>
      </c>
      <c r="H144" s="36">
        <f>G143/G144-1</f>
        <v/>
      </c>
    </row>
    <row r="145">
      <c r="B145" s="34">
        <f>'Raw Data'!G141</f>
        <v/>
      </c>
      <c r="C145" t="n">
        <v>337.15</v>
      </c>
      <c r="D145" s="36">
        <f>C144/C145-1</f>
        <v/>
      </c>
      <c r="F145" s="34">
        <f>'Raw Data'!G141</f>
        <v/>
      </c>
      <c r="G145">
        <f>'Raw Data'!J141</f>
        <v/>
      </c>
      <c r="H145" s="36">
        <f>G144/G145-1</f>
        <v/>
      </c>
    </row>
    <row r="146">
      <c r="B146" s="34">
        <f>'Raw Data'!G142</f>
        <v/>
      </c>
      <c r="C146" t="n">
        <v>340.9</v>
      </c>
      <c r="D146" s="36">
        <f>C145/C146-1</f>
        <v/>
      </c>
      <c r="F146" s="34">
        <f>'Raw Data'!G142</f>
        <v/>
      </c>
      <c r="G146">
        <f>'Raw Data'!J142</f>
        <v/>
      </c>
      <c r="H146" s="36">
        <f>G145/G146-1</f>
        <v/>
      </c>
    </row>
    <row r="147">
      <c r="B147" s="34">
        <f>'Raw Data'!G143</f>
        <v/>
      </c>
      <c r="C147" t="n">
        <v>341.25</v>
      </c>
      <c r="D147" s="36">
        <f>C146/C147-1</f>
        <v/>
      </c>
      <c r="F147" s="34">
        <f>'Raw Data'!G143</f>
        <v/>
      </c>
      <c r="G147">
        <f>'Raw Data'!J143</f>
        <v/>
      </c>
      <c r="H147" s="36">
        <f>G146/G147-1</f>
        <v/>
      </c>
    </row>
    <row r="148">
      <c r="B148" s="34">
        <f>'Raw Data'!G144</f>
        <v/>
      </c>
      <c r="C148" t="n">
        <v>342.45</v>
      </c>
      <c r="D148" s="36">
        <f>C147/C148-1</f>
        <v/>
      </c>
      <c r="F148" s="34">
        <f>'Raw Data'!G144</f>
        <v/>
      </c>
      <c r="G148">
        <f>'Raw Data'!J144</f>
        <v/>
      </c>
      <c r="H148" s="36">
        <f>G147/G148-1</f>
        <v/>
      </c>
    </row>
    <row r="149">
      <c r="B149" s="34">
        <f>'Raw Data'!G145</f>
        <v/>
      </c>
      <c r="C149" t="n">
        <v>349.7</v>
      </c>
      <c r="D149" s="36">
        <f>C148/C149-1</f>
        <v/>
      </c>
      <c r="F149" s="34">
        <f>'Raw Data'!G145</f>
        <v/>
      </c>
      <c r="G149">
        <f>'Raw Data'!J145</f>
        <v/>
      </c>
      <c r="H149" s="36">
        <f>G148/G149-1</f>
        <v/>
      </c>
    </row>
    <row r="150">
      <c r="B150" s="34">
        <f>'Raw Data'!G146</f>
        <v/>
      </c>
      <c r="C150" t="n">
        <v>350.05</v>
      </c>
      <c r="D150" s="36">
        <f>C149/C150-1</f>
        <v/>
      </c>
      <c r="F150" s="34">
        <f>'Raw Data'!G146</f>
        <v/>
      </c>
      <c r="G150">
        <f>'Raw Data'!J146</f>
        <v/>
      </c>
      <c r="H150" s="36">
        <f>G149/G150-1</f>
        <v/>
      </c>
    </row>
    <row r="151">
      <c r="B151" s="34">
        <f>'Raw Data'!G147</f>
        <v/>
      </c>
      <c r="C151" t="n">
        <v>363.85</v>
      </c>
      <c r="D151" s="36">
        <f>C150/C151-1</f>
        <v/>
      </c>
      <c r="F151" s="34">
        <f>'Raw Data'!G147</f>
        <v/>
      </c>
      <c r="G151">
        <f>'Raw Data'!J147</f>
        <v/>
      </c>
      <c r="H151" s="36">
        <f>G150/G151-1</f>
        <v/>
      </c>
    </row>
    <row r="152">
      <c r="B152" s="34">
        <f>'Raw Data'!G148</f>
        <v/>
      </c>
      <c r="C152" t="n">
        <v>403</v>
      </c>
      <c r="D152" s="36">
        <f>C151/C152-1</f>
        <v/>
      </c>
      <c r="F152" s="34">
        <f>'Raw Data'!G148</f>
        <v/>
      </c>
      <c r="G152">
        <f>'Raw Data'!J148</f>
        <v/>
      </c>
      <c r="H152" s="36">
        <f>G151/G152-1</f>
        <v/>
      </c>
    </row>
    <row r="153">
      <c r="B153" s="34">
        <f>'Raw Data'!G149</f>
        <v/>
      </c>
      <c r="C153" t="n">
        <v>400.6</v>
      </c>
      <c r="D153" s="36">
        <f>C152/C153-1</f>
        <v/>
      </c>
      <c r="F153" s="34">
        <f>'Raw Data'!G149</f>
        <v/>
      </c>
      <c r="G153">
        <f>'Raw Data'!J149</f>
        <v/>
      </c>
      <c r="H153" s="36">
        <f>G152/G153-1</f>
        <v/>
      </c>
    </row>
    <row r="154">
      <c r="B154" s="34">
        <f>'Raw Data'!G150</f>
        <v/>
      </c>
      <c r="C154" t="n">
        <v>402.6</v>
      </c>
      <c r="D154" s="36">
        <f>C153/C154-1</f>
        <v/>
      </c>
      <c r="F154" s="34">
        <f>'Raw Data'!G150</f>
        <v/>
      </c>
      <c r="G154">
        <f>'Raw Data'!J150</f>
        <v/>
      </c>
      <c r="H154" s="36">
        <f>G153/G154-1</f>
        <v/>
      </c>
    </row>
    <row r="155">
      <c r="B155" s="34">
        <f>'Raw Data'!G151</f>
        <v/>
      </c>
      <c r="C155" t="n">
        <v>404.15</v>
      </c>
      <c r="D155" s="36">
        <f>C154/C155-1</f>
        <v/>
      </c>
      <c r="F155" s="34">
        <f>'Raw Data'!G151</f>
        <v/>
      </c>
      <c r="G155">
        <f>'Raw Data'!J151</f>
        <v/>
      </c>
      <c r="H155" s="36">
        <f>G154/G155-1</f>
        <v/>
      </c>
    </row>
    <row r="156">
      <c r="B156" s="34">
        <f>'Raw Data'!G152</f>
        <v/>
      </c>
      <c r="C156" t="n">
        <v>406.6</v>
      </c>
      <c r="D156" s="36">
        <f>C155/C156-1</f>
        <v/>
      </c>
      <c r="F156" s="34">
        <f>'Raw Data'!G152</f>
        <v/>
      </c>
      <c r="G156">
        <f>'Raw Data'!J152</f>
        <v/>
      </c>
      <c r="H156" s="36">
        <f>G155/G156-1</f>
        <v/>
      </c>
    </row>
    <row r="157">
      <c r="B157" s="34">
        <f>'Raw Data'!G153</f>
        <v/>
      </c>
      <c r="C157" t="n">
        <v>407.35</v>
      </c>
      <c r="D157" s="36">
        <f>C156/C157-1</f>
        <v/>
      </c>
      <c r="F157" s="34">
        <f>'Raw Data'!G153</f>
        <v/>
      </c>
      <c r="G157">
        <f>'Raw Data'!J153</f>
        <v/>
      </c>
      <c r="H157" s="36">
        <f>G156/G157-1</f>
        <v/>
      </c>
    </row>
    <row r="158">
      <c r="B158" s="34">
        <f>'Raw Data'!G154</f>
        <v/>
      </c>
      <c r="C158" t="n">
        <v>402.7</v>
      </c>
      <c r="D158" s="36">
        <f>C157/C158-1</f>
        <v/>
      </c>
      <c r="F158" s="34">
        <f>'Raw Data'!G154</f>
        <v/>
      </c>
      <c r="G158">
        <f>'Raw Data'!J154</f>
        <v/>
      </c>
      <c r="H158" s="36">
        <f>G157/G158-1</f>
        <v/>
      </c>
    </row>
    <row r="159">
      <c r="B159" s="34">
        <f>'Raw Data'!G155</f>
        <v/>
      </c>
      <c r="C159" t="n">
        <v>401.05</v>
      </c>
      <c r="D159" s="36">
        <f>C158/C159-1</f>
        <v/>
      </c>
      <c r="F159" s="34">
        <f>'Raw Data'!G155</f>
        <v/>
      </c>
      <c r="G159">
        <f>'Raw Data'!J155</f>
        <v/>
      </c>
      <c r="H159" s="36">
        <f>G158/G159-1</f>
        <v/>
      </c>
    </row>
    <row r="160">
      <c r="B160" s="34">
        <f>'Raw Data'!G156</f>
        <v/>
      </c>
      <c r="C160" t="n">
        <v>400.4</v>
      </c>
      <c r="D160" s="36">
        <f>C159/C160-1</f>
        <v/>
      </c>
      <c r="F160" s="34">
        <f>'Raw Data'!G156</f>
        <v/>
      </c>
      <c r="G160">
        <f>'Raw Data'!J156</f>
        <v/>
      </c>
      <c r="H160" s="36">
        <f>G159/G160-1</f>
        <v/>
      </c>
    </row>
    <row r="161">
      <c r="B161" s="34">
        <f>'Raw Data'!G157</f>
        <v/>
      </c>
      <c r="C161" t="n">
        <v>399.8</v>
      </c>
      <c r="D161" s="36">
        <f>C160/C161-1</f>
        <v/>
      </c>
      <c r="F161" s="34">
        <f>'Raw Data'!G157</f>
        <v/>
      </c>
      <c r="G161">
        <f>'Raw Data'!J157</f>
        <v/>
      </c>
      <c r="H161" s="36">
        <f>G160/G161-1</f>
        <v/>
      </c>
    </row>
    <row r="162">
      <c r="B162" s="34">
        <f>'Raw Data'!G158</f>
        <v/>
      </c>
      <c r="C162" t="n">
        <v>401.7</v>
      </c>
      <c r="D162" s="36">
        <f>C161/C162-1</f>
        <v/>
      </c>
      <c r="F162" s="34">
        <f>'Raw Data'!G158</f>
        <v/>
      </c>
      <c r="G162">
        <f>'Raw Data'!J158</f>
        <v/>
      </c>
      <c r="H162" s="36">
        <f>G161/G162-1</f>
        <v/>
      </c>
    </row>
    <row r="163">
      <c r="B163" s="34">
        <f>'Raw Data'!G159</f>
        <v/>
      </c>
      <c r="C163" t="n">
        <v>402.3</v>
      </c>
      <c r="D163" s="36">
        <f>C162/C163-1</f>
        <v/>
      </c>
      <c r="F163" s="34">
        <f>'Raw Data'!G159</f>
        <v/>
      </c>
      <c r="G163">
        <f>'Raw Data'!J159</f>
        <v/>
      </c>
      <c r="H163" s="36">
        <f>G162/G163-1</f>
        <v/>
      </c>
    </row>
    <row r="164">
      <c r="B164" s="34">
        <f>'Raw Data'!G160</f>
        <v/>
      </c>
      <c r="C164" t="n">
        <v>400.1</v>
      </c>
      <c r="D164" s="36">
        <f>C163/C164-1</f>
        <v/>
      </c>
      <c r="F164" s="34">
        <f>'Raw Data'!G160</f>
        <v/>
      </c>
      <c r="G164">
        <f>'Raw Data'!J160</f>
        <v/>
      </c>
      <c r="H164" s="36">
        <f>G163/G164-1</f>
        <v/>
      </c>
    </row>
    <row r="165">
      <c r="B165" s="34">
        <f>'Raw Data'!G161</f>
        <v/>
      </c>
      <c r="C165" t="n">
        <v>402.9</v>
      </c>
      <c r="D165" s="36">
        <f>C164/C165-1</f>
        <v/>
      </c>
      <c r="F165" s="34">
        <f>'Raw Data'!G161</f>
        <v/>
      </c>
      <c r="G165">
        <f>'Raw Data'!J161</f>
        <v/>
      </c>
      <c r="H165" s="36">
        <f>G164/G165-1</f>
        <v/>
      </c>
    </row>
    <row r="166">
      <c r="B166" s="34">
        <f>'Raw Data'!G162</f>
        <v/>
      </c>
      <c r="C166" t="n">
        <v>403.15</v>
      </c>
      <c r="D166" s="36">
        <f>C165/C166-1</f>
        <v/>
      </c>
      <c r="F166" s="34">
        <f>'Raw Data'!G162</f>
        <v/>
      </c>
      <c r="G166">
        <f>'Raw Data'!J162</f>
        <v/>
      </c>
      <c r="H166" s="36">
        <f>G165/G166-1</f>
        <v/>
      </c>
    </row>
    <row r="167">
      <c r="B167" s="34">
        <f>'Raw Data'!G163</f>
        <v/>
      </c>
      <c r="C167" t="n">
        <v>401.05</v>
      </c>
      <c r="D167" s="36">
        <f>C166/C167-1</f>
        <v/>
      </c>
      <c r="F167" s="34">
        <f>'Raw Data'!G163</f>
        <v/>
      </c>
      <c r="G167">
        <f>'Raw Data'!J163</f>
        <v/>
      </c>
      <c r="H167" s="36">
        <f>G166/G167-1</f>
        <v/>
      </c>
    </row>
    <row r="168">
      <c r="B168" s="34">
        <f>'Raw Data'!G164</f>
        <v/>
      </c>
      <c r="C168" t="n">
        <v>402.3</v>
      </c>
      <c r="D168" s="36">
        <f>C167/C168-1</f>
        <v/>
      </c>
      <c r="F168" s="34">
        <f>'Raw Data'!G164</f>
        <v/>
      </c>
      <c r="G168">
        <f>'Raw Data'!J164</f>
        <v/>
      </c>
      <c r="H168" s="36">
        <f>G167/G168-1</f>
        <v/>
      </c>
    </row>
    <row r="169">
      <c r="B169" s="34">
        <f>'Raw Data'!G165</f>
        <v/>
      </c>
      <c r="C169" t="n">
        <v>404.95</v>
      </c>
      <c r="D169" s="36">
        <f>C168/C169-1</f>
        <v/>
      </c>
      <c r="F169" s="34">
        <f>'Raw Data'!G165</f>
        <v/>
      </c>
      <c r="G169">
        <f>'Raw Data'!J165</f>
        <v/>
      </c>
      <c r="H169" s="36">
        <f>G168/G169-1</f>
        <v/>
      </c>
    </row>
    <row r="170">
      <c r="B170" s="34">
        <f>'Raw Data'!G166</f>
        <v/>
      </c>
      <c r="C170" t="n">
        <v>403.05</v>
      </c>
      <c r="D170" s="36">
        <f>C169/C170-1</f>
        <v/>
      </c>
      <c r="F170" s="34">
        <f>'Raw Data'!G166</f>
        <v/>
      </c>
      <c r="G170">
        <f>'Raw Data'!J166</f>
        <v/>
      </c>
      <c r="H170" s="36">
        <f>G169/G170-1</f>
        <v/>
      </c>
    </row>
    <row r="171">
      <c r="B171" s="34">
        <f>'Raw Data'!G167</f>
        <v/>
      </c>
      <c r="C171" t="n">
        <v>400.5</v>
      </c>
      <c r="D171" s="36">
        <f>C170/C171-1</f>
        <v/>
      </c>
      <c r="F171" s="34">
        <f>'Raw Data'!G167</f>
        <v/>
      </c>
      <c r="G171">
        <f>'Raw Data'!J167</f>
        <v/>
      </c>
      <c r="H171" s="36">
        <f>G170/G171-1</f>
        <v/>
      </c>
    </row>
    <row r="172">
      <c r="B172" s="34">
        <f>'Raw Data'!G168</f>
        <v/>
      </c>
      <c r="C172" t="n">
        <v>400.95</v>
      </c>
      <c r="D172" s="36">
        <f>C171/C172-1</f>
        <v/>
      </c>
      <c r="F172" s="34">
        <f>'Raw Data'!G168</f>
        <v/>
      </c>
      <c r="G172">
        <f>'Raw Data'!J168</f>
        <v/>
      </c>
      <c r="H172" s="36">
        <f>G171/G172-1</f>
        <v/>
      </c>
    </row>
    <row r="173">
      <c r="B173" s="34">
        <f>'Raw Data'!G169</f>
        <v/>
      </c>
      <c r="C173" t="n">
        <v>404.25</v>
      </c>
      <c r="D173" s="36">
        <f>C172/C173-1</f>
        <v/>
      </c>
      <c r="F173" s="34">
        <f>'Raw Data'!G169</f>
        <v/>
      </c>
      <c r="G173">
        <f>'Raw Data'!J169</f>
        <v/>
      </c>
      <c r="H173" s="36">
        <f>G172/G173-1</f>
        <v/>
      </c>
    </row>
    <row r="174">
      <c r="B174" s="34">
        <f>'Raw Data'!G170</f>
        <v/>
      </c>
      <c r="C174" t="n">
        <v>404.25</v>
      </c>
      <c r="D174" s="36">
        <f>C173/C174-1</f>
        <v/>
      </c>
      <c r="F174" s="34">
        <f>'Raw Data'!G170</f>
        <v/>
      </c>
      <c r="G174">
        <f>'Raw Data'!J170</f>
        <v/>
      </c>
      <c r="H174" s="36">
        <f>G173/G174-1</f>
        <v/>
      </c>
    </row>
    <row r="175">
      <c r="B175" s="34">
        <f>'Raw Data'!G171</f>
        <v/>
      </c>
      <c r="C175" t="n">
        <v>404.3</v>
      </c>
      <c r="D175" s="36">
        <f>C174/C175-1</f>
        <v/>
      </c>
      <c r="F175" s="34">
        <f>'Raw Data'!G171</f>
        <v/>
      </c>
      <c r="G175">
        <f>'Raw Data'!J171</f>
        <v/>
      </c>
      <c r="H175" s="36">
        <f>G174/G175-1</f>
        <v/>
      </c>
    </row>
    <row r="176">
      <c r="B176" s="34">
        <f>'Raw Data'!G172</f>
        <v/>
      </c>
      <c r="C176" t="n">
        <v>402.3</v>
      </c>
      <c r="D176" s="36">
        <f>C175/C176-1</f>
        <v/>
      </c>
      <c r="F176" s="34">
        <f>'Raw Data'!G172</f>
        <v/>
      </c>
      <c r="G176">
        <f>'Raw Data'!J172</f>
        <v/>
      </c>
      <c r="H176" s="36">
        <f>G175/G176-1</f>
        <v/>
      </c>
    </row>
    <row r="177">
      <c r="B177" s="34">
        <f>'Raw Data'!G173</f>
        <v/>
      </c>
      <c r="C177" t="n">
        <v>400.8</v>
      </c>
      <c r="D177" s="36">
        <f>C176/C177-1</f>
        <v/>
      </c>
      <c r="F177" s="34">
        <f>'Raw Data'!G173</f>
        <v/>
      </c>
      <c r="G177">
        <f>'Raw Data'!J173</f>
        <v/>
      </c>
      <c r="H177" s="36">
        <f>G176/G177-1</f>
        <v/>
      </c>
    </row>
    <row r="178">
      <c r="B178" s="34">
        <f>'Raw Data'!G174</f>
        <v/>
      </c>
      <c r="C178" t="n">
        <v>403.55</v>
      </c>
      <c r="D178" s="36">
        <f>C177/C178-1</f>
        <v/>
      </c>
      <c r="F178" s="34">
        <f>'Raw Data'!G174</f>
        <v/>
      </c>
      <c r="G178">
        <f>'Raw Data'!J174</f>
        <v/>
      </c>
      <c r="H178" s="36">
        <f>G177/G178-1</f>
        <v/>
      </c>
    </row>
    <row r="179">
      <c r="B179" s="34">
        <f>'Raw Data'!G175</f>
        <v/>
      </c>
      <c r="C179" t="n">
        <v>407.85</v>
      </c>
      <c r="D179" s="36">
        <f>C178/C179-1</f>
        <v/>
      </c>
      <c r="F179" s="34">
        <f>'Raw Data'!G175</f>
        <v/>
      </c>
      <c r="G179">
        <f>'Raw Data'!J175</f>
        <v/>
      </c>
      <c r="H179" s="36">
        <f>G178/G179-1</f>
        <v/>
      </c>
    </row>
    <row r="180">
      <c r="B180" s="34">
        <f>'Raw Data'!G176</f>
        <v/>
      </c>
      <c r="C180" t="n">
        <v>405.45</v>
      </c>
      <c r="D180" s="36">
        <f>C179/C180-1</f>
        <v/>
      </c>
      <c r="F180" s="34">
        <f>'Raw Data'!G176</f>
        <v/>
      </c>
      <c r="G180">
        <f>'Raw Data'!J176</f>
        <v/>
      </c>
      <c r="H180" s="36">
        <f>G179/G180-1</f>
        <v/>
      </c>
    </row>
    <row r="181">
      <c r="B181" s="34">
        <f>'Raw Data'!G177</f>
        <v/>
      </c>
      <c r="C181" t="n">
        <v>403.55</v>
      </c>
      <c r="D181" s="36">
        <f>C180/C181-1</f>
        <v/>
      </c>
      <c r="F181" s="34">
        <f>'Raw Data'!G177</f>
        <v/>
      </c>
      <c r="G181">
        <f>'Raw Data'!J177</f>
        <v/>
      </c>
      <c r="H181" s="36">
        <f>G180/G181-1</f>
        <v/>
      </c>
    </row>
    <row r="182">
      <c r="B182" s="34">
        <f>'Raw Data'!G178</f>
        <v/>
      </c>
      <c r="C182" t="n">
        <v>405.85</v>
      </c>
      <c r="D182" s="36">
        <f>C181/C182-1</f>
        <v/>
      </c>
      <c r="F182" s="34">
        <f>'Raw Data'!G178</f>
        <v/>
      </c>
      <c r="G182">
        <f>'Raw Data'!J178</f>
        <v/>
      </c>
      <c r="H182" s="36">
        <f>G181/G182-1</f>
        <v/>
      </c>
    </row>
    <row r="183">
      <c r="B183" s="34">
        <f>'Raw Data'!G179</f>
        <v/>
      </c>
      <c r="C183" t="n">
        <v>407.1</v>
      </c>
      <c r="D183" s="36">
        <f>C182/C183-1</f>
        <v/>
      </c>
      <c r="F183" s="34">
        <f>'Raw Data'!G179</f>
        <v/>
      </c>
      <c r="G183">
        <f>'Raw Data'!J179</f>
        <v/>
      </c>
      <c r="H183" s="36">
        <f>G182/G183-1</f>
        <v/>
      </c>
    </row>
    <row r="184">
      <c r="B184" s="34">
        <f>'Raw Data'!G180</f>
        <v/>
      </c>
      <c r="C184" t="n">
        <v>408.15</v>
      </c>
      <c r="D184" s="36">
        <f>C183/C184-1</f>
        <v/>
      </c>
      <c r="F184" s="34">
        <f>'Raw Data'!G180</f>
        <v/>
      </c>
      <c r="G184">
        <f>'Raw Data'!J180</f>
        <v/>
      </c>
      <c r="H184" s="36">
        <f>G183/G184-1</f>
        <v/>
      </c>
    </row>
    <row r="185">
      <c r="B185" s="34">
        <f>'Raw Data'!G181</f>
        <v/>
      </c>
      <c r="C185" t="n">
        <v>405.7</v>
      </c>
      <c r="D185" s="36">
        <f>C184/C185-1</f>
        <v/>
      </c>
      <c r="F185" s="34">
        <f>'Raw Data'!G181</f>
        <v/>
      </c>
      <c r="G185">
        <f>'Raw Data'!J181</f>
        <v/>
      </c>
      <c r="H185" s="36">
        <f>G184/G185-1</f>
        <v/>
      </c>
    </row>
    <row r="186">
      <c r="B186" s="34">
        <f>'Raw Data'!G182</f>
        <v/>
      </c>
      <c r="C186" t="n">
        <v>407</v>
      </c>
      <c r="D186" s="36">
        <f>C185/C186-1</f>
        <v/>
      </c>
      <c r="F186" s="34">
        <f>'Raw Data'!G182</f>
        <v/>
      </c>
      <c r="G186">
        <f>'Raw Data'!J182</f>
        <v/>
      </c>
      <c r="H186" s="36">
        <f>G185/G186-1</f>
        <v/>
      </c>
    </row>
    <row r="187">
      <c r="B187" s="34">
        <f>'Raw Data'!G183</f>
        <v/>
      </c>
      <c r="C187" t="n">
        <v>406.85</v>
      </c>
      <c r="D187" s="36">
        <f>C186/C187-1</f>
        <v/>
      </c>
      <c r="F187" s="34">
        <f>'Raw Data'!G183</f>
        <v/>
      </c>
      <c r="G187">
        <f>'Raw Data'!J183</f>
        <v/>
      </c>
      <c r="H187" s="36">
        <f>G186/G187-1</f>
        <v/>
      </c>
    </row>
    <row r="188">
      <c r="B188" s="34">
        <f>'Raw Data'!G184</f>
        <v/>
      </c>
      <c r="C188" t="n">
        <v>405.55</v>
      </c>
      <c r="D188" s="36">
        <f>C187/C188-1</f>
        <v/>
      </c>
      <c r="F188" s="34">
        <f>'Raw Data'!G184</f>
        <v/>
      </c>
      <c r="G188">
        <f>'Raw Data'!J184</f>
        <v/>
      </c>
      <c r="H188" s="36">
        <f>G187/G188-1</f>
        <v/>
      </c>
    </row>
    <row r="189">
      <c r="B189" s="34">
        <f>'Raw Data'!G185</f>
        <v/>
      </c>
      <c r="C189" t="n">
        <v>404.05</v>
      </c>
      <c r="D189" s="36">
        <f>C188/C189-1</f>
        <v/>
      </c>
      <c r="F189" s="34">
        <f>'Raw Data'!G185</f>
        <v/>
      </c>
      <c r="G189">
        <f>'Raw Data'!J185</f>
        <v/>
      </c>
      <c r="H189" s="36">
        <f>G188/G189-1</f>
        <v/>
      </c>
    </row>
    <row r="190">
      <c r="B190" s="34">
        <f>'Raw Data'!G186</f>
        <v/>
      </c>
      <c r="C190" t="n">
        <v>407.5</v>
      </c>
      <c r="D190" s="36">
        <f>C189/C190-1</f>
        <v/>
      </c>
      <c r="F190" s="34">
        <f>'Raw Data'!G186</f>
        <v/>
      </c>
      <c r="G190">
        <f>'Raw Data'!J186</f>
        <v/>
      </c>
      <c r="H190" s="36">
        <f>G189/G190-1</f>
        <v/>
      </c>
    </row>
    <row r="191">
      <c r="B191" s="34">
        <f>'Raw Data'!G187</f>
        <v/>
      </c>
      <c r="C191" t="n">
        <v>408.9</v>
      </c>
      <c r="D191" s="36">
        <f>C190/C191-1</f>
        <v/>
      </c>
      <c r="F191" s="34">
        <f>'Raw Data'!G187</f>
        <v/>
      </c>
      <c r="G191">
        <f>'Raw Data'!J187</f>
        <v/>
      </c>
      <c r="H191" s="36">
        <f>G190/G191-1</f>
        <v/>
      </c>
    </row>
    <row r="192">
      <c r="B192" s="34">
        <f>'Raw Data'!G188</f>
        <v/>
      </c>
      <c r="C192" t="n">
        <v>413.95</v>
      </c>
      <c r="D192" s="36">
        <f>C191/C192-1</f>
        <v/>
      </c>
      <c r="F192" s="34">
        <f>'Raw Data'!G188</f>
        <v/>
      </c>
      <c r="G192">
        <f>'Raw Data'!J188</f>
        <v/>
      </c>
      <c r="H192" s="36">
        <f>G191/G192-1</f>
        <v/>
      </c>
    </row>
    <row r="193">
      <c r="B193" s="34">
        <f>'Raw Data'!G189</f>
        <v/>
      </c>
      <c r="C193" t="n">
        <v>420.35</v>
      </c>
      <c r="D193" s="36">
        <f>C192/C193-1</f>
        <v/>
      </c>
      <c r="F193" s="34">
        <f>'Raw Data'!G189</f>
        <v/>
      </c>
      <c r="G193">
        <f>'Raw Data'!J189</f>
        <v/>
      </c>
      <c r="H193" s="36">
        <f>G192/G193-1</f>
        <v/>
      </c>
    </row>
    <row r="194">
      <c r="B194" s="34">
        <f>'Raw Data'!G190</f>
        <v/>
      </c>
      <c r="C194" t="n">
        <v>418.75</v>
      </c>
      <c r="D194" s="36">
        <f>C193/C194-1</f>
        <v/>
      </c>
      <c r="F194" s="34">
        <f>'Raw Data'!G190</f>
        <v/>
      </c>
      <c r="G194">
        <f>'Raw Data'!J190</f>
        <v/>
      </c>
      <c r="H194" s="36">
        <f>G193/G194-1</f>
        <v/>
      </c>
    </row>
    <row r="195">
      <c r="B195" s="34">
        <f>'Raw Data'!G191</f>
        <v/>
      </c>
      <c r="C195" t="n">
        <v>421.6</v>
      </c>
      <c r="D195" s="36">
        <f>C194/C195-1</f>
        <v/>
      </c>
      <c r="F195" s="34">
        <f>'Raw Data'!G191</f>
        <v/>
      </c>
      <c r="G195">
        <f>'Raw Data'!J191</f>
        <v/>
      </c>
      <c r="H195" s="36">
        <f>G194/G195-1</f>
        <v/>
      </c>
    </row>
    <row r="196">
      <c r="B196" s="34">
        <f>'Raw Data'!G192</f>
        <v/>
      </c>
      <c r="C196" t="n">
        <v>417.9</v>
      </c>
      <c r="D196" s="36">
        <f>C195/C196-1</f>
        <v/>
      </c>
      <c r="F196" s="34">
        <f>'Raw Data'!G192</f>
        <v/>
      </c>
      <c r="G196">
        <f>'Raw Data'!J192</f>
        <v/>
      </c>
      <c r="H196" s="36">
        <f>G195/G196-1</f>
        <v/>
      </c>
    </row>
    <row r="197">
      <c r="B197" s="34">
        <f>'Raw Data'!G193</f>
        <v/>
      </c>
      <c r="C197" t="n">
        <v>420.65</v>
      </c>
      <c r="D197" s="36">
        <f>C196/C197-1</f>
        <v/>
      </c>
      <c r="F197" s="34">
        <f>'Raw Data'!G193</f>
        <v/>
      </c>
      <c r="G197">
        <f>'Raw Data'!J193</f>
        <v/>
      </c>
      <c r="H197" s="36">
        <f>G196/G197-1</f>
        <v/>
      </c>
    </row>
    <row r="198">
      <c r="B198" s="34">
        <f>'Raw Data'!G194</f>
        <v/>
      </c>
      <c r="C198" t="n">
        <v>416.8</v>
      </c>
      <c r="D198" s="36">
        <f>C197/C198-1</f>
        <v/>
      </c>
      <c r="F198" s="34">
        <f>'Raw Data'!G194</f>
        <v/>
      </c>
      <c r="G198">
        <f>'Raw Data'!J194</f>
        <v/>
      </c>
      <c r="H198" s="36">
        <f>G197/G198-1</f>
        <v/>
      </c>
    </row>
    <row r="199">
      <c r="B199" s="34">
        <f>'Raw Data'!G195</f>
        <v/>
      </c>
      <c r="C199" t="n">
        <v>415.95</v>
      </c>
      <c r="D199" s="36">
        <f>C198/C199-1</f>
        <v/>
      </c>
      <c r="F199" s="34">
        <f>'Raw Data'!G195</f>
        <v/>
      </c>
      <c r="G199">
        <f>'Raw Data'!J195</f>
        <v/>
      </c>
      <c r="H199" s="36">
        <f>G198/G199-1</f>
        <v/>
      </c>
    </row>
    <row r="200">
      <c r="B200" s="34">
        <f>'Raw Data'!G196</f>
        <v/>
      </c>
      <c r="C200" t="n">
        <v>412.85</v>
      </c>
      <c r="D200" s="36">
        <f>C199/C200-1</f>
        <v/>
      </c>
      <c r="F200" s="34">
        <f>'Raw Data'!G196</f>
        <v/>
      </c>
      <c r="G200">
        <f>'Raw Data'!J196</f>
        <v/>
      </c>
      <c r="H200" s="36">
        <f>G199/G200-1</f>
        <v/>
      </c>
    </row>
    <row r="201">
      <c r="B201" s="34">
        <f>'Raw Data'!G197</f>
        <v/>
      </c>
      <c r="C201" t="n">
        <v>413.05</v>
      </c>
      <c r="D201" s="36">
        <f>C200/C201-1</f>
        <v/>
      </c>
      <c r="F201" s="34">
        <f>'Raw Data'!G197</f>
        <v/>
      </c>
      <c r="G201">
        <f>'Raw Data'!J197</f>
        <v/>
      </c>
      <c r="H201" s="36">
        <f>G200/G201-1</f>
        <v/>
      </c>
    </row>
    <row r="202">
      <c r="B202" s="34">
        <f>'Raw Data'!G198</f>
        <v/>
      </c>
      <c r="C202" t="n">
        <v>412.15</v>
      </c>
      <c r="D202" s="36">
        <f>C201/C202-1</f>
        <v/>
      </c>
      <c r="F202" s="34">
        <f>'Raw Data'!G198</f>
        <v/>
      </c>
      <c r="G202">
        <f>'Raw Data'!J198</f>
        <v/>
      </c>
      <c r="H202" s="36">
        <f>G201/G202-1</f>
        <v/>
      </c>
    </row>
    <row r="203">
      <c r="B203" s="34">
        <f>'Raw Data'!G199</f>
        <v/>
      </c>
      <c r="C203" t="n">
        <v>405.15</v>
      </c>
      <c r="D203" s="36">
        <f>C202/C203-1</f>
        <v/>
      </c>
      <c r="F203" s="34">
        <f>'Raw Data'!G199</f>
        <v/>
      </c>
      <c r="G203">
        <f>'Raw Data'!J199</f>
        <v/>
      </c>
      <c r="H203" s="36">
        <f>G202/G203-1</f>
        <v/>
      </c>
    </row>
    <row r="204">
      <c r="B204" s="34">
        <f>'Raw Data'!G200</f>
        <v/>
      </c>
      <c r="C204" t="n">
        <v>399.9</v>
      </c>
      <c r="D204" s="36">
        <f>C203/C204-1</f>
        <v/>
      </c>
      <c r="F204" s="34">
        <f>'Raw Data'!G200</f>
        <v/>
      </c>
      <c r="G204">
        <f>'Raw Data'!J200</f>
        <v/>
      </c>
      <c r="H204" s="36">
        <f>G203/G204-1</f>
        <v/>
      </c>
    </row>
    <row r="205">
      <c r="B205" s="34">
        <f>'Raw Data'!G201</f>
        <v/>
      </c>
      <c r="C205" t="n">
        <v>396.8</v>
      </c>
      <c r="D205" s="36">
        <f>C204/C205-1</f>
        <v/>
      </c>
      <c r="F205" s="34">
        <f>'Raw Data'!G201</f>
        <v/>
      </c>
      <c r="G205">
        <f>'Raw Data'!J201</f>
        <v/>
      </c>
      <c r="H205" s="36">
        <f>G204/G205-1</f>
        <v/>
      </c>
    </row>
    <row r="206">
      <c r="B206" s="34">
        <f>'Raw Data'!G202</f>
        <v/>
      </c>
      <c r="C206" t="n">
        <v>399.25</v>
      </c>
      <c r="D206" s="36">
        <f>C205/C206-1</f>
        <v/>
      </c>
      <c r="F206" s="34">
        <f>'Raw Data'!G202</f>
        <v/>
      </c>
      <c r="G206">
        <f>'Raw Data'!J202</f>
        <v/>
      </c>
      <c r="H206" s="36">
        <f>G205/G206-1</f>
        <v/>
      </c>
    </row>
    <row r="207">
      <c r="B207" s="34">
        <f>'Raw Data'!G203</f>
        <v/>
      </c>
      <c r="C207" t="n">
        <v>402.8</v>
      </c>
      <c r="D207" s="36">
        <f>C206/C207-1</f>
        <v/>
      </c>
      <c r="F207" s="34">
        <f>'Raw Data'!G203</f>
        <v/>
      </c>
      <c r="G207">
        <f>'Raw Data'!J203</f>
        <v/>
      </c>
      <c r="H207" s="36">
        <f>G206/G207-1</f>
        <v/>
      </c>
    </row>
    <row r="208">
      <c r="B208" s="34">
        <f>'Raw Data'!G204</f>
        <v/>
      </c>
      <c r="C208" t="n">
        <v>399.9</v>
      </c>
      <c r="D208" s="36">
        <f>C207/C208-1</f>
        <v/>
      </c>
      <c r="F208" s="34">
        <f>'Raw Data'!G204</f>
        <v/>
      </c>
      <c r="G208">
        <f>'Raw Data'!J204</f>
        <v/>
      </c>
      <c r="H208" s="36">
        <f>G207/G208-1</f>
        <v/>
      </c>
    </row>
    <row r="209">
      <c r="B209" s="34">
        <f>'Raw Data'!G205</f>
        <v/>
      </c>
      <c r="C209" t="n">
        <v>399.75</v>
      </c>
      <c r="D209" s="36">
        <f>C208/C209-1</f>
        <v/>
      </c>
      <c r="F209" s="34">
        <f>'Raw Data'!G205</f>
        <v/>
      </c>
      <c r="G209">
        <f>'Raw Data'!J205</f>
        <v/>
      </c>
      <c r="H209" s="36">
        <f>G208/G209-1</f>
        <v/>
      </c>
    </row>
    <row r="210">
      <c r="B210" s="34">
        <f>'Raw Data'!G206</f>
        <v/>
      </c>
      <c r="C210" t="n">
        <v>399.8</v>
      </c>
      <c r="D210" s="36">
        <f>C209/C210-1</f>
        <v/>
      </c>
      <c r="F210" s="34">
        <f>'Raw Data'!G206</f>
        <v/>
      </c>
      <c r="G210">
        <f>'Raw Data'!J206</f>
        <v/>
      </c>
      <c r="H210" s="36">
        <f>G209/G210-1</f>
        <v/>
      </c>
    </row>
    <row r="211">
      <c r="B211" s="34">
        <f>'Raw Data'!G207</f>
        <v/>
      </c>
      <c r="C211" t="n">
        <v>400.75</v>
      </c>
      <c r="D211" s="36">
        <f>C210/C211-1</f>
        <v/>
      </c>
      <c r="F211" s="34">
        <f>'Raw Data'!G207</f>
        <v/>
      </c>
      <c r="G211">
        <f>'Raw Data'!J207</f>
        <v/>
      </c>
      <c r="H211" s="36">
        <f>G210/G211-1</f>
        <v/>
      </c>
    </row>
    <row r="212">
      <c r="B212" s="34">
        <f>'Raw Data'!G208</f>
        <v/>
      </c>
      <c r="C212" t="n">
        <v>404.3</v>
      </c>
      <c r="D212" s="36">
        <f>C211/C212-1</f>
        <v/>
      </c>
      <c r="F212" s="34">
        <f>'Raw Data'!G208</f>
        <v/>
      </c>
      <c r="G212">
        <f>'Raw Data'!J208</f>
        <v/>
      </c>
      <c r="H212" s="36">
        <f>G211/G212-1</f>
        <v/>
      </c>
    </row>
    <row r="213">
      <c r="B213" s="34">
        <f>'Raw Data'!G209</f>
        <v/>
      </c>
      <c r="C213" t="n">
        <v>405.6</v>
      </c>
      <c r="D213" s="36">
        <f>C212/C213-1</f>
        <v/>
      </c>
      <c r="F213" s="34">
        <f>'Raw Data'!G209</f>
        <v/>
      </c>
      <c r="G213">
        <f>'Raw Data'!J209</f>
        <v/>
      </c>
      <c r="H213" s="36">
        <f>G212/G213-1</f>
        <v/>
      </c>
    </row>
    <row r="214">
      <c r="B214" s="34">
        <f>'Raw Data'!G210</f>
        <v/>
      </c>
      <c r="C214" t="n">
        <v>401.55</v>
      </c>
      <c r="D214" s="36">
        <f>C213/C214-1</f>
        <v/>
      </c>
      <c r="F214" s="34">
        <f>'Raw Data'!G210</f>
        <v/>
      </c>
      <c r="G214">
        <f>'Raw Data'!J210</f>
        <v/>
      </c>
      <c r="H214" s="36">
        <f>G213/G214-1</f>
        <v/>
      </c>
    </row>
    <row r="215">
      <c r="B215" s="34">
        <f>'Raw Data'!G211</f>
        <v/>
      </c>
      <c r="C215" t="n">
        <v>407.25</v>
      </c>
      <c r="D215" s="36">
        <f>C214/C215-1</f>
        <v/>
      </c>
      <c r="F215" s="34">
        <f>'Raw Data'!G211</f>
        <v/>
      </c>
      <c r="G215">
        <f>'Raw Data'!J211</f>
        <v/>
      </c>
      <c r="H215" s="36">
        <f>G214/G215-1</f>
        <v/>
      </c>
    </row>
    <row r="216">
      <c r="B216" s="34">
        <f>'Raw Data'!G212</f>
        <v/>
      </c>
      <c r="C216" t="n">
        <v>405.1</v>
      </c>
      <c r="D216" s="36">
        <f>C215/C216-1</f>
        <v/>
      </c>
      <c r="F216" s="34">
        <f>'Raw Data'!G212</f>
        <v/>
      </c>
      <c r="G216">
        <f>'Raw Data'!J212</f>
        <v/>
      </c>
      <c r="H216" s="36">
        <f>G215/G216-1</f>
        <v/>
      </c>
    </row>
    <row r="217">
      <c r="B217" s="34">
        <f>'Raw Data'!G213</f>
        <v/>
      </c>
      <c r="C217" t="n">
        <v>400.1</v>
      </c>
      <c r="D217" s="36">
        <f>C216/C217-1</f>
        <v/>
      </c>
      <c r="F217" s="34">
        <f>'Raw Data'!G213</f>
        <v/>
      </c>
      <c r="G217">
        <f>'Raw Data'!J213</f>
        <v/>
      </c>
      <c r="H217" s="36">
        <f>G216/G217-1</f>
        <v/>
      </c>
    </row>
    <row r="218">
      <c r="B218" s="34">
        <f>'Raw Data'!G214</f>
        <v/>
      </c>
      <c r="C218" t="n">
        <v>401</v>
      </c>
      <c r="D218" s="36">
        <f>C217/C218-1</f>
        <v/>
      </c>
      <c r="F218" s="34">
        <f>'Raw Data'!G214</f>
        <v/>
      </c>
      <c r="G218">
        <f>'Raw Data'!J214</f>
        <v/>
      </c>
      <c r="H218" s="36">
        <f>G217/G218-1</f>
        <v/>
      </c>
    </row>
    <row r="219">
      <c r="B219" s="34">
        <f>'Raw Data'!G215</f>
        <v/>
      </c>
      <c r="C219" t="n">
        <v>403.2</v>
      </c>
      <c r="D219" s="36">
        <f>C218/C219-1</f>
        <v/>
      </c>
      <c r="F219" s="34">
        <f>'Raw Data'!G215</f>
        <v/>
      </c>
      <c r="G219">
        <f>'Raw Data'!J215</f>
        <v/>
      </c>
      <c r="H219" s="36">
        <f>G218/G219-1</f>
        <v/>
      </c>
    </row>
    <row r="220">
      <c r="B220" s="34">
        <f>'Raw Data'!G216</f>
        <v/>
      </c>
      <c r="C220" t="n">
        <v>406.95</v>
      </c>
      <c r="D220" s="36">
        <f>C219/C220-1</f>
        <v/>
      </c>
      <c r="F220" s="34">
        <f>'Raw Data'!G216</f>
        <v/>
      </c>
      <c r="G220">
        <f>'Raw Data'!J216</f>
        <v/>
      </c>
      <c r="H220" s="36">
        <f>G219/G220-1</f>
        <v/>
      </c>
    </row>
    <row r="221">
      <c r="B221" s="34">
        <f>'Raw Data'!G217</f>
        <v/>
      </c>
      <c r="C221" t="n">
        <v>410.65</v>
      </c>
      <c r="D221" s="36">
        <f>C220/C221-1</f>
        <v/>
      </c>
      <c r="F221" s="34">
        <f>'Raw Data'!G217</f>
        <v/>
      </c>
      <c r="G221">
        <f>'Raw Data'!J217</f>
        <v/>
      </c>
      <c r="H221" s="36">
        <f>G220/G221-1</f>
        <v/>
      </c>
    </row>
    <row r="222">
      <c r="B222" s="34">
        <f>'Raw Data'!G218</f>
        <v/>
      </c>
      <c r="C222" t="n">
        <v>411.55</v>
      </c>
      <c r="D222" s="36">
        <f>C221/C222-1</f>
        <v/>
      </c>
      <c r="F222" s="34">
        <f>'Raw Data'!G218</f>
        <v/>
      </c>
      <c r="G222">
        <f>'Raw Data'!J218</f>
        <v/>
      </c>
      <c r="H222" s="36">
        <f>G221/G222-1</f>
        <v/>
      </c>
    </row>
    <row r="223">
      <c r="B223" s="34">
        <f>'Raw Data'!G219</f>
        <v/>
      </c>
      <c r="C223" t="n">
        <v>409.3</v>
      </c>
      <c r="D223" s="36">
        <f>C222/C223-1</f>
        <v/>
      </c>
      <c r="F223" s="34">
        <f>'Raw Data'!G219</f>
        <v/>
      </c>
      <c r="G223">
        <f>'Raw Data'!J219</f>
        <v/>
      </c>
      <c r="H223" s="36">
        <f>G222/G223-1</f>
        <v/>
      </c>
    </row>
    <row r="224">
      <c r="B224" s="34">
        <f>'Raw Data'!G220</f>
        <v/>
      </c>
      <c r="C224" t="n">
        <v>413.1</v>
      </c>
      <c r="D224" s="36">
        <f>C223/C224-1</f>
        <v/>
      </c>
      <c r="F224" s="34">
        <f>'Raw Data'!G220</f>
        <v/>
      </c>
      <c r="G224">
        <f>'Raw Data'!J220</f>
        <v/>
      </c>
      <c r="H224" s="36">
        <f>G223/G224-1</f>
        <v/>
      </c>
    </row>
    <row r="225">
      <c r="B225" s="34">
        <f>'Raw Data'!G221</f>
        <v/>
      </c>
      <c r="C225" t="n">
        <v>412.65</v>
      </c>
      <c r="D225" s="36">
        <f>C224/C225-1</f>
        <v/>
      </c>
      <c r="F225" s="34">
        <f>'Raw Data'!G221</f>
        <v/>
      </c>
      <c r="G225">
        <f>'Raw Data'!J221</f>
        <v/>
      </c>
      <c r="H225" s="36">
        <f>G224/G225-1</f>
        <v/>
      </c>
    </row>
    <row r="226">
      <c r="B226" s="34">
        <f>'Raw Data'!G222</f>
        <v/>
      </c>
      <c r="C226" t="n">
        <v>413.75</v>
      </c>
      <c r="D226" s="36">
        <f>C225/C226-1</f>
        <v/>
      </c>
      <c r="F226" s="34">
        <f>'Raw Data'!G222</f>
        <v/>
      </c>
      <c r="G226">
        <f>'Raw Data'!J222</f>
        <v/>
      </c>
      <c r="H226" s="36">
        <f>G225/G226-1</f>
        <v/>
      </c>
    </row>
    <row r="227">
      <c r="B227" s="34">
        <f>'Raw Data'!G223</f>
        <v/>
      </c>
      <c r="C227" t="n">
        <v>415.05</v>
      </c>
      <c r="D227" s="36">
        <f>C226/C227-1</f>
        <v/>
      </c>
      <c r="F227" s="34">
        <f>'Raw Data'!G223</f>
        <v/>
      </c>
      <c r="G227">
        <f>'Raw Data'!J223</f>
        <v/>
      </c>
      <c r="H227" s="36">
        <f>G226/G227-1</f>
        <v/>
      </c>
    </row>
    <row r="228">
      <c r="B228" s="34">
        <f>'Raw Data'!G224</f>
        <v/>
      </c>
      <c r="C228" t="n">
        <v>413.05</v>
      </c>
      <c r="D228" s="36">
        <f>C227/C228-1</f>
        <v/>
      </c>
      <c r="F228" s="34">
        <f>'Raw Data'!G224</f>
        <v/>
      </c>
      <c r="G228">
        <f>'Raw Data'!J224</f>
        <v/>
      </c>
      <c r="H228" s="36">
        <f>G227/G228-1</f>
        <v/>
      </c>
    </row>
    <row r="229">
      <c r="B229" s="34">
        <f>'Raw Data'!G225</f>
        <v/>
      </c>
      <c r="C229" t="n">
        <v>410.05</v>
      </c>
      <c r="D229" s="36">
        <f>C228/C229-1</f>
        <v/>
      </c>
      <c r="F229" s="34">
        <f>'Raw Data'!G225</f>
        <v/>
      </c>
      <c r="G229">
        <f>'Raw Data'!J225</f>
        <v/>
      </c>
      <c r="H229" s="36">
        <f>G228/G229-1</f>
        <v/>
      </c>
    </row>
    <row r="230">
      <c r="B230" s="34">
        <f>'Raw Data'!G226</f>
        <v/>
      </c>
      <c r="C230" t="n">
        <v>407.55</v>
      </c>
      <c r="D230" s="36">
        <f>C229/C230-1</f>
        <v/>
      </c>
      <c r="F230" s="34">
        <f>'Raw Data'!G226</f>
        <v/>
      </c>
      <c r="G230">
        <f>'Raw Data'!J226</f>
        <v/>
      </c>
      <c r="H230" s="36">
        <f>G229/G230-1</f>
        <v/>
      </c>
    </row>
    <row r="231">
      <c r="B231" s="34">
        <f>'Raw Data'!G227</f>
        <v/>
      </c>
      <c r="C231" t="n">
        <v>407.35</v>
      </c>
      <c r="D231" s="36">
        <f>C230/C231-1</f>
        <v/>
      </c>
      <c r="F231" s="34">
        <f>'Raw Data'!G227</f>
        <v/>
      </c>
      <c r="G231">
        <f>'Raw Data'!J227</f>
        <v/>
      </c>
      <c r="H231" s="36">
        <f>G230/G231-1</f>
        <v/>
      </c>
    </row>
    <row r="232">
      <c r="B232" s="34">
        <f>'Raw Data'!G228</f>
        <v/>
      </c>
      <c r="C232" t="n">
        <v>415.9</v>
      </c>
      <c r="D232" s="36">
        <f>C231/C232-1</f>
        <v/>
      </c>
      <c r="F232" s="34">
        <f>'Raw Data'!G228</f>
        <v/>
      </c>
      <c r="G232">
        <f>'Raw Data'!J228</f>
        <v/>
      </c>
      <c r="H232" s="36">
        <f>G231/G232-1</f>
        <v/>
      </c>
    </row>
    <row r="233">
      <c r="B233" s="34">
        <f>'Raw Data'!G229</f>
        <v/>
      </c>
      <c r="C233" t="n">
        <v>411.75</v>
      </c>
      <c r="D233" s="36">
        <f>C232/C233-1</f>
        <v/>
      </c>
      <c r="F233" s="34">
        <f>'Raw Data'!G229</f>
        <v/>
      </c>
      <c r="G233">
        <f>'Raw Data'!J229</f>
        <v/>
      </c>
      <c r="H233" s="36">
        <f>G232/G233-1</f>
        <v/>
      </c>
    </row>
    <row r="234">
      <c r="B234" s="34">
        <f>'Raw Data'!G230</f>
        <v/>
      </c>
      <c r="C234" t="n">
        <v>406.75</v>
      </c>
      <c r="D234" s="36">
        <f>C233/C234-1</f>
        <v/>
      </c>
      <c r="F234" s="34">
        <f>'Raw Data'!G230</f>
        <v/>
      </c>
      <c r="G234">
        <f>'Raw Data'!J230</f>
        <v/>
      </c>
      <c r="H234" s="36">
        <f>G233/G234-1</f>
        <v/>
      </c>
    </row>
    <row r="235">
      <c r="B235" s="34">
        <f>'Raw Data'!G231</f>
        <v/>
      </c>
      <c r="C235" t="n">
        <v>405.85</v>
      </c>
      <c r="D235" s="36">
        <f>C234/C235-1</f>
        <v/>
      </c>
      <c r="F235" s="34">
        <f>'Raw Data'!G231</f>
        <v/>
      </c>
      <c r="G235">
        <f>'Raw Data'!J231</f>
        <v/>
      </c>
      <c r="H235" s="36">
        <f>G234/G235-1</f>
        <v/>
      </c>
    </row>
    <row r="236">
      <c r="B236" s="34">
        <f>'Raw Data'!G232</f>
        <v/>
      </c>
      <c r="C236" t="n">
        <v>409.75</v>
      </c>
      <c r="D236" s="36">
        <f>C235/C236-1</f>
        <v/>
      </c>
      <c r="F236" s="34">
        <f>'Raw Data'!G232</f>
        <v/>
      </c>
      <c r="G236">
        <f>'Raw Data'!J232</f>
        <v/>
      </c>
      <c r="H236" s="36">
        <f>G235/G236-1</f>
        <v/>
      </c>
    </row>
    <row r="237">
      <c r="B237" s="34">
        <f>'Raw Data'!G233</f>
        <v/>
      </c>
      <c r="C237" t="n">
        <v>400.9</v>
      </c>
      <c r="D237" s="36">
        <f>C236/C237-1</f>
        <v/>
      </c>
      <c r="F237" s="34">
        <f>'Raw Data'!G233</f>
        <v/>
      </c>
      <c r="G237">
        <f>'Raw Data'!J233</f>
        <v/>
      </c>
      <c r="H237" s="36">
        <f>G236/G237-1</f>
        <v/>
      </c>
    </row>
    <row r="238">
      <c r="B238" s="34">
        <f>'Raw Data'!G234</f>
        <v/>
      </c>
      <c r="C238" t="n">
        <v>403.35</v>
      </c>
      <c r="D238" s="36">
        <f>C237/C238-1</f>
        <v/>
      </c>
      <c r="F238" s="34">
        <f>'Raw Data'!G234</f>
        <v/>
      </c>
      <c r="G238">
        <f>'Raw Data'!J234</f>
        <v/>
      </c>
      <c r="H238" s="36">
        <f>G237/G238-1</f>
        <v/>
      </c>
    </row>
    <row r="239">
      <c r="B239" s="34">
        <f>'Raw Data'!G235</f>
        <v/>
      </c>
      <c r="C239" t="n">
        <v>399.35</v>
      </c>
      <c r="D239" s="36">
        <f>C238/C239-1</f>
        <v/>
      </c>
      <c r="F239" s="34">
        <f>'Raw Data'!G235</f>
        <v/>
      </c>
      <c r="G239">
        <f>'Raw Data'!J235</f>
        <v/>
      </c>
      <c r="H239" s="36">
        <f>G238/G239-1</f>
        <v/>
      </c>
    </row>
    <row r="240">
      <c r="B240" s="34">
        <f>'Raw Data'!G236</f>
        <v/>
      </c>
      <c r="C240" t="n">
        <v>398.3</v>
      </c>
      <c r="D240" s="36">
        <f>C239/C240-1</f>
        <v/>
      </c>
      <c r="F240" s="34">
        <f>'Raw Data'!G236</f>
        <v/>
      </c>
      <c r="G240">
        <f>'Raw Data'!J236</f>
        <v/>
      </c>
      <c r="H240" s="36">
        <f>G239/G240-1</f>
        <v/>
      </c>
    </row>
    <row r="241">
      <c r="B241" s="34">
        <f>'Raw Data'!G237</f>
        <v/>
      </c>
      <c r="C241" t="n">
        <v>405.55</v>
      </c>
      <c r="D241" s="36">
        <f>C240/C241-1</f>
        <v/>
      </c>
      <c r="F241" s="34">
        <f>'Raw Data'!G237</f>
        <v/>
      </c>
      <c r="G241">
        <f>'Raw Data'!J237</f>
        <v/>
      </c>
      <c r="H241" s="36">
        <f>G240/G241-1</f>
        <v/>
      </c>
    </row>
    <row r="242">
      <c r="B242" s="34">
        <f>'Raw Data'!G238</f>
        <v/>
      </c>
      <c r="C242" t="n">
        <v>406.05</v>
      </c>
      <c r="D242" s="36">
        <f>C241/C242-1</f>
        <v/>
      </c>
      <c r="F242" s="34">
        <f>'Raw Data'!G238</f>
        <v/>
      </c>
      <c r="G242">
        <f>'Raw Data'!J238</f>
        <v/>
      </c>
      <c r="H242" s="36">
        <f>G241/G242-1</f>
        <v/>
      </c>
    </row>
    <row r="243">
      <c r="B243" s="34">
        <f>'Raw Data'!G239</f>
        <v/>
      </c>
      <c r="C243" t="n">
        <v>409.1</v>
      </c>
      <c r="D243" s="36">
        <f>C242/C243-1</f>
        <v/>
      </c>
      <c r="F243" s="34">
        <f>'Raw Data'!G239</f>
        <v/>
      </c>
      <c r="G243">
        <f>'Raw Data'!J239</f>
        <v/>
      </c>
      <c r="H243" s="36">
        <f>G242/G243-1</f>
        <v/>
      </c>
    </row>
    <row r="244">
      <c r="B244" s="34">
        <f>'Raw Data'!G240</f>
        <v/>
      </c>
      <c r="C244" t="n">
        <v>406.3</v>
      </c>
      <c r="D244" s="36">
        <f>C243/C244-1</f>
        <v/>
      </c>
      <c r="F244" s="34">
        <f>'Raw Data'!G240</f>
        <v/>
      </c>
      <c r="G244">
        <f>'Raw Data'!J240</f>
        <v/>
      </c>
      <c r="H244" s="36">
        <f>G243/G244-1</f>
        <v/>
      </c>
    </row>
    <row r="245">
      <c r="B245" s="34">
        <f>'Raw Data'!G241</f>
        <v/>
      </c>
      <c r="C245" t="n">
        <v>411.45</v>
      </c>
      <c r="D245" s="36">
        <f>C244/C245-1</f>
        <v/>
      </c>
      <c r="F245" s="34">
        <f>'Raw Data'!G241</f>
        <v/>
      </c>
      <c r="G245">
        <f>'Raw Data'!J241</f>
        <v/>
      </c>
      <c r="H245" s="36">
        <f>G244/G245-1</f>
        <v/>
      </c>
    </row>
    <row r="246">
      <c r="B246" s="34">
        <f>'Raw Data'!G242</f>
        <v/>
      </c>
      <c r="C246" t="n">
        <v>414.1</v>
      </c>
      <c r="D246" s="36">
        <f>C245/C246-1</f>
        <v/>
      </c>
      <c r="F246" s="34">
        <f>'Raw Data'!G242</f>
        <v/>
      </c>
      <c r="G246">
        <f>'Raw Data'!J242</f>
        <v/>
      </c>
      <c r="H246" s="36">
        <f>G245/G246-1</f>
        <v/>
      </c>
    </row>
    <row r="247">
      <c r="B247" s="34">
        <f>'Raw Data'!G243</f>
        <v/>
      </c>
      <c r="C247" t="n">
        <v>416.35</v>
      </c>
      <c r="D247" s="36">
        <f>C246/C247-1</f>
        <v/>
      </c>
      <c r="F247" s="34">
        <f>'Raw Data'!G243</f>
        <v/>
      </c>
      <c r="G247">
        <f>'Raw Data'!J243</f>
        <v/>
      </c>
      <c r="H247" s="36">
        <f>G246/G247-1</f>
        <v/>
      </c>
    </row>
    <row r="248">
      <c r="B248" s="34">
        <f>'Raw Data'!G244</f>
        <v/>
      </c>
      <c r="C248" t="n">
        <v>416.85</v>
      </c>
      <c r="D248" s="36">
        <f>C247/C248-1</f>
        <v/>
      </c>
      <c r="F248" s="34">
        <f>'Raw Data'!G244</f>
        <v/>
      </c>
      <c r="G248">
        <f>'Raw Data'!J244</f>
        <v/>
      </c>
      <c r="H248" s="36">
        <f>G247/G248-1</f>
        <v/>
      </c>
    </row>
    <row r="249">
      <c r="B249" s="34">
        <f>'Raw Data'!G245</f>
        <v/>
      </c>
      <c r="C249" t="n">
        <v>414.5</v>
      </c>
      <c r="D249" s="36">
        <f>C248/C249-1</f>
        <v/>
      </c>
      <c r="F249" s="34">
        <f>'Raw Data'!G245</f>
        <v/>
      </c>
      <c r="G249">
        <f>'Raw Data'!J245</f>
        <v/>
      </c>
      <c r="H249" s="36">
        <f>G248/G249-1</f>
        <v/>
      </c>
    </row>
    <row r="250">
      <c r="B250" s="34">
        <f>'Raw Data'!G246</f>
        <v/>
      </c>
      <c r="C250" t="n">
        <v>413.6</v>
      </c>
      <c r="D250" s="36">
        <f>C249/C250-1</f>
        <v/>
      </c>
      <c r="F250" s="34">
        <f>'Raw Data'!G246</f>
        <v/>
      </c>
      <c r="G250">
        <f>'Raw Data'!J246</f>
        <v/>
      </c>
      <c r="H250" s="36">
        <f>G249/G250-1</f>
        <v/>
      </c>
    </row>
    <row r="251">
      <c r="B251" s="34">
        <f>'Raw Data'!G247</f>
        <v/>
      </c>
      <c r="C251" t="n">
        <v>412</v>
      </c>
      <c r="D251" s="36">
        <f>C250/C251-1</f>
        <v/>
      </c>
      <c r="F251" s="34">
        <f>'Raw Data'!G247</f>
        <v/>
      </c>
      <c r="G251">
        <f>'Raw Data'!J247</f>
        <v/>
      </c>
      <c r="H251" s="36">
        <f>G250/G251-1</f>
        <v/>
      </c>
    </row>
    <row r="252">
      <c r="B252" s="34">
        <f>'Raw Data'!G248</f>
        <v/>
      </c>
      <c r="C252" t="n">
        <v>414.15</v>
      </c>
      <c r="D252" s="36">
        <f>C251/C252-1</f>
        <v/>
      </c>
      <c r="F252" s="34">
        <f>'Raw Data'!G248</f>
        <v/>
      </c>
      <c r="G252">
        <f>'Raw Data'!J248</f>
        <v/>
      </c>
      <c r="H252" s="36">
        <f>G251/G252-1</f>
        <v/>
      </c>
    </row>
    <row r="253">
      <c r="B253" s="34" t="n"/>
    </row>
    <row r="254">
      <c r="B254" s="34" t="n"/>
    </row>
    <row r="255">
      <c r="B255" s="34" t="n"/>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4" t="inlineStr">
        <is>
          <t>Total Debt</t>
        </is>
      </c>
      <c r="F11" s="184" t="inlineStr">
        <is>
          <t>Total Equity</t>
        </is>
      </c>
      <c r="G11" s="57" t="n"/>
      <c r="H11" s="184" t="inlineStr">
        <is>
          <t>Debt /Equity</t>
        </is>
      </c>
      <c r="I11" s="184" t="inlineStr">
        <is>
          <t>Debt /Capital</t>
        </is>
      </c>
      <c r="J11" s="184" t="inlineStr">
        <is>
          <t>Levered Beta</t>
        </is>
      </c>
      <c r="K11" s="184"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1051</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48"/>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n">
        <v>46233</v>
      </c>
      <c r="H6" t="n">
        <v>2107.9</v>
      </c>
      <c r="J6" t="n">
        <v>24474.3</v>
      </c>
    </row>
    <row r="7">
      <c r="B7" t="n">
        <v>2024</v>
      </c>
      <c r="C7" s="46" t="n">
        <v>0.08749999999999999</v>
      </c>
      <c r="G7" s="34" t="n">
        <v>46232</v>
      </c>
      <c r="H7" t="n">
        <v>2117.8</v>
      </c>
      <c r="J7" t="n">
        <v>24566.8</v>
      </c>
    </row>
    <row r="8">
      <c r="B8" t="n">
        <v>2023</v>
      </c>
      <c r="C8" s="46" t="n">
        <v>0.1942</v>
      </c>
      <c r="G8" s="34" t="n">
        <v>46231</v>
      </c>
      <c r="H8" t="n">
        <v>2022.7</v>
      </c>
      <c r="J8" t="n">
        <v>24236.8</v>
      </c>
    </row>
    <row r="9">
      <c r="B9" t="n">
        <v>2022</v>
      </c>
      <c r="C9" s="46" t="n">
        <v>0.0432</v>
      </c>
      <c r="G9" s="34" t="n">
        <v>46230</v>
      </c>
      <c r="H9" t="n">
        <v>2174.6</v>
      </c>
      <c r="J9" t="n">
        <v>24101.8</v>
      </c>
    </row>
    <row r="10">
      <c r="B10" t="n">
        <v>2021</v>
      </c>
      <c r="C10" s="46" t="n">
        <v>0.2412</v>
      </c>
      <c r="G10" s="34" t="n">
        <v>46227</v>
      </c>
      <c r="H10" t="n">
        <v>2145</v>
      </c>
      <c r="J10" t="n">
        <v>23874.6</v>
      </c>
    </row>
    <row r="11">
      <c r="B11" t="n">
        <v>2020</v>
      </c>
      <c r="C11" s="46" t="n">
        <v>0.149</v>
      </c>
      <c r="G11" s="34" t="n">
        <v>46226</v>
      </c>
      <c r="H11" t="n">
        <v>2161.8</v>
      </c>
      <c r="J11" t="n">
        <v>24082.5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46225</v>
      </c>
      <c r="H12" t="n">
        <v>2154.6</v>
      </c>
      <c r="J12" t="n">
        <v>23988.4</v>
      </c>
      <c r="N12" t="n">
        <v>1</v>
      </c>
      <c r="O12" t="inlineStr">
        <is>
          <t>Hind. Unilever</t>
        </is>
      </c>
      <c r="P12" t="n">
        <v>2087.2</v>
      </c>
      <c r="Q12" t="n">
        <v>234.96</v>
      </c>
      <c r="R12" t="n">
        <v>494084.03</v>
      </c>
      <c r="S12" t="n">
        <v>1478</v>
      </c>
      <c r="T12" t="n">
        <v>3248</v>
      </c>
      <c r="U12" t="n">
        <v>492314.03</v>
      </c>
      <c r="V12" t="n">
        <v>66052</v>
      </c>
      <c r="W12" t="n">
        <v>30.61</v>
      </c>
      <c r="X12" t="n">
        <v>14971</v>
      </c>
    </row>
    <row r="13">
      <c r="B13" t="n">
        <v>2018</v>
      </c>
      <c r="C13" s="46" t="n">
        <v>0.0315</v>
      </c>
      <c r="G13" s="34" t="n">
        <v>46224</v>
      </c>
      <c r="H13" t="n">
        <v>2142.5</v>
      </c>
      <c r="J13" t="n">
        <v>24180.6</v>
      </c>
      <c r="N13" t="n">
        <v>2</v>
      </c>
      <c r="O13" t="inlineStr">
        <is>
          <t>ITC</t>
        </is>
      </c>
      <c r="P13" t="n">
        <v>282.65</v>
      </c>
      <c r="Q13" t="n">
        <v>1252.95</v>
      </c>
      <c r="R13" t="n">
        <v>354889.69</v>
      </c>
      <c r="S13" t="n">
        <v>2399.06</v>
      </c>
      <c r="T13" t="n">
        <v>3008.79</v>
      </c>
      <c r="U13" t="n">
        <v>354279.96</v>
      </c>
      <c r="V13" t="n">
        <v>76487.98</v>
      </c>
      <c r="W13" t="n">
        <v>12.44</v>
      </c>
      <c r="X13" t="n">
        <v>20183.53</v>
      </c>
    </row>
    <row r="14">
      <c r="B14" t="n">
        <v>2017</v>
      </c>
      <c r="C14" s="46" t="n">
        <v>0.2865</v>
      </c>
      <c r="G14" s="34" t="n">
        <v>46223</v>
      </c>
      <c r="H14" t="n">
        <v>2139.7</v>
      </c>
      <c r="J14" t="n">
        <v>24487.8</v>
      </c>
      <c r="N14" t="n">
        <v>3</v>
      </c>
      <c r="O14" t="inlineStr">
        <is>
          <t>Hindustan Foods</t>
        </is>
      </c>
      <c r="P14" t="n">
        <v>585.6</v>
      </c>
      <c r="Q14" t="n">
        <v>12.12</v>
      </c>
      <c r="R14" t="n">
        <v>7105.77</v>
      </c>
      <c r="S14" t="n">
        <v>1088.26</v>
      </c>
      <c r="T14" t="n">
        <v>51.71</v>
      </c>
      <c r="U14" t="n">
        <v>8142.32</v>
      </c>
      <c r="V14" t="n">
        <v>4400.19</v>
      </c>
      <c r="W14" t="n">
        <v>20.53</v>
      </c>
      <c r="X14" t="n">
        <v>158.3</v>
      </c>
    </row>
    <row r="15">
      <c r="B15" t="n">
        <v>2016</v>
      </c>
      <c r="C15" s="46" t="n">
        <v>0.0301</v>
      </c>
      <c r="G15" s="34" t="n">
        <v>46220</v>
      </c>
      <c r="H15" t="n">
        <v>2143.8</v>
      </c>
      <c r="J15" t="n">
        <v>24321.7</v>
      </c>
      <c r="N15" t="n">
        <v>4</v>
      </c>
      <c r="O15" t="inlineStr">
        <is>
          <t>Godavari Bioref.</t>
        </is>
      </c>
      <c r="P15" t="n">
        <v>240.1</v>
      </c>
      <c r="Q15" t="n">
        <v>5.12</v>
      </c>
      <c r="R15" t="n">
        <v>1227</v>
      </c>
      <c r="S15" t="n">
        <v>530.76</v>
      </c>
      <c r="T15" t="n">
        <v>32.15</v>
      </c>
      <c r="U15" t="n">
        <v>1725.61</v>
      </c>
      <c r="V15" t="n">
        <v>2012.58</v>
      </c>
      <c r="W15" t="n">
        <v>12.74</v>
      </c>
      <c r="X15" t="n">
        <v>0.22</v>
      </c>
    </row>
    <row r="16">
      <c r="B16" t="n">
        <v>2015</v>
      </c>
      <c r="C16" s="46" t="n">
        <v>-0.0406</v>
      </c>
      <c r="G16" s="34" t="n">
        <v>46219</v>
      </c>
      <c r="H16" t="n">
        <v>2098.4</v>
      </c>
      <c r="J16" t="n">
        <v>24190.6</v>
      </c>
      <c r="N16" t="n">
        <v>5</v>
      </c>
      <c r="O16" t="inlineStr">
        <is>
          <t>Davangere Sugar</t>
        </is>
      </c>
      <c r="P16" t="n">
        <v>3.08</v>
      </c>
      <c r="Q16" t="n">
        <v>143</v>
      </c>
      <c r="R16" t="n">
        <v>440.44</v>
      </c>
      <c r="S16" t="n">
        <v>250.05</v>
      </c>
      <c r="T16" t="n">
        <v>6.57</v>
      </c>
      <c r="U16" t="n">
        <v>683.92</v>
      </c>
      <c r="V16" t="n">
        <v>238.77</v>
      </c>
      <c r="W16" t="n">
        <v>13.43</v>
      </c>
      <c r="X16" t="n">
        <v>8.51</v>
      </c>
    </row>
    <row r="17">
      <c r="B17" t="n">
        <v>2014</v>
      </c>
      <c r="C17" s="46" t="n">
        <v>0.3139</v>
      </c>
      <c r="G17" s="34" t="n">
        <v>46218</v>
      </c>
      <c r="H17" t="n">
        <v>2102.6</v>
      </c>
      <c r="J17" t="n">
        <v>24067.8</v>
      </c>
    </row>
    <row r="18">
      <c r="B18" t="n">
        <v>2013</v>
      </c>
      <c r="C18" s="46" t="n">
        <v>0.06759999999999999</v>
      </c>
      <c r="G18" s="34" t="n">
        <v>46217</v>
      </c>
      <c r="H18" t="n">
        <v>2120.2</v>
      </c>
      <c r="J18" t="n">
        <v>24266.4</v>
      </c>
    </row>
    <row r="19">
      <c r="B19" t="n">
        <v>2012</v>
      </c>
      <c r="C19" s="46" t="n">
        <v>0.277</v>
      </c>
      <c r="G19" s="34" t="n">
        <v>46216</v>
      </c>
      <c r="H19" t="n">
        <v>2130.6</v>
      </c>
      <c r="J19" t="n">
        <v>24472.6</v>
      </c>
    </row>
    <row r="20">
      <c r="B20" t="n">
        <v>2011</v>
      </c>
      <c r="C20" s="46" t="n">
        <v>-0.2462</v>
      </c>
      <c r="G20" s="34" t="n">
        <v>46213</v>
      </c>
      <c r="H20" t="n">
        <v>2150.6</v>
      </c>
      <c r="J20" t="n">
        <v>24328.7</v>
      </c>
    </row>
    <row r="21">
      <c r="B21" t="n">
        <v>2010</v>
      </c>
      <c r="C21" s="46" t="n">
        <v>0.1795</v>
      </c>
      <c r="G21" s="34" t="n">
        <v>46212</v>
      </c>
      <c r="H21" t="n">
        <v>2144.5</v>
      </c>
      <c r="J21" t="n">
        <v>24090.8</v>
      </c>
    </row>
    <row r="22">
      <c r="B22" t="n">
        <v>2009</v>
      </c>
      <c r="C22" s="46" t="n">
        <v>0.7576000000000001</v>
      </c>
      <c r="G22" s="34" t="n">
        <v>46211</v>
      </c>
      <c r="H22" t="n">
        <v>2135.8</v>
      </c>
      <c r="J22" t="n">
        <v>24170</v>
      </c>
    </row>
    <row r="23">
      <c r="B23" t="n">
        <v>2008</v>
      </c>
      <c r="C23" s="46" t="n">
        <v>-0.5179</v>
      </c>
      <c r="G23" s="34" t="n">
        <v>46210</v>
      </c>
      <c r="H23" t="n">
        <v>2208.8</v>
      </c>
      <c r="J23" t="n">
        <v>24440.3</v>
      </c>
    </row>
    <row r="24">
      <c r="B24" t="n">
        <v>2007</v>
      </c>
      <c r="C24" s="46" t="n">
        <v>0.5477</v>
      </c>
      <c r="G24" s="34" t="n">
        <v>46209</v>
      </c>
      <c r="H24" t="n">
        <v>2202</v>
      </c>
      <c r="J24" t="n">
        <v>24482.9</v>
      </c>
      <c r="O24" t="inlineStr">
        <is>
          <t>TCS</t>
        </is>
      </c>
      <c r="Q24" t="inlineStr">
        <is>
          <t>India</t>
        </is>
      </c>
      <c r="R24" t="n">
        <v>190401.9</v>
      </c>
      <c r="S24" t="n">
        <v>761607.42</v>
      </c>
      <c r="T24" s="46" t="n">
        <v>0.3</v>
      </c>
    </row>
    <row r="25">
      <c r="B25" t="n">
        <v>2006</v>
      </c>
      <c r="C25" s="46" t="n">
        <v>0.3983</v>
      </c>
      <c r="G25" s="34" t="n">
        <v>46206</v>
      </c>
      <c r="H25" t="n">
        <v>2201.2</v>
      </c>
      <c r="J25" t="n">
        <v>24614.3</v>
      </c>
      <c r="O25" t="inlineStr">
        <is>
          <t>Infosys Ltd</t>
        </is>
      </c>
      <c r="Q25">
        <f>Q24</f>
        <v/>
      </c>
      <c r="R25" t="n">
        <v>9176</v>
      </c>
      <c r="S25" t="n">
        <v>426683</v>
      </c>
      <c r="T25" s="46">
        <f>T24</f>
        <v/>
      </c>
    </row>
    <row r="26">
      <c r="B26" t="n">
        <v>2005</v>
      </c>
      <c r="C26" s="46" t="n">
        <v>0.3634</v>
      </c>
      <c r="G26" s="34" t="n">
        <v>46205</v>
      </c>
      <c r="H26" t="n">
        <v>2210.6</v>
      </c>
      <c r="J26" t="n">
        <v>24265</v>
      </c>
      <c r="O26" t="inlineStr">
        <is>
          <t>HCL Technologies</t>
        </is>
      </c>
      <c r="Q26">
        <f>Q25</f>
        <v/>
      </c>
      <c r="R26" t="n">
        <v>84754.5</v>
      </c>
      <c r="S26" t="n">
        <v>339018.18</v>
      </c>
      <c r="T26" s="46">
        <f>T25</f>
        <v/>
      </c>
    </row>
    <row r="27">
      <c r="B27" t="n">
        <v>2004</v>
      </c>
      <c r="C27" s="46" t="n">
        <v>0.1068</v>
      </c>
      <c r="G27" s="34" t="n">
        <v>46204</v>
      </c>
      <c r="H27" t="n">
        <v>2182</v>
      </c>
      <c r="J27" t="n">
        <v>24195.3</v>
      </c>
      <c r="O27" t="inlineStr">
        <is>
          <t>Wipro</t>
        </is>
      </c>
      <c r="Q27">
        <f>Q26</f>
        <v/>
      </c>
      <c r="R27" t="n">
        <v>41311</v>
      </c>
      <c r="S27" t="n">
        <v>165244.04</v>
      </c>
      <c r="T27" s="46">
        <f>T26</f>
        <v/>
      </c>
    </row>
    <row r="28">
      <c r="B28" t="n">
        <v>2003</v>
      </c>
      <c r="C28" s="46" t="n">
        <v>0.719</v>
      </c>
      <c r="G28" s="34" t="n">
        <v>46203</v>
      </c>
      <c r="H28" t="n">
        <v>2118.2</v>
      </c>
      <c r="J28" t="n">
        <v>24111.9</v>
      </c>
      <c r="O28" t="inlineStr">
        <is>
          <t>Tech Mahindra</t>
        </is>
      </c>
      <c r="Q28">
        <f>Q27</f>
        <v/>
      </c>
      <c r="R28" t="n">
        <v>37664.1</v>
      </c>
      <c r="S28" t="n">
        <v>150656.36</v>
      </c>
      <c r="T28" s="46">
        <f>T27</f>
        <v/>
      </c>
    </row>
    <row r="29">
      <c r="B29" t="n">
        <v>2002</v>
      </c>
      <c r="C29" s="46" t="n">
        <v>0.0325</v>
      </c>
      <c r="G29" s="34" t="n">
        <v>46202</v>
      </c>
      <c r="H29" t="n">
        <v>2151.3</v>
      </c>
      <c r="J29" t="n">
        <v>24142.3</v>
      </c>
    </row>
    <row r="30">
      <c r="G30" s="34" t="n">
        <v>46198</v>
      </c>
      <c r="H30" t="n">
        <v>2174.2</v>
      </c>
      <c r="J30" t="n">
        <v>24170.5</v>
      </c>
    </row>
    <row r="31">
      <c r="G31" s="34" t="n">
        <v>46197</v>
      </c>
      <c r="H31" t="n">
        <v>2157.8</v>
      </c>
      <c r="J31" t="n">
        <v>24125.2</v>
      </c>
    </row>
    <row r="32">
      <c r="G32" s="34" t="n">
        <v>46196</v>
      </c>
      <c r="H32" t="n">
        <v>2160.1</v>
      </c>
      <c r="J32" t="n">
        <v>24070.5</v>
      </c>
    </row>
    <row r="33">
      <c r="G33" s="34" t="n">
        <v>46195</v>
      </c>
      <c r="H33" t="n">
        <v>2184.9</v>
      </c>
      <c r="J33" t="n">
        <v>24123.8</v>
      </c>
    </row>
    <row r="34">
      <c r="G34" s="34" t="n">
        <v>46192</v>
      </c>
      <c r="H34" t="n">
        <v>2194.6</v>
      </c>
      <c r="J34" t="n">
        <v>24056.9</v>
      </c>
    </row>
    <row r="35">
      <c r="G35" s="34" t="n">
        <v>46191</v>
      </c>
      <c r="H35" t="n">
        <v>2218.5</v>
      </c>
      <c r="J35" t="n">
        <v>24382.4</v>
      </c>
    </row>
    <row r="36">
      <c r="G36" s="34" t="n">
        <v>46190</v>
      </c>
      <c r="H36" t="n">
        <v>2197.6</v>
      </c>
      <c r="J36" t="n">
        <v>24094</v>
      </c>
    </row>
    <row r="37">
      <c r="G37" s="34" t="n">
        <v>46189</v>
      </c>
      <c r="H37" t="n">
        <v>2199.9</v>
      </c>
      <c r="J37" t="n">
        <v>24087.9</v>
      </c>
    </row>
    <row r="38">
      <c r="G38" s="34" t="n">
        <v>46188</v>
      </c>
      <c r="H38" t="n">
        <v>2156.1</v>
      </c>
      <c r="J38" t="n">
        <v>23916.6</v>
      </c>
    </row>
    <row r="39">
      <c r="G39" s="34" t="n">
        <v>46185</v>
      </c>
      <c r="H39" t="n">
        <v>2168.8</v>
      </c>
      <c r="J39" t="n">
        <v>23873.5</v>
      </c>
    </row>
    <row r="40">
      <c r="G40" s="34" t="n">
        <v>46184</v>
      </c>
      <c r="H40" t="n">
        <v>2139.8</v>
      </c>
      <c r="J40" t="n">
        <v>23397.4</v>
      </c>
    </row>
    <row r="41">
      <c r="G41" s="34" t="n">
        <v>46183</v>
      </c>
      <c r="H41" t="n">
        <v>2169.5</v>
      </c>
      <c r="J41" t="n">
        <v>23344.9</v>
      </c>
    </row>
    <row r="42">
      <c r="G42" s="34" t="n">
        <v>46182</v>
      </c>
      <c r="H42" t="n">
        <v>2132.8</v>
      </c>
      <c r="J42" t="n">
        <v>23425.2</v>
      </c>
    </row>
    <row r="43">
      <c r="G43" s="34" t="n">
        <v>46181</v>
      </c>
      <c r="H43" t="n">
        <v>2110.1</v>
      </c>
      <c r="J43" t="n">
        <v>23382.2</v>
      </c>
    </row>
    <row r="44">
      <c r="G44" s="34" t="n">
        <v>46178</v>
      </c>
      <c r="H44" t="n">
        <v>2121.5</v>
      </c>
      <c r="J44" t="n">
        <v>23451.7</v>
      </c>
    </row>
    <row r="45">
      <c r="G45" s="34" t="n">
        <v>46177</v>
      </c>
      <c r="H45" t="n">
        <v>2079.4</v>
      </c>
      <c r="J45" t="n">
        <v>23511.6</v>
      </c>
    </row>
    <row r="46">
      <c r="G46" s="34" t="n">
        <v>46176</v>
      </c>
      <c r="H46" t="n">
        <v>2090.6</v>
      </c>
      <c r="J46" t="n">
        <v>23709.2</v>
      </c>
    </row>
    <row r="47">
      <c r="G47" s="34" t="n">
        <v>46175</v>
      </c>
      <c r="H47" t="n">
        <v>2093.7</v>
      </c>
      <c r="J47" t="n">
        <v>23603.1</v>
      </c>
    </row>
    <row r="48">
      <c r="G48" s="34" t="n">
        <v>46174</v>
      </c>
      <c r="H48" t="n">
        <v>2084.3</v>
      </c>
      <c r="J48" t="n">
        <v>23568.5</v>
      </c>
    </row>
    <row r="49">
      <c r="G49" s="34" t="n">
        <v>46171</v>
      </c>
      <c r="H49" t="n">
        <v>2153.5</v>
      </c>
      <c r="J49" t="n">
        <v>23748.8</v>
      </c>
    </row>
    <row r="50">
      <c r="G50" s="34" t="n">
        <v>46169</v>
      </c>
      <c r="H50" t="n">
        <v>2198.4</v>
      </c>
      <c r="J50" t="n">
        <v>24206.9</v>
      </c>
    </row>
    <row r="51">
      <c r="G51" s="34" t="n">
        <v>46168</v>
      </c>
      <c r="H51" t="n">
        <v>2209.4</v>
      </c>
      <c r="J51" t="n">
        <v>23913</v>
      </c>
    </row>
    <row r="52">
      <c r="G52" s="34" t="n">
        <v>46167</v>
      </c>
      <c r="H52" t="n">
        <v>2196.5</v>
      </c>
      <c r="J52" t="n">
        <v>24106.4</v>
      </c>
    </row>
    <row r="53">
      <c r="G53" s="34" t="n">
        <v>46164</v>
      </c>
      <c r="H53" t="n">
        <v>2203.6</v>
      </c>
      <c r="J53" t="n">
        <v>23801.4</v>
      </c>
    </row>
    <row r="54">
      <c r="G54" s="34" t="n">
        <v>46163</v>
      </c>
      <c r="H54" t="n">
        <v>2179</v>
      </c>
      <c r="J54" t="n">
        <v>23631.4</v>
      </c>
    </row>
    <row r="55">
      <c r="G55" s="34" t="n">
        <v>46162</v>
      </c>
      <c r="H55" t="n">
        <v>2209.3</v>
      </c>
      <c r="J55" t="n">
        <v>23846.2</v>
      </c>
    </row>
    <row r="56">
      <c r="G56" s="34" t="n">
        <v>46161</v>
      </c>
      <c r="H56" t="n">
        <v>2232.9</v>
      </c>
      <c r="J56" t="n">
        <v>23612</v>
      </c>
    </row>
    <row r="57">
      <c r="G57" s="34" t="n">
        <v>46160</v>
      </c>
      <c r="H57" t="n">
        <v>2254.2</v>
      </c>
      <c r="J57" t="n">
        <v>23740.1</v>
      </c>
    </row>
    <row r="58">
      <c r="G58" s="34" t="n">
        <v>46157</v>
      </c>
      <c r="H58" t="n">
        <v>2272.2</v>
      </c>
      <c r="J58" t="n">
        <v>23643.9</v>
      </c>
    </row>
    <row r="59">
      <c r="G59" s="34" t="n">
        <v>46156</v>
      </c>
      <c r="H59" t="n">
        <v>2248.7</v>
      </c>
      <c r="J59" t="n">
        <v>23700.1</v>
      </c>
    </row>
    <row r="60">
      <c r="G60" s="34" t="n">
        <v>46155</v>
      </c>
      <c r="H60" t="n">
        <v>2267.3</v>
      </c>
      <c r="J60" t="n">
        <v>23675.1</v>
      </c>
    </row>
    <row r="61">
      <c r="G61" s="34" t="n">
        <v>46154</v>
      </c>
      <c r="H61" t="n">
        <v>2262</v>
      </c>
      <c r="J61" t="n">
        <v>23424.7</v>
      </c>
    </row>
    <row r="62">
      <c r="G62" s="34" t="n">
        <v>46153</v>
      </c>
      <c r="H62" t="n">
        <v>2307.2</v>
      </c>
      <c r="J62" t="n">
        <v>23974.6</v>
      </c>
    </row>
    <row r="63">
      <c r="G63" s="34" t="n">
        <v>46150</v>
      </c>
      <c r="H63" t="n">
        <v>2287.7</v>
      </c>
      <c r="J63" t="n">
        <v>24339.2</v>
      </c>
    </row>
    <row r="64">
      <c r="G64" s="34" t="n">
        <v>46149</v>
      </c>
      <c r="H64" t="n">
        <v>2272.2</v>
      </c>
      <c r="J64" t="n">
        <v>24382.8</v>
      </c>
    </row>
    <row r="65">
      <c r="G65" s="34" t="n">
        <v>46148</v>
      </c>
      <c r="H65" t="n">
        <v>2317.1</v>
      </c>
      <c r="J65" t="n">
        <v>24683.8</v>
      </c>
    </row>
    <row r="66">
      <c r="G66" s="34" t="n">
        <v>46147</v>
      </c>
      <c r="H66" t="n">
        <v>2327.4</v>
      </c>
      <c r="J66" t="n">
        <v>24106.3</v>
      </c>
    </row>
    <row r="67">
      <c r="G67" s="34" t="n">
        <v>46146</v>
      </c>
      <c r="H67" t="n">
        <v>2309.3</v>
      </c>
      <c r="J67" t="n">
        <v>24312.8</v>
      </c>
    </row>
    <row r="68">
      <c r="G68" s="34" t="n">
        <v>46142</v>
      </c>
      <c r="H68" t="n">
        <v>2250.9</v>
      </c>
      <c r="J68" t="n">
        <v>24340</v>
      </c>
    </row>
    <row r="69">
      <c r="G69" s="34" t="n">
        <v>46141</v>
      </c>
      <c r="H69" t="n">
        <v>2314.4</v>
      </c>
      <c r="J69" t="n">
        <v>24528.4</v>
      </c>
    </row>
    <row r="70">
      <c r="G70" s="34" t="n">
        <v>46140</v>
      </c>
      <c r="H70" t="n">
        <v>2289.5</v>
      </c>
      <c r="J70" t="n">
        <v>24069</v>
      </c>
    </row>
    <row r="71">
      <c r="G71" s="34" t="n">
        <v>46139</v>
      </c>
      <c r="H71" t="n">
        <v>2328.3</v>
      </c>
      <c r="J71" t="n">
        <v>24209.7</v>
      </c>
    </row>
    <row r="72">
      <c r="G72" s="34" t="n">
        <v>46136</v>
      </c>
      <c r="H72" t="n">
        <v>2327.3</v>
      </c>
      <c r="J72" t="n">
        <v>24151.5</v>
      </c>
    </row>
    <row r="73">
      <c r="G73" s="34" t="n">
        <v>46135</v>
      </c>
      <c r="H73" t="n">
        <v>2366.4</v>
      </c>
      <c r="J73" t="n">
        <v>24163</v>
      </c>
    </row>
    <row r="74">
      <c r="G74" s="34" t="n">
        <v>46134</v>
      </c>
      <c r="H74" t="n">
        <v>2368.8</v>
      </c>
      <c r="J74" t="n">
        <v>24381.2</v>
      </c>
    </row>
    <row r="75">
      <c r="G75" s="34" t="n">
        <v>46133</v>
      </c>
      <c r="H75" t="n">
        <v>2310.7</v>
      </c>
      <c r="J75" t="n">
        <v>24840.1</v>
      </c>
    </row>
    <row r="76">
      <c r="G76" s="34" t="n">
        <v>46132</v>
      </c>
      <c r="H76" t="n">
        <v>2231.5</v>
      </c>
      <c r="J76" t="n">
        <v>24331.8</v>
      </c>
    </row>
    <row r="77">
      <c r="G77" s="34" t="n">
        <v>46129</v>
      </c>
      <c r="H77" t="n">
        <v>2240.8</v>
      </c>
      <c r="J77" t="n">
        <v>24368</v>
      </c>
    </row>
    <row r="78">
      <c r="G78" s="34" t="n">
        <v>46128</v>
      </c>
      <c r="H78" t="n">
        <v>2139.1</v>
      </c>
      <c r="J78" t="n">
        <v>24328.2</v>
      </c>
    </row>
    <row r="79">
      <c r="G79" s="34" t="n">
        <v>46127</v>
      </c>
      <c r="H79" t="n">
        <v>2157.6</v>
      </c>
      <c r="J79" t="n">
        <v>24237.7</v>
      </c>
    </row>
    <row r="80">
      <c r="G80" s="34" t="n">
        <v>46125</v>
      </c>
      <c r="H80" t="n">
        <v>2127.2</v>
      </c>
      <c r="J80" t="n">
        <v>24152.9</v>
      </c>
    </row>
    <row r="81">
      <c r="G81" s="34" t="n">
        <v>46122</v>
      </c>
      <c r="H81" t="n">
        <v>2155.3</v>
      </c>
      <c r="J81" t="n">
        <v>24101</v>
      </c>
    </row>
    <row r="82">
      <c r="G82" s="34" t="n">
        <v>46121</v>
      </c>
      <c r="H82" t="n">
        <v>2133.2</v>
      </c>
      <c r="J82" t="n">
        <v>23989.1</v>
      </c>
    </row>
    <row r="83">
      <c r="G83" s="34" t="n">
        <v>46120</v>
      </c>
      <c r="H83" t="n">
        <v>2145.6</v>
      </c>
      <c r="J83" t="n">
        <v>24182.5</v>
      </c>
    </row>
    <row r="84">
      <c r="G84" s="34" t="n">
        <v>46119</v>
      </c>
      <c r="H84" t="n">
        <v>2110.6</v>
      </c>
      <c r="J84" t="n">
        <v>23151.1</v>
      </c>
    </row>
    <row r="85">
      <c r="G85" s="34" t="n">
        <v>46118</v>
      </c>
      <c r="H85" t="n">
        <v>2084.8</v>
      </c>
      <c r="J85" t="n">
        <v>23347.4</v>
      </c>
    </row>
    <row r="86">
      <c r="G86" s="34" t="n">
        <v>46114</v>
      </c>
      <c r="H86" t="n">
        <v>2065.3</v>
      </c>
      <c r="J86" t="n">
        <v>22766.6</v>
      </c>
    </row>
    <row r="87">
      <c r="G87" s="34" t="n">
        <v>46113</v>
      </c>
      <c r="H87" t="n">
        <v>2064.7</v>
      </c>
      <c r="J87" t="n">
        <v>22934.8</v>
      </c>
    </row>
    <row r="88">
      <c r="G88" s="34" t="n">
        <v>46111</v>
      </c>
      <c r="H88" t="n">
        <v>2055.2</v>
      </c>
      <c r="J88" t="n">
        <v>22318.4</v>
      </c>
    </row>
    <row r="89">
      <c r="G89" s="34" t="n">
        <v>46108</v>
      </c>
      <c r="H89" t="n">
        <v>2074.4</v>
      </c>
      <c r="J89" t="n">
        <v>23043.9</v>
      </c>
    </row>
    <row r="90">
      <c r="G90" s="34" t="n">
        <v>46106</v>
      </c>
      <c r="H90" t="n">
        <v>2134.8</v>
      </c>
      <c r="J90" t="n">
        <v>23300</v>
      </c>
    </row>
    <row r="91">
      <c r="G91" s="34" t="n">
        <v>46105</v>
      </c>
      <c r="H91" t="n">
        <v>2085</v>
      </c>
      <c r="J91" t="n">
        <v>23055.9</v>
      </c>
    </row>
    <row r="92">
      <c r="G92" s="34" t="n">
        <v>46104</v>
      </c>
      <c r="H92" t="n">
        <v>2052.2</v>
      </c>
      <c r="J92" t="n">
        <v>22648.2</v>
      </c>
    </row>
    <row r="93">
      <c r="G93" s="34" t="n">
        <v>46101</v>
      </c>
      <c r="H93" t="n">
        <v>2082.7</v>
      </c>
      <c r="J93" t="n">
        <v>23140.5</v>
      </c>
    </row>
    <row r="94">
      <c r="G94" s="34" t="n">
        <v>46100</v>
      </c>
      <c r="H94" t="n">
        <v>2077.3</v>
      </c>
      <c r="J94" t="n">
        <v>23333</v>
      </c>
    </row>
    <row r="95">
      <c r="G95" s="34" t="n">
        <v>46099</v>
      </c>
      <c r="H95" t="n">
        <v>2135.3</v>
      </c>
      <c r="J95" t="n">
        <v>23776.4</v>
      </c>
    </row>
    <row r="96">
      <c r="G96" s="34" t="n">
        <v>46098</v>
      </c>
      <c r="H96" t="n">
        <v>2158.2</v>
      </c>
      <c r="J96" t="n">
        <v>23767.4</v>
      </c>
    </row>
    <row r="97">
      <c r="G97" s="34" t="n">
        <v>46097</v>
      </c>
      <c r="H97" t="n">
        <v>2175.7</v>
      </c>
      <c r="J97" t="n">
        <v>23429.2</v>
      </c>
    </row>
    <row r="98">
      <c r="G98" s="34" t="n">
        <v>46094</v>
      </c>
      <c r="H98" t="n">
        <v>2160</v>
      </c>
      <c r="J98" t="n">
        <v>23199.3</v>
      </c>
    </row>
    <row r="99">
      <c r="G99" s="34" t="n">
        <v>46093</v>
      </c>
      <c r="H99" t="n">
        <v>2136.9</v>
      </c>
      <c r="J99" t="n">
        <v>24010.3</v>
      </c>
    </row>
    <row r="100">
      <c r="G100" s="34" t="n">
        <v>46092</v>
      </c>
      <c r="H100" t="n">
        <v>2161.4</v>
      </c>
      <c r="J100" t="n">
        <v>23939.1</v>
      </c>
    </row>
    <row r="101">
      <c r="G101" s="34" t="n">
        <v>46091</v>
      </c>
      <c r="H101" t="n">
        <v>2190.2</v>
      </c>
      <c r="J101" t="n">
        <v>24545.6</v>
      </c>
    </row>
    <row r="102">
      <c r="G102" s="34" t="n">
        <v>46090</v>
      </c>
      <c r="H102" t="n">
        <v>2194.6</v>
      </c>
      <c r="J102" t="n">
        <v>24285.8</v>
      </c>
    </row>
    <row r="103">
      <c r="G103" s="34" t="n">
        <v>46087</v>
      </c>
      <c r="H103" t="n">
        <v>2225.7</v>
      </c>
      <c r="J103" t="n">
        <v>24545.7</v>
      </c>
    </row>
    <row r="104">
      <c r="G104" s="34" t="n">
        <v>46086</v>
      </c>
      <c r="H104" t="n">
        <v>2255</v>
      </c>
      <c r="J104" t="n">
        <v>25118.5</v>
      </c>
    </row>
    <row r="105">
      <c r="G105" s="34" t="n">
        <v>46085</v>
      </c>
      <c r="H105" t="n">
        <v>2261.3</v>
      </c>
      <c r="J105" t="n">
        <v>24584.7</v>
      </c>
    </row>
    <row r="106">
      <c r="G106" s="34" t="n">
        <v>46083</v>
      </c>
      <c r="H106" t="n">
        <v>2320.6</v>
      </c>
      <c r="J106" t="n">
        <v>25140.2</v>
      </c>
    </row>
    <row r="107">
      <c r="G107" s="34" t="n">
        <v>46080</v>
      </c>
      <c r="H107" t="n">
        <v>2338.1</v>
      </c>
      <c r="J107" t="n">
        <v>25598.2</v>
      </c>
    </row>
    <row r="108">
      <c r="G108" s="34" t="n">
        <v>46079</v>
      </c>
      <c r="H108" t="n">
        <v>2383.3</v>
      </c>
      <c r="J108" t="n">
        <v>25912.5</v>
      </c>
    </row>
    <row r="109">
      <c r="G109" s="34" t="n">
        <v>46078</v>
      </c>
      <c r="H109" t="n">
        <v>2374.9</v>
      </c>
      <c r="J109" t="n">
        <v>25791.8</v>
      </c>
    </row>
    <row r="110">
      <c r="G110" s="34" t="n">
        <v>46077</v>
      </c>
      <c r="H110" t="n">
        <v>2358.6</v>
      </c>
      <c r="J110" t="n">
        <v>25600.3</v>
      </c>
    </row>
    <row r="111">
      <c r="G111" s="34" t="n">
        <v>46076</v>
      </c>
      <c r="H111" t="n">
        <v>2345.4</v>
      </c>
      <c r="J111" t="n">
        <v>26015</v>
      </c>
    </row>
    <row r="112">
      <c r="G112" s="34" t="n">
        <v>46073</v>
      </c>
      <c r="H112" t="n">
        <v>2314.5</v>
      </c>
      <c r="J112" t="n">
        <v>25584.7</v>
      </c>
    </row>
    <row r="113">
      <c r="G113" s="34" t="n">
        <v>46072</v>
      </c>
      <c r="H113" t="n">
        <v>2279.3</v>
      </c>
      <c r="J113" t="n">
        <v>25446</v>
      </c>
    </row>
    <row r="114">
      <c r="G114" s="34" t="n">
        <v>46071</v>
      </c>
      <c r="H114" t="n">
        <v>2323.5</v>
      </c>
      <c r="J114" t="n">
        <v>26144.5</v>
      </c>
    </row>
    <row r="115">
      <c r="G115" s="34" t="n">
        <v>46070</v>
      </c>
      <c r="H115" t="n">
        <v>2312.3</v>
      </c>
      <c r="J115" t="n">
        <v>25898.7</v>
      </c>
    </row>
    <row r="116">
      <c r="G116" s="34" t="n">
        <v>46069</v>
      </c>
      <c r="H116" t="n">
        <v>2319</v>
      </c>
      <c r="J116" t="n">
        <v>25879</v>
      </c>
    </row>
    <row r="117">
      <c r="G117" s="34" t="n">
        <v>46066</v>
      </c>
      <c r="H117" t="n">
        <v>2305.2</v>
      </c>
      <c r="J117" t="n">
        <v>25688.6</v>
      </c>
    </row>
    <row r="118">
      <c r="G118" s="34" t="n">
        <v>46065</v>
      </c>
      <c r="H118" t="n">
        <v>2409.7</v>
      </c>
      <c r="J118" t="n">
        <v>26025.3</v>
      </c>
    </row>
    <row r="119">
      <c r="G119" s="34" t="n">
        <v>46064</v>
      </c>
      <c r="H119" t="n">
        <v>2462.9</v>
      </c>
      <c r="J119" t="n">
        <v>26151</v>
      </c>
    </row>
    <row r="120">
      <c r="G120" s="34" t="n">
        <v>46063</v>
      </c>
      <c r="H120" t="n">
        <v>2453.6</v>
      </c>
      <c r="J120" t="n">
        <v>26295.3</v>
      </c>
    </row>
    <row r="121">
      <c r="G121" s="34" t="n">
        <v>46062</v>
      </c>
      <c r="H121" t="n">
        <v>2435</v>
      </c>
      <c r="J121" t="n">
        <v>26068.8</v>
      </c>
    </row>
    <row r="122">
      <c r="G122" s="34" t="n">
        <v>46059</v>
      </c>
      <c r="H122" t="n">
        <v>2424.2</v>
      </c>
      <c r="J122" t="n">
        <v>26045.5</v>
      </c>
    </row>
    <row r="123">
      <c r="G123" s="34" t="n">
        <v>46058</v>
      </c>
      <c r="H123" t="n">
        <v>2354.4</v>
      </c>
      <c r="J123" t="n">
        <v>25725</v>
      </c>
    </row>
    <row r="124">
      <c r="G124" s="34" t="n">
        <v>46057</v>
      </c>
      <c r="H124" t="n">
        <v>2371</v>
      </c>
      <c r="J124" t="n">
        <v>25848.8</v>
      </c>
    </row>
    <row r="125">
      <c r="G125" s="34" t="n">
        <v>46056</v>
      </c>
      <c r="H125" t="n">
        <v>2368.6</v>
      </c>
      <c r="J125" t="n">
        <v>25976.7</v>
      </c>
    </row>
    <row r="126">
      <c r="G126" s="34" t="n">
        <v>46055</v>
      </c>
      <c r="H126" t="n">
        <v>2357.3</v>
      </c>
      <c r="J126" t="n">
        <v>25297.4</v>
      </c>
    </row>
    <row r="127">
      <c r="G127" s="34" t="n">
        <v>46054</v>
      </c>
      <c r="H127" t="n">
        <v>2350.7</v>
      </c>
      <c r="J127" t="n">
        <v>25029.6</v>
      </c>
    </row>
    <row r="128">
      <c r="G128" s="34" t="n">
        <v>46052</v>
      </c>
      <c r="H128" t="n">
        <v>2373</v>
      </c>
      <c r="J128" t="n">
        <v>25582.8</v>
      </c>
    </row>
    <row r="129">
      <c r="G129" s="34" t="n">
        <v>46051</v>
      </c>
      <c r="H129" t="n">
        <v>2352.6</v>
      </c>
      <c r="J129" t="n">
        <v>25707.1</v>
      </c>
    </row>
    <row r="130">
      <c r="G130" s="34" t="n">
        <v>46050</v>
      </c>
      <c r="H130" t="n">
        <v>2378.4</v>
      </c>
      <c r="J130" t="n">
        <v>25778.8</v>
      </c>
    </row>
    <row r="131">
      <c r="G131" s="34" t="n">
        <v>46049</v>
      </c>
      <c r="H131" t="n">
        <v>2400.9</v>
      </c>
      <c r="J131" t="n">
        <v>25569.3</v>
      </c>
    </row>
    <row r="132">
      <c r="G132" s="34" t="n">
        <v>46045</v>
      </c>
      <c r="H132" t="n">
        <v>2409.5</v>
      </c>
      <c r="J132" t="n">
        <v>25202.6</v>
      </c>
    </row>
    <row r="133">
      <c r="G133" s="34" t="n">
        <v>46044</v>
      </c>
      <c r="H133" t="n">
        <v>2390.6</v>
      </c>
      <c r="J133" t="n">
        <v>25688.4</v>
      </c>
    </row>
    <row r="134">
      <c r="G134" s="34" t="n">
        <v>46043</v>
      </c>
      <c r="H134" t="n">
        <v>2368</v>
      </c>
      <c r="J134" t="n">
        <v>25397.9</v>
      </c>
    </row>
    <row r="135">
      <c r="G135" s="34" t="n">
        <v>46042</v>
      </c>
      <c r="H135" t="n">
        <v>2379.1</v>
      </c>
      <c r="J135" t="n">
        <v>25737.8</v>
      </c>
    </row>
    <row r="136">
      <c r="G136" s="34" t="n">
        <v>46041</v>
      </c>
      <c r="H136" t="n">
        <v>2413.9</v>
      </c>
      <c r="J136" t="n">
        <v>26071.1</v>
      </c>
    </row>
    <row r="137">
      <c r="G137" s="34" t="n">
        <v>46038</v>
      </c>
      <c r="H137" t="n">
        <v>2360.4</v>
      </c>
      <c r="J137" t="n">
        <v>26046.9</v>
      </c>
    </row>
    <row r="138">
      <c r="G138" s="34" t="n">
        <v>46036</v>
      </c>
      <c r="H138" t="n">
        <v>2353.5</v>
      </c>
      <c r="J138" t="n">
        <v>26109</v>
      </c>
    </row>
    <row r="139">
      <c r="G139" s="34" t="n">
        <v>46035</v>
      </c>
      <c r="H139" t="n">
        <v>2389.5</v>
      </c>
      <c r="J139" t="n">
        <v>25876</v>
      </c>
    </row>
    <row r="140">
      <c r="G140" s="34" t="n">
        <v>46034</v>
      </c>
      <c r="H140" t="n">
        <v>2406.2</v>
      </c>
      <c r="J140" t="n">
        <v>25933.6</v>
      </c>
    </row>
    <row r="141">
      <c r="G141" s="34" t="n">
        <v>46031</v>
      </c>
      <c r="H141" t="n">
        <v>2372.6</v>
      </c>
      <c r="J141" t="n">
        <v>26327.4</v>
      </c>
    </row>
    <row r="142">
      <c r="G142" s="34" t="n">
        <v>46030</v>
      </c>
      <c r="H142" t="n">
        <v>2386.7</v>
      </c>
      <c r="J142" t="n">
        <v>26567.7</v>
      </c>
    </row>
    <row r="143">
      <c r="G143" s="34" t="n">
        <v>46029</v>
      </c>
      <c r="H143" t="n">
        <v>2399.4</v>
      </c>
      <c r="J143" t="n">
        <v>26285.1</v>
      </c>
    </row>
    <row r="144">
      <c r="G144" s="34" t="n">
        <v>46028</v>
      </c>
      <c r="H144" t="n">
        <v>2424.7</v>
      </c>
      <c r="J144" t="n">
        <v>26331.3</v>
      </c>
    </row>
    <row r="145">
      <c r="G145" s="34" t="n">
        <v>46027</v>
      </c>
      <c r="H145" t="n">
        <v>2384.1</v>
      </c>
      <c r="J145" t="n">
        <v>26591.5</v>
      </c>
    </row>
    <row r="146">
      <c r="G146" s="34" t="n">
        <v>46024</v>
      </c>
      <c r="H146" t="n">
        <v>2348</v>
      </c>
      <c r="J146" t="n">
        <v>26436.9</v>
      </c>
    </row>
    <row r="147">
      <c r="G147" s="34" t="n">
        <v>46023</v>
      </c>
      <c r="H147" t="n">
        <v>2323</v>
      </c>
      <c r="J147" t="n">
        <v>26296.3</v>
      </c>
    </row>
    <row r="148">
      <c r="G148" s="34" t="n">
        <v>46022</v>
      </c>
      <c r="H148" t="n">
        <v>2315.9</v>
      </c>
      <c r="J148" t="n">
        <v>26258.4</v>
      </c>
    </row>
    <row r="149">
      <c r="G149" s="34" t="n">
        <v>46021</v>
      </c>
      <c r="H149" t="n">
        <v>2290.2</v>
      </c>
      <c r="J149" t="n">
        <v>26265.4</v>
      </c>
    </row>
    <row r="150">
      <c r="G150" s="34" t="n">
        <v>46020</v>
      </c>
      <c r="H150" t="n">
        <v>2293.3</v>
      </c>
      <c r="J150" t="n">
        <v>26060.2</v>
      </c>
    </row>
    <row r="151">
      <c r="G151" s="34" t="n">
        <v>46017</v>
      </c>
      <c r="H151" t="n">
        <v>2285.4</v>
      </c>
      <c r="J151" t="n">
        <v>26498.6</v>
      </c>
    </row>
    <row r="152">
      <c r="G152" s="34" t="n">
        <v>46015</v>
      </c>
      <c r="H152" t="n">
        <v>2282.2</v>
      </c>
      <c r="J152" t="n">
        <v>26392.8</v>
      </c>
    </row>
    <row r="153">
      <c r="G153" s="34" t="n">
        <v>46014</v>
      </c>
      <c r="H153" t="n">
        <v>2302.6</v>
      </c>
      <c r="J153" t="n">
        <v>26197.9</v>
      </c>
    </row>
    <row r="154">
      <c r="G154" s="34" t="n">
        <v>46013</v>
      </c>
      <c r="H154" t="n">
        <v>2289.5</v>
      </c>
      <c r="J154" t="n">
        <v>26331.5</v>
      </c>
    </row>
    <row r="155">
      <c r="G155" s="34" t="n">
        <v>46010</v>
      </c>
      <c r="H155" t="n">
        <v>2280</v>
      </c>
      <c r="J155" t="n">
        <v>25880.6</v>
      </c>
    </row>
    <row r="156">
      <c r="G156" s="34" t="n">
        <v>46009</v>
      </c>
      <c r="H156" t="n">
        <v>2265.5</v>
      </c>
      <c r="J156" t="n">
        <v>26061.8</v>
      </c>
    </row>
    <row r="157">
      <c r="G157" s="34" t="n">
        <v>46008</v>
      </c>
      <c r="H157" t="n">
        <v>2275.6</v>
      </c>
      <c r="J157" t="n">
        <v>26112.9</v>
      </c>
    </row>
    <row r="158">
      <c r="G158" s="34" t="n">
        <v>46007</v>
      </c>
      <c r="H158" t="n">
        <v>2281.1</v>
      </c>
      <c r="J158" t="n">
        <v>26407.3</v>
      </c>
    </row>
    <row r="159">
      <c r="G159" s="34" t="n">
        <v>46006</v>
      </c>
      <c r="H159" t="n">
        <v>2293.5</v>
      </c>
      <c r="J159" t="n">
        <v>26145.4</v>
      </c>
    </row>
    <row r="160">
      <c r="G160" s="34" t="n">
        <v>46003</v>
      </c>
      <c r="H160" t="n">
        <v>2260.6</v>
      </c>
      <c r="J160" t="n">
        <v>26009.5</v>
      </c>
    </row>
    <row r="161">
      <c r="G161" s="34" t="n">
        <v>46002</v>
      </c>
      <c r="H161" t="n">
        <v>2305.6</v>
      </c>
      <c r="J161" t="n">
        <v>26032.4</v>
      </c>
    </row>
    <row r="162">
      <c r="G162" s="34" t="n">
        <v>46001</v>
      </c>
      <c r="H162" t="n">
        <v>2301.7</v>
      </c>
      <c r="J162" t="n">
        <v>25960.2</v>
      </c>
    </row>
    <row r="163">
      <c r="G163" s="34" t="n">
        <v>46000</v>
      </c>
      <c r="H163" t="n">
        <v>2306.5</v>
      </c>
      <c r="J163" t="n">
        <v>26064.7</v>
      </c>
    </row>
    <row r="164">
      <c r="G164" s="34" t="n">
        <v>45999</v>
      </c>
      <c r="H164" t="n">
        <v>2314</v>
      </c>
      <c r="J164" t="n">
        <v>26333.2</v>
      </c>
    </row>
    <row r="165">
      <c r="G165" s="34" t="n">
        <v>45996</v>
      </c>
      <c r="H165" t="n">
        <v>2338.6</v>
      </c>
      <c r="J165" t="n">
        <v>26350.5</v>
      </c>
    </row>
    <row r="166">
      <c r="G166" s="34" t="n">
        <v>45995</v>
      </c>
      <c r="H166" t="n">
        <v>2462.2</v>
      </c>
      <c r="J166" t="n">
        <v>26302.6</v>
      </c>
    </row>
    <row r="167">
      <c r="G167" s="34" t="n">
        <v>45994</v>
      </c>
      <c r="H167" t="n">
        <v>2448</v>
      </c>
      <c r="J167" t="n">
        <v>26530</v>
      </c>
    </row>
    <row r="168">
      <c r="G168" s="34" t="n">
        <v>45993</v>
      </c>
      <c r="H168" t="n">
        <v>2477.8</v>
      </c>
      <c r="J168" t="n">
        <v>26503.1</v>
      </c>
    </row>
    <row r="169">
      <c r="G169" s="34" t="n">
        <v>45992</v>
      </c>
      <c r="H169" t="n">
        <v>2464.5</v>
      </c>
      <c r="J169" t="n">
        <v>26387.4</v>
      </c>
    </row>
    <row r="170">
      <c r="G170" s="34" t="n">
        <v>45989</v>
      </c>
      <c r="H170" t="n">
        <v>2466.6</v>
      </c>
      <c r="J170" t="n">
        <v>26699.1</v>
      </c>
    </row>
    <row r="171">
      <c r="G171" s="34" t="n">
        <v>45988</v>
      </c>
      <c r="H171" t="n">
        <v>2451.7</v>
      </c>
      <c r="J171" t="n">
        <v>26381.2</v>
      </c>
    </row>
    <row r="172">
      <c r="G172" s="34" t="n">
        <v>45987</v>
      </c>
      <c r="H172" t="n">
        <v>2425.2</v>
      </c>
      <c r="J172" t="n">
        <v>25886.8</v>
      </c>
    </row>
    <row r="173">
      <c r="G173" s="34" t="n">
        <v>45986</v>
      </c>
      <c r="H173" t="n">
        <v>2414.1</v>
      </c>
      <c r="J173" t="n">
        <v>26358.6</v>
      </c>
    </row>
    <row r="174">
      <c r="G174" s="34" t="n">
        <v>45985</v>
      </c>
      <c r="H174" t="n">
        <v>2424.2</v>
      </c>
      <c r="J174" t="n">
        <v>26077.5</v>
      </c>
    </row>
    <row r="175">
      <c r="G175" s="34" t="n">
        <v>45982</v>
      </c>
      <c r="H175" t="n">
        <v>2433.7</v>
      </c>
      <c r="J175" t="n">
        <v>26220.8</v>
      </c>
    </row>
    <row r="176">
      <c r="G176" s="34" t="n">
        <v>45981</v>
      </c>
      <c r="H176" t="n">
        <v>2428.4</v>
      </c>
      <c r="J176" t="n">
        <v>26415</v>
      </c>
    </row>
    <row r="177">
      <c r="G177" s="34" t="n">
        <v>45980</v>
      </c>
      <c r="H177" t="n">
        <v>2441.6</v>
      </c>
      <c r="J177" t="n">
        <v>26316.4</v>
      </c>
    </row>
    <row r="178">
      <c r="G178" s="34" t="n">
        <v>45979</v>
      </c>
      <c r="H178" t="n">
        <v>2404</v>
      </c>
      <c r="J178" t="n">
        <v>26240</v>
      </c>
    </row>
    <row r="179">
      <c r="G179" s="34" t="n">
        <v>45978</v>
      </c>
      <c r="H179" t="n">
        <v>2425</v>
      </c>
      <c r="J179" t="n">
        <v>25951.4</v>
      </c>
    </row>
    <row r="180">
      <c r="G180" s="34" t="n">
        <v>45975</v>
      </c>
      <c r="H180" t="n">
        <v>2427.7</v>
      </c>
      <c r="J180" t="n">
        <v>26134.9</v>
      </c>
    </row>
    <row r="181">
      <c r="G181" s="34" t="n">
        <v>45974</v>
      </c>
      <c r="H181" t="n">
        <v>2407.6</v>
      </c>
      <c r="J181" t="n">
        <v>25986.1</v>
      </c>
    </row>
    <row r="182">
      <c r="G182" s="34" t="n">
        <v>45973</v>
      </c>
      <c r="H182" t="n">
        <v>2424.5</v>
      </c>
      <c r="J182" t="n">
        <v>26165</v>
      </c>
    </row>
    <row r="183">
      <c r="G183" s="34" t="n">
        <v>45972</v>
      </c>
      <c r="H183" t="n">
        <v>2427.5</v>
      </c>
      <c r="J183" t="n">
        <v>25882.9</v>
      </c>
    </row>
    <row r="184">
      <c r="G184" s="34" t="n">
        <v>45971</v>
      </c>
      <c r="H184" t="n">
        <v>2408.8</v>
      </c>
      <c r="J184" t="n">
        <v>25589.2</v>
      </c>
    </row>
    <row r="185">
      <c r="G185" s="34" t="n">
        <v>45968</v>
      </c>
      <c r="H185" t="n">
        <v>2414</v>
      </c>
      <c r="J185" t="n">
        <v>25807.1</v>
      </c>
    </row>
    <row r="186">
      <c r="G186" s="34" t="n">
        <v>45967</v>
      </c>
      <c r="H186" t="n">
        <v>2436</v>
      </c>
      <c r="J186" t="n">
        <v>25708.3</v>
      </c>
    </row>
    <row r="187">
      <c r="G187" s="34" t="n">
        <v>45965</v>
      </c>
      <c r="H187" t="n">
        <v>2445.7</v>
      </c>
      <c r="J187" t="n">
        <v>25898.9</v>
      </c>
    </row>
    <row r="188">
      <c r="G188" s="34" t="n">
        <v>45964</v>
      </c>
      <c r="H188" t="n">
        <v>2460</v>
      </c>
      <c r="J188" t="n">
        <v>26088.5</v>
      </c>
    </row>
    <row r="189">
      <c r="G189" s="34" t="n">
        <v>45961</v>
      </c>
      <c r="H189" t="n">
        <v>2465.5</v>
      </c>
      <c r="J189" t="n">
        <v>26031.6</v>
      </c>
    </row>
    <row r="190">
      <c r="G190" s="34" t="n">
        <v>45960</v>
      </c>
      <c r="H190" t="n">
        <v>2469.6</v>
      </c>
      <c r="J190" t="n">
        <v>26577.4</v>
      </c>
    </row>
    <row r="191">
      <c r="G191" s="34" t="n">
        <v>45959</v>
      </c>
      <c r="H191" t="n">
        <v>2488.1</v>
      </c>
      <c r="J191" t="n">
        <v>26090.1</v>
      </c>
    </row>
    <row r="192">
      <c r="G192" s="34" t="n">
        <v>45958</v>
      </c>
      <c r="H192" t="n">
        <v>2497.1</v>
      </c>
      <c r="J192" t="n">
        <v>26347.3</v>
      </c>
    </row>
    <row r="193">
      <c r="G193" s="34" t="n">
        <v>45957</v>
      </c>
      <c r="H193" t="n">
        <v>2511.8</v>
      </c>
      <c r="J193" t="n">
        <v>26130.2</v>
      </c>
    </row>
    <row r="194">
      <c r="G194" s="34" t="n">
        <v>45954</v>
      </c>
      <c r="H194" t="n">
        <v>2516.4</v>
      </c>
      <c r="J194" t="n">
        <v>26279.8</v>
      </c>
    </row>
    <row r="195">
      <c r="G195" s="34" t="n">
        <v>45953</v>
      </c>
      <c r="H195" t="n">
        <v>2601.6</v>
      </c>
      <c r="J195" t="n">
        <v>26194.8</v>
      </c>
    </row>
    <row r="196">
      <c r="G196" s="34" t="n">
        <v>45951</v>
      </c>
      <c r="H196" t="n">
        <v>2591.7</v>
      </c>
      <c r="J196" t="n">
        <v>26046.3</v>
      </c>
    </row>
    <row r="197">
      <c r="G197" s="34" t="n">
        <v>45950</v>
      </c>
      <c r="H197" t="n">
        <v>2594.4</v>
      </c>
      <c r="J197" t="n">
        <v>25757.8</v>
      </c>
    </row>
    <row r="198">
      <c r="G198" s="34" t="n">
        <v>45947</v>
      </c>
      <c r="H198" t="n">
        <v>2603.7</v>
      </c>
      <c r="J198" t="n">
        <v>25943.1</v>
      </c>
    </row>
    <row r="199">
      <c r="G199" s="34" t="n">
        <v>45946</v>
      </c>
      <c r="H199" t="n">
        <v>2561.5</v>
      </c>
      <c r="J199" t="n">
        <v>25713.6</v>
      </c>
    </row>
    <row r="200">
      <c r="G200" s="34" t="n">
        <v>45945</v>
      </c>
      <c r="H200" t="n">
        <v>2519</v>
      </c>
      <c r="J200" t="n">
        <v>25503.4</v>
      </c>
    </row>
    <row r="201">
      <c r="G201" s="34" t="n">
        <v>45944</v>
      </c>
      <c r="H201" t="n">
        <v>2502.3</v>
      </c>
      <c r="J201" t="n">
        <v>25309.3</v>
      </c>
    </row>
    <row r="202">
      <c r="G202" s="34" t="n">
        <v>45943</v>
      </c>
      <c r="H202" t="n">
        <v>2492.8</v>
      </c>
      <c r="J202" t="n">
        <v>25540.1</v>
      </c>
    </row>
    <row r="203">
      <c r="G203" s="34" t="n">
        <v>45940</v>
      </c>
      <c r="H203" t="n">
        <v>2528.9</v>
      </c>
      <c r="J203" t="n">
        <v>25403</v>
      </c>
    </row>
    <row r="204">
      <c r="G204" s="34" t="n">
        <v>45939</v>
      </c>
      <c r="H204" t="n">
        <v>2517.6</v>
      </c>
      <c r="J204" t="n">
        <v>25247.7</v>
      </c>
    </row>
    <row r="205">
      <c r="G205" s="34" t="n">
        <v>45938</v>
      </c>
      <c r="H205" t="n">
        <v>2500.1</v>
      </c>
      <c r="J205" t="n">
        <v>25514.5</v>
      </c>
    </row>
    <row r="206">
      <c r="G206" s="34" t="n">
        <v>45937</v>
      </c>
      <c r="H206" t="n">
        <v>2517.2</v>
      </c>
      <c r="J206" t="n">
        <v>25314.2</v>
      </c>
    </row>
    <row r="207">
      <c r="G207" s="34" t="n">
        <v>45936</v>
      </c>
      <c r="H207" t="n">
        <v>2541.8</v>
      </c>
      <c r="J207" t="n">
        <v>25290.7</v>
      </c>
    </row>
    <row r="208">
      <c r="G208" s="34" t="n">
        <v>45933</v>
      </c>
      <c r="H208" t="n">
        <v>2544.9</v>
      </c>
      <c r="J208" t="n">
        <v>24967.2</v>
      </c>
    </row>
    <row r="209">
      <c r="G209" s="34" t="n">
        <v>45931</v>
      </c>
      <c r="H209" t="n">
        <v>2536.2</v>
      </c>
      <c r="J209" t="n">
        <v>24914.3</v>
      </c>
    </row>
    <row r="210">
      <c r="G210" s="34" t="n">
        <v>45930</v>
      </c>
      <c r="H210" t="n">
        <v>2514.4</v>
      </c>
      <c r="J210" t="n">
        <v>24944.8</v>
      </c>
    </row>
    <row r="211">
      <c r="G211" s="34" t="n">
        <v>45929</v>
      </c>
      <c r="H211" t="n">
        <v>2497.9</v>
      </c>
      <c r="J211" t="n">
        <v>24812</v>
      </c>
    </row>
    <row r="212">
      <c r="G212" s="34" t="n">
        <v>45926</v>
      </c>
      <c r="H212" t="n">
        <v>2511.8</v>
      </c>
      <c r="J212" t="n">
        <v>25093.7</v>
      </c>
    </row>
    <row r="213">
      <c r="G213" s="34" t="n">
        <v>45925</v>
      </c>
      <c r="H213" t="n">
        <v>2538.3</v>
      </c>
      <c r="J213" t="n">
        <v>25373.6</v>
      </c>
    </row>
    <row r="214">
      <c r="G214" s="34" t="n">
        <v>45924</v>
      </c>
      <c r="H214" t="n">
        <v>2549.5</v>
      </c>
      <c r="J214" t="n">
        <v>25383.3</v>
      </c>
    </row>
    <row r="215">
      <c r="G215" s="34" t="n">
        <v>45923</v>
      </c>
      <c r="H215" t="n">
        <v>2522.2</v>
      </c>
      <c r="J215" t="n">
        <v>25403.4</v>
      </c>
    </row>
    <row r="216">
      <c r="G216" s="34" t="n">
        <v>45922</v>
      </c>
      <c r="H216" t="n">
        <v>2572.2</v>
      </c>
      <c r="J216" t="n">
        <v>25534.5</v>
      </c>
    </row>
    <row r="217">
      <c r="G217" s="34" t="n">
        <v>45919</v>
      </c>
      <c r="H217" t="n">
        <v>2559.6</v>
      </c>
      <c r="J217" t="n">
        <v>25510.9</v>
      </c>
    </row>
    <row r="218">
      <c r="G218" s="34" t="n">
        <v>45918</v>
      </c>
      <c r="H218" t="n">
        <v>2586.8</v>
      </c>
      <c r="J218" t="n">
        <v>25540</v>
      </c>
    </row>
    <row r="219">
      <c r="G219" s="34" t="n">
        <v>45917</v>
      </c>
      <c r="H219" t="n">
        <v>2569.7</v>
      </c>
      <c r="J219" t="n">
        <v>25331.4</v>
      </c>
    </row>
    <row r="220">
      <c r="G220" s="34" t="n">
        <v>45916</v>
      </c>
      <c r="H220" t="n">
        <v>2580.9</v>
      </c>
      <c r="J220" t="n">
        <v>25284</v>
      </c>
    </row>
    <row r="221">
      <c r="G221" s="34" t="n">
        <v>45915</v>
      </c>
      <c r="H221" t="n">
        <v>2581</v>
      </c>
      <c r="J221" t="n">
        <v>25438.8</v>
      </c>
    </row>
    <row r="222">
      <c r="G222" s="34" t="n">
        <v>45912</v>
      </c>
      <c r="H222" t="n">
        <v>2580.5</v>
      </c>
      <c r="J222" t="n">
        <v>25104.5</v>
      </c>
    </row>
    <row r="223">
      <c r="G223" s="34" t="n">
        <v>45911</v>
      </c>
      <c r="H223" t="n">
        <v>2622</v>
      </c>
      <c r="J223" t="n">
        <v>25072.3</v>
      </c>
    </row>
    <row r="224">
      <c r="G224" s="34" t="n">
        <v>45910</v>
      </c>
      <c r="H224" t="n">
        <v>2643.5</v>
      </c>
      <c r="J224" t="n">
        <v>24950.3</v>
      </c>
    </row>
    <row r="225">
      <c r="G225" s="34" t="n">
        <v>45909</v>
      </c>
      <c r="H225" t="n">
        <v>2642</v>
      </c>
      <c r="J225" t="n">
        <v>24892.7</v>
      </c>
    </row>
    <row r="226">
      <c r="G226" s="34" t="n">
        <v>45908</v>
      </c>
      <c r="H226" t="n">
        <v>2623.9</v>
      </c>
      <c r="J226" t="n">
        <v>24964.5</v>
      </c>
    </row>
    <row r="227">
      <c r="G227" s="34" t="n">
        <v>45905</v>
      </c>
      <c r="H227" t="n">
        <v>2633.4</v>
      </c>
      <c r="J227" t="n">
        <v>24827.5</v>
      </c>
    </row>
    <row r="228">
      <c r="G228" s="34" t="n">
        <v>45904</v>
      </c>
      <c r="H228" t="n">
        <v>2666.6</v>
      </c>
      <c r="J228" t="n">
        <v>24933</v>
      </c>
    </row>
    <row r="229">
      <c r="G229" s="34" t="n">
        <v>45903</v>
      </c>
      <c r="H229" t="n">
        <v>2664.7</v>
      </c>
      <c r="J229" t="n">
        <v>24808.9</v>
      </c>
    </row>
    <row r="230">
      <c r="G230" s="34" t="n">
        <v>45902</v>
      </c>
      <c r="H230" t="n">
        <v>2677</v>
      </c>
      <c r="J230" t="n">
        <v>24990.6</v>
      </c>
    </row>
    <row r="231">
      <c r="G231" s="34" t="n">
        <v>45901</v>
      </c>
      <c r="H231" t="n">
        <v>2649.5</v>
      </c>
      <c r="J231" t="n">
        <v>24684.3</v>
      </c>
    </row>
    <row r="232">
      <c r="G232" s="34" t="n">
        <v>45898</v>
      </c>
      <c r="H232" t="n">
        <v>2659.8</v>
      </c>
      <c r="J232" t="n">
        <v>24651.7</v>
      </c>
    </row>
    <row r="233">
      <c r="G233" s="34" t="n">
        <v>45897</v>
      </c>
      <c r="H233" t="n">
        <v>2654.4</v>
      </c>
      <c r="J233" t="n">
        <v>24857.5</v>
      </c>
    </row>
    <row r="234">
      <c r="G234" s="34" t="n">
        <v>45895</v>
      </c>
      <c r="H234" t="n">
        <v>2692.6</v>
      </c>
      <c r="J234" t="n">
        <v>24989.7</v>
      </c>
    </row>
    <row r="235">
      <c r="G235" s="34" t="n">
        <v>45894</v>
      </c>
      <c r="H235" t="n">
        <v>2631.6</v>
      </c>
      <c r="J235" t="n">
        <v>25039.2</v>
      </c>
    </row>
    <row r="236">
      <c r="G236" s="34" t="n">
        <v>45891</v>
      </c>
      <c r="H236" t="n">
        <v>2629.9</v>
      </c>
      <c r="J236" t="n">
        <v>25386.3</v>
      </c>
    </row>
    <row r="237">
      <c r="G237" s="34" t="n">
        <v>45890</v>
      </c>
      <c r="H237" t="n">
        <v>2648</v>
      </c>
      <c r="J237" t="n">
        <v>25083.3</v>
      </c>
    </row>
    <row r="238">
      <c r="G238" s="34" t="n">
        <v>45889</v>
      </c>
      <c r="H238" t="n">
        <v>2669.8</v>
      </c>
      <c r="J238" t="n">
        <v>25174.6</v>
      </c>
    </row>
    <row r="239">
      <c r="G239" s="34" t="n">
        <v>45888</v>
      </c>
      <c r="H239" t="n">
        <v>2604.8</v>
      </c>
      <c r="J239" t="n">
        <v>25224.1</v>
      </c>
    </row>
    <row r="240">
      <c r="G240" s="34" t="n">
        <v>45887</v>
      </c>
      <c r="H240" t="n">
        <v>2568.1</v>
      </c>
      <c r="J240" t="n">
        <v>24822.5</v>
      </c>
    </row>
    <row r="241">
      <c r="G241" s="34" t="n">
        <v>45883</v>
      </c>
      <c r="H241" t="n">
        <v>2480.6</v>
      </c>
      <c r="J241" t="n">
        <v>24712.2</v>
      </c>
    </row>
    <row r="242">
      <c r="G242" s="34" t="n">
        <v>45882</v>
      </c>
      <c r="H242" t="n">
        <v>2495.1</v>
      </c>
      <c r="J242" t="n">
        <v>24805.3</v>
      </c>
    </row>
    <row r="243">
      <c r="G243" s="34" t="n">
        <v>45881</v>
      </c>
      <c r="H243" t="n">
        <v>2483.8</v>
      </c>
      <c r="J243" t="n">
        <v>24755.5</v>
      </c>
    </row>
    <row r="244">
      <c r="G244" s="34" t="n">
        <v>45880</v>
      </c>
      <c r="H244" t="n">
        <v>2518.4</v>
      </c>
      <c r="J244" t="n">
        <v>24576.8</v>
      </c>
    </row>
    <row r="245">
      <c r="G245" s="34" t="n">
        <v>45877</v>
      </c>
      <c r="H245" t="n">
        <v>2498.6</v>
      </c>
      <c r="J245" t="n">
        <v>24673.4</v>
      </c>
    </row>
    <row r="246">
      <c r="G246" s="34" t="n">
        <v>45876</v>
      </c>
      <c r="H246" t="n">
        <v>2517.5</v>
      </c>
      <c r="J246" t="n">
        <v>24769.8</v>
      </c>
    </row>
    <row r="247">
      <c r="G247" s="34" t="n">
        <v>45875</v>
      </c>
      <c r="H247" t="n">
        <v>2535.6</v>
      </c>
      <c r="J247" t="n">
        <v>24959.7</v>
      </c>
    </row>
    <row r="248">
      <c r="G248" s="34" t="n">
        <v>45874</v>
      </c>
      <c r="H248" t="n">
        <v>2534.7</v>
      </c>
      <c r="J248" t="n">
        <v>25041.8</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5" t="n"/>
      <c r="F9" s="185" t="n"/>
      <c r="G9" s="185" t="n"/>
      <c r="H9" s="185" t="n"/>
      <c r="I9" s="185" t="n"/>
      <c r="J9" s="84" t="n"/>
      <c r="K9" s="166" t="inlineStr">
        <is>
          <t>Financials</t>
        </is>
      </c>
      <c r="L9" s="185" t="n"/>
      <c r="M9" s="185" t="n"/>
      <c r="N9" s="84" t="n"/>
      <c r="O9" s="166" t="inlineStr">
        <is>
          <t>Valuation</t>
        </is>
      </c>
      <c r="P9" s="185" t="n"/>
      <c r="Q9" s="185"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09"/>
    <row r="23">
      <c r="B23" s="79" t="inlineStr">
        <is>
          <t>High</t>
        </is>
      </c>
      <c r="C23" s="79" t="n"/>
      <c r="D23" s="79" t="n"/>
      <c r="E23" s="79" t="n"/>
      <c r="F23" s="79" t="n"/>
      <c r="G23" s="79" t="n"/>
      <c r="H23" s="79" t="n"/>
      <c r="I23" s="79" t="n"/>
      <c r="J23" s="79" t="n"/>
      <c r="K23" s="79" t="n"/>
      <c r="L23" s="79" t="n"/>
      <c r="M23" s="79" t="n"/>
      <c r="N23" s="79" t="n"/>
      <c r="O23" s="86">
        <f>MAX((O12,O14:O21))</f>
        <v/>
      </c>
      <c r="P23" s="86">
        <f>MAX((P12,P14:P21))</f>
        <v/>
      </c>
      <c r="Q23" s="86">
        <f>MAX((Q12,Q14:Q21))</f>
        <v/>
      </c>
    </row>
    <row r="24">
      <c r="B24" s="79" t="inlineStr">
        <is>
          <t>25th Percentile</t>
        </is>
      </c>
      <c r="C24" s="79" t="n"/>
      <c r="D24" s="79" t="n"/>
      <c r="E24" s="79" t="n"/>
      <c r="F24" s="79" t="n"/>
      <c r="G24" s="79" t="n"/>
      <c r="H24" s="79" t="n"/>
      <c r="I24" s="79" t="n"/>
      <c r="J24" s="79" t="n"/>
      <c r="K24" s="79" t="n"/>
      <c r="L24" s="79" t="n"/>
      <c r="M24" s="79" t="n"/>
      <c r="N24" s="79" t="n"/>
      <c r="O24" s="87">
        <f>QUARTILE((O12,O14:O21),1)</f>
        <v/>
      </c>
      <c r="P24" s="87">
        <f>QUARTILE((P12,P14:P21),1)</f>
        <v/>
      </c>
      <c r="Q24" s="87">
        <f>QUARTILE((Q12,Q14:Q21),1)</f>
        <v/>
      </c>
    </row>
    <row r="25">
      <c r="B25" s="152" t="inlineStr">
        <is>
          <t>Median</t>
        </is>
      </c>
      <c r="C25" s="152" t="n"/>
      <c r="D25" s="152" t="n"/>
      <c r="E25" s="152" t="n"/>
      <c r="F25" s="152" t="n"/>
      <c r="G25" s="152" t="n"/>
      <c r="H25" s="152" t="n"/>
      <c r="I25" s="152" t="n"/>
      <c r="J25" s="152" t="n"/>
      <c r="K25" s="152" t="n"/>
      <c r="L25" s="152" t="n"/>
      <c r="M25" s="152" t="n"/>
      <c r="N25" s="152" t="n"/>
      <c r="O25" s="153">
        <f>MEDIAN((O12,O14:O21))</f>
        <v/>
      </c>
      <c r="P25" s="153">
        <f>MEDIAN((P12,P14:P21))</f>
        <v/>
      </c>
      <c r="Q25" s="153">
        <f>MEDIAN((Q12,Q14:Q21))</f>
        <v/>
      </c>
    </row>
    <row r="26">
      <c r="B26" s="152" t="inlineStr">
        <is>
          <t>Average</t>
        </is>
      </c>
      <c r="C26" s="152" t="n"/>
      <c r="D26" s="152" t="n"/>
      <c r="E26" s="152" t="n"/>
      <c r="F26" s="152" t="n"/>
      <c r="G26" s="152" t="n"/>
      <c r="H26" s="152" t="n"/>
      <c r="I26" s="152" t="n"/>
      <c r="J26" s="152" t="n"/>
      <c r="K26" s="152" t="n"/>
      <c r="L26" s="152" t="n"/>
      <c r="M26" s="152" t="n"/>
      <c r="N26" s="152" t="n"/>
      <c r="O26" s="153">
        <f>AVERAGE((O12,O14:O21))</f>
        <v/>
      </c>
      <c r="P26" s="153">
        <f>AVERAGE((P12,P14:P21))</f>
        <v/>
      </c>
      <c r="Q26" s="153">
        <f>AVERAGE((Q12,Q14:Q21))</f>
        <v/>
      </c>
    </row>
    <row r="27">
      <c r="B27" s="79" t="inlineStr">
        <is>
          <t>75th Percentile</t>
        </is>
      </c>
      <c r="C27" s="79" t="n"/>
      <c r="D27" s="79" t="n"/>
      <c r="E27" s="79" t="n"/>
      <c r="F27" s="79" t="n"/>
      <c r="G27" s="79" t="n"/>
      <c r="H27" s="79" t="n"/>
      <c r="I27" s="79" t="n"/>
      <c r="J27" s="79" t="n"/>
      <c r="K27" s="79" t="n"/>
      <c r="L27" s="79" t="n"/>
      <c r="M27" s="79" t="n"/>
      <c r="N27" s="79" t="n"/>
      <c r="O27" s="87">
        <f>QUARTILE((O12,O14:O21),3)</f>
        <v/>
      </c>
      <c r="P27" s="87">
        <f>QUARTILE((P12,P14:P21),3)</f>
        <v/>
      </c>
      <c r="Q27" s="87">
        <f>QUARTILE((Q12,Q14:Q21),3)</f>
        <v/>
      </c>
    </row>
    <row r="28">
      <c r="B28" s="79" t="inlineStr">
        <is>
          <t>Low</t>
        </is>
      </c>
      <c r="C28" s="79" t="n"/>
      <c r="D28" s="79" t="n"/>
      <c r="E28" s="79" t="n"/>
      <c r="F28" s="79" t="n"/>
      <c r="G28" s="79" t="n"/>
      <c r="H28" s="79" t="n"/>
      <c r="I28" s="79" t="n"/>
      <c r="J28" s="79" t="n"/>
      <c r="K28" s="79" t="n"/>
      <c r="L28" s="79" t="n"/>
      <c r="M28" s="79" t="n"/>
      <c r="N28" s="79" t="n"/>
      <c r="O28" s="86">
        <f>MIN((O12,O14:O21))</f>
        <v/>
      </c>
      <c r="P28" s="86">
        <f>MIN((P12,P14:P21))</f>
        <v/>
      </c>
      <c r="Q28" s="86">
        <f>MIN((Q12,Q14:Q21))</f>
        <v/>
      </c>
    </row>
    <row r="30">
      <c r="B30" s="84" t="inlineStr">
        <is>
          <t>Infosys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K13*O26</f>
        <v/>
      </c>
      <c r="P32" s="155">
        <f>L13*P26</f>
        <v/>
      </c>
      <c r="Q32" s="155">
        <f>M13*Q26</f>
        <v/>
      </c>
    </row>
    <row r="33">
      <c r="B33" s="150" t="inlineStr">
        <is>
          <t>Net Debt Value</t>
        </is>
      </c>
      <c r="C33" s="150" t="n"/>
      <c r="D33" s="150" t="n"/>
      <c r="E33" s="150" t="n"/>
      <c r="F33" s="150" t="n"/>
      <c r="G33" s="150" t="n"/>
      <c r="H33" s="150" t="n"/>
      <c r="I33" s="150" t="n"/>
      <c r="J33" s="150" t="n"/>
      <c r="K33" s="150" t="n"/>
      <c r="L33" s="150" t="n"/>
      <c r="M33" s="150" t="n"/>
      <c r="N33" s="150" t="n"/>
      <c r="O33" s="155">
        <f>$G$13</f>
        <v/>
      </c>
      <c r="P33" s="155">
        <f>$G$13</f>
        <v/>
      </c>
      <c r="Q33" s="155">
        <f>$G$13</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$E$13</f>
        <v/>
      </c>
      <c r="P35" s="155">
        <f>$E$13</f>
        <v/>
      </c>
      <c r="Q35" s="155">
        <f>$E$13</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IF(O37&gt;$D$13,"Overvalued","Undervalued")</f>
        <v/>
      </c>
      <c r="P39">
        <f>IF(P37&gt;$D$13,"Overvalued","Undervalued")</f>
        <v/>
      </c>
      <c r="Q39">
        <f>IF(Q37&gt;$D$13,"Overvalued","Undervalued")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6">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- 1,728.00 &amp; low INR - 982.00)</t>
        </is>
      </c>
      <c r="C5" s="58" t="n"/>
      <c r="D5" s="58" t="n"/>
      <c r="E5" s="58" t="n"/>
      <c r="F5" s="58" t="n"/>
      <c r="G5" s="58" t="n"/>
      <c r="H5" s="58" t="n"/>
      <c r="I5" s="58" t="n"/>
    </row>
    <row r="6">
      <c r="B6" s="37" t="inlineStr">
        <is>
          <t>About the Company</t>
        </is>
      </c>
    </row>
    <row r="7" ht="4.2" customHeight="1" s="109">
      <c r="B7" s="37" t="n"/>
    </row>
    <row r="8">
      <c r="B8" s="168" t="inlineStr">
        <is>
          <t>Infosys Limited is an Indian multinational technology company that offers information technology, business consulting, and outsourcing services. Founded in 1981 by seven engineers, the company is headquartered in Bengaluru and considered one of the Big Six Indian IT companies.</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India has a once-in-a-generation semiconductor demand window: Infosys SVP</t>
        </is>
      </c>
    </row>
    <row r="38"/>
    <row r="39">
      <c r="A39" t="inlineStr">
        <is>
          <t>•</t>
        </is>
      </c>
      <c r="B39" s="167" t="inlineStr">
        <is>
          <t>Stocks in news: Infosys, Mazagon Dock, Fortis Healthcare, JSW Energy and Kalpataru Projects</t>
        </is>
      </c>
    </row>
    <row r="40"/>
    <row r="41">
      <c r="A41" t="inlineStr">
        <is>
          <t>•</t>
        </is>
      </c>
      <c r="B41" s="167" t="inlineStr">
        <is>
          <t>Infosys, TCS, other IT stocks in focus after first Fed rate hike in 3 years. Will inflationary pressures o</t>
        </is>
      </c>
    </row>
    <row r="42"/>
    <row r="43">
      <c r="A43" t="inlineStr">
        <is>
          <t>•</t>
        </is>
      </c>
      <c r="B43" s="167" t="inlineStr">
        <is>
          <t>Ex-Infosys CEO Vishal Sikka’s startup Hang Ten Systems raises $53 million</t>
        </is>
      </c>
    </row>
    <row r="44"/>
    <row r="45">
      <c r="A45" t="inlineStr">
        <is>
          <t>•</t>
        </is>
      </c>
      <c r="B45" s="167" t="inlineStr">
        <is>
          <t>Market wrap: SBI, HDFC Life, TCS, Infosys top gainers and losers on Nifty and Sensex on Thursday</t>
        </is>
      </c>
    </row>
    <row r="46"/>
    <row r="47">
      <c r="A47" t="inlineStr">
        <is>
          <t>•</t>
        </is>
      </c>
      <c r="B47" s="167" t="inlineStr">
        <is>
          <t>ITC Limited’s Q1 FY27 net profit plunged 27% year-on-year to approximately ₹3,579 crore, missing street estimates due to sharp cigarette excise duty hikes and geopolitical disruptions.</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6">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- 1,728.00 &amp; low INR - 982.00)</t>
        </is>
      </c>
      <c r="C5" s="58" t="n"/>
      <c r="D5" s="58" t="n"/>
      <c r="E5" s="58" t="n"/>
      <c r="F5" s="58" t="n"/>
      <c r="G5" s="58" t="n"/>
      <c r="H5" s="58" t="n"/>
      <c r="I5" s="58" t="n"/>
    </row>
    <row r="6">
      <c r="B6" s="37" t="inlineStr">
        <is>
          <t>About the Company</t>
        </is>
      </c>
    </row>
    <row r="7" ht="6.6" customHeight="1" s="109"/>
    <row r="8">
      <c r="B8" s="168" t="inlineStr">
        <is>
          <t>Infosys Limited is an Indian multinational technology company that offers information technology, business consulting, and outsourcing services. Founded in 1981 by seven engineers, the company is headquartered in Bengaluru and considered one of the Big Six Indian IT companies.</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India has a once-in-a-generation semiconductor demand window: Infosys SVP</t>
        </is>
      </c>
    </row>
    <row r="37"/>
    <row r="38" ht="14.4" customHeight="1" s="109">
      <c r="A38" t="inlineStr">
        <is>
          <t>•</t>
        </is>
      </c>
      <c r="B38" s="167" t="inlineStr">
        <is>
          <t>Stocks in news: Infosys, Mazagon Dock, Fortis Healthcare, JSW Energy and Kalpataru Projects</t>
        </is>
      </c>
    </row>
    <row r="39"/>
    <row r="40" ht="20.4" customHeight="1" s="109">
      <c r="A40" t="inlineStr">
        <is>
          <t>•</t>
        </is>
      </c>
      <c r="B40" s="167" t="inlineStr">
        <is>
          <t>Infosys, TCS, other IT stocks in focus after first Fed rate hike in 3 years. Will inflationary pressures o</t>
        </is>
      </c>
    </row>
    <row r="41"/>
    <row r="42">
      <c r="A42" t="inlineStr">
        <is>
          <t>•</t>
        </is>
      </c>
      <c r="B42" s="167" t="inlineStr">
        <is>
          <t>Ex-Infosys CEO Vishal Sikka’s startup Hang Ten Systems raises $53 million</t>
        </is>
      </c>
    </row>
    <row r="43"/>
    <row r="44">
      <c r="A44" t="inlineStr">
        <is>
          <t>•</t>
        </is>
      </c>
      <c r="B44" s="167" t="inlineStr">
        <is>
          <t>Market wrap: SBI, HDFC Life, TCS, Infosys top gainers and losers on Nifty and Sensex on Thursday</t>
        </is>
      </c>
    </row>
    <row r="45"/>
    <row r="46">
      <c r="A46" t="inlineStr">
        <is>
          <t>•</t>
        </is>
      </c>
      <c r="B46" s="167" t="inlineStr">
        <is>
          <t>ITC Limited’s Q1 FY27 net profit plunged 27% year-on-year to approximately ₹3,579 crore, missing street estimates due to sharp cigarette excise duty hikes and geopolitical disruptions.</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53319</v>
      </c>
      <c r="T4" s="73" t="n">
        <v>62441</v>
      </c>
      <c r="U4" s="73" t="n">
        <v>68484</v>
      </c>
      <c r="V4" s="73" t="n">
        <v>70522</v>
      </c>
      <c r="W4" s="73" t="n">
        <v>82675</v>
      </c>
      <c r="X4" s="73" t="n">
        <v>90791</v>
      </c>
      <c r="Y4" s="73" t="n">
        <v>100472</v>
      </c>
      <c r="Z4" s="73" t="n">
        <v>121641</v>
      </c>
      <c r="AA4" s="73" t="n">
        <v>146767</v>
      </c>
      <c r="AB4" s="73" t="n">
        <v>153670</v>
      </c>
      <c r="AC4" s="73" t="n">
        <v>162990</v>
      </c>
      <c r="AD4" s="73" t="n">
        <v>178650</v>
      </c>
      <c r="AE4" s="73" t="n">
        <v>184582</v>
      </c>
    </row>
    <row r="5">
      <c r="B5" s="35" t="inlineStr">
        <is>
          <t>Equity Capital</t>
        </is>
      </c>
      <c r="C5" t="n">
        <v>572</v>
      </c>
      <c r="D5" s="47" t="n">
        <v>1144</v>
      </c>
      <c r="E5" s="47" t="n">
        <v>1144</v>
      </c>
      <c r="F5" s="47" t="n">
        <v>1088</v>
      </c>
      <c r="G5" s="47" t="n">
        <v>2170</v>
      </c>
      <c r="H5" s="47" t="n">
        <v>2122</v>
      </c>
      <c r="I5" s="47" t="n">
        <v>2124</v>
      </c>
      <c r="J5" s="47" t="n">
        <v>2098</v>
      </c>
      <c r="K5" s="47" t="n">
        <v>2069</v>
      </c>
      <c r="L5" s="47" t="n">
        <v>2071</v>
      </c>
      <c r="M5" s="47" t="n">
        <v>2073</v>
      </c>
      <c r="N5" s="47" t="n">
        <v>2024</v>
      </c>
      <c r="R5" t="inlineStr">
        <is>
          <t>Expenses +</t>
        </is>
      </c>
      <c r="S5" s="73" t="n">
        <v>38436</v>
      </c>
      <c r="T5" s="73" t="n">
        <v>45362</v>
      </c>
      <c r="U5" s="73" t="n">
        <v>49880</v>
      </c>
      <c r="V5" s="73" t="n">
        <v>51700</v>
      </c>
      <c r="W5" s="73" t="n">
        <v>62505</v>
      </c>
      <c r="X5" s="73" t="n">
        <v>68524</v>
      </c>
      <c r="Y5" s="73" t="n">
        <v>72583</v>
      </c>
      <c r="Z5" s="73" t="n">
        <v>90150</v>
      </c>
      <c r="AA5" s="73" t="n">
        <v>111637</v>
      </c>
      <c r="AB5" s="73" t="n">
        <v>117245</v>
      </c>
      <c r="AC5" s="73" t="n">
        <v>123754</v>
      </c>
      <c r="AD5" s="73" t="n">
        <v>136370</v>
      </c>
      <c r="AE5" s="73" t="n">
        <v>140837</v>
      </c>
    </row>
    <row r="6">
      <c r="B6" t="inlineStr">
        <is>
          <t>Reserves</t>
        </is>
      </c>
      <c r="C6" s="73" t="n">
        <v>50164</v>
      </c>
      <c r="D6" s="73" t="n">
        <v>60600</v>
      </c>
      <c r="E6" s="73" t="n">
        <v>67838</v>
      </c>
      <c r="F6" s="73" t="n">
        <v>63835</v>
      </c>
      <c r="G6" s="73" t="n">
        <v>62778</v>
      </c>
      <c r="H6" s="73" t="n">
        <v>63328</v>
      </c>
      <c r="I6" s="73" t="n">
        <v>74227</v>
      </c>
      <c r="J6" s="73" t="n">
        <v>73252</v>
      </c>
      <c r="K6" s="73" t="n">
        <v>73338</v>
      </c>
      <c r="L6" s="73" t="n">
        <v>86045</v>
      </c>
      <c r="M6" s="73" t="n">
        <v>93745</v>
      </c>
      <c r="N6" s="73" t="n">
        <v>90828</v>
      </c>
      <c r="O6" s="73" t="n"/>
      <c r="R6" t="inlineStr">
        <is>
          <t>Operating Profit</t>
        </is>
      </c>
      <c r="S6" s="73" t="n">
        <v>14883</v>
      </c>
      <c r="T6" s="73" t="n">
        <v>17079</v>
      </c>
      <c r="U6" s="73" t="n">
        <v>18604</v>
      </c>
      <c r="V6" s="73" t="n">
        <v>18822</v>
      </c>
      <c r="W6" s="73" t="n">
        <v>20170</v>
      </c>
      <c r="X6" s="73" t="n">
        <v>22267</v>
      </c>
      <c r="Y6" s="73" t="n">
        <v>27889</v>
      </c>
      <c r="Z6" s="73" t="n">
        <v>31491</v>
      </c>
      <c r="AA6" s="73" t="n">
        <v>35130</v>
      </c>
      <c r="AB6" s="73" t="n">
        <v>36425</v>
      </c>
      <c r="AC6" s="73" t="n">
        <v>39236</v>
      </c>
      <c r="AD6" s="73" t="n">
        <v>42280</v>
      </c>
      <c r="AE6" s="73" t="n">
        <v>43745</v>
      </c>
    </row>
    <row r="7">
      <c r="B7" s="73" t="inlineStr">
        <is>
          <t>Borrowings -</t>
        </is>
      </c>
      <c r="C7" s="73" t="n">
        <v>0</v>
      </c>
      <c r="D7" s="73" t="n">
        <v>0</v>
      </c>
      <c r="E7" s="73" t="n">
        <v>0</v>
      </c>
      <c r="F7" s="73" t="n">
        <v>0</v>
      </c>
      <c r="G7" s="73" t="n">
        <v>0</v>
      </c>
      <c r="H7" s="73" t="n">
        <v>4633</v>
      </c>
      <c r="I7" s="73" t="n">
        <v>5325</v>
      </c>
      <c r="J7" s="73" t="n">
        <v>5474</v>
      </c>
      <c r="K7" s="73" t="n">
        <v>8299</v>
      </c>
      <c r="L7" s="73" t="n">
        <v>8359</v>
      </c>
      <c r="M7" s="73" t="n">
        <v>8227</v>
      </c>
      <c r="N7" s="73" t="n">
        <v>9176</v>
      </c>
      <c r="O7" s="73" t="n"/>
      <c r="R7" t="inlineStr">
        <is>
          <t>OPM %</t>
        </is>
      </c>
      <c r="S7" s="75" t="n">
        <v>28</v>
      </c>
      <c r="T7" s="75" t="n">
        <v>27</v>
      </c>
      <c r="U7" s="75" t="n">
        <v>27</v>
      </c>
      <c r="V7" s="75" t="n">
        <v>27</v>
      </c>
      <c r="W7" s="75" t="n">
        <v>24</v>
      </c>
      <c r="X7" s="75" t="n">
        <v>25</v>
      </c>
      <c r="Y7" s="75" t="n">
        <v>28</v>
      </c>
      <c r="Z7" s="75" t="n">
        <v>26</v>
      </c>
      <c r="AA7" s="75" t="n">
        <v>24</v>
      </c>
      <c r="AB7" s="75" t="n">
        <v>24</v>
      </c>
      <c r="AC7" s="75" t="n">
        <v>24</v>
      </c>
      <c r="AD7" s="75" t="n">
        <v>24</v>
      </c>
      <c r="AE7" s="75" t="n">
        <v>24</v>
      </c>
    </row>
    <row r="8">
      <c r="B8" s="73" t="inlineStr">
        <is>
          <t>Long term Borrowings</t>
        </is>
      </c>
      <c r="C8" s="73" t="n">
        <v>61</v>
      </c>
      <c r="D8" s="73" t="n">
        <v>27</v>
      </c>
      <c r="E8" s="73" t="n">
        <v>18</v>
      </c>
      <c r="F8" s="73" t="n">
        <v>12</v>
      </c>
      <c r="G8" s="73" t="n">
        <v>8</v>
      </c>
      <c r="H8" s="73" t="n">
        <v>6</v>
      </c>
      <c r="I8" s="73" t="n">
        <v>6</v>
      </c>
      <c r="J8" s="73" t="n">
        <v>5</v>
      </c>
      <c r="K8" s="73" t="n">
        <v>3</v>
      </c>
      <c r="L8" s="73" t="n">
        <v>2</v>
      </c>
      <c r="M8" s="73" t="n">
        <v>0</v>
      </c>
      <c r="N8" s="73" t="n">
        <v>60</v>
      </c>
      <c r="R8" t="inlineStr">
        <is>
          <t>Other Income +</t>
        </is>
      </c>
      <c r="S8" s="73" t="n">
        <v>3430</v>
      </c>
      <c r="T8" s="73" t="n">
        <v>3120</v>
      </c>
      <c r="U8" s="73" t="n">
        <v>3050</v>
      </c>
      <c r="V8" s="73" t="n">
        <v>3311</v>
      </c>
      <c r="W8" s="73" t="n">
        <v>2882</v>
      </c>
      <c r="X8" s="73" t="n">
        <v>2803</v>
      </c>
      <c r="Y8" s="73" t="n">
        <v>2201</v>
      </c>
      <c r="Z8" s="73" t="n">
        <v>2295</v>
      </c>
      <c r="AA8" s="73" t="n">
        <v>2701</v>
      </c>
      <c r="AB8" s="73" t="n">
        <v>4711</v>
      </c>
      <c r="AC8" s="73" t="n">
        <v>3600</v>
      </c>
      <c r="AD8" s="73" t="n">
        <v>3033</v>
      </c>
      <c r="AE8" s="73" t="n">
        <v>2975</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12</v>
      </c>
      <c r="T9" t="n">
        <v>0</v>
      </c>
      <c r="U9" t="n">
        <v>0</v>
      </c>
      <c r="V9" t="n">
        <v>0</v>
      </c>
      <c r="W9" t="n">
        <v>0</v>
      </c>
      <c r="X9" t="n">
        <v>170</v>
      </c>
      <c r="Y9" t="n">
        <v>195</v>
      </c>
      <c r="Z9" t="n">
        <v>200</v>
      </c>
      <c r="AA9" t="n">
        <v>284</v>
      </c>
      <c r="AB9" t="n">
        <v>470</v>
      </c>
      <c r="AC9" t="n">
        <v>416</v>
      </c>
      <c r="AD9" t="n">
        <v>416</v>
      </c>
      <c r="AE9" t="n">
        <v>430</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1017</v>
      </c>
      <c r="T10" s="73" t="n">
        <v>1459</v>
      </c>
      <c r="U10" s="73" t="n">
        <v>1703</v>
      </c>
      <c r="V10" s="73" t="n">
        <v>1863</v>
      </c>
      <c r="W10" s="73" t="n">
        <v>2011</v>
      </c>
      <c r="X10" s="73" t="n">
        <v>2893</v>
      </c>
      <c r="Y10" s="73" t="n">
        <v>3267</v>
      </c>
      <c r="Z10" s="73" t="n">
        <v>3476</v>
      </c>
      <c r="AA10" s="73" t="n">
        <v>4225</v>
      </c>
      <c r="AB10" s="73" t="n">
        <v>4678</v>
      </c>
      <c r="AC10" s="73" t="n">
        <v>4812</v>
      </c>
      <c r="AD10" s="73" t="n">
        <v>4902</v>
      </c>
      <c r="AE10" s="73" t="n">
        <v>5007</v>
      </c>
    </row>
    <row r="11">
      <c r="B11" s="73" t="inlineStr">
        <is>
          <t>Other Borrowings</t>
        </is>
      </c>
      <c r="C11" s="73" t="n">
        <v>13</v>
      </c>
      <c r="D11" s="73" t="n">
        <v>13</v>
      </c>
      <c r="E11" s="73" t="n">
        <v>8</v>
      </c>
      <c r="F11" s="73" t="n">
        <v>7</v>
      </c>
      <c r="G11" s="73" t="n">
        <v>3</v>
      </c>
      <c r="H11" s="73" t="n">
        <v>2</v>
      </c>
      <c r="I11" s="73" t="n">
        <v>0</v>
      </c>
      <c r="J11" s="73" t="n">
        <v>0</v>
      </c>
      <c r="K11" s="73" t="n">
        <v>0</v>
      </c>
      <c r="L11" s="73" t="n">
        <v>0</v>
      </c>
      <c r="M11" s="73" t="n">
        <v>0</v>
      </c>
      <c r="N11" s="73" t="n">
        <v>0</v>
      </c>
      <c r="O11" s="73" t="n"/>
      <c r="R11" t="inlineStr">
        <is>
          <t>Profit before tax</t>
        </is>
      </c>
      <c r="S11" s="73" t="n">
        <v>17284</v>
      </c>
      <c r="T11" s="73" t="n">
        <v>18740</v>
      </c>
      <c r="U11" s="73" t="n">
        <v>19951</v>
      </c>
      <c r="V11" s="73" t="n">
        <v>20270</v>
      </c>
      <c r="W11" s="73" t="n">
        <v>21041</v>
      </c>
      <c r="X11" s="73" t="n">
        <v>22007</v>
      </c>
      <c r="Y11" s="73" t="n">
        <v>26628</v>
      </c>
      <c r="Z11" s="73" t="n">
        <v>30110</v>
      </c>
      <c r="AA11" s="73" t="n">
        <v>33322</v>
      </c>
      <c r="AB11" s="73" t="n">
        <v>35988</v>
      </c>
      <c r="AC11" s="73" t="n">
        <v>37608</v>
      </c>
      <c r="AD11" s="73" t="n">
        <v>39995</v>
      </c>
      <c r="AE11" s="73" t="n">
        <v>41283</v>
      </c>
    </row>
    <row r="12">
      <c r="B12" s="73" t="inlineStr">
        <is>
          <t>Other Liabilities -</t>
        </is>
      </c>
      <c r="C12" s="73" t="n">
        <v>15553</v>
      </c>
      <c r="D12" s="73" t="n">
        <v>13354</v>
      </c>
      <c r="E12" s="73" t="n">
        <v>14166</v>
      </c>
      <c r="F12" s="73" t="n">
        <v>14426</v>
      </c>
      <c r="G12" s="73" t="n">
        <v>19118</v>
      </c>
      <c r="H12" s="73" t="n">
        <v>21717</v>
      </c>
      <c r="I12" s="73" t="n">
        <v>25835</v>
      </c>
      <c r="J12" s="73" t="n">
        <v>35905</v>
      </c>
      <c r="K12" s="73" t="n">
        <v>40890</v>
      </c>
      <c r="L12" s="73" t="n">
        <v>39545</v>
      </c>
      <c r="M12" s="73" t="n">
        <v>43750</v>
      </c>
      <c r="N12" s="73" t="n">
        <v>52260</v>
      </c>
      <c r="R12" t="inlineStr">
        <is>
          <t>Tax %</t>
        </is>
      </c>
      <c r="S12" s="75" t="n">
        <v>28</v>
      </c>
      <c r="T12" s="75" t="n">
        <v>28</v>
      </c>
      <c r="U12" s="75" t="n">
        <v>28</v>
      </c>
      <c r="V12" s="75" t="n">
        <v>21</v>
      </c>
      <c r="W12" s="75" t="n">
        <v>27</v>
      </c>
      <c r="X12" s="75" t="n">
        <v>24</v>
      </c>
      <c r="Y12" s="75" t="n">
        <v>27</v>
      </c>
      <c r="Z12" s="75" t="n">
        <v>26</v>
      </c>
      <c r="AA12" s="75" t="n">
        <v>28</v>
      </c>
      <c r="AB12" s="75" t="n">
        <v>27</v>
      </c>
      <c r="AC12" s="75" t="n">
        <v>29</v>
      </c>
      <c r="AD12" s="75" t="n">
        <v>26</v>
      </c>
      <c r="AE12" t="n">
        <v>0</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12372</v>
      </c>
      <c r="T13" s="73" t="n">
        <v>13489</v>
      </c>
      <c r="U13" s="73" t="n">
        <v>14353</v>
      </c>
      <c r="V13" s="73" t="n">
        <v>16029</v>
      </c>
      <c r="W13" s="73" t="n">
        <v>15410</v>
      </c>
      <c r="X13" s="73" t="n">
        <v>16639</v>
      </c>
      <c r="Y13" s="73" t="n">
        <v>19423</v>
      </c>
      <c r="Z13" s="73" t="n">
        <v>22146</v>
      </c>
      <c r="AA13" s="73" t="n">
        <v>24108</v>
      </c>
      <c r="AB13" s="73" t="n">
        <v>26248</v>
      </c>
      <c r="AC13" s="73" t="n">
        <v>26750</v>
      </c>
      <c r="AD13" s="73" t="n">
        <v>29474</v>
      </c>
      <c r="AE13" s="73" t="n">
        <v>30325</v>
      </c>
    </row>
    <row r="14">
      <c r="B14" s="73" t="inlineStr">
        <is>
          <t>Trade Payables</t>
        </is>
      </c>
      <c r="C14" s="73" t="n">
        <v>2020</v>
      </c>
      <c r="D14" s="73" t="n">
        <v>2339</v>
      </c>
      <c r="E14" s="73" t="n">
        <v>2659</v>
      </c>
      <c r="F14" s="73" t="n">
        <v>3496</v>
      </c>
      <c r="G14" s="73" t="n">
        <v>3510</v>
      </c>
      <c r="H14" s="73" t="n">
        <v>3630</v>
      </c>
      <c r="I14" s="73" t="n">
        <v>4319</v>
      </c>
      <c r="J14" s="73" t="n">
        <v>4417</v>
      </c>
      <c r="K14" s="73" t="n">
        <v>4659</v>
      </c>
      <c r="L14" s="73" t="n">
        <v>4798</v>
      </c>
      <c r="M14" s="73" t="n">
        <v>4807</v>
      </c>
      <c r="N14" s="73" t="n">
        <v>5640</v>
      </c>
      <c r="S14" t="n">
        <v>26.93</v>
      </c>
      <c r="T14" t="n">
        <v>29.36</v>
      </c>
      <c r="U14" t="n">
        <v>31.24</v>
      </c>
      <c r="V14" t="n">
        <v>36.69</v>
      </c>
      <c r="W14" t="n">
        <v>35.26</v>
      </c>
      <c r="X14" t="n">
        <v>38.96</v>
      </c>
      <c r="Y14" t="n">
        <v>45.42</v>
      </c>
      <c r="Z14" t="n">
        <v>52.56</v>
      </c>
      <c r="AA14" t="n">
        <v>58.08</v>
      </c>
      <c r="AB14" t="n">
        <v>63.2</v>
      </c>
      <c r="AC14" t="n">
        <v>64.31999999999999</v>
      </c>
      <c r="AD14" t="n">
        <v>72.59</v>
      </c>
      <c r="AE14" t="n">
        <v>74.25</v>
      </c>
    </row>
    <row r="15">
      <c r="B15" t="inlineStr">
        <is>
          <t>Advance from Customers</t>
        </is>
      </c>
      <c r="C15" t="n">
        <v>0</v>
      </c>
      <c r="D15" t="n">
        <v>805</v>
      </c>
      <c r="E15" t="n">
        <v>495</v>
      </c>
      <c r="F15" t="n">
        <v>461</v>
      </c>
      <c r="G15" t="n">
        <v>430</v>
      </c>
      <c r="H15" t="n">
        <v>703</v>
      </c>
      <c r="I15" t="n">
        <v>811</v>
      </c>
      <c r="J15" s="73" t="n">
        <v>1278</v>
      </c>
      <c r="K15" s="73" t="n">
        <v>1295</v>
      </c>
      <c r="L15" t="n">
        <v>886</v>
      </c>
      <c r="M15" s="73" t="n">
        <v>1264</v>
      </c>
      <c r="N15" s="73" t="n">
        <v>1342</v>
      </c>
      <c r="O15" s="73" t="n"/>
      <c r="S15" t="n">
        <v>55</v>
      </c>
      <c r="T15" t="n">
        <v>41</v>
      </c>
      <c r="U15" t="n">
        <v>41</v>
      </c>
      <c r="V15" t="n">
        <v>59</v>
      </c>
      <c r="W15" t="n">
        <v>60</v>
      </c>
      <c r="X15" t="n">
        <v>45</v>
      </c>
      <c r="Y15" t="n">
        <v>59</v>
      </c>
      <c r="Z15" t="n">
        <v>59</v>
      </c>
      <c r="AA15" t="n">
        <v>58</v>
      </c>
      <c r="AB15" t="n">
        <v>73</v>
      </c>
      <c r="AC15" t="n">
        <v>67</v>
      </c>
      <c r="AD15" t="n">
        <v>66</v>
      </c>
      <c r="AE15" t="n">
        <v>0</v>
      </c>
    </row>
    <row r="16">
      <c r="B16" s="73" t="inlineStr">
        <is>
          <t>Other liability items</t>
        </is>
      </c>
      <c r="C16" s="73" t="n">
        <v>11702</v>
      </c>
      <c r="D16" s="73" t="n">
        <v>5483</v>
      </c>
      <c r="E16" s="73" t="n">
        <v>5991</v>
      </c>
      <c r="F16" s="73" t="n">
        <v>7404</v>
      </c>
      <c r="G16" s="73" t="n">
        <v>8301</v>
      </c>
      <c r="H16" s="73" t="n">
        <v>7050</v>
      </c>
      <c r="I16" s="73" t="n">
        <v>7666</v>
      </c>
      <c r="J16" s="73" t="n">
        <v>8429</v>
      </c>
      <c r="K16" s="73" t="n">
        <v>10032</v>
      </c>
      <c r="L16" s="73" t="n">
        <v>10877</v>
      </c>
      <c r="M16" s="73" t="n">
        <v>11249</v>
      </c>
      <c r="N16" s="73" t="n">
        <v>11384</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66289</v>
      </c>
      <c r="D18" s="71" t="n">
        <v>75098</v>
      </c>
      <c r="E18" s="71" t="n">
        <v>83148</v>
      </c>
      <c r="F18" s="71" t="n">
        <v>79349</v>
      </c>
      <c r="G18" s="71" t="n">
        <v>84066</v>
      </c>
      <c r="H18" s="71" t="n">
        <v>91800</v>
      </c>
      <c r="I18" s="71" t="n">
        <v>107511</v>
      </c>
      <c r="J18" s="71" t="n">
        <v>116729</v>
      </c>
      <c r="K18" s="71" t="n">
        <v>124596</v>
      </c>
      <c r="L18" s="71" t="n">
        <v>136020</v>
      </c>
      <c r="M18" s="71" t="n">
        <v>147795</v>
      </c>
      <c r="N18" s="71" t="n">
        <v>154288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8353</v>
      </c>
      <c r="T19" s="73" t="n">
        <v>10028</v>
      </c>
      <c r="U19" s="73" t="n">
        <v>11531</v>
      </c>
      <c r="V19" s="73" t="n">
        <v>13218</v>
      </c>
      <c r="W19" s="73" t="n">
        <v>14841</v>
      </c>
      <c r="X19" s="73" t="n">
        <v>17003</v>
      </c>
      <c r="Y19" s="73" t="n">
        <v>23224</v>
      </c>
      <c r="Z19" s="73" t="n">
        <v>23885</v>
      </c>
      <c r="AA19" s="73" t="n">
        <v>22467</v>
      </c>
      <c r="AB19" s="73" t="n">
        <v>25210</v>
      </c>
      <c r="AC19" s="73" t="n">
        <v>35694</v>
      </c>
      <c r="AD19" s="73" t="n">
        <v>33986</v>
      </c>
    </row>
    <row r="20">
      <c r="C20" s="73" t="n"/>
      <c r="D20" s="73" t="n"/>
      <c r="E20" s="73" t="n"/>
      <c r="F20" s="73" t="n"/>
      <c r="G20" s="73" t="n"/>
      <c r="H20" s="73" t="n"/>
      <c r="I20" s="73" t="n"/>
      <c r="J20" s="73" t="n"/>
      <c r="K20" s="73" t="n"/>
      <c r="L20" s="73" t="n"/>
      <c r="M20" s="73" t="n"/>
      <c r="N20" s="73" t="n"/>
      <c r="O20" s="73" t="n"/>
      <c r="R20" t="inlineStr">
        <is>
          <t>Profit from operations</t>
        </is>
      </c>
      <c r="S20" s="73" t="n">
        <v>14261</v>
      </c>
      <c r="T20" s="73" t="n">
        <v>15154</v>
      </c>
      <c r="U20" s="73" t="n">
        <v>16075</v>
      </c>
      <c r="V20" s="73" t="n">
        <v>17433</v>
      </c>
      <c r="W20" s="73" t="n">
        <v>18862</v>
      </c>
      <c r="X20" s="73" t="n">
        <v>19416</v>
      </c>
      <c r="Y20" s="73" t="n">
        <v>17326</v>
      </c>
      <c r="Z20" s="73" t="n">
        <v>20857</v>
      </c>
      <c r="AA20" s="73" t="n">
        <v>26052</v>
      </c>
      <c r="AB20" s="73" t="n">
        <v>26635</v>
      </c>
      <c r="AC20" s="73" t="n">
        <v>26719</v>
      </c>
      <c r="AD20" s="73" t="n">
        <v>27600</v>
      </c>
    </row>
    <row r="21">
      <c r="B21" s="73" t="inlineStr">
        <is>
          <t>Fixed Assets -</t>
        </is>
      </c>
      <c r="C21" s="73" t="n">
        <v>11346</v>
      </c>
      <c r="D21" s="73" t="n">
        <v>13386</v>
      </c>
      <c r="E21" s="73" t="n">
        <v>14179</v>
      </c>
      <c r="F21" s="73" t="n">
        <v>12574</v>
      </c>
      <c r="G21" s="73" t="n">
        <v>15710</v>
      </c>
      <c r="H21" s="73" t="n">
        <v>23789</v>
      </c>
      <c r="I21" s="73" t="n">
        <v>25505</v>
      </c>
      <c r="J21" s="73" t="n">
        <v>25800</v>
      </c>
      <c r="K21" s="73" t="n">
        <v>29225</v>
      </c>
      <c r="L21" s="73" t="n">
        <v>27622</v>
      </c>
      <c r="M21" s="73" t="n">
        <v>30961</v>
      </c>
      <c r="N21" s="73" t="n">
        <v>33770</v>
      </c>
      <c r="R21" t="inlineStr">
        <is>
          <t>Receivables</t>
        </is>
      </c>
      <c r="S21" t="n">
        <v>558</v>
      </c>
      <c r="T21" t="n">
        <v>-207</v>
      </c>
      <c r="U21" t="n">
        <v>-870</v>
      </c>
      <c r="V21" t="n">
        <v>-964</v>
      </c>
      <c r="W21" t="n">
        <v>-755</v>
      </c>
      <c r="X21" s="73" t="n">
        <v>1411</v>
      </c>
      <c r="Y21" t="n">
        <v>-66</v>
      </c>
      <c r="Z21" t="n">
        <v>-732</v>
      </c>
      <c r="AA21" t="n">
        <v>-884</v>
      </c>
      <c r="AB21" t="n">
        <v>-934</v>
      </c>
      <c r="AC21" s="73" t="n">
        <v>-1023</v>
      </c>
      <c r="AD21" t="n">
        <v>468</v>
      </c>
    </row>
    <row r="22">
      <c r="B22" s="73" t="inlineStr">
        <is>
          <t>Land</t>
        </is>
      </c>
      <c r="C22" s="73" t="n">
        <v>1564</v>
      </c>
      <c r="D22" s="73" t="n">
        <v>1622</v>
      </c>
      <c r="E22" s="73" t="n">
        <v>1095</v>
      </c>
      <c r="F22" s="73" t="n">
        <v>1229</v>
      </c>
      <c r="G22" s="73" t="n">
        <v>1307</v>
      </c>
      <c r="H22" s="73" t="n">
        <v>1950</v>
      </c>
      <c r="I22" s="73" t="n">
        <v>2035</v>
      </c>
      <c r="J22" s="73" t="n">
        <v>2066</v>
      </c>
      <c r="K22" s="73" t="n">
        <v>2054</v>
      </c>
      <c r="L22" s="73" t="n">
        <v>2037</v>
      </c>
      <c r="M22" s="73" t="n">
        <v>2079</v>
      </c>
      <c r="N22" s="73" t="n">
        <v>1990</v>
      </c>
      <c r="O22" s="73" t="n"/>
      <c r="R22" t="inlineStr">
        <is>
          <t>Inventory</t>
        </is>
      </c>
      <c r="S22" t="n">
        <v>-505</v>
      </c>
      <c r="T22" t="n">
        <v>-693</v>
      </c>
      <c r="U22" t="n">
        <v>593</v>
      </c>
      <c r="V22" t="n">
        <v>602</v>
      </c>
      <c r="W22" t="n">
        <v>-359</v>
      </c>
      <c r="X22" t="n">
        <v>-508</v>
      </c>
      <c r="Y22" s="73" t="n">
        <v>-1460</v>
      </c>
      <c r="Z22" t="n">
        <v>-466</v>
      </c>
      <c r="AA22" s="73" t="n">
        <v>-1098</v>
      </c>
      <c r="AB22" s="73" t="n">
        <v>-2545</v>
      </c>
      <c r="AC22" s="73" t="n">
        <v>-2975</v>
      </c>
      <c r="AD22" s="73" t="n">
        <v>-3306</v>
      </c>
    </row>
    <row r="23">
      <c r="B23" s="73" t="inlineStr">
        <is>
          <t>Building</t>
        </is>
      </c>
      <c r="C23" s="73" t="n">
        <v>6102</v>
      </c>
      <c r="D23" s="73" t="n">
        <v>6325</v>
      </c>
      <c r="E23" s="73" t="n">
        <v>8419</v>
      </c>
      <c r="F23" s="73" t="n">
        <v>9334</v>
      </c>
      <c r="G23" s="73" t="n">
        <v>10270</v>
      </c>
      <c r="H23" s="73" t="n">
        <v>15104</v>
      </c>
      <c r="I23" s="73" t="n">
        <v>16394</v>
      </c>
      <c r="J23" s="73" t="n">
        <v>16760</v>
      </c>
      <c r="K23" s="73" t="n">
        <v>16903</v>
      </c>
      <c r="L23" s="73" t="n">
        <v>16515</v>
      </c>
      <c r="M23" s="73" t="n">
        <v>16376</v>
      </c>
      <c r="N23" s="73" t="n">
        <v>17193</v>
      </c>
      <c r="O23" s="73" t="n"/>
      <c r="R23" t="inlineStr">
        <is>
          <t>Payables</t>
        </is>
      </c>
      <c r="S23" t="n">
        <v>-23</v>
      </c>
      <c r="T23" t="n">
        <v>622</v>
      </c>
      <c r="U23" t="n">
        <v>321</v>
      </c>
      <c r="V23" s="73" t="n">
        <v>2098</v>
      </c>
      <c r="W23" t="n">
        <v>639</v>
      </c>
      <c r="X23" t="n">
        <v>-607</v>
      </c>
      <c r="Y23" s="73" t="n">
        <v>1112</v>
      </c>
      <c r="Z23" s="73" t="n">
        <v>1099</v>
      </c>
      <c r="AA23" s="73" t="n">
        <v>1058</v>
      </c>
      <c r="AB23" t="n">
        <v>141</v>
      </c>
      <c r="AC23" s="73" t="n">
        <v>1256</v>
      </c>
      <c r="AD23" t="n">
        <v>76</v>
      </c>
    </row>
    <row r="24">
      <c r="B24" s="73" t="inlineStr">
        <is>
          <t>Plant Machinery</t>
        </is>
      </c>
      <c r="C24" s="73" t="n">
        <v>1427</v>
      </c>
      <c r="D24" s="73" t="n">
        <v>1759</v>
      </c>
      <c r="E24" s="73" t="n">
        <v>2048</v>
      </c>
      <c r="F24" s="73" t="n">
        <v>2306</v>
      </c>
      <c r="G24" s="73" t="n">
        <v>2709</v>
      </c>
      <c r="H24" s="73" t="n">
        <v>3185</v>
      </c>
      <c r="I24" s="73" t="n">
        <v>3296</v>
      </c>
      <c r="J24" s="73" t="n">
        <v>3210</v>
      </c>
      <c r="K24" s="73" t="n">
        <v>3302</v>
      </c>
      <c r="L24" s="73" t="n">
        <v>3428</v>
      </c>
      <c r="M24" s="73" t="n">
        <v>3461</v>
      </c>
      <c r="N24" s="73" t="n">
        <v>3714</v>
      </c>
      <c r="R24" t="inlineStr">
        <is>
          <t>Working capital changes</t>
        </is>
      </c>
      <c r="S24" t="n">
        <v>31</v>
      </c>
      <c r="T24" t="n">
        <v>-277</v>
      </c>
      <c r="U24" t="n">
        <v>44</v>
      </c>
      <c r="V24" s="73" t="n">
        <v>1736</v>
      </c>
      <c r="W24" t="n">
        <v>-476</v>
      </c>
      <c r="X24" t="n">
        <v>296</v>
      </c>
      <c r="Y24" t="n">
        <v>-413</v>
      </c>
      <c r="Z24" t="n">
        <v>-100</v>
      </c>
      <c r="AA24" t="n">
        <v>-924</v>
      </c>
      <c r="AB24" s="73" t="n">
        <v>-3337</v>
      </c>
      <c r="AC24" s="73" t="n">
        <v>-2742</v>
      </c>
      <c r="AD24" s="73" t="n">
        <v>-2762</v>
      </c>
    </row>
    <row r="25">
      <c r="B25" t="inlineStr">
        <is>
          <t>Equipments</t>
        </is>
      </c>
      <c r="C25" t="n">
        <v>676</v>
      </c>
      <c r="D25" t="n">
        <v>839</v>
      </c>
      <c r="E25" t="n">
        <v>922</v>
      </c>
      <c r="F25" t="n">
        <v>1002</v>
      </c>
      <c r="G25" t="n">
        <v>1101</v>
      </c>
      <c r="H25" t="n">
        <v>1265</v>
      </c>
      <c r="I25" t="n">
        <v>1371</v>
      </c>
      <c r="J25" t="n">
        <v>1427</v>
      </c>
      <c r="K25" t="n">
        <v>1482</v>
      </c>
      <c r="L25" t="n">
        <v>1528</v>
      </c>
      <c r="M25" t="n">
        <v>1628</v>
      </c>
      <c r="N25" t="n">
        <v>1732</v>
      </c>
      <c r="R25" t="inlineStr">
        <is>
          <t>Direct taxes</t>
        </is>
      </c>
      <c r="S25" s="73" t="n">
        <v>-4449</v>
      </c>
      <c r="T25" s="73" t="n">
        <v>-5078</v>
      </c>
      <c r="U25" s="73" t="n">
        <v>-5492</v>
      </c>
      <c r="V25" s="73" t="n">
        <v>-6000</v>
      </c>
      <c r="W25" s="73" t="n">
        <v>-5803</v>
      </c>
      <c r="X25" s="73" t="n">
        <v>-5023</v>
      </c>
      <c r="Y25" s="73" t="n">
        <v>-4387</v>
      </c>
      <c r="Z25" s="73" t="n">
        <v>-4982</v>
      </c>
      <c r="AA25" s="73" t="n">
        <v>-6250</v>
      </c>
      <c r="AB25" s="73" t="n">
        <v>-6120</v>
      </c>
      <c r="AC25" s="73" t="n">
        <v>-6350</v>
      </c>
      <c r="AD25" s="73" t="n">
        <v>-6374</v>
      </c>
    </row>
    <row r="26">
      <c r="B26" s="73" t="inlineStr">
        <is>
          <t>Furniture n fittings</t>
        </is>
      </c>
      <c r="C26" s="73" t="n">
        <v>958</v>
      </c>
      <c r="D26" s="73" t="n">
        <v>1444</v>
      </c>
      <c r="E26" s="73" t="n">
        <v>1277</v>
      </c>
      <c r="F26" s="73" t="n">
        <v>1393</v>
      </c>
      <c r="G26" s="73" t="n">
        <v>1620</v>
      </c>
      <c r="H26" s="73" t="n">
        <v>2073</v>
      </c>
      <c r="I26" s="73" t="n">
        <v>2149</v>
      </c>
      <c r="J26" s="73" t="n">
        <v>2278</v>
      </c>
      <c r="K26" s="73" t="n">
        <v>2303</v>
      </c>
      <c r="L26" s="73" t="n">
        <v>2326</v>
      </c>
      <c r="M26" s="73" t="n">
        <v>2340</v>
      </c>
      <c r="N26" s="73" t="n">
        <v>2438</v>
      </c>
      <c r="R26" t="inlineStr">
        <is>
          <t>Cash from Investing Activity -</t>
        </is>
      </c>
      <c r="S26" s="73" t="n">
        <v>999</v>
      </c>
      <c r="T26" s="73" t="n">
        <v>-885</v>
      </c>
      <c r="U26" s="73" t="n">
        <v>-14664</v>
      </c>
      <c r="V26" s="73" t="n">
        <v>4533</v>
      </c>
      <c r="W26" s="73" t="n">
        <v>-632</v>
      </c>
      <c r="X26" s="73" t="n">
        <v>-331</v>
      </c>
      <c r="Y26" s="73" t="n">
        <v>-7373</v>
      </c>
      <c r="Z26" s="73" t="n">
        <v>-6485</v>
      </c>
      <c r="AA26" s="73" t="n">
        <v>-1071</v>
      </c>
      <c r="AB26" s="73" t="n">
        <v>-5093</v>
      </c>
      <c r="AC26" t="n">
        <v>-1864</v>
      </c>
      <c r="AD26" s="73" t="n">
        <v>3546</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-3300</v>
      </c>
      <c r="T27" s="73" t="n">
        <v>-2348</v>
      </c>
      <c r="U27" s="73" t="n">
        <v>-3122</v>
      </c>
      <c r="V27" s="73" t="n">
        <v>-2878</v>
      </c>
      <c r="W27" s="73" t="n">
        <v>-3169</v>
      </c>
      <c r="X27" s="73" t="n">
        <v>-2441</v>
      </c>
      <c r="Y27" s="73" t="n">
        <v>-1837</v>
      </c>
      <c r="Z27" s="73" t="n">
        <v>-2142</v>
      </c>
      <c r="AA27" s="73" t="n">
        <v>-2743</v>
      </c>
      <c r="AB27" s="73" t="n">
        <v>-3563</v>
      </c>
      <c r="AC27" s="73" t="n">
        <v>-2279</v>
      </c>
      <c r="AD27" s="73" t="n">
        <v>-2183</v>
      </c>
    </row>
    <row r="28">
      <c r="B28" t="inlineStr">
        <is>
          <t>Vehicles</t>
        </is>
      </c>
      <c r="C28" t="n">
        <v>34</v>
      </c>
      <c r="D28" t="n">
        <v>29</v>
      </c>
      <c r="E28" t="n">
        <v>31</v>
      </c>
      <c r="F28" t="n">
        <v>31</v>
      </c>
      <c r="G28" t="n">
        <v>38</v>
      </c>
      <c r="H28" t="n">
        <v>69</v>
      </c>
      <c r="I28" t="n">
        <v>73</v>
      </c>
      <c r="J28" t="n">
        <v>71</v>
      </c>
      <c r="K28" t="n">
        <v>60</v>
      </c>
      <c r="L28" t="n">
        <v>62</v>
      </c>
      <c r="M28" t="n">
        <v>72</v>
      </c>
      <c r="N28" t="n">
        <v>70</v>
      </c>
      <c r="O28" s="73" t="n"/>
      <c r="R28" t="inlineStr">
        <is>
          <t>Fixed assets sold</t>
        </is>
      </c>
      <c r="S28" s="73" t="n">
        <v>9</v>
      </c>
      <c r="T28" s="73" t="n">
        <v>8</v>
      </c>
      <c r="U28" s="73" t="n">
        <v>50</v>
      </c>
      <c r="V28" s="73" t="n">
        <v>80</v>
      </c>
      <c r="W28" s="73" t="n">
        <v>28</v>
      </c>
      <c r="X28" s="73" t="n">
        <v>27</v>
      </c>
      <c r="Y28" s="73" t="n">
        <v>3</v>
      </c>
      <c r="Z28" s="73" t="n">
        <v>133</v>
      </c>
      <c r="AA28" s="73" t="n">
        <v>49</v>
      </c>
      <c r="AB28" t="n">
        <v>107</v>
      </c>
      <c r="AC28" s="73" t="n">
        <v>175</v>
      </c>
      <c r="AD28" s="73" t="n">
        <v>50</v>
      </c>
    </row>
    <row r="29">
      <c r="B29" t="inlineStr">
        <is>
          <t>Intangible Assets</t>
        </is>
      </c>
      <c r="C29" t="n">
        <v>776</v>
      </c>
      <c r="D29" t="n">
        <v>960</v>
      </c>
      <c r="E29" t="n">
        <v>1365</v>
      </c>
      <c r="F29" t="n">
        <v>1606</v>
      </c>
      <c r="G29" t="n">
        <v>1388</v>
      </c>
      <c r="H29" t="n">
        <v>954</v>
      </c>
      <c r="I29" s="73" t="n">
        <v>922</v>
      </c>
      <c r="J29" s="73" t="n">
        <v>416</v>
      </c>
      <c r="K29" s="73" t="n">
        <v>288</v>
      </c>
      <c r="L29" s="73" t="n">
        <v>293</v>
      </c>
      <c r="M29" s="73" t="n">
        <v>814</v>
      </c>
      <c r="N29" s="73" t="n">
        <v>526</v>
      </c>
      <c r="R29" t="inlineStr">
        <is>
          <t>Investments purchased</t>
        </is>
      </c>
      <c r="S29" s="73" t="n">
        <v>-98742</v>
      </c>
      <c r="T29" s="73" t="n">
        <v>-154081</v>
      </c>
      <c r="U29" s="73" t="n">
        <v>-85683</v>
      </c>
      <c r="V29" s="73" t="n">
        <v>-98330</v>
      </c>
      <c r="W29" s="73" t="n">
        <v>-94187</v>
      </c>
      <c r="X29" s="73" t="n">
        <v>-79835</v>
      </c>
      <c r="Y29" s="73" t="n">
        <v>-57553</v>
      </c>
      <c r="Z29" s="73" t="n">
        <v>-69776</v>
      </c>
      <c r="AA29" s="73" t="n">
        <v>-80932</v>
      </c>
      <c r="AB29" s="73" t="n">
        <v>-75107</v>
      </c>
      <c r="AC29" s="73" t="n">
        <v>-66373</v>
      </c>
      <c r="AD29" s="73" t="n">
        <v>-68173</v>
      </c>
    </row>
    <row r="30">
      <c r="B30" t="inlineStr">
        <is>
          <t>Other fixed assets</t>
        </is>
      </c>
      <c r="C30" t="n">
        <v>2270</v>
      </c>
      <c r="D30" t="n">
        <v>1892</v>
      </c>
      <c r="E30" t="n">
        <v>16423</v>
      </c>
      <c r="F30" t="n">
        <v>12163</v>
      </c>
      <c r="G30" t="n">
        <v>11261</v>
      </c>
      <c r="H30" t="n">
        <v>8792</v>
      </c>
      <c r="I30" t="n">
        <v>14205</v>
      </c>
      <c r="J30" t="n">
        <v>20324</v>
      </c>
      <c r="K30" t="n">
        <v>19478</v>
      </c>
      <c r="L30" t="n">
        <v>24623</v>
      </c>
      <c r="M30" t="n">
        <v>23541</v>
      </c>
      <c r="N30" s="73" t="n">
        <v>21880</v>
      </c>
      <c r="O30" s="73" t="n"/>
      <c r="R30" t="inlineStr">
        <is>
          <t>Investments sold</t>
        </is>
      </c>
      <c r="S30" s="73" t="n">
        <v>99658</v>
      </c>
      <c r="T30" s="73" t="n">
        <v>150651</v>
      </c>
      <c r="U30" s="73" t="n">
        <v>81034</v>
      </c>
      <c r="V30" s="73" t="n">
        <v>95017</v>
      </c>
      <c r="W30" s="73" t="n">
        <v>92454</v>
      </c>
      <c r="X30" s="73" t="n">
        <v>75835</v>
      </c>
      <c r="Y30" s="73" t="n">
        <v>62797</v>
      </c>
      <c r="Z30" s="73" t="n">
        <v>70992</v>
      </c>
      <c r="AA30" s="73" t="n">
        <v>77230</v>
      </c>
      <c r="AB30" s="73" t="n">
        <v>77830</v>
      </c>
      <c r="AC30" s="73" t="n">
        <v>67311</v>
      </c>
      <c r="AD30" s="73" t="n">
        <v>65737</v>
      </c>
    </row>
    <row r="31">
      <c r="B31" t="inlineStr">
        <is>
          <t>Gross Block</t>
        </is>
      </c>
      <c r="C31" s="73" t="n">
        <v>51897</v>
      </c>
      <c r="D31" s="73" t="n">
        <v>58860</v>
      </c>
      <c r="E31" s="73" t="n">
        <v>51181</v>
      </c>
      <c r="F31" s="73" t="n">
        <v>53006</v>
      </c>
      <c r="G31" s="73" t="n">
        <v>55707</v>
      </c>
      <c r="H31" s="73" t="n">
        <v>58265</v>
      </c>
      <c r="I31" s="73" t="n">
        <v>66879</v>
      </c>
      <c r="J31" s="73" t="n">
        <v>70189</v>
      </c>
      <c r="K31" s="73" t="n">
        <v>75605</v>
      </c>
      <c r="L31" s="73" t="n">
        <v>83482</v>
      </c>
      <c r="M31" s="73" t="n">
        <v>92479</v>
      </c>
      <c r="N31" s="73" t="n">
        <v>98112</v>
      </c>
      <c r="O31" s="73" t="n"/>
      <c r="R31" t="inlineStr">
        <is>
          <t>Interest received</t>
        </is>
      </c>
      <c r="S31" t="n">
        <v>559</v>
      </c>
      <c r="T31" t="n">
        <v>741</v>
      </c>
      <c r="U31" s="73" t="n">
        <v>756</v>
      </c>
      <c r="V31" s="73" t="n">
        <v>736</v>
      </c>
      <c r="W31" s="73" t="n">
        <v>1184</v>
      </c>
      <c r="X31" s="73" t="n">
        <v>1513</v>
      </c>
      <c r="Y31" s="73" t="n">
        <v>1275</v>
      </c>
      <c r="Z31" s="73" t="n">
        <v>1035</v>
      </c>
      <c r="AA31" s="73" t="n">
        <v>1324</v>
      </c>
      <c r="AB31" s="73" t="n">
        <v>1138</v>
      </c>
      <c r="AC31" s="73" t="n">
        <v>1072</v>
      </c>
      <c r="AD31" s="73" t="n">
        <v>917</v>
      </c>
    </row>
    <row r="32">
      <c r="B32" s="73" t="inlineStr">
        <is>
          <t>Accumulated Depreciation</t>
        </is>
      </c>
      <c r="C32" s="73" t="n">
        <v>8057</v>
      </c>
      <c r="D32" s="73" t="n">
        <v>1069</v>
      </c>
      <c r="E32" s="73" t="n">
        <v>2201</v>
      </c>
      <c r="F32" s="73" t="n">
        <v>3396</v>
      </c>
      <c r="G32" s="73" t="n">
        <v>4716</v>
      </c>
      <c r="H32" s="73" t="n">
        <v>6252</v>
      </c>
      <c r="I32" s="73" t="n">
        <v>7790</v>
      </c>
      <c r="J32" s="73" t="n">
        <v>9204</v>
      </c>
      <c r="K32" s="73" t="n">
        <v>10757</v>
      </c>
      <c r="L32" s="73" t="n">
        <v>12368</v>
      </c>
      <c r="M32" s="73" t="n">
        <v>11683</v>
      </c>
      <c r="N32" s="73" t="n">
        <v>13230</v>
      </c>
      <c r="O32" s="73" t="n"/>
      <c r="R32" t="inlineStr">
        <is>
          <t>Dividends received</t>
        </is>
      </c>
      <c r="S32" t="n">
        <v>268</v>
      </c>
      <c r="T32" t="n">
        <v>64</v>
      </c>
      <c r="U32" s="73" t="n">
        <v>4</v>
      </c>
      <c r="V32" t="n">
        <v>13</v>
      </c>
      <c r="W32" t="n">
        <v>13</v>
      </c>
      <c r="X32" t="n">
        <v>17</v>
      </c>
      <c r="Y32" s="73" t="n">
        <v>7</v>
      </c>
      <c r="Z32" s="73" t="n">
        <v>16</v>
      </c>
      <c r="AA32" s="73" t="n">
        <v>19</v>
      </c>
      <c r="AB32" s="73" t="n">
        <v>36</v>
      </c>
      <c r="AC32" s="73" t="n">
        <v>38</v>
      </c>
      <c r="AD32" s="73" t="n">
        <v>45</v>
      </c>
    </row>
    <row r="33">
      <c r="B33" t="inlineStr">
        <is>
          <t>Net Block</t>
        </is>
      </c>
      <c r="C33" s="73" t="n">
        <v>9713</v>
      </c>
      <c r="D33" s="73" t="n">
        <v>11330</v>
      </c>
      <c r="E33" s="73" t="n">
        <v>12322</v>
      </c>
      <c r="F33" s="73" t="n">
        <v>13142</v>
      </c>
      <c r="G33" s="73" t="n">
        <v>14827</v>
      </c>
      <c r="H33" s="73" t="n">
        <v>18487</v>
      </c>
      <c r="I33" s="73" t="n">
        <v>19294</v>
      </c>
      <c r="J33" s="73" t="n">
        <v>22698</v>
      </c>
      <c r="K33" s="73" t="n">
        <v>25424</v>
      </c>
      <c r="L33" s="73" t="n">
        <v>30193</v>
      </c>
      <c r="M33" s="73" t="n">
        <v>31158</v>
      </c>
      <c r="N33" s="73" t="n">
        <v>35234</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30367</v>
      </c>
      <c r="D34" t="n">
        <v>32697</v>
      </c>
      <c r="E34" t="n">
        <v>22625</v>
      </c>
      <c r="F34" s="73" t="n">
        <v>19818</v>
      </c>
      <c r="G34" s="73" t="n">
        <v>19568</v>
      </c>
      <c r="H34" s="73" t="n">
        <v>18649</v>
      </c>
      <c r="I34" s="73" t="n">
        <v>24714</v>
      </c>
      <c r="J34" s="73" t="n">
        <v>17472</v>
      </c>
      <c r="K34" s="73" t="n">
        <v>12173</v>
      </c>
      <c r="L34" s="73" t="n">
        <v>14786</v>
      </c>
      <c r="M34" s="73" t="n">
        <v>24455</v>
      </c>
      <c r="N34" s="73" t="n">
        <v>22201</v>
      </c>
      <c r="R34" t="inlineStr">
        <is>
          <t>Investment in group cos</t>
        </is>
      </c>
      <c r="S34" s="73" t="n">
        <v>0</v>
      </c>
      <c r="T34" s="73" t="n">
        <v>0</v>
      </c>
      <c r="U34" s="73" t="n">
        <v>0</v>
      </c>
      <c r="V34" s="73" t="n">
        <v>0</v>
      </c>
      <c r="W34" s="73" t="n">
        <v>0</v>
      </c>
      <c r="X34" s="73" t="n">
        <v>0</v>
      </c>
      <c r="Y34" s="73" t="n">
        <v>-2</v>
      </c>
      <c r="Z34" s="73" t="n">
        <v>-2</v>
      </c>
      <c r="AA34" s="73" t="n">
        <v>-2</v>
      </c>
      <c r="AB34" s="73" t="n">
        <v>-65</v>
      </c>
      <c r="AC34" s="73" t="n">
        <v>-30</v>
      </c>
      <c r="AD34" s="73" t="n">
        <v>-183</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11418</v>
      </c>
      <c r="D36" s="73" t="n">
        <v>14219</v>
      </c>
      <c r="E36" s="73" t="n">
        <v>15390</v>
      </c>
      <c r="F36" s="73" t="n">
        <v>19216</v>
      </c>
      <c r="G36" s="73" t="n">
        <v>19788</v>
      </c>
      <c r="H36" s="73" t="n">
        <v>19770</v>
      </c>
      <c r="I36" s="73" t="n">
        <v>21411</v>
      </c>
      <c r="J36" s="73" t="n">
        <v>27528</v>
      </c>
      <c r="K36" s="73" t="n">
        <v>34766</v>
      </c>
      <c r="L36" s="73" t="n">
        <v>28173</v>
      </c>
      <c r="M36" s="73" t="n">
        <v>30149</v>
      </c>
      <c r="N36" s="73" t="n">
        <v>33869</v>
      </c>
      <c r="O36" s="73" t="n"/>
      <c r="R36" t="inlineStr">
        <is>
          <t>Other investing items</t>
        </is>
      </c>
      <c r="S36" s="73" t="n">
        <v>-4935</v>
      </c>
      <c r="T36" s="73" t="n">
        <v>-6813</v>
      </c>
      <c r="U36" s="73" t="n">
        <v>-6939</v>
      </c>
      <c r="V36" s="73" t="n">
        <v>-20505</v>
      </c>
      <c r="W36" s="73" t="n">
        <v>-14512</v>
      </c>
      <c r="X36" s="73" t="n">
        <v>-17591</v>
      </c>
      <c r="Y36" s="73" t="n">
        <v>-9786</v>
      </c>
      <c r="Z36" s="73" t="n">
        <v>-24642</v>
      </c>
      <c r="AA36" t="n">
        <v>-26695</v>
      </c>
      <c r="AB36" s="73" t="n">
        <v>-17504</v>
      </c>
      <c r="AC36" t="n">
        <v>-24161</v>
      </c>
      <c r="AD36" s="73" t="n">
        <v>-39786</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66289</v>
      </c>
      <c r="D38" s="73" t="n">
        <v>75098</v>
      </c>
      <c r="E38" s="73" t="n">
        <v>83148</v>
      </c>
      <c r="F38" s="73" t="n">
        <v>79349</v>
      </c>
      <c r="G38" s="73" t="n">
        <v>84066</v>
      </c>
      <c r="H38" s="73" t="n">
        <v>91800</v>
      </c>
      <c r="I38" s="73" t="n">
        <v>107511</v>
      </c>
      <c r="J38" s="73" t="n">
        <v>116729</v>
      </c>
      <c r="K38" s="73" t="n">
        <v>124596</v>
      </c>
      <c r="L38" s="73" t="n">
        <v>136020</v>
      </c>
      <c r="M38" s="73" t="n">
        <v>147795</v>
      </c>
      <c r="N38" s="73" t="n">
        <v>154288</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7</v>
      </c>
      <c r="T39" t="n">
        <v>0</v>
      </c>
      <c r="U39" t="n">
        <v>0</v>
      </c>
      <c r="V39" t="n">
        <v>11</v>
      </c>
      <c r="W39" t="n">
        <v>0</v>
      </c>
      <c r="X39" t="n">
        <v>0</v>
      </c>
      <c r="Y39" t="n">
        <v>0</v>
      </c>
      <c r="Z39" t="n">
        <v>0</v>
      </c>
      <c r="AA39" t="n">
        <v>0</v>
      </c>
      <c r="AB39" t="n">
        <v>8</v>
      </c>
      <c r="AC39" t="n">
        <v>90</v>
      </c>
      <c r="AD39" s="73" t="n">
        <v>2120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-20</v>
      </c>
      <c r="T40" t="n">
        <v>-13</v>
      </c>
      <c r="U40" t="n">
        <v>-13</v>
      </c>
      <c r="V40" s="73" t="n">
        <v>-8</v>
      </c>
      <c r="W40" t="n">
        <v>-18</v>
      </c>
      <c r="X40" t="n">
        <v>-3</v>
      </c>
      <c r="Y40" s="73" t="n">
        <v>-2</v>
      </c>
      <c r="Z40" t="n">
        <v>-1</v>
      </c>
      <c r="AA40" s="73" t="n">
        <v>-1</v>
      </c>
      <c r="AB40" s="73" t="n">
        <v>-2</v>
      </c>
      <c r="AC40" s="73" t="n">
        <v>-54</v>
      </c>
      <c r="AD40" s="73" t="n">
        <v>-105</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-16</v>
      </c>
      <c r="T41" s="73" t="n">
        <v>-28</v>
      </c>
      <c r="U41" s="73" t="n">
        <v>-25</v>
      </c>
      <c r="V41" s="73" t="n">
        <v>-49</v>
      </c>
      <c r="W41" s="73" t="n">
        <v>-98</v>
      </c>
      <c r="X41" s="73" t="n">
        <v>-44</v>
      </c>
      <c r="Y41" s="73" t="n">
        <v>-41</v>
      </c>
      <c r="Z41" s="73" t="n">
        <v>-40</v>
      </c>
      <c r="AA41" s="73" t="n">
        <v>-41</v>
      </c>
      <c r="AB41" s="73" t="n">
        <v>-46</v>
      </c>
      <c r="AC41" s="73" t="n">
        <v>-50</v>
      </c>
      <c r="AD41" s="73" t="n">
        <v>-82</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4417</v>
      </c>
      <c r="T45" t="n">
        <v>2330</v>
      </c>
      <c r="U45" t="n">
        <v>-10072</v>
      </c>
      <c r="V45" t="n">
        <v>-2754</v>
      </c>
      <c r="W45" t="n">
        <v>-303</v>
      </c>
      <c r="X45" t="n">
        <v>-919</v>
      </c>
      <c r="Y45" t="n">
        <v>6065</v>
      </c>
      <c r="Z45" t="n">
        <v>-7242</v>
      </c>
      <c r="AA45" t="n">
        <v>-5299</v>
      </c>
      <c r="AB45" t="n">
        <v>2613</v>
      </c>
      <c r="AC45" t="n">
        <v>9669</v>
      </c>
      <c r="AD45" t="n">
        <v>-2254</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Infosys Ltd</t>
        </is>
      </c>
      <c r="M56" t="n">
        <v>1051</v>
      </c>
      <c r="N56" t="n">
        <v>404.8</v>
      </c>
      <c r="AR56" t="n">
        <v>761607.42</v>
      </c>
      <c r="AS56">
        <f>AZ56-BA56</f>
        <v/>
      </c>
      <c r="AT56">
        <f>AR56+AS56</f>
        <v/>
      </c>
      <c r="AU56" t="n">
        <v>289100</v>
      </c>
      <c r="AV56">
        <f>AT56/AX56</f>
        <v/>
      </c>
      <c r="AW56" t="n">
        <v>53680</v>
      </c>
      <c r="AX56" t="n">
        <v>63.03</v>
      </c>
      <c r="AZ56" t="n">
        <v>9176</v>
      </c>
      <c r="BA56" t="n">
        <v>22201</v>
      </c>
    </row>
    <row r="57">
      <c r="K57" t="n">
        <v>1</v>
      </c>
      <c r="L57" t="inlineStr">
        <is>
          <t>TCS</t>
        </is>
      </c>
      <c r="M57" t="n">
        <v>2105</v>
      </c>
      <c r="N57" t="n">
        <v>361.81</v>
      </c>
      <c r="AR57" t="n">
        <v>426682.56</v>
      </c>
      <c r="AS57">
        <f>AZ57-BA57</f>
        <v/>
      </c>
      <c r="AT57">
        <f>AR57+AS57</f>
        <v/>
      </c>
      <c r="AU57" t="n">
        <v>192844</v>
      </c>
      <c r="AV57">
        <f>AT57/AX57</f>
        <v/>
      </c>
      <c r="AW57" t="n">
        <v>31100</v>
      </c>
      <c r="AX57" t="n">
        <v>39.95</v>
      </c>
      <c r="AZ57" t="n">
        <v>9176</v>
      </c>
      <c r="BA57" t="n">
        <v>22201</v>
      </c>
    </row>
    <row r="58">
      <c r="K58" t="n">
        <v>2</v>
      </c>
      <c r="L58" t="inlineStr">
        <is>
          <t>Infosys</t>
        </is>
      </c>
      <c r="M58" t="n">
        <v>1051.4</v>
      </c>
      <c r="N58" t="n">
        <v>405.82</v>
      </c>
      <c r="AR58" t="n">
        <v>339018.18</v>
      </c>
      <c r="AS58">
        <f>AZ58-BA58</f>
        <v/>
      </c>
      <c r="AT58">
        <f>AR58+AS58</f>
        <v/>
      </c>
      <c r="AU58" t="n">
        <v>138316</v>
      </c>
      <c r="AV58">
        <f>AT58/AX58</f>
        <v/>
      </c>
      <c r="AW58" t="n">
        <v>18504</v>
      </c>
      <c r="AX58" t="n">
        <v>30.4</v>
      </c>
      <c r="AZ58" t="n">
        <v>444.16</v>
      </c>
      <c r="BA58" t="n">
        <v>1340.87</v>
      </c>
    </row>
    <row r="59">
      <c r="K59" t="n">
        <v>3</v>
      </c>
      <c r="L59" t="inlineStr">
        <is>
          <t>HCL Technologies</t>
        </is>
      </c>
      <c r="M59" t="n">
        <v>1249.3</v>
      </c>
      <c r="N59" t="n">
        <v>271.37</v>
      </c>
      <c r="AR59" t="n">
        <v>165244.04</v>
      </c>
      <c r="AS59">
        <f>AZ59-BA59</f>
        <v/>
      </c>
      <c r="AT59">
        <f>AR59+AS59</f>
        <v/>
      </c>
      <c r="AU59" t="n">
        <v>97914.39999999999</v>
      </c>
      <c r="AV59">
        <f>AT59/AX59</f>
        <v/>
      </c>
      <c r="AW59" t="n">
        <v>13425.2</v>
      </c>
      <c r="AX59" t="n">
        <v>17.84</v>
      </c>
      <c r="AZ59" t="n">
        <v>2508.18</v>
      </c>
      <c r="BA59" t="n">
        <v>1998.49</v>
      </c>
    </row>
    <row r="60">
      <c r="K60" t="n">
        <v>4</v>
      </c>
      <c r="L60" t="inlineStr">
        <is>
          <t>Wipro</t>
        </is>
      </c>
      <c r="M60" t="n">
        <v>166.83</v>
      </c>
      <c r="N60" t="n">
        <v>990.49</v>
      </c>
      <c r="AR60" t="n">
        <v>150656.36</v>
      </c>
      <c r="AS60">
        <f>AZ60-BA60</f>
        <v/>
      </c>
      <c r="AT60">
        <f>AR60+AS60</f>
        <v/>
      </c>
      <c r="AU60" t="n">
        <v>62847.6</v>
      </c>
      <c r="AV60">
        <f>AT60/AX60</f>
        <v/>
      </c>
      <c r="AW60" t="n">
        <v>5945.2</v>
      </c>
      <c r="AX60" t="n">
        <v>23.12</v>
      </c>
      <c r="AZ60" t="n">
        <v>1380.28</v>
      </c>
      <c r="BA60" t="n">
        <v>352.44</v>
      </c>
    </row>
    <row r="61">
      <c r="K61" t="n">
        <v>5</v>
      </c>
      <c r="L61" t="inlineStr">
        <is>
          <t>Tech Mahindra</t>
        </is>
      </c>
      <c r="M61" t="n">
        <v>1537.1</v>
      </c>
      <c r="N61" t="n">
        <v>98.01000000000001</v>
      </c>
      <c r="AR61" t="n">
        <v>126808.58</v>
      </c>
      <c r="AS61">
        <f>AZ61-BA61</f>
        <v/>
      </c>
      <c r="AT61">
        <f>AR61+AS61</f>
        <v/>
      </c>
      <c r="AU61" t="n">
        <v>46432</v>
      </c>
      <c r="AV61">
        <f>AT61/AX61</f>
        <v/>
      </c>
      <c r="AW61" t="n">
        <v>5874.4</v>
      </c>
      <c r="AX61" t="n">
        <v>29.6</v>
      </c>
      <c r="AZ61" t="n">
        <v>557</v>
      </c>
      <c r="BA61" t="n">
        <v>493</v>
      </c>
    </row>
    <row r="62">
      <c r="K62" t="n">
        <v>6</v>
      </c>
      <c r="L62" t="inlineStr">
        <is>
          <t>LTM</t>
        </is>
      </c>
      <c r="M62" t="n">
        <v>4275.1</v>
      </c>
      <c r="N62" t="n">
        <v>29.66</v>
      </c>
      <c r="AR62" t="n">
        <v>103594.09</v>
      </c>
      <c r="AS62">
        <f>AZ62-BA62</f>
        <v/>
      </c>
      <c r="AT62">
        <f>AR62+AS62</f>
        <v/>
      </c>
      <c r="AU62" t="n">
        <v>12500.8</v>
      </c>
      <c r="AV62">
        <f>AT62/AX62</f>
        <v/>
      </c>
      <c r="AW62" t="n">
        <v>5662</v>
      </c>
      <c r="AX62" t="n">
        <v>45.28</v>
      </c>
      <c r="AZ62" t="n">
        <v>413</v>
      </c>
      <c r="BA62" t="n">
        <v>1977</v>
      </c>
    </row>
    <row r="63">
      <c r="K63" t="n">
        <v>7</v>
      </c>
      <c r="L63" t="inlineStr">
        <is>
          <t>Oracle Fin.Serv.</t>
        </is>
      </c>
      <c r="M63" t="n">
        <v>11896</v>
      </c>
      <c r="N63" t="n">
        <v>8.710000000000001</v>
      </c>
      <c r="AR63" t="n">
        <v>85437.39999999999</v>
      </c>
      <c r="AS63">
        <f>AZ63-BA63</f>
        <v/>
      </c>
      <c r="AT63">
        <f>AR63+AS63</f>
        <v/>
      </c>
      <c r="AU63" t="n">
        <v>17212.92</v>
      </c>
      <c r="AV63">
        <f>AT63/AX63</f>
        <v/>
      </c>
      <c r="AW63" t="n">
        <v>1932.16</v>
      </c>
      <c r="AX63" t="n">
        <v>34.36</v>
      </c>
      <c r="AZ63" t="n">
        <v>2819.51</v>
      </c>
      <c r="BA63" t="n">
        <v>3420.49</v>
      </c>
    </row>
    <row r="64">
      <c r="K64" t="n">
        <v>8</v>
      </c>
      <c r="L64" t="inlineStr">
        <is>
          <t>Persistent Systems</t>
        </is>
      </c>
      <c r="M64" t="n">
        <v>5416</v>
      </c>
      <c r="N64" t="n">
        <v>15.77</v>
      </c>
      <c r="AR64" t="n">
        <v>81552.27</v>
      </c>
      <c r="AS64">
        <f>AZ64-BA64</f>
        <v/>
      </c>
      <c r="AT64">
        <f>AR64+AS64</f>
        <v/>
      </c>
      <c r="AU64" t="n">
        <v>22110.8</v>
      </c>
      <c r="AV64">
        <f>AT64/AX64</f>
        <v/>
      </c>
      <c r="AW64" t="n">
        <v>2126.8</v>
      </c>
      <c r="AX64" t="n">
        <v>23.5</v>
      </c>
      <c r="AZ64" t="n">
        <v>4420.52</v>
      </c>
      <c r="BA64" t="n">
        <v>1005.41</v>
      </c>
    </row>
    <row r="65">
      <c r="K65" t="n">
        <v>9</v>
      </c>
      <c r="L65" t="inlineStr">
        <is>
          <t>Coforge</t>
        </is>
      </c>
      <c r="M65" t="n">
        <v>1841</v>
      </c>
      <c r="N65" t="n">
        <v>44.3</v>
      </c>
      <c r="AR65" t="n">
        <v>43925.99</v>
      </c>
      <c r="AS65">
        <f>AZ65-BA65</f>
        <v/>
      </c>
      <c r="AT65">
        <f>AR65+AS65</f>
        <v/>
      </c>
      <c r="AU65" t="n">
        <v>17536.2</v>
      </c>
      <c r="AV65">
        <f>AT65/AX65</f>
        <v/>
      </c>
      <c r="AW65" t="n">
        <v>1958.04</v>
      </c>
      <c r="AX65" t="n">
        <v>22.09</v>
      </c>
      <c r="AZ65" t="n">
        <v>1287.32</v>
      </c>
      <c r="BA65" t="n">
        <v>562.0700000000001</v>
      </c>
    </row>
    <row r="66">
      <c r="K66" t="n">
        <v>10</v>
      </c>
      <c r="L66" t="inlineStr">
        <is>
          <t>Mphasis</t>
        </is>
      </c>
      <c r="M66" t="n">
        <v>2300.4</v>
      </c>
      <c r="N66" t="n">
        <v>19.09</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2026-09-19T12:46:05Z</dcterms:modified>
  <cp:lastModifiedBy>Loveish</cp:lastModifiedBy>
  <cp:lastPrinted>2012-12-06T18:14:13Z</cp:lastPrinted>
</cp:coreProperties>
</file>