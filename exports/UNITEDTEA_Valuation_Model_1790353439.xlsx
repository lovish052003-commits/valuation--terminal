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THE UNITED NILGIRI TEA ESTATES COMPANY LTD (UNITEDTEA)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THE UNITED NILGIRI TEA ESTATES COMPANY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425</v>
      </c>
    </row>
    <row r="9">
      <c r="A9" s="176" t="inlineStr">
        <is>
          <t>Market Capitalization</t>
        </is>
      </c>
      <c r="B9" t="n">
        <v>212.5</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54</v>
      </c>
      <c r="C17" t="n">
        <v>62</v>
      </c>
      <c r="D17" t="n">
        <v>66</v>
      </c>
      <c r="E17" t="n">
        <v>63</v>
      </c>
      <c r="F17" t="n">
        <v>66</v>
      </c>
      <c r="G17" t="n">
        <v>76</v>
      </c>
      <c r="H17" t="n">
        <v>84</v>
      </c>
      <c r="I17" t="n">
        <v>84</v>
      </c>
      <c r="J17" t="n">
        <v>90</v>
      </c>
      <c r="K17" t="n">
        <v>83</v>
      </c>
    </row>
    <row r="18" customFormat="1" s="171">
      <c r="A18" s="176" t="inlineStr">
        <is>
          <t>Raw Material Cost</t>
        </is>
      </c>
      <c r="B18" t="n">
        <v>12.45</v>
      </c>
      <c r="C18" t="n">
        <v>12.64</v>
      </c>
      <c r="D18" t="n">
        <v>15.09</v>
      </c>
      <c r="E18" t="n">
        <v>12.69</v>
      </c>
      <c r="F18" t="n">
        <v>19.1</v>
      </c>
      <c r="G18" t="n">
        <v>16.53</v>
      </c>
      <c r="H18" t="n">
        <v>18.5</v>
      </c>
      <c r="I18" t="n">
        <v>17.77</v>
      </c>
      <c r="J18" t="n">
        <v>18.43</v>
      </c>
      <c r="K18" t="n">
        <v>15.5</v>
      </c>
    </row>
    <row r="19" customFormat="1" s="171">
      <c r="A19" s="176" t="inlineStr">
        <is>
          <t>Change in Inventory</t>
        </is>
      </c>
      <c r="B19" t="n">
        <v>-1.7</v>
      </c>
      <c r="C19" t="n">
        <v>-0.72</v>
      </c>
      <c r="D19" t="n">
        <v>-0.99</v>
      </c>
      <c r="E19" t="n">
        <v>-0.51</v>
      </c>
      <c r="F19" t="n">
        <v>-3.72</v>
      </c>
      <c r="G19" t="n">
        <v>0.91</v>
      </c>
      <c r="H19" t="n">
        <v>2.06</v>
      </c>
      <c r="I19" t="n">
        <v>0.44</v>
      </c>
      <c r="J19" t="n">
        <v>3.13</v>
      </c>
      <c r="K19" t="n">
        <v>-1.09</v>
      </c>
    </row>
    <row r="20" customFormat="1" s="171">
      <c r="A20" s="176" t="inlineStr">
        <is>
          <t>Power and Fuel</t>
        </is>
      </c>
      <c r="B20" t="n">
        <v>2.03</v>
      </c>
      <c r="C20" t="n">
        <v>2.35</v>
      </c>
      <c r="D20" t="n">
        <v>2.71</v>
      </c>
      <c r="E20" t="n">
        <v>3.37</v>
      </c>
      <c r="F20" t="n">
        <v>3.64</v>
      </c>
      <c r="G20" t="n">
        <v>4.52</v>
      </c>
      <c r="H20" t="n">
        <v>4.38</v>
      </c>
      <c r="I20" t="n">
        <v>3.15</v>
      </c>
      <c r="J20" t="n">
        <v>3.32</v>
      </c>
      <c r="K20" t="n">
        <v>3.26</v>
      </c>
    </row>
    <row r="21" customFormat="1" s="171">
      <c r="A21" s="176" t="inlineStr">
        <is>
          <t>Other Mfr. Exp</t>
        </is>
      </c>
      <c r="B21" t="n">
        <v>6.09</v>
      </c>
      <c r="C21" t="n">
        <v>7.06</v>
      </c>
      <c r="D21" t="n">
        <v>8.119999999999999</v>
      </c>
      <c r="E21" t="n">
        <v>10.12</v>
      </c>
      <c r="F21" t="n">
        <v>10.92</v>
      </c>
      <c r="G21" t="n">
        <v>13.57</v>
      </c>
      <c r="H21" t="n">
        <v>13.15</v>
      </c>
      <c r="I21" t="n">
        <v>9.43</v>
      </c>
      <c r="J21" t="n">
        <v>9.949999999999999</v>
      </c>
      <c r="K21" t="n">
        <v>9.800000000000001</v>
      </c>
    </row>
    <row r="22" customFormat="1" s="171">
      <c r="A22" s="176" t="inlineStr">
        <is>
          <t>Employee Cost</t>
        </is>
      </c>
      <c r="B22" t="n">
        <v>15.26</v>
      </c>
      <c r="C22" t="n">
        <v>18.64</v>
      </c>
      <c r="D22" t="n">
        <v>17.9</v>
      </c>
      <c r="E22" t="n">
        <v>18.77</v>
      </c>
      <c r="F22" t="n">
        <v>20.11</v>
      </c>
      <c r="G22" t="n">
        <v>22.85</v>
      </c>
      <c r="H22" t="n">
        <v>23.73</v>
      </c>
      <c r="I22" t="n">
        <v>24.81</v>
      </c>
      <c r="J22" t="n">
        <v>23.05</v>
      </c>
      <c r="K22" t="n">
        <v>23.86</v>
      </c>
    </row>
    <row r="23" customFormat="1" s="171">
      <c r="A23" s="176" t="inlineStr">
        <is>
          <t>Selling and admin</t>
        </is>
      </c>
      <c r="B23" t="n">
        <v>6.53</v>
      </c>
      <c r="C23" t="n">
        <v>7.76</v>
      </c>
      <c r="D23" t="n">
        <v>7.82</v>
      </c>
      <c r="E23" t="n">
        <v>4.95</v>
      </c>
      <c r="F23" t="n">
        <v>4.6</v>
      </c>
      <c r="G23" t="n">
        <v>5.57</v>
      </c>
      <c r="H23" t="n">
        <v>7.21</v>
      </c>
      <c r="I23" t="n">
        <v>10.41</v>
      </c>
      <c r="J23" t="n">
        <v>14.51</v>
      </c>
      <c r="K23" t="n">
        <v>10.43</v>
      </c>
    </row>
    <row r="24" customFormat="1" s="171">
      <c r="A24" s="176" t="inlineStr">
        <is>
          <t>Other Expenses</t>
        </is>
      </c>
      <c r="B24" t="n">
        <v>0.98</v>
      </c>
      <c r="C24" t="n">
        <v>1.16</v>
      </c>
      <c r="D24" t="n">
        <v>1.17</v>
      </c>
      <c r="E24" t="n">
        <v>0.75</v>
      </c>
      <c r="F24" t="n">
        <v>0.6899999999999999</v>
      </c>
      <c r="G24" t="n">
        <v>0.83</v>
      </c>
      <c r="H24" t="n">
        <v>1.07</v>
      </c>
      <c r="I24" t="n">
        <v>1.56</v>
      </c>
      <c r="J24" t="n">
        <v>2.17</v>
      </c>
      <c r="K24" t="n">
        <v>1.56</v>
      </c>
    </row>
    <row r="25" customFormat="1" s="171">
      <c r="A25" s="171" t="inlineStr">
        <is>
          <t>Other Income</t>
        </is>
      </c>
      <c r="B25" t="n">
        <v>2</v>
      </c>
      <c r="C25" t="n">
        <v>5</v>
      </c>
      <c r="D25" t="n">
        <v>6</v>
      </c>
      <c r="E25" t="n">
        <v>4</v>
      </c>
      <c r="F25" t="n">
        <v>8</v>
      </c>
      <c r="G25" t="n">
        <v>5</v>
      </c>
      <c r="H25" t="n">
        <v>5</v>
      </c>
      <c r="I25" t="n">
        <v>8</v>
      </c>
      <c r="J25" t="n">
        <v>10</v>
      </c>
      <c r="K25" t="n">
        <v>10</v>
      </c>
    </row>
    <row r="26" customFormat="1" s="171">
      <c r="A26" s="171" t="inlineStr">
        <is>
          <t>Depreciation</t>
        </is>
      </c>
      <c r="B26" t="n">
        <v>3</v>
      </c>
      <c r="C26" t="n">
        <v>3</v>
      </c>
      <c r="D26" t="n">
        <v>3</v>
      </c>
      <c r="E26" t="n">
        <v>3</v>
      </c>
      <c r="F26" t="n">
        <v>4</v>
      </c>
      <c r="G26" t="n">
        <v>3</v>
      </c>
      <c r="H26" t="n">
        <v>4</v>
      </c>
      <c r="I26" t="n">
        <v>4</v>
      </c>
      <c r="J26" t="n">
        <v>3</v>
      </c>
      <c r="K26" t="n">
        <v>3</v>
      </c>
    </row>
    <row r="27" customFormat="1" s="171">
      <c r="A27" s="171" t="inlineStr">
        <is>
          <t>Interest</t>
        </is>
      </c>
      <c r="B27" t="n">
        <v>0</v>
      </c>
      <c r="C27" t="n">
        <v>0</v>
      </c>
      <c r="D27" t="n">
        <v>0</v>
      </c>
      <c r="E27" t="n">
        <v>0</v>
      </c>
      <c r="F27" t="n">
        <v>0</v>
      </c>
      <c r="G27" t="n">
        <v>0</v>
      </c>
      <c r="H27" t="n">
        <v>0</v>
      </c>
      <c r="I27" t="n">
        <v>0</v>
      </c>
      <c r="J27" t="n">
        <v>0</v>
      </c>
      <c r="K27" t="n">
        <v>0</v>
      </c>
    </row>
    <row r="28" customFormat="1" s="171">
      <c r="A28" s="171" t="inlineStr">
        <is>
          <t>Profit before tax</t>
        </is>
      </c>
      <c r="B28" t="n">
        <v>12</v>
      </c>
      <c r="C28" t="n">
        <v>15</v>
      </c>
      <c r="D28" t="n">
        <v>17</v>
      </c>
      <c r="E28" t="n">
        <v>14</v>
      </c>
      <c r="F28" t="n">
        <v>15</v>
      </c>
      <c r="G28" t="n">
        <v>13</v>
      </c>
      <c r="H28" t="n">
        <v>15</v>
      </c>
      <c r="I28" t="n">
        <v>20</v>
      </c>
      <c r="J28" t="n">
        <v>21</v>
      </c>
      <c r="K28" t="n">
        <v>26</v>
      </c>
    </row>
    <row r="29" customFormat="1" s="171">
      <c r="A29" s="171" t="inlineStr">
        <is>
          <t>Tax</t>
        </is>
      </c>
      <c r="B29" t="n">
        <v>3</v>
      </c>
      <c r="C29" t="n">
        <v>3</v>
      </c>
      <c r="D29" t="n">
        <v>3</v>
      </c>
      <c r="E29" t="n">
        <v>3</v>
      </c>
      <c r="F29" t="n">
        <v>3</v>
      </c>
      <c r="G29" t="n">
        <v>3</v>
      </c>
      <c r="H29" t="n">
        <v>3</v>
      </c>
      <c r="I29" t="n">
        <v>4</v>
      </c>
      <c r="J29" t="n">
        <v>2</v>
      </c>
      <c r="K29" t="n">
        <v>4</v>
      </c>
    </row>
    <row r="30" customFormat="1" s="171">
      <c r="A30" s="171" t="inlineStr">
        <is>
          <t>Net profit</t>
        </is>
      </c>
      <c r="B30" t="n">
        <v>9</v>
      </c>
      <c r="C30" t="n">
        <v>12</v>
      </c>
      <c r="D30" t="n">
        <v>14</v>
      </c>
      <c r="E30" t="n">
        <v>11</v>
      </c>
      <c r="F30" t="n">
        <v>12</v>
      </c>
      <c r="G30" t="n">
        <v>10</v>
      </c>
      <c r="H30" t="n">
        <v>12</v>
      </c>
      <c r="I30" t="n">
        <v>16</v>
      </c>
      <c r="J30" t="n">
        <v>19</v>
      </c>
      <c r="K30" t="n">
        <v>22</v>
      </c>
    </row>
    <row r="31" customFormat="1" s="171">
      <c r="A31" s="171" t="inlineStr">
        <is>
          <t>Dividend Amount</t>
        </is>
      </c>
      <c r="B31" t="n">
        <v>0</v>
      </c>
      <c r="C31" t="n">
        <v>0</v>
      </c>
      <c r="D31" t="n">
        <v>1.26</v>
      </c>
      <c r="E31" t="n">
        <v>1.43</v>
      </c>
      <c r="F31" t="n">
        <v>1.32</v>
      </c>
      <c r="G31" t="n">
        <v>1.8</v>
      </c>
      <c r="H31" t="n">
        <v>1.32</v>
      </c>
      <c r="I31" t="n">
        <v>1.28</v>
      </c>
      <c r="J31" t="n">
        <v>1.52</v>
      </c>
      <c r="K31" t="n">
        <v>1.54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21.89</v>
      </c>
      <c r="C42" t="n">
        <v>22.96</v>
      </c>
      <c r="D42" t="n">
        <v>24.98</v>
      </c>
      <c r="E42" t="n">
        <v>22.94</v>
      </c>
      <c r="F42" t="n">
        <v>18.92</v>
      </c>
      <c r="G42" t="n">
        <v>22.15</v>
      </c>
      <c r="H42" t="n">
        <v>21.13</v>
      </c>
      <c r="I42" t="n">
        <v>23.76</v>
      </c>
      <c r="J42" t="n">
        <v>16.31</v>
      </c>
      <c r="K42" t="n">
        <v>19.83</v>
      </c>
    </row>
    <row r="43" customFormat="1" s="171">
      <c r="A43" s="171" t="inlineStr">
        <is>
          <t>Expenses</t>
        </is>
      </c>
      <c r="B43" t="n">
        <v>19.14</v>
      </c>
      <c r="C43" t="n">
        <v>19.7</v>
      </c>
      <c r="D43" t="n">
        <v>19.87</v>
      </c>
      <c r="E43" t="n">
        <v>18.57</v>
      </c>
      <c r="F43" t="n">
        <v>16.29</v>
      </c>
      <c r="G43" t="n">
        <v>15.48</v>
      </c>
      <c r="H43" t="n">
        <v>16.62</v>
      </c>
      <c r="I43" t="n">
        <v>18.53</v>
      </c>
      <c r="J43" t="n">
        <v>12.89</v>
      </c>
      <c r="K43" t="n">
        <v>14.75</v>
      </c>
    </row>
    <row r="44" customFormat="1" s="171">
      <c r="A44" s="171" t="inlineStr">
        <is>
          <t>Other Income</t>
        </is>
      </c>
      <c r="B44" t="n">
        <v>2.25</v>
      </c>
      <c r="C44" t="n">
        <v>1.99</v>
      </c>
      <c r="D44" t="n">
        <v>2.67</v>
      </c>
      <c r="E44" t="n">
        <v>1.93</v>
      </c>
      <c r="F44" t="n">
        <v>2.9</v>
      </c>
      <c r="G44" t="n">
        <v>3.39</v>
      </c>
      <c r="H44" t="n">
        <v>2.28</v>
      </c>
      <c r="I44" t="n">
        <v>2.24</v>
      </c>
      <c r="J44" t="n">
        <v>1.79</v>
      </c>
      <c r="K44" t="n">
        <v>3.54</v>
      </c>
    </row>
    <row r="45" customFormat="1" s="171">
      <c r="A45" s="171" t="inlineStr">
        <is>
          <t>Depreciation</t>
        </is>
      </c>
      <c r="B45" t="n">
        <v>0.87</v>
      </c>
      <c r="C45" t="n">
        <v>0.86</v>
      </c>
      <c r="D45" t="n">
        <v>0.9</v>
      </c>
      <c r="E45" t="n">
        <v>0.86</v>
      </c>
      <c r="F45" t="n">
        <v>0.84</v>
      </c>
      <c r="G45" t="n">
        <v>0.84</v>
      </c>
      <c r="H45" t="n">
        <v>0.86</v>
      </c>
      <c r="I45" t="n">
        <v>0.88</v>
      </c>
      <c r="J45" t="n">
        <v>0.88</v>
      </c>
      <c r="K45" t="n">
        <v>0.88</v>
      </c>
    </row>
    <row r="46" customFormat="1" s="171">
      <c r="A46" s="171" t="inlineStr">
        <is>
          <t>Interest</t>
        </is>
      </c>
      <c r="B46" t="n">
        <v>0.02</v>
      </c>
      <c r="C46" t="n">
        <v>0.02</v>
      </c>
      <c r="D46" t="n">
        <v>0.02</v>
      </c>
      <c r="E46" t="n">
        <v>0.03</v>
      </c>
      <c r="F46" t="n">
        <v>0.03</v>
      </c>
      <c r="G46" t="n">
        <v>0.03</v>
      </c>
      <c r="H46" t="n">
        <v>0.03</v>
      </c>
      <c r="I46" t="n">
        <v>0.03</v>
      </c>
      <c r="J46" t="n">
        <v>0.03</v>
      </c>
      <c r="K46" t="n">
        <v>0.03</v>
      </c>
    </row>
    <row r="47" customFormat="1" s="171">
      <c r="A47" s="171" t="inlineStr">
        <is>
          <t>Profit before tax</t>
        </is>
      </c>
      <c r="B47" t="n">
        <v>4.11</v>
      </c>
      <c r="C47" t="n">
        <v>4.37</v>
      </c>
      <c r="D47" t="n">
        <v>6.86</v>
      </c>
      <c r="E47" t="n">
        <v>5.41</v>
      </c>
      <c r="F47" t="n">
        <v>4.66</v>
      </c>
      <c r="G47" t="n">
        <v>9.19</v>
      </c>
      <c r="H47" t="n">
        <v>5.9</v>
      </c>
      <c r="I47" t="n">
        <v>6.56</v>
      </c>
      <c r="J47" t="n">
        <v>4.3</v>
      </c>
      <c r="K47" t="n">
        <v>7.71</v>
      </c>
    </row>
    <row r="48" customFormat="1" s="171">
      <c r="A48" s="171" t="inlineStr">
        <is>
          <t>Tax</t>
        </is>
      </c>
      <c r="B48" t="n">
        <v>1.06</v>
      </c>
      <c r="C48" t="n">
        <v>0.65</v>
      </c>
      <c r="D48" t="n">
        <v>0.42</v>
      </c>
      <c r="E48" t="n">
        <v>0.89</v>
      </c>
      <c r="F48" t="n">
        <v>0.83</v>
      </c>
      <c r="G48" t="n">
        <v>1.17</v>
      </c>
      <c r="H48" t="n">
        <v>0.96</v>
      </c>
      <c r="I48" t="n">
        <v>1.24</v>
      </c>
      <c r="J48" t="n">
        <v>0.64</v>
      </c>
      <c r="K48" t="n">
        <v>1.33</v>
      </c>
    </row>
    <row r="49" customFormat="1" s="171">
      <c r="A49" s="171" t="inlineStr">
        <is>
          <t>Net profit</t>
        </is>
      </c>
      <c r="B49" t="n">
        <v>3.05</v>
      </c>
      <c r="C49" t="n">
        <v>3.72</v>
      </c>
      <c r="D49" t="n">
        <v>6.44</v>
      </c>
      <c r="E49" t="n">
        <v>4.52</v>
      </c>
      <c r="F49" t="n">
        <v>3.83</v>
      </c>
      <c r="G49" t="n">
        <v>8.02</v>
      </c>
      <c r="H49" t="n">
        <v>4.94</v>
      </c>
      <c r="I49" t="n">
        <v>5.32</v>
      </c>
      <c r="J49" t="n">
        <v>3.66</v>
      </c>
      <c r="K49" t="n">
        <v>6.38</v>
      </c>
    </row>
    <row r="50">
      <c r="A50" s="171" t="inlineStr">
        <is>
          <t>Operating Profit</t>
        </is>
      </c>
      <c r="B50" t="n">
        <v>2.75</v>
      </c>
      <c r="C50" t="n">
        <v>3.26</v>
      </c>
      <c r="D50" t="n">
        <v>5.11</v>
      </c>
      <c r="E50" t="n">
        <v>4.37</v>
      </c>
      <c r="F50" t="n">
        <v>2.63</v>
      </c>
      <c r="G50" t="n">
        <v>6.67</v>
      </c>
      <c r="H50" t="n">
        <v>4.51</v>
      </c>
      <c r="I50" t="n">
        <v>5.23</v>
      </c>
      <c r="J50" t="n">
        <v>3.42</v>
      </c>
      <c r="K50" t="n">
        <v>5.08</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5</v>
      </c>
      <c r="C57" t="n">
        <v>5</v>
      </c>
      <c r="D57" t="n">
        <v>5</v>
      </c>
      <c r="E57" t="n">
        <v>5</v>
      </c>
      <c r="F57" t="n">
        <v>5</v>
      </c>
      <c r="G57" t="n">
        <v>5</v>
      </c>
      <c r="H57" t="n">
        <v>5</v>
      </c>
      <c r="I57" t="n">
        <v>5</v>
      </c>
      <c r="J57" t="n">
        <v>5</v>
      </c>
      <c r="K57" t="n">
        <v>5</v>
      </c>
    </row>
    <row r="58">
      <c r="A58" s="171" t="inlineStr">
        <is>
          <t>Reserves</t>
        </is>
      </c>
      <c r="B58" t="n">
        <v>97</v>
      </c>
      <c r="C58" t="n">
        <v>111</v>
      </c>
      <c r="D58" t="n">
        <v>134</v>
      </c>
      <c r="E58" t="n">
        <v>150</v>
      </c>
      <c r="F58" t="n">
        <v>161</v>
      </c>
      <c r="G58" t="n">
        <v>170</v>
      </c>
      <c r="H58" t="n">
        <v>182</v>
      </c>
      <c r="I58" t="n">
        <v>199</v>
      </c>
      <c r="J58" t="n">
        <v>216</v>
      </c>
      <c r="K58" t="n">
        <v>236</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7</v>
      </c>
      <c r="C60" t="n">
        <v>8</v>
      </c>
      <c r="D60" t="n">
        <v>8</v>
      </c>
      <c r="E60" t="n">
        <v>9</v>
      </c>
      <c r="F60" t="n">
        <v>12</v>
      </c>
      <c r="G60" t="n">
        <v>12</v>
      </c>
      <c r="H60" t="n">
        <v>11</v>
      </c>
      <c r="I60" t="n">
        <v>13</v>
      </c>
      <c r="J60" t="n">
        <v>13</v>
      </c>
      <c r="K60" t="n">
        <v>14</v>
      </c>
    </row>
    <row r="61" customFormat="1" s="170">
      <c r="A61" s="170" t="inlineStr">
        <is>
          <t>Total</t>
        </is>
      </c>
      <c r="B61" t="n">
        <v>108</v>
      </c>
      <c r="C61" t="n">
        <v>125</v>
      </c>
      <c r="D61" t="n">
        <v>148</v>
      </c>
      <c r="E61" t="n">
        <v>164</v>
      </c>
      <c r="F61" t="n">
        <v>177</v>
      </c>
      <c r="G61" t="n">
        <v>187</v>
      </c>
      <c r="H61" t="n">
        <v>198</v>
      </c>
      <c r="I61" t="n">
        <v>217</v>
      </c>
      <c r="J61" t="n">
        <v>233</v>
      </c>
      <c r="K61" t="n">
        <v>256</v>
      </c>
    </row>
    <row r="62">
      <c r="A62" s="171" t="inlineStr">
        <is>
          <t>Net Block</t>
        </is>
      </c>
      <c r="B62" t="n">
        <v>38</v>
      </c>
      <c r="C62" t="n">
        <v>39</v>
      </c>
      <c r="D62" t="n">
        <v>38</v>
      </c>
      <c r="E62" t="n">
        <v>43</v>
      </c>
      <c r="F62" t="n">
        <v>44</v>
      </c>
      <c r="G62" t="n">
        <v>43</v>
      </c>
      <c r="H62" t="n">
        <v>44</v>
      </c>
      <c r="I62" t="n">
        <v>43</v>
      </c>
      <c r="J62" t="n">
        <v>44</v>
      </c>
      <c r="K62" t="n">
        <v>45</v>
      </c>
    </row>
    <row r="63">
      <c r="A63" s="171" t="inlineStr">
        <is>
          <t>Capital Work in Progress</t>
        </is>
      </c>
      <c r="B63" t="n">
        <v>0</v>
      </c>
      <c r="C63" t="n">
        <v>0</v>
      </c>
      <c r="D63" t="n">
        <v>1</v>
      </c>
      <c r="E63" t="n">
        <v>1</v>
      </c>
      <c r="F63" t="n">
        <v>1</v>
      </c>
      <c r="G63" t="n">
        <v>2</v>
      </c>
      <c r="H63" t="n">
        <v>3</v>
      </c>
      <c r="I63" t="n">
        <v>2</v>
      </c>
      <c r="J63" t="n">
        <v>1</v>
      </c>
      <c r="K63" t="n">
        <v>1</v>
      </c>
    </row>
    <row r="64">
      <c r="A64" s="171" t="inlineStr">
        <is>
          <t>Investments</t>
        </is>
      </c>
      <c r="B64" t="n">
        <v>41</v>
      </c>
      <c r="C64" t="n">
        <v>63</v>
      </c>
      <c r="D64" t="n">
        <v>73</v>
      </c>
      <c r="E64" t="n">
        <v>76</v>
      </c>
      <c r="F64" t="n">
        <v>102</v>
      </c>
      <c r="G64" t="n">
        <v>107</v>
      </c>
      <c r="H64" t="n">
        <v>127</v>
      </c>
      <c r="I64" t="n">
        <v>134</v>
      </c>
      <c r="J64" t="n">
        <v>151</v>
      </c>
      <c r="K64" t="n">
        <v>169</v>
      </c>
    </row>
    <row r="65">
      <c r="A65" s="171" t="inlineStr">
        <is>
          <t>Other Assets</t>
        </is>
      </c>
      <c r="B65" t="n">
        <v>30</v>
      </c>
      <c r="C65" t="n">
        <v>23</v>
      </c>
      <c r="D65" t="n">
        <v>36</v>
      </c>
      <c r="E65" t="n">
        <v>43</v>
      </c>
      <c r="F65" t="n">
        <v>30</v>
      </c>
      <c r="G65" t="n">
        <v>34</v>
      </c>
      <c r="H65" t="n">
        <v>25</v>
      </c>
      <c r="I65" t="n">
        <v>38</v>
      </c>
      <c r="J65" t="n">
        <v>36</v>
      </c>
      <c r="K65" t="n">
        <v>42</v>
      </c>
    </row>
    <row r="66" customFormat="1" s="170">
      <c r="A66" s="170" t="inlineStr">
        <is>
          <t>Total</t>
        </is>
      </c>
      <c r="B66" t="n">
        <v>108</v>
      </c>
      <c r="C66" t="n">
        <v>125</v>
      </c>
      <c r="D66" t="n">
        <v>148</v>
      </c>
      <c r="E66" t="n">
        <v>164</v>
      </c>
      <c r="F66" t="n">
        <v>177</v>
      </c>
      <c r="G66" t="n">
        <v>187</v>
      </c>
      <c r="H66" t="n">
        <v>198</v>
      </c>
      <c r="I66" t="n">
        <v>217</v>
      </c>
      <c r="J66" t="n">
        <v>233</v>
      </c>
      <c r="K66" t="n">
        <v>256</v>
      </c>
    </row>
    <row r="67" customFormat="1" s="171">
      <c r="A67" s="171" t="inlineStr">
        <is>
          <t>Receivables</t>
        </is>
      </c>
      <c r="B67" t="n">
        <v>2.06</v>
      </c>
      <c r="C67" t="n">
        <v>5.33</v>
      </c>
      <c r="D67" t="n">
        <v>4.44</v>
      </c>
      <c r="E67" t="n">
        <v>7.2</v>
      </c>
      <c r="F67" t="n">
        <v>4.86</v>
      </c>
      <c r="G67" t="n">
        <v>8.25</v>
      </c>
      <c r="H67" t="n">
        <v>5.41</v>
      </c>
      <c r="I67" t="n">
        <v>12.88</v>
      </c>
      <c r="J67" t="n">
        <v>6.87</v>
      </c>
      <c r="K67" t="n">
        <v>7.43</v>
      </c>
    </row>
    <row r="68">
      <c r="A68" s="171" t="inlineStr">
        <is>
          <t>Inventory</t>
        </is>
      </c>
      <c r="B68" t="n">
        <v>4.37</v>
      </c>
      <c r="C68" t="n">
        <v>4.93</v>
      </c>
      <c r="D68" t="n">
        <v>6.32</v>
      </c>
      <c r="E68" t="n">
        <v>6.63</v>
      </c>
      <c r="F68" t="n">
        <v>10.42</v>
      </c>
      <c r="G68" t="n">
        <v>9.59</v>
      </c>
      <c r="H68" t="n">
        <v>7.09</v>
      </c>
      <c r="I68" t="n">
        <v>6.55</v>
      </c>
      <c r="J68" t="n">
        <v>3.69</v>
      </c>
      <c r="K68" t="n">
        <v>4.53</v>
      </c>
    </row>
    <row r="69">
      <c r="A69" s="176" t="inlineStr">
        <is>
          <t>Cash &amp; Bank</t>
        </is>
      </c>
      <c r="B69" t="n">
        <v>18.61</v>
      </c>
      <c r="C69" t="n">
        <v>7.51</v>
      </c>
      <c r="D69" t="n">
        <v>17.87</v>
      </c>
      <c r="E69" t="n">
        <v>10.62</v>
      </c>
      <c r="F69" t="n">
        <v>9.6</v>
      </c>
      <c r="G69" t="n">
        <v>10.84</v>
      </c>
      <c r="H69" t="n">
        <v>6.29</v>
      </c>
      <c r="I69" t="n">
        <v>7.18</v>
      </c>
      <c r="J69" t="n">
        <v>9.85</v>
      </c>
      <c r="K69" t="n">
        <v>7.12</v>
      </c>
    </row>
    <row r="70">
      <c r="A70" s="176" t="inlineStr">
        <is>
          <t>No. of Equity Shares</t>
        </is>
      </c>
      <c r="B70" t="n">
        <v>5000000</v>
      </c>
      <c r="C70" t="n">
        <v>5000000</v>
      </c>
      <c r="D70" t="n">
        <v>5000000</v>
      </c>
      <c r="E70" t="n">
        <v>5000000</v>
      </c>
      <c r="F70" t="n">
        <v>5000000</v>
      </c>
      <c r="G70" t="n">
        <v>5000000</v>
      </c>
      <c r="H70" t="n">
        <v>5000000</v>
      </c>
      <c r="I70" t="n">
        <v>5000000</v>
      </c>
      <c r="J70" t="n">
        <v>5000000</v>
      </c>
      <c r="K70" t="n">
        <v>5000000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12</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9</v>
      </c>
      <c r="C82" t="n">
        <v>6</v>
      </c>
      <c r="D82" t="n">
        <v>11</v>
      </c>
      <c r="E82" t="n">
        <v>8</v>
      </c>
      <c r="F82" t="n">
        <v>9</v>
      </c>
      <c r="G82" t="n">
        <v>5</v>
      </c>
      <c r="H82" t="n">
        <v>15</v>
      </c>
      <c r="I82" t="n">
        <v>8</v>
      </c>
      <c r="J82" t="n">
        <v>21</v>
      </c>
      <c r="K82" t="n">
        <v>13</v>
      </c>
    </row>
    <row r="83" customFormat="1" s="171">
      <c r="A83" s="171" t="inlineStr">
        <is>
          <t>Cash from Investing Activity</t>
        </is>
      </c>
      <c r="B83" t="n">
        <v>-7</v>
      </c>
      <c r="C83" t="n">
        <v>-6</v>
      </c>
      <c r="D83" t="n">
        <v>-10</v>
      </c>
      <c r="E83" t="n">
        <v>-4</v>
      </c>
      <c r="F83" t="n">
        <v>-9</v>
      </c>
      <c r="G83" t="n">
        <v>-3</v>
      </c>
      <c r="H83" t="n">
        <v>-13</v>
      </c>
      <c r="I83" t="n">
        <v>-4</v>
      </c>
      <c r="J83" t="n">
        <v>-19</v>
      </c>
      <c r="K83" t="n">
        <v>-12</v>
      </c>
    </row>
    <row r="84" customFormat="1" s="171">
      <c r="A84" s="171" t="inlineStr">
        <is>
          <t>Cash from Financing Activity</t>
        </is>
      </c>
      <c r="B84" t="n">
        <v>-2</v>
      </c>
      <c r="C84" t="n">
        <v>-2</v>
      </c>
      <c r="D84" t="n">
        <v>-2</v>
      </c>
      <c r="E84" t="n">
        <v>-2</v>
      </c>
      <c r="F84" t="n">
        <v>-1</v>
      </c>
      <c r="G84" t="n">
        <v>-1</v>
      </c>
      <c r="H84" t="n">
        <v>-1</v>
      </c>
      <c r="I84" t="n">
        <v>-2</v>
      </c>
      <c r="J84" t="n">
        <v>-1</v>
      </c>
      <c r="K84" t="n">
        <v>-1</v>
      </c>
    </row>
    <row r="85" customFormat="1" s="170">
      <c r="A85" s="171" t="inlineStr">
        <is>
          <t>Net Cash Flow</t>
        </is>
      </c>
      <c r="B85" t="n">
        <v>1</v>
      </c>
      <c r="C85" t="n">
        <v>-2</v>
      </c>
      <c r="D85" t="n">
        <v>-1</v>
      </c>
      <c r="E85" t="n">
        <v>3</v>
      </c>
      <c r="F85" t="n">
        <v>-2</v>
      </c>
      <c r="G85" t="n">
        <v>1</v>
      </c>
      <c r="H85" t="n">
        <v>0</v>
      </c>
      <c r="I85" t="n">
        <v>2</v>
      </c>
      <c r="J85" t="n">
        <v>1</v>
      </c>
      <c r="K85" t="n">
        <v>-1</v>
      </c>
    </row>
    <row r="86">
      <c r="A86" s="171" t="n"/>
    </row>
    <row r="87">
      <c r="A87" s="171" t="n"/>
    </row>
    <row r="88">
      <c r="A88" s="171" t="n"/>
    </row>
    <row r="89">
      <c r="A89" s="171" t="n"/>
    </row>
    <row r="90" customFormat="1" s="170">
      <c r="A90" s="170" t="inlineStr">
        <is>
          <t>PRICE:</t>
        </is>
      </c>
      <c r="B90" t="n">
        <v>330</v>
      </c>
      <c r="C90" t="n">
        <v>396.9</v>
      </c>
      <c r="D90" t="n">
        <v>321.1</v>
      </c>
      <c r="E90" t="n">
        <v>245</v>
      </c>
      <c r="F90" t="n">
        <v>307</v>
      </c>
      <c r="G90" t="n">
        <v>307.35</v>
      </c>
      <c r="H90" t="n">
        <v>273</v>
      </c>
      <c r="I90" t="n">
        <v>356.8</v>
      </c>
      <c r="J90" t="n">
        <v>366.6</v>
      </c>
      <c r="K90" t="n">
        <v>500.6</v>
      </c>
    </row>
    <row r="92" customFormat="1" s="170">
      <c r="A92" s="170" t="inlineStr">
        <is>
          <t>DERIVED:</t>
        </is>
      </c>
    </row>
    <row r="93">
      <c r="A93" s="176" t="inlineStr">
        <is>
          <t>Adjusted Equity Shares in Cr</t>
        </is>
      </c>
      <c r="B93" s="181" t="n">
        <v>0.52</v>
      </c>
      <c r="C93" s="181" t="n">
        <v>0.52</v>
      </c>
      <c r="D93" s="181" t="n">
        <v>0.52</v>
      </c>
      <c r="E93" s="181" t="n">
        <v>0.52</v>
      </c>
      <c r="F93" s="181" t="n">
        <v>0.52</v>
      </c>
      <c r="G93" s="181" t="n">
        <v>0.52</v>
      </c>
      <c r="H93" s="181" t="n">
        <v>0.52</v>
      </c>
      <c r="I93" s="181" t="n">
        <v>0.52</v>
      </c>
      <c r="J93" s="181" t="n">
        <v>0.52</v>
      </c>
      <c r="K93" s="181" t="n">
        <v>0.52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THE UNITED NILGIRI TEA ESTATES COMPANY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v>
      </c>
      <c r="D6" s="73" t="n">
        <v>11</v>
      </c>
      <c r="E6" s="73" t="n">
        <v>9</v>
      </c>
      <c r="F6" s="73" t="n">
        <v>6</v>
      </c>
      <c r="G6" s="73" t="n">
        <v>11</v>
      </c>
      <c r="H6" s="73" t="n">
        <v>8</v>
      </c>
      <c r="I6" s="73" t="n">
        <v>9</v>
      </c>
      <c r="J6" s="73" t="n">
        <v>5</v>
      </c>
      <c r="K6" s="73" t="n">
        <v>15</v>
      </c>
      <c r="L6" s="73" t="n">
        <v>8</v>
      </c>
      <c r="M6" s="73" t="n">
        <v>21</v>
      </c>
      <c r="N6" s="73" t="n">
        <v>13</v>
      </c>
    </row>
    <row r="7">
      <c r="B7" t="inlineStr">
        <is>
          <t>Profit from operations</t>
        </is>
      </c>
      <c r="C7" s="73" t="n">
        <v>12.54</v>
      </c>
      <c r="D7" s="73" t="n">
        <v>14.47</v>
      </c>
      <c r="E7" s="73" t="n">
        <v>12.54</v>
      </c>
      <c r="F7" s="73" t="n">
        <v>12.9</v>
      </c>
      <c r="G7" s="73" t="n">
        <v>14.42</v>
      </c>
      <c r="H7" s="73" t="n">
        <v>13.2</v>
      </c>
      <c r="I7" s="73" t="n">
        <v>10.99</v>
      </c>
      <c r="J7" s="73" t="n">
        <v>10.99</v>
      </c>
      <c r="K7" s="73" t="n">
        <v>14.07</v>
      </c>
      <c r="L7" s="73" t="n">
        <v>16.3</v>
      </c>
      <c r="M7" s="73" t="n">
        <v>15.71</v>
      </c>
      <c r="N7" s="73" t="n">
        <v>20.15</v>
      </c>
    </row>
    <row r="8">
      <c r="B8" t="inlineStr">
        <is>
          <t>Receivables</t>
        </is>
      </c>
      <c r="C8" t="n">
        <v>0.4</v>
      </c>
      <c r="D8" t="n">
        <v>-0.75</v>
      </c>
      <c r="E8" t="n">
        <v>3.47</v>
      </c>
      <c r="F8" t="n">
        <v>-3.27</v>
      </c>
      <c r="G8" t="n">
        <v>0.89</v>
      </c>
      <c r="H8" s="73" t="n">
        <v>-2.76</v>
      </c>
      <c r="I8" t="n">
        <v>2.34</v>
      </c>
      <c r="J8" t="n">
        <v>-3.38</v>
      </c>
      <c r="K8" t="n">
        <v>2.84</v>
      </c>
      <c r="L8" t="n">
        <v>-7.47</v>
      </c>
      <c r="M8" s="73" t="n">
        <v>5.69</v>
      </c>
      <c r="N8" t="n">
        <v>-0.5600000000000001</v>
      </c>
    </row>
    <row r="9">
      <c r="B9" t="inlineStr">
        <is>
          <t>Inventory</t>
        </is>
      </c>
      <c r="C9" t="n">
        <v>-0.64</v>
      </c>
      <c r="D9" t="n">
        <v>0.15</v>
      </c>
      <c r="E9" t="n">
        <v>-1.52</v>
      </c>
      <c r="F9" t="n">
        <v>-0.5600000000000001</v>
      </c>
      <c r="G9" t="n">
        <v>-1.39</v>
      </c>
      <c r="H9" t="n">
        <v>-0.31</v>
      </c>
      <c r="I9" s="73" t="n">
        <v>-3.79</v>
      </c>
      <c r="J9" t="n">
        <v>0.83</v>
      </c>
      <c r="K9" s="73" t="n">
        <v>2.49</v>
      </c>
      <c r="L9" s="73" t="n">
        <v>0.54</v>
      </c>
      <c r="M9" s="73" t="n">
        <v>2.86</v>
      </c>
      <c r="N9" s="73" t="n">
        <v>-0.83</v>
      </c>
    </row>
    <row r="10">
      <c r="B10" t="inlineStr">
        <is>
          <t>Payables</t>
        </is>
      </c>
      <c r="C10" t="n">
        <v>-0.01</v>
      </c>
      <c r="D10" t="n">
        <v>1.17</v>
      </c>
      <c r="E10" t="n">
        <v>0</v>
      </c>
      <c r="F10" s="73" t="n">
        <v>0.68</v>
      </c>
      <c r="G10" t="n">
        <v>0.27</v>
      </c>
      <c r="H10" t="n">
        <v>0.49</v>
      </c>
      <c r="I10" s="73" t="n">
        <v>0.65</v>
      </c>
      <c r="J10" s="73" t="n">
        <v>-0.04</v>
      </c>
      <c r="K10" s="73" t="n">
        <v>-0.86</v>
      </c>
      <c r="L10" t="n">
        <v>0.33</v>
      </c>
      <c r="M10" s="73" t="n">
        <v>-0.68</v>
      </c>
      <c r="N10" t="n">
        <v>0.35</v>
      </c>
    </row>
    <row r="11">
      <c r="B11" t="inlineStr">
        <is>
          <t>Working capital changes</t>
        </is>
      </c>
      <c r="C11" t="n">
        <v>-1.63</v>
      </c>
      <c r="D11" t="n">
        <v>0.06</v>
      </c>
      <c r="E11" t="n">
        <v>0.26</v>
      </c>
      <c r="F11" s="73" t="n">
        <v>-3.12</v>
      </c>
      <c r="G11" t="n">
        <v>-0.96</v>
      </c>
      <c r="H11" t="n">
        <v>-1.78</v>
      </c>
      <c r="I11" t="n">
        <v>0.27</v>
      </c>
      <c r="J11" t="n">
        <v>-2.46</v>
      </c>
      <c r="K11" t="n">
        <v>3.45</v>
      </c>
      <c r="L11" s="73" t="n">
        <v>-5.77</v>
      </c>
      <c r="M11" s="73" t="n">
        <v>8.34</v>
      </c>
      <c r="N11" s="73" t="n">
        <v>-4.87</v>
      </c>
    </row>
    <row r="12">
      <c r="B12" t="inlineStr">
        <is>
          <t>Direct taxes</t>
        </is>
      </c>
      <c r="C12" s="73" t="n">
        <v>-2.55</v>
      </c>
      <c r="D12" s="73" t="n">
        <v>-3.12</v>
      </c>
      <c r="E12" s="73" t="n">
        <v>-3.32</v>
      </c>
      <c r="F12" s="73" t="n">
        <v>-3.46</v>
      </c>
      <c r="G12" s="73" t="n">
        <v>-2.92</v>
      </c>
      <c r="H12" s="73" t="n">
        <v>-3.15</v>
      </c>
      <c r="I12" s="73" t="n">
        <v>-2.49</v>
      </c>
      <c r="J12" s="73" t="n">
        <v>-3.06</v>
      </c>
      <c r="K12" s="73" t="n">
        <v>-2.46</v>
      </c>
      <c r="L12" s="73" t="n">
        <v>-2.71</v>
      </c>
      <c r="M12" s="73" t="n">
        <v>-2.86</v>
      </c>
      <c r="N12" s="73" t="n">
        <v>-2.34</v>
      </c>
    </row>
    <row r="13">
      <c r="B13" t="inlineStr">
        <is>
          <t>Cash from Investing Activity -</t>
        </is>
      </c>
      <c r="C13" s="73" t="n">
        <v>-7</v>
      </c>
      <c r="D13" s="73" t="n">
        <v>-10</v>
      </c>
      <c r="E13" s="73" t="n">
        <v>-7</v>
      </c>
      <c r="F13" s="73" t="n">
        <v>-6</v>
      </c>
      <c r="G13" s="73" t="n">
        <v>-10</v>
      </c>
      <c r="H13" s="73" t="n">
        <v>-4</v>
      </c>
      <c r="I13" s="73" t="n">
        <v>-9</v>
      </c>
      <c r="J13" s="73" t="n">
        <v>-3</v>
      </c>
      <c r="K13" s="73" t="n">
        <v>-13</v>
      </c>
      <c r="L13" s="73" t="n">
        <v>-4</v>
      </c>
      <c r="M13" t="n">
        <v>-19</v>
      </c>
      <c r="N13" s="73" t="n">
        <v>-12</v>
      </c>
    </row>
    <row r="14">
      <c r="B14" t="inlineStr">
        <is>
          <t>Fixed assets purchased</t>
        </is>
      </c>
      <c r="C14" s="73" t="n">
        <v>-4.3</v>
      </c>
      <c r="D14" s="73" t="n">
        <v>-2.3</v>
      </c>
      <c r="E14" s="73" t="n">
        <v>-2.69</v>
      </c>
      <c r="F14" s="73" t="n">
        <v>-3.39</v>
      </c>
      <c r="G14" s="73" t="n">
        <v>-5.02</v>
      </c>
      <c r="H14" s="73" t="n">
        <v>-8.77</v>
      </c>
      <c r="I14" s="73" t="n">
        <v>-4.32</v>
      </c>
      <c r="J14" s="73" t="n">
        <v>-4.17</v>
      </c>
      <c r="K14" s="73" t="n">
        <v>-4.48</v>
      </c>
      <c r="L14" s="73" t="n">
        <v>-2.03</v>
      </c>
      <c r="M14" s="73" t="n">
        <v>-3.65</v>
      </c>
      <c r="N14" s="73" t="n">
        <v>-3.62</v>
      </c>
    </row>
    <row r="15">
      <c r="B15" t="inlineStr">
        <is>
          <t>Fixed assets sold</t>
        </is>
      </c>
      <c r="C15" t="n">
        <v>0.09</v>
      </c>
      <c r="D15" t="n">
        <v>0.13</v>
      </c>
      <c r="E15" t="n">
        <v>0.05</v>
      </c>
      <c r="F15" t="n">
        <v>0.09</v>
      </c>
      <c r="G15" t="n">
        <v>0.1</v>
      </c>
      <c r="H15" t="n">
        <v>0.05</v>
      </c>
      <c r="I15" t="n">
        <v>0</v>
      </c>
      <c r="J15" t="n">
        <v>0.09</v>
      </c>
      <c r="K15" t="n">
        <v>0.74</v>
      </c>
      <c r="L15" t="n">
        <v>0</v>
      </c>
      <c r="M15" t="n">
        <v>0.04</v>
      </c>
      <c r="N15" t="n">
        <v>0.15</v>
      </c>
    </row>
    <row r="16">
      <c r="B16" t="inlineStr">
        <is>
          <t>Investments purchased</t>
        </is>
      </c>
      <c r="C16" s="73" t="n">
        <v>-1.15</v>
      </c>
      <c r="D16" s="73" t="n">
        <v>-2.31</v>
      </c>
      <c r="E16" s="73" t="n">
        <v>-21.73</v>
      </c>
      <c r="F16" s="73" t="n">
        <v>-27.47</v>
      </c>
      <c r="G16" s="73" t="n">
        <v>-27.55</v>
      </c>
      <c r="H16" s="73" t="n">
        <v>-61.05</v>
      </c>
      <c r="I16" s="73" t="n">
        <v>-61.4</v>
      </c>
      <c r="J16" s="73" t="n">
        <v>-32.61</v>
      </c>
      <c r="K16" s="73" t="n">
        <v>-46.98</v>
      </c>
      <c r="L16" s="73" t="n">
        <v>-2.2</v>
      </c>
      <c r="M16" s="73" t="n">
        <v>-9.5</v>
      </c>
      <c r="N16" s="73" t="n">
        <v>-19</v>
      </c>
    </row>
    <row r="17">
      <c r="B17" t="inlineStr">
        <is>
          <t>Investments sold</t>
        </is>
      </c>
      <c r="C17" s="73" t="n">
        <v>1.47</v>
      </c>
      <c r="D17" s="73" t="n">
        <v>0</v>
      </c>
      <c r="E17" s="73" t="n">
        <v>10.52</v>
      </c>
      <c r="F17" s="73" t="n">
        <v>13.52</v>
      </c>
      <c r="G17" s="73" t="n">
        <v>31.72</v>
      </c>
      <c r="H17" s="73" t="n">
        <v>65.11</v>
      </c>
      <c r="I17" s="73" t="n">
        <v>42.63</v>
      </c>
      <c r="J17" s="73" t="n">
        <v>32.32</v>
      </c>
      <c r="K17" s="73" t="n">
        <v>31.82</v>
      </c>
      <c r="L17" s="73" t="n">
        <v>4.96</v>
      </c>
      <c r="M17" s="73" t="n">
        <v>0</v>
      </c>
      <c r="N17" s="73" t="n">
        <v>9.51</v>
      </c>
    </row>
    <row r="18">
      <c r="B18" t="inlineStr">
        <is>
          <t>Interest received</t>
        </is>
      </c>
      <c r="C18" t="n">
        <v>1.17</v>
      </c>
      <c r="D18" t="n">
        <v>1.13</v>
      </c>
      <c r="E18" t="n">
        <v>1.69</v>
      </c>
      <c r="F18" t="n">
        <v>1.12</v>
      </c>
      <c r="G18" s="73" t="n">
        <v>0.35</v>
      </c>
      <c r="H18" s="73" t="n">
        <v>1.26</v>
      </c>
      <c r="I18" s="73" t="n">
        <v>1.64</v>
      </c>
      <c r="J18" s="73" t="n">
        <v>0.38</v>
      </c>
      <c r="K18" s="73" t="n">
        <v>0.46</v>
      </c>
      <c r="L18" s="73" t="n">
        <v>0.17</v>
      </c>
      <c r="M18" s="73" t="n">
        <v>0.27</v>
      </c>
      <c r="N18" t="n">
        <v>0.6</v>
      </c>
    </row>
    <row r="19">
      <c r="B19" t="inlineStr">
        <is>
          <t>Dividends received</t>
        </is>
      </c>
      <c r="C19" t="n">
        <v>0.12</v>
      </c>
      <c r="D19" t="n">
        <v>0.22</v>
      </c>
      <c r="E19" t="n">
        <v>0.45</v>
      </c>
      <c r="F19" t="n">
        <v>0.3</v>
      </c>
      <c r="G19" t="n">
        <v>0.23</v>
      </c>
      <c r="H19" t="n">
        <v>0.26</v>
      </c>
      <c r="I19" t="n">
        <v>0.23</v>
      </c>
      <c r="J19" t="n">
        <v>1.11</v>
      </c>
      <c r="K19" t="n">
        <v>0.18</v>
      </c>
      <c r="L19" t="n">
        <v>0.19</v>
      </c>
      <c r="M19" t="n">
        <v>0.17</v>
      </c>
      <c r="N19" t="n">
        <v>0.17</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1.64</v>
      </c>
      <c r="H22" t="n">
        <v>0</v>
      </c>
      <c r="I22" t="n">
        <v>0</v>
      </c>
      <c r="J22" t="n">
        <v>0</v>
      </c>
      <c r="K22" t="n">
        <v>0</v>
      </c>
      <c r="L22" t="n">
        <v>0</v>
      </c>
      <c r="M22" t="n">
        <v>0</v>
      </c>
      <c r="N22" t="n">
        <v>0</v>
      </c>
    </row>
    <row r="23">
      <c r="B23" t="inlineStr">
        <is>
          <t>Other investing items</t>
        </is>
      </c>
      <c r="C23" s="73" t="n">
        <v>-3.98</v>
      </c>
      <c r="D23" s="73" t="n">
        <v>-7.29</v>
      </c>
      <c r="E23" s="73" t="n">
        <v>4.74</v>
      </c>
      <c r="F23" s="73" t="n">
        <v>9.6</v>
      </c>
      <c r="G23" s="73" t="n">
        <v>-10.96</v>
      </c>
      <c r="H23" s="73" t="n">
        <v>-0.76</v>
      </c>
      <c r="I23" s="73" t="n">
        <v>12.11</v>
      </c>
      <c r="J23" s="73" t="n">
        <v>-0.31</v>
      </c>
      <c r="K23" t="n">
        <v>5.05</v>
      </c>
      <c r="L23" s="73" t="n">
        <v>-1.51</v>
      </c>
      <c r="M23" t="n">
        <v>-6.62</v>
      </c>
      <c r="N23" s="73" t="n">
        <v>-0.16</v>
      </c>
    </row>
    <row r="24">
      <c r="B24" t="inlineStr">
        <is>
          <t>Cash from Financing Activity -</t>
        </is>
      </c>
      <c r="C24" s="73" t="n">
        <v>-2</v>
      </c>
      <c r="D24" s="73" t="n">
        <v>-2</v>
      </c>
      <c r="E24" s="73" t="n">
        <v>-2</v>
      </c>
      <c r="F24" s="73" t="n">
        <v>-2</v>
      </c>
      <c r="G24" s="73" t="n">
        <v>-2</v>
      </c>
      <c r="H24" s="73" t="n">
        <v>-2</v>
      </c>
      <c r="I24" s="73" t="n">
        <v>-1</v>
      </c>
      <c r="J24" s="73" t="n">
        <v>-1</v>
      </c>
      <c r="K24" s="73" t="n">
        <v>-1</v>
      </c>
      <c r="L24" s="73" t="n">
        <v>-2</v>
      </c>
      <c r="M24" s="73" t="n">
        <v>-1</v>
      </c>
      <c r="N24" s="73" t="n">
        <v>-1</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-2</v>
      </c>
      <c r="D27" t="n">
        <v>-2</v>
      </c>
      <c r="E27" t="n">
        <v>-2</v>
      </c>
      <c r="F27" t="n">
        <v>-2</v>
      </c>
      <c r="G27" t="n">
        <v>-2</v>
      </c>
      <c r="H27" t="n">
        <v>-2</v>
      </c>
      <c r="I27" t="n">
        <v>-1</v>
      </c>
      <c r="J27" t="n">
        <v>-1</v>
      </c>
      <c r="K27" t="n">
        <v>-1</v>
      </c>
      <c r="L27" t="n">
        <v>-2</v>
      </c>
      <c r="M27" t="n">
        <v>-1</v>
      </c>
      <c r="N27" t="n">
        <v>-1</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-1.32</v>
      </c>
      <c r="D29" s="73" t="n">
        <v>-1.35</v>
      </c>
      <c r="E29" s="73" t="n">
        <v>-1.35</v>
      </c>
      <c r="F29" s="73" t="n">
        <v>-1.33</v>
      </c>
      <c r="G29" s="73" t="n">
        <v>-1.35</v>
      </c>
      <c r="H29" s="73" t="n">
        <v>-1.35</v>
      </c>
      <c r="I29" s="73" t="n">
        <v>-1.35</v>
      </c>
      <c r="J29" s="73" t="n">
        <v>-1.35</v>
      </c>
      <c r="K29" s="73" t="n">
        <v>-1.35</v>
      </c>
      <c r="L29" s="73" t="n">
        <v>-1.85</v>
      </c>
      <c r="M29" s="73" t="n">
        <v>-1.35</v>
      </c>
      <c r="N29" s="73" t="n">
        <v>-1.48</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-0.33</v>
      </c>
      <c r="D31" t="n">
        <v>-0.17</v>
      </c>
      <c r="E31" s="73" t="n">
        <v>-0.38</v>
      </c>
      <c r="F31" s="73" t="n">
        <v>-0.27</v>
      </c>
      <c r="G31" s="73" t="n">
        <v>-0.28</v>
      </c>
      <c r="H31" s="73" t="n">
        <v>-0.28</v>
      </c>
      <c r="I31" t="n">
        <v>0</v>
      </c>
      <c r="J31" t="n">
        <v>0</v>
      </c>
      <c r="K31" t="n">
        <v>0</v>
      </c>
      <c r="L31" t="n">
        <v>0</v>
      </c>
      <c r="M31" t="n">
        <v>0</v>
      </c>
      <c r="N31" t="n">
        <v>0</v>
      </c>
    </row>
    <row r="32">
      <c r="B32" t="inlineStr">
        <is>
          <t>Net Cash Flow</t>
        </is>
      </c>
      <c r="C32" t="n">
        <v>0</v>
      </c>
      <c r="D32" t="n">
        <v>-1</v>
      </c>
      <c r="E32" t="n">
        <v>1</v>
      </c>
      <c r="F32" t="n">
        <v>-2</v>
      </c>
      <c r="G32" t="n">
        <v>-1</v>
      </c>
      <c r="H32" t="n">
        <v>3</v>
      </c>
      <c r="I32" t="n">
        <v>-2</v>
      </c>
      <c r="J32" t="n">
        <v>1</v>
      </c>
      <c r="K32" t="n">
        <v>0</v>
      </c>
      <c r="L32" t="n">
        <v>2</v>
      </c>
      <c r="M32" t="n">
        <v>1</v>
      </c>
      <c r="N32" t="n">
        <v>-1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0.72</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1.06</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425.1</v>
      </c>
      <c r="J6" t="n">
        <v>23140.5</v>
      </c>
    </row>
    <row r="7">
      <c r="B7" t="n">
        <v>2024</v>
      </c>
      <c r="C7" s="46" t="n">
        <v>0.08749999999999999</v>
      </c>
      <c r="G7" s="34" t="inlineStr">
        <is>
          <t>2026-09-24</t>
        </is>
      </c>
      <c r="H7" t="n">
        <v>428.25</v>
      </c>
      <c r="J7" t="n">
        <v>23063.1</v>
      </c>
    </row>
    <row r="8">
      <c r="B8" t="n">
        <v>2023</v>
      </c>
      <c r="C8" s="46" t="n">
        <v>0.1942</v>
      </c>
      <c r="G8" s="34" t="inlineStr">
        <is>
          <t>2026-09-23</t>
        </is>
      </c>
      <c r="H8" t="n">
        <v>428</v>
      </c>
      <c r="J8" t="n">
        <v>23446.8</v>
      </c>
    </row>
    <row r="9">
      <c r="B9" t="n">
        <v>2022</v>
      </c>
      <c r="C9" s="46" t="n">
        <v>0.0432</v>
      </c>
      <c r="G9" s="34" t="inlineStr">
        <is>
          <t>2026-09-22</t>
        </is>
      </c>
      <c r="H9" t="n">
        <v>427.35</v>
      </c>
      <c r="J9" t="n">
        <v>23329</v>
      </c>
    </row>
    <row r="10">
      <c r="B10" t="n">
        <v>2021</v>
      </c>
      <c r="C10" s="46" t="n">
        <v>0.2412</v>
      </c>
      <c r="G10" s="34" t="inlineStr">
        <is>
          <t>2026-09-21</t>
        </is>
      </c>
      <c r="H10" t="n">
        <v>430.05</v>
      </c>
      <c r="J10" t="n">
        <v>23414.3</v>
      </c>
    </row>
    <row r="11">
      <c r="B11" t="n">
        <v>2020</v>
      </c>
      <c r="C11" s="46" t="n">
        <v>0.149</v>
      </c>
      <c r="G11" s="34" t="inlineStr">
        <is>
          <t>2026-09-18</t>
        </is>
      </c>
      <c r="H11" t="n">
        <v>431.65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429.05</v>
      </c>
      <c r="J12" t="n">
        <v>23270.6</v>
      </c>
      <c r="N12" t="n">
        <v>1</v>
      </c>
      <c r="O12" t="inlineStr">
        <is>
          <t>The Peria Karamalai Tea</t>
        </is>
      </c>
      <c r="P12" t="n">
        <v>1001.35</v>
      </c>
      <c r="Q12" t="n">
        <v>0.3096</v>
      </c>
      <c r="R12" t="n">
        <v>310</v>
      </c>
      <c r="S12" t="n">
        <v>77.5</v>
      </c>
      <c r="T12" t="n">
        <v>15.5</v>
      </c>
      <c r="U12" t="n">
        <v>372</v>
      </c>
      <c r="V12" t="n">
        <v>66052</v>
      </c>
      <c r="W12" t="n">
        <v>30.61</v>
      </c>
      <c r="X12" t="n">
        <v>14971</v>
      </c>
    </row>
    <row r="13">
      <c r="B13" t="n">
        <v>2018</v>
      </c>
      <c r="C13" s="46" t="n">
        <v>0.0315</v>
      </c>
      <c r="G13" s="34" t="inlineStr">
        <is>
          <t>2026-09-16</t>
        </is>
      </c>
      <c r="H13" t="n">
        <v>431.2</v>
      </c>
      <c r="J13" t="n">
        <v>23217.6</v>
      </c>
      <c r="N13" t="n">
        <v>2</v>
      </c>
      <c r="O13" t="inlineStr">
        <is>
          <t>Dhunseri Tea</t>
        </is>
      </c>
      <c r="P13" t="n">
        <v>140.35</v>
      </c>
      <c r="Q13" t="n">
        <v>1.0289</v>
      </c>
      <c r="R13" t="n">
        <v>144.4</v>
      </c>
      <c r="S13" t="n">
        <v>36.1</v>
      </c>
      <c r="T13" t="n">
        <v>7.2</v>
      </c>
      <c r="U13" t="n">
        <v>173.3</v>
      </c>
      <c r="V13" t="n">
        <v>76487.98</v>
      </c>
      <c r="W13" t="n">
        <v>12.44</v>
      </c>
      <c r="X13" t="n">
        <v>20183.53</v>
      </c>
    </row>
    <row r="14">
      <c r="B14" t="n">
        <v>2017</v>
      </c>
      <c r="C14" s="46" t="n">
        <v>0.2865</v>
      </c>
      <c r="G14" s="34" t="inlineStr">
        <is>
          <t>2026-09-15</t>
        </is>
      </c>
      <c r="H14" t="n">
        <v>425.65</v>
      </c>
      <c r="J14" t="n">
        <v>23118.6</v>
      </c>
      <c r="N14" t="n">
        <v>3</v>
      </c>
      <c r="O14" t="inlineStr">
        <is>
          <t>THE UNITED NILGIRI TEA ESTATES COMPANY LTD</t>
        </is>
      </c>
      <c r="P14" t="n">
        <v>425</v>
      </c>
      <c r="Q14" t="n">
        <v>0.9005</v>
      </c>
      <c r="R14" t="n">
        <v>212</v>
      </c>
      <c r="S14" t="n">
        <v>0</v>
      </c>
      <c r="T14" t="n">
        <v>6.2</v>
      </c>
      <c r="U14" t="n">
        <v>148.2</v>
      </c>
      <c r="V14" t="n">
        <v>4400.19</v>
      </c>
      <c r="W14" t="n">
        <v>20.53</v>
      </c>
      <c r="X14" t="n">
        <v>158.3</v>
      </c>
    </row>
    <row r="15">
      <c r="B15" t="n">
        <v>2016</v>
      </c>
      <c r="C15" s="46" t="n">
        <v>0.0301</v>
      </c>
      <c r="G15" s="34" t="inlineStr">
        <is>
          <t>2026-09-11</t>
        </is>
      </c>
      <c r="H15" t="n">
        <v>432.95</v>
      </c>
      <c r="J15" t="n">
        <v>23398.1</v>
      </c>
      <c r="N15" t="n">
        <v>4</v>
      </c>
      <c r="O15" t="inlineStr">
        <is>
          <t>Bengal Tea &amp; Fab</t>
        </is>
      </c>
      <c r="P15" t="n">
        <v>137.15</v>
      </c>
      <c r="Q15" t="n">
        <v>1.5288</v>
      </c>
      <c r="R15" t="n">
        <v>123.5</v>
      </c>
      <c r="S15" t="n">
        <v>30.9</v>
      </c>
      <c r="T15" t="n">
        <v>5.4</v>
      </c>
      <c r="U15" t="n">
        <v>128.7</v>
      </c>
      <c r="V15" t="n">
        <v>2012.58</v>
      </c>
      <c r="W15" t="n">
        <v>12.74</v>
      </c>
      <c r="X15" t="n">
        <v>0.22</v>
      </c>
    </row>
    <row r="16">
      <c r="B16" t="n">
        <v>2015</v>
      </c>
      <c r="C16" s="46" t="n">
        <v>-0.0406</v>
      </c>
      <c r="G16" s="34" t="inlineStr">
        <is>
          <t>2026-09-10</t>
        </is>
      </c>
      <c r="H16" t="n">
        <v>435.8</v>
      </c>
      <c r="J16" t="n">
        <v>23477.8</v>
      </c>
      <c r="N16" t="n">
        <v>5</v>
      </c>
      <c r="O16" t="inlineStr">
        <is>
          <t>Norben Tea</t>
        </is>
      </c>
      <c r="P16" t="n">
        <v>70.12</v>
      </c>
      <c r="Q16" t="n">
        <v>0.1163</v>
      </c>
      <c r="R16" t="n">
        <v>107.2</v>
      </c>
      <c r="S16" t="n">
        <v>26.8</v>
      </c>
      <c r="T16" t="n">
        <v>5.2</v>
      </c>
      <c r="U16" t="n">
        <v>124.7</v>
      </c>
      <c r="V16" t="n">
        <v>238.77</v>
      </c>
      <c r="W16" t="n">
        <v>13.43</v>
      </c>
      <c r="X16" t="n">
        <v>8.51</v>
      </c>
    </row>
    <row r="17">
      <c r="B17" t="n">
        <v>2014</v>
      </c>
      <c r="C17" s="46" t="n">
        <v>0.3139</v>
      </c>
      <c r="G17" s="34" t="inlineStr">
        <is>
          <t>2026-09-09</t>
        </is>
      </c>
      <c r="H17" t="n">
        <v>439.9</v>
      </c>
      <c r="J17" t="n">
        <v>23431.5</v>
      </c>
      <c r="N17" t="n">
        <v>6</v>
      </c>
      <c r="O17" t="inlineStr">
        <is>
          <t>James Warren Tea</t>
        </is>
      </c>
      <c r="P17" t="n">
        <v>255.8</v>
      </c>
      <c r="Q17" t="n">
        <v>0.3702</v>
      </c>
      <c r="R17" t="n">
        <v>94.7</v>
      </c>
      <c r="S17" t="n">
        <v>23.7</v>
      </c>
      <c r="T17" t="n">
        <v>4.7</v>
      </c>
      <c r="U17" t="n">
        <v>113.6</v>
      </c>
    </row>
    <row r="18">
      <c r="B18" t="n">
        <v>2013</v>
      </c>
      <c r="C18" s="46" t="n">
        <v>0.06759999999999999</v>
      </c>
      <c r="G18" s="34" t="inlineStr">
        <is>
          <t>2026-09-08</t>
        </is>
      </c>
      <c r="H18" t="n">
        <v>441.85</v>
      </c>
      <c r="J18" t="n">
        <v>23635.1</v>
      </c>
      <c r="N18" t="n">
        <v>7</v>
      </c>
      <c r="O18" t="inlineStr">
        <is>
          <t>Terai Tea Co</t>
        </is>
      </c>
      <c r="P18" t="n">
        <v>117.86</v>
      </c>
      <c r="Q18" t="n">
        <v>0.6677</v>
      </c>
      <c r="R18" t="n">
        <v>78.7</v>
      </c>
      <c r="S18" t="n">
        <v>19.7</v>
      </c>
      <c r="T18" t="n">
        <v>3.9</v>
      </c>
      <c r="U18" t="n">
        <v>94.40000000000001</v>
      </c>
    </row>
    <row r="19">
      <c r="B19" t="n">
        <v>2012</v>
      </c>
      <c r="C19" s="46" t="n">
        <v>0.277</v>
      </c>
      <c r="G19" s="34" t="inlineStr">
        <is>
          <t>2026-09-07</t>
        </is>
      </c>
      <c r="H19" t="n">
        <v>441.95</v>
      </c>
      <c r="J19" t="n">
        <v>23779.15</v>
      </c>
      <c r="N19" t="n">
        <v>8</v>
      </c>
      <c r="O19" t="inlineStr">
        <is>
          <t>Jay Shree Tea</t>
        </is>
      </c>
      <c r="P19" t="n">
        <v>89.37</v>
      </c>
      <c r="Q19" t="n">
        <v>2.8858</v>
      </c>
      <c r="R19" t="n">
        <v>257.9</v>
      </c>
      <c r="S19" t="n">
        <v>64.5</v>
      </c>
      <c r="T19" t="n">
        <v>12.9</v>
      </c>
      <c r="U19" t="n">
        <v>309.5</v>
      </c>
    </row>
    <row r="20">
      <c r="B20" t="n">
        <v>2011</v>
      </c>
      <c r="C20" s="46" t="n">
        <v>-0.2462</v>
      </c>
      <c r="G20" s="34" t="inlineStr">
        <is>
          <t>2026-09-04</t>
        </is>
      </c>
      <c r="H20" t="n">
        <v>442.8</v>
      </c>
      <c r="J20" t="n">
        <v>23897.7</v>
      </c>
    </row>
    <row r="21">
      <c r="B21" t="n">
        <v>2010</v>
      </c>
      <c r="C21" s="46" t="n">
        <v>0.1795</v>
      </c>
      <c r="G21" s="34" t="inlineStr">
        <is>
          <t>2026-09-03</t>
        </is>
      </c>
      <c r="H21" t="n">
        <v>447.05</v>
      </c>
      <c r="J21" t="n">
        <v>23873.45</v>
      </c>
    </row>
    <row r="22">
      <c r="B22" t="n">
        <v>2009</v>
      </c>
      <c r="C22" s="46" t="n">
        <v>0.7576000000000001</v>
      </c>
      <c r="G22" s="34" t="inlineStr">
        <is>
          <t>2026-09-02</t>
        </is>
      </c>
      <c r="H22" t="n">
        <v>442.95</v>
      </c>
      <c r="J22" t="n">
        <v>23914.45</v>
      </c>
    </row>
    <row r="23">
      <c r="B23" t="n">
        <v>2008</v>
      </c>
      <c r="C23" s="46" t="n">
        <v>-0.5179</v>
      </c>
      <c r="G23" s="34" t="inlineStr">
        <is>
          <t>2026-09-01</t>
        </is>
      </c>
      <c r="H23" t="n">
        <v>447.5</v>
      </c>
      <c r="J23" t="n">
        <v>24055.8</v>
      </c>
    </row>
    <row r="24">
      <c r="B24" t="n">
        <v>2007</v>
      </c>
      <c r="C24" s="46" t="n">
        <v>0.5477</v>
      </c>
      <c r="G24" s="34" t="inlineStr">
        <is>
          <t>2026-08-31</t>
        </is>
      </c>
      <c r="H24" t="n">
        <v>452.25</v>
      </c>
      <c r="J24" t="n">
        <v>24080.4</v>
      </c>
      <c r="O24" t="inlineStr">
        <is>
          <t>The Peria Karamalai Tea</t>
        </is>
      </c>
      <c r="Q24" t="inlineStr">
        <is>
          <t>India</t>
        </is>
      </c>
      <c r="R24" t="n">
        <v>77.5</v>
      </c>
      <c r="S24" t="n">
        <v>310</v>
      </c>
      <c r="T24" s="46" t="n">
        <v>0.3</v>
      </c>
    </row>
    <row r="25">
      <c r="B25" t="n">
        <v>2006</v>
      </c>
      <c r="C25" s="46" t="n">
        <v>0.3983</v>
      </c>
      <c r="G25" s="34" t="inlineStr">
        <is>
          <t>2026-08-28</t>
        </is>
      </c>
      <c r="H25" t="n">
        <v>454</v>
      </c>
      <c r="J25" t="n">
        <v>24175.65</v>
      </c>
      <c r="O25" t="inlineStr">
        <is>
          <t>Dhunseri Tea</t>
        </is>
      </c>
      <c r="Q25">
        <f>Q24</f>
        <v/>
      </c>
      <c r="R25" t="n">
        <v>36.1</v>
      </c>
      <c r="S25" t="n">
        <v>144.4</v>
      </c>
      <c r="T25" s="46">
        <f>T24</f>
        <v/>
      </c>
    </row>
    <row r="26">
      <c r="B26" t="n">
        <v>2005</v>
      </c>
      <c r="C26" s="46" t="n">
        <v>0.3634</v>
      </c>
      <c r="G26" s="34" t="inlineStr">
        <is>
          <t>2026-08-27</t>
        </is>
      </c>
      <c r="H26" t="n">
        <v>454.9</v>
      </c>
      <c r="J26" t="n">
        <v>24090.85</v>
      </c>
      <c r="O26" t="inlineStr">
        <is>
          <t>THE UNITED NILGIRI TEA ESTATES COMPANY LTD</t>
        </is>
      </c>
      <c r="Q26">
        <f>Q25</f>
        <v/>
      </c>
      <c r="R26" t="n">
        <v>0</v>
      </c>
      <c r="S26" t="n">
        <v>212</v>
      </c>
      <c r="T26" s="46">
        <f>T25</f>
        <v/>
      </c>
    </row>
    <row r="27">
      <c r="B27" t="n">
        <v>2004</v>
      </c>
      <c r="C27" s="46" t="n">
        <v>0.1068</v>
      </c>
      <c r="G27" s="34" t="inlineStr">
        <is>
          <t>2026-08-26</t>
        </is>
      </c>
      <c r="H27" t="n">
        <v>460.15</v>
      </c>
      <c r="J27" t="n">
        <v>24207.75</v>
      </c>
      <c r="O27" t="inlineStr">
        <is>
          <t>Bengal Tea &amp; Fab</t>
        </is>
      </c>
      <c r="Q27">
        <f>Q26</f>
        <v/>
      </c>
      <c r="R27" t="n">
        <v>30.9</v>
      </c>
      <c r="S27" t="n">
        <v>123.5</v>
      </c>
      <c r="T27" s="46">
        <f>T26</f>
        <v/>
      </c>
    </row>
    <row r="28">
      <c r="B28" t="n">
        <v>2003</v>
      </c>
      <c r="C28" s="46" t="n">
        <v>0.719</v>
      </c>
      <c r="G28" s="34" t="inlineStr">
        <is>
          <t>2026-08-25</t>
        </is>
      </c>
      <c r="H28" t="n">
        <v>452.9</v>
      </c>
      <c r="J28" t="n">
        <v>24334.55</v>
      </c>
      <c r="O28" t="inlineStr">
        <is>
          <t>Norben Tea</t>
        </is>
      </c>
      <c r="Q28">
        <f>Q27</f>
        <v/>
      </c>
      <c r="R28" t="n">
        <v>26.8</v>
      </c>
      <c r="S28" t="n">
        <v>107.2</v>
      </c>
      <c r="T28" s="46">
        <f>T27</f>
        <v/>
      </c>
    </row>
    <row r="29">
      <c r="B29" t="n">
        <v>2002</v>
      </c>
      <c r="C29" s="46" t="n">
        <v>0.0325</v>
      </c>
      <c r="G29" s="34" t="inlineStr">
        <is>
          <t>2026-08-24</t>
        </is>
      </c>
      <c r="H29" t="n">
        <v>450.5</v>
      </c>
      <c r="J29" t="n">
        <v>24219.05</v>
      </c>
    </row>
    <row r="30">
      <c r="G30" s="34" t="inlineStr">
        <is>
          <t>2026-08-21</t>
        </is>
      </c>
      <c r="H30" t="n">
        <v>453.95</v>
      </c>
      <c r="J30" t="n">
        <v>24252</v>
      </c>
    </row>
    <row r="31">
      <c r="G31" s="34" t="inlineStr">
        <is>
          <t>2026-08-20</t>
        </is>
      </c>
      <c r="H31" t="n">
        <v>452.9</v>
      </c>
      <c r="J31" t="n">
        <v>24231.85</v>
      </c>
    </row>
    <row r="32">
      <c r="G32" s="34" t="inlineStr">
        <is>
          <t>2026-08-19</t>
        </is>
      </c>
      <c r="H32" t="n">
        <v>451.65</v>
      </c>
      <c r="J32" t="n">
        <v>24078.3</v>
      </c>
    </row>
    <row r="33">
      <c r="G33" s="34" t="inlineStr">
        <is>
          <t>2026-08-18</t>
        </is>
      </c>
      <c r="H33" t="n">
        <v>452.05</v>
      </c>
      <c r="J33" t="n">
        <v>24154.9</v>
      </c>
    </row>
    <row r="34">
      <c r="G34" s="34" t="inlineStr">
        <is>
          <t>2026-08-17</t>
        </is>
      </c>
      <c r="H34" t="n">
        <v>455.65</v>
      </c>
      <c r="J34" t="n">
        <v>24287.65</v>
      </c>
    </row>
    <row r="35">
      <c r="G35" s="34" t="inlineStr">
        <is>
          <t>2026-08-14</t>
        </is>
      </c>
      <c r="H35" t="n">
        <v>458.3</v>
      </c>
      <c r="J35" t="n">
        <v>24366</v>
      </c>
    </row>
    <row r="36">
      <c r="G36" s="34" t="inlineStr">
        <is>
          <t>2026-08-13</t>
        </is>
      </c>
      <c r="H36" t="n">
        <v>459.65</v>
      </c>
      <c r="J36" t="n">
        <v>24395.85</v>
      </c>
    </row>
    <row r="37">
      <c r="G37" s="34" t="inlineStr">
        <is>
          <t>2026-08-12</t>
        </is>
      </c>
      <c r="H37" t="n">
        <v>461.5</v>
      </c>
      <c r="J37" t="n">
        <v>24435.95</v>
      </c>
    </row>
    <row r="38">
      <c r="G38" s="34" t="inlineStr">
        <is>
          <t>2026-08-11</t>
        </is>
      </c>
      <c r="H38" t="n">
        <v>464.8</v>
      </c>
      <c r="J38" t="n">
        <v>24471.7</v>
      </c>
    </row>
    <row r="39">
      <c r="G39" s="34" t="inlineStr">
        <is>
          <t>2026-08-10</t>
        </is>
      </c>
      <c r="H39" t="n">
        <v>469.75</v>
      </c>
      <c r="J39" t="n">
        <v>24583.8</v>
      </c>
    </row>
    <row r="40">
      <c r="G40" s="34" t="inlineStr">
        <is>
          <t>2026-08-07</t>
        </is>
      </c>
      <c r="H40" t="n">
        <v>468</v>
      </c>
      <c r="J40" t="n">
        <v>24570.65</v>
      </c>
    </row>
    <row r="41">
      <c r="G41" s="34" t="inlineStr">
        <is>
          <t>2026-08-06</t>
        </is>
      </c>
      <c r="H41" t="n">
        <v>483.3</v>
      </c>
      <c r="J41" t="n">
        <v>24636</v>
      </c>
    </row>
    <row r="42">
      <c r="G42" s="34" t="inlineStr">
        <is>
          <t>2026-08-05</t>
        </is>
      </c>
      <c r="H42" t="n">
        <v>481.15</v>
      </c>
      <c r="J42" t="n">
        <v>24624.65</v>
      </c>
    </row>
    <row r="43">
      <c r="G43" s="34" t="inlineStr">
        <is>
          <t>2026-08-04</t>
        </is>
      </c>
      <c r="H43" t="n">
        <v>471.4</v>
      </c>
      <c r="J43" t="n">
        <v>24614.9</v>
      </c>
    </row>
    <row r="44">
      <c r="G44" s="34" t="inlineStr">
        <is>
          <t>2026-08-03</t>
        </is>
      </c>
      <c r="H44" t="n">
        <v>472.8</v>
      </c>
      <c r="J44" t="n">
        <v>24774.3</v>
      </c>
    </row>
    <row r="45">
      <c r="G45" s="34" t="inlineStr">
        <is>
          <t>2026-07-31</t>
        </is>
      </c>
      <c r="H45" t="n">
        <v>480.95</v>
      </c>
      <c r="J45" t="n">
        <v>24383.6</v>
      </c>
    </row>
    <row r="46">
      <c r="G46" s="34" t="inlineStr">
        <is>
          <t>2026-07-30</t>
        </is>
      </c>
      <c r="H46" t="n">
        <v>471.4</v>
      </c>
      <c r="J46" t="n">
        <v>24317.15</v>
      </c>
    </row>
    <row r="47">
      <c r="G47" s="34" t="inlineStr">
        <is>
          <t>2026-07-29</t>
        </is>
      </c>
      <c r="H47" t="n">
        <v>472.45</v>
      </c>
      <c r="J47" t="n">
        <v>24250.2</v>
      </c>
    </row>
    <row r="48">
      <c r="G48" s="34" t="inlineStr">
        <is>
          <t>2026-07-28</t>
        </is>
      </c>
      <c r="H48" t="n">
        <v>472.9</v>
      </c>
      <c r="J48" t="n">
        <v>23985.35</v>
      </c>
    </row>
    <row r="49">
      <c r="G49" s="34" t="inlineStr">
        <is>
          <t>2026-07-27</t>
        </is>
      </c>
      <c r="H49" t="n">
        <v>472.95</v>
      </c>
      <c r="J49" t="n">
        <v>23995.95</v>
      </c>
    </row>
    <row r="50">
      <c r="G50" s="34" t="inlineStr">
        <is>
          <t>2026-07-24</t>
        </is>
      </c>
      <c r="H50" t="n">
        <v>469.8</v>
      </c>
      <c r="J50" t="n">
        <v>23767.45</v>
      </c>
    </row>
    <row r="51">
      <c r="G51" s="34" t="inlineStr">
        <is>
          <t>2026-07-23</t>
        </is>
      </c>
      <c r="H51" t="n">
        <v>483.3</v>
      </c>
      <c r="J51" t="n">
        <v>23869.6</v>
      </c>
    </row>
    <row r="52">
      <c r="G52" s="34" t="inlineStr">
        <is>
          <t>2026-07-22</t>
        </is>
      </c>
      <c r="H52" t="n">
        <v>473.55</v>
      </c>
      <c r="J52" t="n">
        <v>23996.25</v>
      </c>
    </row>
    <row r="53">
      <c r="G53" s="34" t="inlineStr">
        <is>
          <t>2026-07-21</t>
        </is>
      </c>
      <c r="H53" t="n">
        <v>467.25</v>
      </c>
      <c r="J53" t="n">
        <v>24187.7</v>
      </c>
    </row>
    <row r="54">
      <c r="G54" s="34" t="inlineStr">
        <is>
          <t>2026-07-20</t>
        </is>
      </c>
      <c r="H54" t="n">
        <v>462.75</v>
      </c>
      <c r="J54" t="n">
        <v>24238.5</v>
      </c>
    </row>
    <row r="55">
      <c r="G55" s="34" t="inlineStr">
        <is>
          <t>2026-07-17</t>
        </is>
      </c>
      <c r="H55" t="n">
        <v>462</v>
      </c>
      <c r="J55" t="n">
        <v>24334.3</v>
      </c>
    </row>
    <row r="56">
      <c r="G56" s="34" t="inlineStr">
        <is>
          <t>2026-07-16</t>
        </is>
      </c>
      <c r="H56" t="n">
        <v>468.25</v>
      </c>
      <c r="J56" t="n">
        <v>24072.75</v>
      </c>
    </row>
    <row r="57">
      <c r="G57" s="34" t="inlineStr">
        <is>
          <t>2026-07-15</t>
        </is>
      </c>
      <c r="H57" t="n">
        <v>469.35</v>
      </c>
      <c r="J57" t="n">
        <v>24078.5</v>
      </c>
    </row>
    <row r="58">
      <c r="G58" s="34" t="inlineStr">
        <is>
          <t>2026-07-14</t>
        </is>
      </c>
      <c r="H58" t="n">
        <v>467.4</v>
      </c>
      <c r="J58" t="n">
        <v>24052.05</v>
      </c>
    </row>
    <row r="59">
      <c r="G59" s="34" t="inlineStr">
        <is>
          <t>2026-07-13</t>
        </is>
      </c>
      <c r="H59" t="n">
        <v>469</v>
      </c>
      <c r="J59" t="n">
        <v>24211</v>
      </c>
    </row>
    <row r="60">
      <c r="G60" s="34" t="inlineStr">
        <is>
          <t>2026-07-10</t>
        </is>
      </c>
      <c r="H60" t="n">
        <v>475.1</v>
      </c>
      <c r="J60" t="n">
        <v>24206.9</v>
      </c>
    </row>
    <row r="61">
      <c r="G61" s="34" t="inlineStr">
        <is>
          <t>2026-07-09</t>
        </is>
      </c>
      <c r="H61" t="n">
        <v>478.05</v>
      </c>
      <c r="J61" t="n">
        <v>23962.8</v>
      </c>
    </row>
    <row r="62">
      <c r="G62" s="34" t="inlineStr">
        <is>
          <t>2026-07-08</t>
        </is>
      </c>
      <c r="H62" t="n">
        <v>471.25</v>
      </c>
      <c r="J62" t="n">
        <v>23882.05</v>
      </c>
    </row>
    <row r="63">
      <c r="G63" s="34" t="inlineStr">
        <is>
          <t>2026-07-07</t>
        </is>
      </c>
      <c r="H63" t="n">
        <v>486.5</v>
      </c>
      <c r="J63" t="n">
        <v>24398.7</v>
      </c>
    </row>
    <row r="64">
      <c r="G64" s="34" t="inlineStr">
        <is>
          <t>2026-07-06</t>
        </is>
      </c>
      <c r="H64" t="n">
        <v>481.2</v>
      </c>
      <c r="J64" t="n">
        <v>24430.35</v>
      </c>
    </row>
    <row r="65">
      <c r="G65" s="34" t="inlineStr">
        <is>
          <t>2026-07-03</t>
        </is>
      </c>
      <c r="H65" t="n">
        <v>485.4</v>
      </c>
      <c r="J65" t="n">
        <v>24270.85</v>
      </c>
    </row>
    <row r="66">
      <c r="G66" s="34" t="inlineStr">
        <is>
          <t>2026-07-02</t>
        </is>
      </c>
      <c r="H66" t="n">
        <v>483.75</v>
      </c>
      <c r="J66" t="n">
        <v>24175.7</v>
      </c>
    </row>
    <row r="67">
      <c r="G67" s="34" t="inlineStr">
        <is>
          <t>2026-07-01</t>
        </is>
      </c>
      <c r="H67" t="n">
        <v>476.45</v>
      </c>
      <c r="J67" t="n">
        <v>24005.85</v>
      </c>
    </row>
    <row r="68">
      <c r="G68" s="34" t="inlineStr">
        <is>
          <t>2026-06-30</t>
        </is>
      </c>
      <c r="H68" t="n">
        <v>472</v>
      </c>
      <c r="J68" t="n">
        <v>23865.75</v>
      </c>
    </row>
    <row r="69">
      <c r="G69" s="34" t="inlineStr">
        <is>
          <t>2026-06-29</t>
        </is>
      </c>
      <c r="H69" t="n">
        <v>471.65</v>
      </c>
      <c r="J69" t="n">
        <v>23946.25</v>
      </c>
    </row>
    <row r="70">
      <c r="G70" s="34" t="inlineStr">
        <is>
          <t>2026-06-25</t>
        </is>
      </c>
      <c r="H70" t="n">
        <v>477.85</v>
      </c>
      <c r="J70" t="n">
        <v>24056</v>
      </c>
    </row>
    <row r="71">
      <c r="G71" s="34" t="inlineStr">
        <is>
          <t>2026-06-24</t>
        </is>
      </c>
      <c r="H71" t="n">
        <v>489.7</v>
      </c>
      <c r="J71" t="n">
        <v>24021.65</v>
      </c>
    </row>
    <row r="72">
      <c r="G72" s="34" t="inlineStr">
        <is>
          <t>2026-06-23</t>
        </is>
      </c>
      <c r="H72" t="n">
        <v>484.9</v>
      </c>
      <c r="J72" t="n">
        <v>23824.1</v>
      </c>
    </row>
    <row r="73">
      <c r="G73" s="34" t="inlineStr">
        <is>
          <t>2026-06-22</t>
        </is>
      </c>
      <c r="H73" t="n">
        <v>487.7</v>
      </c>
      <c r="J73" t="n">
        <v>24102.9</v>
      </c>
    </row>
    <row r="74">
      <c r="G74" s="34" t="inlineStr">
        <is>
          <t>2026-06-19</t>
        </is>
      </c>
      <c r="H74" t="n">
        <v>492.85</v>
      </c>
      <c r="J74" t="n">
        <v>24013.1</v>
      </c>
    </row>
    <row r="75">
      <c r="G75" s="34" t="inlineStr">
        <is>
          <t>2026-06-18</t>
        </is>
      </c>
      <c r="H75" t="n">
        <v>490.15</v>
      </c>
      <c r="J75" t="n">
        <v>24168</v>
      </c>
    </row>
    <row r="76">
      <c r="G76" s="34" t="inlineStr">
        <is>
          <t>2026-06-17</t>
        </is>
      </c>
      <c r="H76" t="n">
        <v>494.6</v>
      </c>
      <c r="J76" t="n">
        <v>24085.7</v>
      </c>
    </row>
    <row r="77">
      <c r="G77" s="34" t="inlineStr">
        <is>
          <t>2026-06-16</t>
        </is>
      </c>
      <c r="H77" t="n">
        <v>501.35</v>
      </c>
      <c r="J77" t="n">
        <v>23989.15</v>
      </c>
    </row>
    <row r="78">
      <c r="G78" s="34" t="inlineStr">
        <is>
          <t>2026-06-15</t>
        </is>
      </c>
      <c r="H78" t="n">
        <v>502.25</v>
      </c>
      <c r="J78" t="n">
        <v>23853.9</v>
      </c>
    </row>
    <row r="79">
      <c r="G79" s="34" t="inlineStr">
        <is>
          <t>2026-06-12</t>
        </is>
      </c>
      <c r="H79" t="n">
        <v>507.55</v>
      </c>
      <c r="J79" t="n">
        <v>23622.9</v>
      </c>
    </row>
    <row r="80">
      <c r="G80" s="34" t="inlineStr">
        <is>
          <t>2026-06-11</t>
        </is>
      </c>
      <c r="H80" t="n">
        <v>510.2</v>
      </c>
      <c r="J80" t="n">
        <v>23161.6</v>
      </c>
    </row>
    <row r="81">
      <c r="G81" s="34" t="inlineStr">
        <is>
          <t>2026-06-10</t>
        </is>
      </c>
      <c r="H81" t="n">
        <v>507.35</v>
      </c>
      <c r="J81" t="n">
        <v>23214.95</v>
      </c>
    </row>
    <row r="82">
      <c r="G82" s="34" t="inlineStr">
        <is>
          <t>2026-06-09</t>
        </is>
      </c>
      <c r="H82" t="n">
        <v>514.85</v>
      </c>
      <c r="J82" t="n">
        <v>23242.1</v>
      </c>
    </row>
    <row r="83">
      <c r="G83" s="34" t="inlineStr">
        <is>
          <t>2026-06-08</t>
        </is>
      </c>
      <c r="H83" t="n">
        <v>508.3</v>
      </c>
      <c r="J83" t="n">
        <v>23123</v>
      </c>
    </row>
    <row r="84">
      <c r="G84" s="34" t="inlineStr">
        <is>
          <t>2026-06-05</t>
        </is>
      </c>
      <c r="H84" t="n">
        <v>515.2</v>
      </c>
      <c r="J84" t="n">
        <v>23366.7</v>
      </c>
    </row>
    <row r="85">
      <c r="G85" s="34" t="inlineStr">
        <is>
          <t>2026-06-04</t>
        </is>
      </c>
      <c r="H85" t="n">
        <v>514.95</v>
      </c>
      <c r="J85" t="n">
        <v>23416.55</v>
      </c>
    </row>
    <row r="86">
      <c r="G86" s="34" t="inlineStr">
        <is>
          <t>2026-06-03</t>
        </is>
      </c>
      <c r="H86" t="n">
        <v>524.15</v>
      </c>
      <c r="J86" t="n">
        <v>23405.6</v>
      </c>
    </row>
    <row r="87">
      <c r="G87" s="34" t="inlineStr">
        <is>
          <t>2026-06-02</t>
        </is>
      </c>
      <c r="H87" t="n">
        <v>528.9</v>
      </c>
      <c r="J87" t="n">
        <v>23483.55</v>
      </c>
    </row>
    <row r="88">
      <c r="G88" s="34" t="inlineStr">
        <is>
          <t>2026-06-01</t>
        </is>
      </c>
      <c r="H88" t="n">
        <v>510.1</v>
      </c>
      <c r="J88" t="n">
        <v>23382.6</v>
      </c>
    </row>
    <row r="89">
      <c r="G89" s="34" t="inlineStr">
        <is>
          <t>2026-05-29</t>
        </is>
      </c>
      <c r="H89" t="n">
        <v>513.75</v>
      </c>
      <c r="J89" t="n">
        <v>23547.75</v>
      </c>
    </row>
    <row r="90">
      <c r="G90" s="34" t="inlineStr">
        <is>
          <t>2026-05-27</t>
        </is>
      </c>
      <c r="H90" t="n">
        <v>513.45</v>
      </c>
      <c r="J90" t="n">
        <v>23907.15</v>
      </c>
    </row>
    <row r="91">
      <c r="G91" s="34" t="inlineStr">
        <is>
          <t>2026-05-26</t>
        </is>
      </c>
      <c r="H91" t="n">
        <v>519.35</v>
      </c>
      <c r="J91" t="n">
        <v>23913.7</v>
      </c>
    </row>
    <row r="92">
      <c r="G92" s="34" t="inlineStr">
        <is>
          <t>2026-05-25</t>
        </is>
      </c>
      <c r="H92" t="n">
        <v>516.35</v>
      </c>
      <c r="J92" t="n">
        <v>24031.7</v>
      </c>
    </row>
    <row r="93">
      <c r="G93" s="34" t="inlineStr">
        <is>
          <t>2026-05-22</t>
        </is>
      </c>
      <c r="H93" t="n">
        <v>524.2</v>
      </c>
      <c r="J93" t="n">
        <v>23719.3</v>
      </c>
    </row>
    <row r="94">
      <c r="G94" s="34" t="inlineStr">
        <is>
          <t>2026-05-21</t>
        </is>
      </c>
      <c r="H94" t="n">
        <v>528</v>
      </c>
      <c r="J94" t="n">
        <v>23654.7</v>
      </c>
    </row>
    <row r="95">
      <c r="G95" s="34" t="inlineStr">
        <is>
          <t>2026-05-20</t>
        </is>
      </c>
      <c r="H95" t="n">
        <v>535.25</v>
      </c>
      <c r="J95" t="n">
        <v>23659</v>
      </c>
    </row>
    <row r="96">
      <c r="G96" s="34" t="inlineStr">
        <is>
          <t>2026-05-19</t>
        </is>
      </c>
      <c r="H96" t="n">
        <v>539.2</v>
      </c>
      <c r="J96" t="n">
        <v>23618</v>
      </c>
    </row>
    <row r="97">
      <c r="G97" s="34" t="inlineStr">
        <is>
          <t>2026-05-18</t>
        </is>
      </c>
      <c r="H97" t="n">
        <v>534.3</v>
      </c>
      <c r="J97" t="n">
        <v>23649.95</v>
      </c>
    </row>
    <row r="98">
      <c r="G98" s="34" t="inlineStr">
        <is>
          <t>2026-05-15</t>
        </is>
      </c>
      <c r="H98" t="n">
        <v>536.15</v>
      </c>
      <c r="J98" t="n">
        <v>23643.5</v>
      </c>
    </row>
    <row r="99">
      <c r="G99" s="34" t="inlineStr">
        <is>
          <t>2026-05-14</t>
        </is>
      </c>
      <c r="H99" t="n">
        <v>535.5</v>
      </c>
      <c r="J99" t="n">
        <v>23689.6</v>
      </c>
    </row>
    <row r="100">
      <c r="G100" s="34" t="inlineStr">
        <is>
          <t>2026-05-13</t>
        </is>
      </c>
      <c r="H100" t="n">
        <v>526.95</v>
      </c>
      <c r="J100" t="n">
        <v>23412.6</v>
      </c>
    </row>
    <row r="101">
      <c r="G101" s="34" t="inlineStr">
        <is>
          <t>2026-05-12</t>
        </is>
      </c>
      <c r="H101" t="n">
        <v>526.05</v>
      </c>
      <c r="J101" t="n">
        <v>23379.55</v>
      </c>
    </row>
    <row r="102">
      <c r="G102" s="34" t="inlineStr">
        <is>
          <t>2026-05-11</t>
        </is>
      </c>
      <c r="H102" t="n">
        <v>548.9</v>
      </c>
      <c r="J102" t="n">
        <v>23815.85</v>
      </c>
    </row>
    <row r="103">
      <c r="G103" s="34" t="inlineStr">
        <is>
          <t>2026-05-08</t>
        </is>
      </c>
      <c r="H103" t="n">
        <v>545.65</v>
      </c>
      <c r="J103" t="n">
        <v>24176.15</v>
      </c>
    </row>
    <row r="104">
      <c r="G104" s="34" t="inlineStr">
        <is>
          <t>2026-05-07</t>
        </is>
      </c>
      <c r="H104" t="n">
        <v>547.95</v>
      </c>
      <c r="J104" t="n">
        <v>24326.65</v>
      </c>
    </row>
    <row r="105">
      <c r="G105" s="34" t="inlineStr">
        <is>
          <t>2026-05-06</t>
        </is>
      </c>
      <c r="H105" t="n">
        <v>554.9</v>
      </c>
      <c r="J105" t="n">
        <v>24330.95</v>
      </c>
    </row>
    <row r="106">
      <c r="G106" s="34" t="inlineStr">
        <is>
          <t>2026-05-05</t>
        </is>
      </c>
      <c r="H106" t="n">
        <v>546.1</v>
      </c>
      <c r="J106" t="n">
        <v>24032.8</v>
      </c>
    </row>
    <row r="107">
      <c r="G107" s="34" t="inlineStr">
        <is>
          <t>2026-05-04</t>
        </is>
      </c>
      <c r="H107" t="n">
        <v>540.1</v>
      </c>
      <c r="J107" t="n">
        <v>24119.3</v>
      </c>
    </row>
    <row r="108">
      <c r="G108" s="34" t="inlineStr">
        <is>
          <t>2026-04-30</t>
        </is>
      </c>
      <c r="H108" t="n">
        <v>536.15</v>
      </c>
      <c r="J108" t="n">
        <v>23997.55</v>
      </c>
    </row>
    <row r="109">
      <c r="G109" s="34" t="inlineStr">
        <is>
          <t>2026-04-29</t>
        </is>
      </c>
      <c r="H109" t="n">
        <v>538.7</v>
      </c>
      <c r="J109" t="n">
        <v>24177.65</v>
      </c>
    </row>
    <row r="110">
      <c r="G110" s="34" t="inlineStr">
        <is>
          <t>2026-04-28</t>
        </is>
      </c>
      <c r="H110" t="n">
        <v>540.35</v>
      </c>
      <c r="J110" t="n">
        <v>23995.7</v>
      </c>
    </row>
    <row r="111">
      <c r="G111" s="34" t="inlineStr">
        <is>
          <t>2026-04-27</t>
        </is>
      </c>
      <c r="H111" t="n">
        <v>539.9</v>
      </c>
      <c r="J111" t="n">
        <v>24092.7</v>
      </c>
    </row>
    <row r="112">
      <c r="G112" s="34" t="inlineStr">
        <is>
          <t>2026-04-24</t>
        </is>
      </c>
      <c r="H112" t="n">
        <v>540.95</v>
      </c>
      <c r="J112" t="n">
        <v>23897.95</v>
      </c>
    </row>
    <row r="113">
      <c r="G113" s="34" t="inlineStr">
        <is>
          <t>2026-04-23</t>
        </is>
      </c>
      <c r="H113" t="n">
        <v>543.1</v>
      </c>
      <c r="J113" t="n">
        <v>24173.05</v>
      </c>
    </row>
    <row r="114">
      <c r="G114" s="34" t="inlineStr">
        <is>
          <t>2026-04-22</t>
        </is>
      </c>
      <c r="H114" t="n">
        <v>536.3</v>
      </c>
      <c r="J114" t="n">
        <v>24378.1</v>
      </c>
    </row>
    <row r="115">
      <c r="G115" s="34" t="inlineStr">
        <is>
          <t>2026-04-21</t>
        </is>
      </c>
      <c r="H115" t="n">
        <v>547.35</v>
      </c>
      <c r="J115" t="n">
        <v>24576.6</v>
      </c>
    </row>
    <row r="116">
      <c r="G116" s="34" t="inlineStr">
        <is>
          <t>2026-04-20</t>
        </is>
      </c>
      <c r="H116" t="n">
        <v>543.9</v>
      </c>
      <c r="J116" t="n">
        <v>24364.85</v>
      </c>
    </row>
    <row r="117">
      <c r="G117" s="34" t="inlineStr">
        <is>
          <t>2026-04-17</t>
        </is>
      </c>
      <c r="H117" t="n">
        <v>551.95</v>
      </c>
      <c r="J117" t="n">
        <v>24353.55</v>
      </c>
    </row>
    <row r="118">
      <c r="G118" s="34" t="inlineStr">
        <is>
          <t>2026-04-16</t>
        </is>
      </c>
      <c r="H118" t="n">
        <v>565.95</v>
      </c>
      <c r="J118" t="n">
        <v>24196.75</v>
      </c>
    </row>
    <row r="119">
      <c r="G119" s="34" t="inlineStr">
        <is>
          <t>2026-04-15</t>
        </is>
      </c>
      <c r="H119" t="n">
        <v>562.95</v>
      </c>
      <c r="J119" t="n">
        <v>24231.3</v>
      </c>
    </row>
    <row r="120">
      <c r="G120" s="34" t="inlineStr">
        <is>
          <t>2026-04-13</t>
        </is>
      </c>
      <c r="H120" t="n">
        <v>549.8</v>
      </c>
      <c r="J120" t="n">
        <v>23842.65</v>
      </c>
    </row>
    <row r="121">
      <c r="G121" s="34" t="inlineStr">
        <is>
          <t>2026-04-10</t>
        </is>
      </c>
      <c r="H121" t="n">
        <v>549.15</v>
      </c>
      <c r="J121" t="n">
        <v>24050.6</v>
      </c>
    </row>
    <row r="122">
      <c r="G122" s="34" t="inlineStr">
        <is>
          <t>2026-04-09</t>
        </is>
      </c>
      <c r="H122" t="n">
        <v>510.15</v>
      </c>
      <c r="J122" t="n">
        <v>23775.1</v>
      </c>
    </row>
    <row r="123">
      <c r="G123" s="34" t="inlineStr">
        <is>
          <t>2026-04-08</t>
        </is>
      </c>
      <c r="H123" t="n">
        <v>520</v>
      </c>
      <c r="J123" t="n">
        <v>23997.35</v>
      </c>
    </row>
    <row r="124">
      <c r="G124" s="34" t="inlineStr">
        <is>
          <t>2026-04-07</t>
        </is>
      </c>
      <c r="H124" t="n">
        <v>511.75</v>
      </c>
      <c r="J124" t="n">
        <v>23123.65</v>
      </c>
    </row>
    <row r="125">
      <c r="G125" s="34" t="inlineStr">
        <is>
          <t>2026-04-06</t>
        </is>
      </c>
      <c r="H125" t="n">
        <v>512.2</v>
      </c>
      <c r="J125" t="n">
        <v>22968.25</v>
      </c>
    </row>
    <row r="126">
      <c r="G126" s="34" t="inlineStr">
        <is>
          <t>2026-04-02</t>
        </is>
      </c>
      <c r="H126" t="n">
        <v>513.2</v>
      </c>
      <c r="J126" t="n">
        <v>22713.1</v>
      </c>
    </row>
    <row r="127">
      <c r="G127" s="34" t="inlineStr">
        <is>
          <t>2026-04-01</t>
        </is>
      </c>
      <c r="H127" t="n">
        <v>511.75</v>
      </c>
      <c r="J127" t="n">
        <v>22679.4</v>
      </c>
    </row>
    <row r="128">
      <c r="G128" s="34" t="inlineStr">
        <is>
          <t>2026-03-30</t>
        </is>
      </c>
      <c r="H128" t="n">
        <v>507.75</v>
      </c>
      <c r="J128" t="n">
        <v>22331.4</v>
      </c>
    </row>
    <row r="129">
      <c r="G129" s="34" t="inlineStr">
        <is>
          <t>2026-03-27</t>
        </is>
      </c>
      <c r="H129" t="n">
        <v>510</v>
      </c>
      <c r="J129" t="n">
        <v>22819.6</v>
      </c>
    </row>
    <row r="130">
      <c r="G130" s="34" t="inlineStr">
        <is>
          <t>2026-03-25</t>
        </is>
      </c>
      <c r="H130" t="n">
        <v>518.6</v>
      </c>
      <c r="J130" t="n">
        <v>23306.45</v>
      </c>
    </row>
    <row r="131">
      <c r="G131" s="34" t="inlineStr">
        <is>
          <t>2026-03-24</t>
        </is>
      </c>
      <c r="H131" t="n">
        <v>513.25</v>
      </c>
      <c r="J131" t="n">
        <v>22912.4</v>
      </c>
    </row>
    <row r="132">
      <c r="G132" s="34" t="inlineStr">
        <is>
          <t>2026-03-23</t>
        </is>
      </c>
      <c r="H132" t="n">
        <v>510.45</v>
      </c>
      <c r="J132" t="n">
        <v>22512.65</v>
      </c>
    </row>
    <row r="133">
      <c r="G133" s="34" t="inlineStr">
        <is>
          <t>2026-03-20</t>
        </is>
      </c>
      <c r="H133" t="n">
        <v>511</v>
      </c>
      <c r="J133" t="n">
        <v>23114.5</v>
      </c>
    </row>
    <row r="134">
      <c r="G134" s="34" t="inlineStr">
        <is>
          <t>2026-03-19</t>
        </is>
      </c>
      <c r="H134" t="n">
        <v>510.85</v>
      </c>
      <c r="J134" t="n">
        <v>23002.15</v>
      </c>
    </row>
    <row r="135">
      <c r="G135" s="34" t="inlineStr">
        <is>
          <t>2026-03-18</t>
        </is>
      </c>
      <c r="H135" t="n">
        <v>531.6</v>
      </c>
      <c r="J135" t="n">
        <v>23777.8</v>
      </c>
    </row>
    <row r="136">
      <c r="G136" s="34" t="inlineStr">
        <is>
          <t>2026-03-17</t>
        </is>
      </c>
      <c r="H136" t="n">
        <v>521.95</v>
      </c>
      <c r="J136" t="n">
        <v>23581.15</v>
      </c>
    </row>
    <row r="137">
      <c r="G137" s="34" t="inlineStr">
        <is>
          <t>2026-03-16</t>
        </is>
      </c>
      <c r="H137" t="n">
        <v>521.8</v>
      </c>
      <c r="J137" t="n">
        <v>23408.8</v>
      </c>
    </row>
    <row r="138">
      <c r="G138" s="34" t="inlineStr">
        <is>
          <t>2026-03-13</t>
        </is>
      </c>
      <c r="H138" t="n">
        <v>504.45</v>
      </c>
      <c r="J138" t="n">
        <v>23151.1</v>
      </c>
    </row>
    <row r="139">
      <c r="G139" s="34" t="inlineStr">
        <is>
          <t>2026-03-12</t>
        </is>
      </c>
      <c r="H139" t="n">
        <v>505.8</v>
      </c>
      <c r="J139" t="n">
        <v>23639.15</v>
      </c>
    </row>
    <row r="140">
      <c r="G140" s="34" t="inlineStr">
        <is>
          <t>2026-03-11</t>
        </is>
      </c>
      <c r="H140" t="n">
        <v>506.45</v>
      </c>
      <c r="J140" t="n">
        <v>23866.85</v>
      </c>
    </row>
    <row r="141">
      <c r="G141" s="34" t="inlineStr">
        <is>
          <t>2026-03-10</t>
        </is>
      </c>
      <c r="H141" t="n">
        <v>522.65</v>
      </c>
      <c r="J141" t="n">
        <v>24261.6</v>
      </c>
    </row>
    <row r="142">
      <c r="G142" s="34" t="inlineStr">
        <is>
          <t>2026-03-09</t>
        </is>
      </c>
      <c r="H142" t="n">
        <v>498.5</v>
      </c>
      <c r="J142" t="n">
        <v>24028.05</v>
      </c>
    </row>
    <row r="143">
      <c r="G143" s="34" t="inlineStr">
        <is>
          <t>2026-03-06</t>
        </is>
      </c>
      <c r="H143" t="n">
        <v>505.05</v>
      </c>
      <c r="J143" t="n">
        <v>24450.45</v>
      </c>
    </row>
    <row r="144">
      <c r="G144" s="34" t="inlineStr">
        <is>
          <t>2026-03-05</t>
        </is>
      </c>
      <c r="H144" t="n">
        <v>500.15</v>
      </c>
      <c r="J144" t="n">
        <v>24765.9</v>
      </c>
    </row>
    <row r="145">
      <c r="G145" s="34" t="inlineStr">
        <is>
          <t>2026-03-04</t>
        </is>
      </c>
      <c r="H145" t="n">
        <v>485.3</v>
      </c>
      <c r="J145" t="n">
        <v>24480.5</v>
      </c>
    </row>
    <row r="146">
      <c r="G146" s="34" t="inlineStr">
        <is>
          <t>2026-03-02</t>
        </is>
      </c>
      <c r="H146" t="n">
        <v>498.8</v>
      </c>
      <c r="J146" t="n">
        <v>24865.7</v>
      </c>
    </row>
    <row r="147">
      <c r="G147" s="34" t="inlineStr">
        <is>
          <t>2026-02-27</t>
        </is>
      </c>
      <c r="H147" t="n">
        <v>500.6</v>
      </c>
      <c r="J147" t="n">
        <v>25178.65</v>
      </c>
    </row>
    <row r="148">
      <c r="G148" s="34" t="inlineStr">
        <is>
          <t>2026-02-26</t>
        </is>
      </c>
      <c r="H148" t="n">
        <v>508.1</v>
      </c>
      <c r="J148" t="n">
        <v>25496.55</v>
      </c>
    </row>
    <row r="149">
      <c r="G149" s="34" t="inlineStr">
        <is>
          <t>2026-02-25</t>
        </is>
      </c>
      <c r="H149" t="n">
        <v>510.65</v>
      </c>
      <c r="J149" t="n">
        <v>25482.5</v>
      </c>
    </row>
    <row r="150">
      <c r="G150" s="34" t="inlineStr">
        <is>
          <t>2026-02-24</t>
        </is>
      </c>
      <c r="H150" t="n">
        <v>501.7</v>
      </c>
      <c r="J150" t="n">
        <v>25424.65</v>
      </c>
    </row>
    <row r="151">
      <c r="G151" s="34" t="inlineStr">
        <is>
          <t>2026-02-23</t>
        </is>
      </c>
      <c r="H151" t="n">
        <v>500.25</v>
      </c>
      <c r="J151" t="n">
        <v>25713</v>
      </c>
    </row>
    <row r="152">
      <c r="G152" s="34" t="inlineStr">
        <is>
          <t>2026-02-20</t>
        </is>
      </c>
      <c r="H152" t="n">
        <v>522.6</v>
      </c>
      <c r="J152" t="n">
        <v>25571.25</v>
      </c>
    </row>
    <row r="153">
      <c r="G153" s="34" t="inlineStr">
        <is>
          <t>2026-02-19</t>
        </is>
      </c>
      <c r="H153" t="n">
        <v>501.95</v>
      </c>
      <c r="J153" t="n">
        <v>25454.35</v>
      </c>
    </row>
    <row r="154">
      <c r="G154" s="34" t="inlineStr">
        <is>
          <t>2026-02-18</t>
        </is>
      </c>
      <c r="H154" t="n">
        <v>501.75</v>
      </c>
      <c r="J154" t="n">
        <v>25819.35</v>
      </c>
    </row>
    <row r="155">
      <c r="G155" s="34" t="inlineStr">
        <is>
          <t>2026-02-17</t>
        </is>
      </c>
      <c r="H155" t="n">
        <v>499.45</v>
      </c>
      <c r="J155" t="n">
        <v>25725.4</v>
      </c>
    </row>
    <row r="156">
      <c r="G156" s="34" t="inlineStr">
        <is>
          <t>2026-02-16</t>
        </is>
      </c>
      <c r="H156" t="n">
        <v>494.55</v>
      </c>
      <c r="J156" t="n">
        <v>25682.75</v>
      </c>
    </row>
    <row r="157">
      <c r="G157" s="34" t="inlineStr">
        <is>
          <t>2026-02-13</t>
        </is>
      </c>
      <c r="H157" t="n">
        <v>495.85</v>
      </c>
      <c r="J157" t="n">
        <v>25471.1</v>
      </c>
    </row>
    <row r="158">
      <c r="G158" s="34" t="inlineStr">
        <is>
          <t>2026-02-12</t>
        </is>
      </c>
      <c r="H158" t="n">
        <v>497.55</v>
      </c>
      <c r="J158" t="n">
        <v>25807.2</v>
      </c>
    </row>
    <row r="159">
      <c r="G159" s="34" t="inlineStr">
        <is>
          <t>2026-02-11</t>
        </is>
      </c>
      <c r="H159" t="n">
        <v>496.95</v>
      </c>
      <c r="J159" t="n">
        <v>25953.85</v>
      </c>
    </row>
    <row r="160">
      <c r="G160" s="34" t="inlineStr">
        <is>
          <t>2026-02-10</t>
        </is>
      </c>
      <c r="H160" t="n">
        <v>495.55</v>
      </c>
      <c r="J160" t="n">
        <v>25935.15</v>
      </c>
    </row>
    <row r="161">
      <c r="G161" s="34" t="inlineStr">
        <is>
          <t>2026-02-09</t>
        </is>
      </c>
      <c r="H161" t="n">
        <v>491.25</v>
      </c>
      <c r="J161" t="n">
        <v>25867.3</v>
      </c>
    </row>
    <row r="162">
      <c r="G162" s="34" t="inlineStr">
        <is>
          <t>2026-02-06</t>
        </is>
      </c>
      <c r="H162" t="n">
        <v>489.1</v>
      </c>
      <c r="J162" t="n">
        <v>25693.7</v>
      </c>
    </row>
    <row r="163">
      <c r="G163" s="34" t="inlineStr">
        <is>
          <t>2026-02-05</t>
        </is>
      </c>
      <c r="H163" t="n">
        <v>476.25</v>
      </c>
      <c r="J163" t="n">
        <v>25642.8</v>
      </c>
    </row>
    <row r="164">
      <c r="G164" s="34" t="inlineStr">
        <is>
          <t>2026-02-04</t>
        </is>
      </c>
      <c r="H164" t="n">
        <v>479.65</v>
      </c>
      <c r="J164" t="n">
        <v>25776</v>
      </c>
    </row>
    <row r="165">
      <c r="G165" s="34" t="inlineStr">
        <is>
          <t>2026-02-03</t>
        </is>
      </c>
      <c r="H165" t="n">
        <v>475.75</v>
      </c>
      <c r="J165" t="n">
        <v>25727.55</v>
      </c>
    </row>
    <row r="166">
      <c r="G166" s="34" t="inlineStr">
        <is>
          <t>2026-02-02</t>
        </is>
      </c>
      <c r="H166" t="n">
        <v>474.7</v>
      </c>
      <c r="J166" t="n">
        <v>25088.4</v>
      </c>
    </row>
    <row r="167">
      <c r="G167" s="34" t="inlineStr">
        <is>
          <t>2026-02-01</t>
        </is>
      </c>
      <c r="H167" t="n">
        <v>473.1</v>
      </c>
      <c r="J167" t="n">
        <v>25320.65</v>
      </c>
    </row>
    <row r="168">
      <c r="G168" s="34" t="inlineStr">
        <is>
          <t>2026-01-30</t>
        </is>
      </c>
      <c r="H168" t="n">
        <v>473.3</v>
      </c>
      <c r="J168" t="n">
        <v>25320.65</v>
      </c>
    </row>
    <row r="169">
      <c r="G169" s="34" t="inlineStr">
        <is>
          <t>2026-01-29</t>
        </is>
      </c>
      <c r="H169" t="n">
        <v>473.3</v>
      </c>
      <c r="J169" t="n">
        <v>25418.9</v>
      </c>
    </row>
    <row r="170">
      <c r="G170" s="34" t="inlineStr">
        <is>
          <t>2026-01-28</t>
        </is>
      </c>
      <c r="H170" t="n">
        <v>476.1</v>
      </c>
      <c r="J170" t="n">
        <v>25342.75</v>
      </c>
    </row>
    <row r="171">
      <c r="G171" s="34" t="inlineStr">
        <is>
          <t>2026-01-27</t>
        </is>
      </c>
      <c r="H171" t="n">
        <v>472</v>
      </c>
      <c r="J171" t="n">
        <v>25175.4</v>
      </c>
    </row>
    <row r="172">
      <c r="G172" s="34" t="inlineStr">
        <is>
          <t>2026-01-23</t>
        </is>
      </c>
      <c r="H172" t="n">
        <v>470</v>
      </c>
      <c r="J172" t="n">
        <v>25048.65</v>
      </c>
    </row>
    <row r="173">
      <c r="G173" s="34" t="inlineStr">
        <is>
          <t>2026-01-22</t>
        </is>
      </c>
      <c r="H173" t="n">
        <v>470</v>
      </c>
      <c r="J173" t="n">
        <v>25289.9</v>
      </c>
    </row>
    <row r="174">
      <c r="G174" s="34" t="inlineStr">
        <is>
          <t>2026-01-21</t>
        </is>
      </c>
      <c r="H174" t="n">
        <v>469.75</v>
      </c>
      <c r="J174" t="n">
        <v>25157.5</v>
      </c>
    </row>
    <row r="175">
      <c r="G175" s="34" t="inlineStr">
        <is>
          <t>2026-01-20</t>
        </is>
      </c>
      <c r="H175" t="n">
        <v>472.1</v>
      </c>
      <c r="J175" t="n">
        <v>25232.5</v>
      </c>
    </row>
    <row r="176">
      <c r="G176" s="34" t="inlineStr">
        <is>
          <t>2026-01-19</t>
        </is>
      </c>
      <c r="H176" t="n">
        <v>473</v>
      </c>
      <c r="J176" t="n">
        <v>25585.5</v>
      </c>
    </row>
    <row r="177">
      <c r="G177" s="34" t="inlineStr">
        <is>
          <t>2026-01-16</t>
        </is>
      </c>
      <c r="H177" t="n">
        <v>473.2</v>
      </c>
      <c r="J177" t="n">
        <v>25694.35</v>
      </c>
    </row>
    <row r="178">
      <c r="G178" s="34" t="inlineStr">
        <is>
          <t>2026-01-14</t>
        </is>
      </c>
      <c r="H178" t="n">
        <v>475.15</v>
      </c>
      <c r="J178" t="n">
        <v>25665.6</v>
      </c>
    </row>
    <row r="179">
      <c r="G179" s="34" t="inlineStr">
        <is>
          <t>2026-01-13</t>
        </is>
      </c>
      <c r="H179" t="n">
        <v>476.85</v>
      </c>
      <c r="J179" t="n">
        <v>25732.3</v>
      </c>
    </row>
    <row r="180">
      <c r="G180" s="34" t="inlineStr">
        <is>
          <t>2026-01-12</t>
        </is>
      </c>
      <c r="H180" t="n">
        <v>476.15</v>
      </c>
      <c r="J180" t="n">
        <v>25790.25</v>
      </c>
    </row>
    <row r="181">
      <c r="G181" s="34" t="inlineStr">
        <is>
          <t>2026-01-09</t>
        </is>
      </c>
      <c r="H181" t="n">
        <v>472.3</v>
      </c>
      <c r="J181" t="n">
        <v>25683.3</v>
      </c>
    </row>
    <row r="182">
      <c r="G182" s="34" t="inlineStr">
        <is>
          <t>2026-01-08</t>
        </is>
      </c>
      <c r="H182" t="n">
        <v>478.2</v>
      </c>
      <c r="J182" t="n">
        <v>25876.85</v>
      </c>
    </row>
    <row r="183">
      <c r="G183" s="34" t="inlineStr">
        <is>
          <t>2026-01-07</t>
        </is>
      </c>
      <c r="H183" t="n">
        <v>480.95</v>
      </c>
      <c r="J183" t="n">
        <v>26140.75</v>
      </c>
    </row>
    <row r="184">
      <c r="G184" s="34" t="inlineStr">
        <is>
          <t>2026-01-06</t>
        </is>
      </c>
      <c r="H184" t="n">
        <v>484.05</v>
      </c>
      <c r="J184" t="n">
        <v>26178.7</v>
      </c>
    </row>
    <row r="185">
      <c r="G185" s="34" t="inlineStr">
        <is>
          <t>2026-01-05</t>
        </is>
      </c>
      <c r="H185" t="n">
        <v>475.65</v>
      </c>
      <c r="J185" t="n">
        <v>26250.3</v>
      </c>
    </row>
    <row r="186">
      <c r="G186" s="34" t="inlineStr">
        <is>
          <t>2026-01-02</t>
        </is>
      </c>
      <c r="H186" t="n">
        <v>458.1</v>
      </c>
      <c r="J186" t="n">
        <v>26328.55</v>
      </c>
    </row>
    <row r="187">
      <c r="G187" s="34" t="inlineStr">
        <is>
          <t>2026-01-01</t>
        </is>
      </c>
      <c r="H187" t="n">
        <v>460.5</v>
      </c>
      <c r="J187" t="n">
        <v>26146.55</v>
      </c>
    </row>
    <row r="188">
      <c r="G188" s="34" t="inlineStr">
        <is>
          <t>2025-12-31</t>
        </is>
      </c>
      <c r="H188" t="n">
        <v>458</v>
      </c>
      <c r="J188" t="n">
        <v>26129.6</v>
      </c>
    </row>
    <row r="189">
      <c r="G189" s="34" t="inlineStr">
        <is>
          <t>2025-12-30</t>
        </is>
      </c>
      <c r="H189" t="n">
        <v>458</v>
      </c>
      <c r="J189" t="n">
        <v>25938.85</v>
      </c>
    </row>
    <row r="190">
      <c r="G190" s="34" t="inlineStr">
        <is>
          <t>2025-12-29</t>
        </is>
      </c>
      <c r="H190" t="n">
        <v>457.5</v>
      </c>
      <c r="J190" t="n">
        <v>25942.1</v>
      </c>
    </row>
    <row r="191">
      <c r="G191" s="34" t="inlineStr">
        <is>
          <t>2025-12-26</t>
        </is>
      </c>
      <c r="H191" t="n">
        <v>459.5</v>
      </c>
      <c r="J191" t="n">
        <v>26042.3</v>
      </c>
    </row>
    <row r="192">
      <c r="G192" s="34" t="inlineStr">
        <is>
          <t>2025-12-24</t>
        </is>
      </c>
      <c r="H192" t="n">
        <v>447.05</v>
      </c>
      <c r="J192" t="n">
        <v>26142.1</v>
      </c>
    </row>
    <row r="193">
      <c r="G193" s="34" t="inlineStr">
        <is>
          <t>2025-12-23</t>
        </is>
      </c>
      <c r="H193" t="n">
        <v>450.2</v>
      </c>
      <c r="J193" t="n">
        <v>26177.15</v>
      </c>
    </row>
    <row r="194">
      <c r="G194" s="34" t="inlineStr">
        <is>
          <t>2025-12-22</t>
        </is>
      </c>
      <c r="H194" t="n">
        <v>446.65</v>
      </c>
      <c r="J194" t="n">
        <v>26172.4</v>
      </c>
    </row>
    <row r="195">
      <c r="G195" s="34" t="inlineStr">
        <is>
          <t>2025-12-19</t>
        </is>
      </c>
      <c r="H195" t="n">
        <v>449.75</v>
      </c>
      <c r="J195" t="n">
        <v>25966.4</v>
      </c>
    </row>
    <row r="196">
      <c r="G196" s="34" t="inlineStr">
        <is>
          <t>2025-12-18</t>
        </is>
      </c>
      <c r="H196" t="n">
        <v>441.1</v>
      </c>
      <c r="J196" t="n">
        <v>25815.55</v>
      </c>
    </row>
    <row r="197">
      <c r="G197" s="34" t="inlineStr">
        <is>
          <t>2025-12-17</t>
        </is>
      </c>
      <c r="H197" t="n">
        <v>443</v>
      </c>
      <c r="J197" t="n">
        <v>25818.55</v>
      </c>
    </row>
    <row r="198">
      <c r="G198" s="34" t="inlineStr">
        <is>
          <t>2025-12-16</t>
        </is>
      </c>
      <c r="H198" t="n">
        <v>442.8</v>
      </c>
      <c r="J198" t="n">
        <v>25860.1</v>
      </c>
    </row>
    <row r="199">
      <c r="G199" s="34" t="inlineStr">
        <is>
          <t>2025-12-15</t>
        </is>
      </c>
      <c r="H199" t="n">
        <v>443</v>
      </c>
      <c r="J199" t="n">
        <v>26027.3</v>
      </c>
    </row>
    <row r="200">
      <c r="G200" s="34" t="inlineStr">
        <is>
          <t>2025-12-12</t>
        </is>
      </c>
      <c r="H200" t="n">
        <v>443.5</v>
      </c>
      <c r="J200" t="n">
        <v>26046.95</v>
      </c>
    </row>
    <row r="201">
      <c r="G201" s="34" t="inlineStr">
        <is>
          <t>2025-12-11</t>
        </is>
      </c>
      <c r="H201" t="n">
        <v>443</v>
      </c>
      <c r="J201" t="n">
        <v>25898.55</v>
      </c>
    </row>
    <row r="202">
      <c r="G202" s="34" t="inlineStr">
        <is>
          <t>2025-12-10</t>
        </is>
      </c>
      <c r="H202" t="n">
        <v>443</v>
      </c>
      <c r="J202" t="n">
        <v>25758</v>
      </c>
    </row>
    <row r="203">
      <c r="G203" s="34" t="inlineStr">
        <is>
          <t>2025-12-09</t>
        </is>
      </c>
      <c r="H203" t="n">
        <v>444.85</v>
      </c>
      <c r="J203" t="n">
        <v>25839.65</v>
      </c>
    </row>
    <row r="204">
      <c r="G204" s="34" t="inlineStr">
        <is>
          <t>2025-12-08</t>
        </is>
      </c>
      <c r="H204" t="n">
        <v>436.05</v>
      </c>
      <c r="J204" t="n">
        <v>25960.55</v>
      </c>
    </row>
    <row r="205">
      <c r="G205" s="34" t="inlineStr">
        <is>
          <t>2025-12-05</t>
        </is>
      </c>
      <c r="H205" t="n">
        <v>445</v>
      </c>
      <c r="J205" t="n">
        <v>26186.45</v>
      </c>
    </row>
    <row r="206">
      <c r="G206" s="34" t="inlineStr">
        <is>
          <t>2025-12-04</t>
        </is>
      </c>
      <c r="H206" t="n">
        <v>445.05</v>
      </c>
      <c r="J206" t="n">
        <v>26033.75</v>
      </c>
    </row>
    <row r="207">
      <c r="G207" s="34" t="inlineStr">
        <is>
          <t>2025-12-03</t>
        </is>
      </c>
      <c r="H207" t="n">
        <v>445.05</v>
      </c>
      <c r="J207" t="n">
        <v>25986</v>
      </c>
    </row>
    <row r="208">
      <c r="G208" s="34" t="inlineStr">
        <is>
          <t>2025-12-02</t>
        </is>
      </c>
      <c r="H208" t="n">
        <v>446</v>
      </c>
      <c r="J208" t="n">
        <v>26032.2</v>
      </c>
    </row>
    <row r="209">
      <c r="G209" s="34" t="inlineStr">
        <is>
          <t>2025-12-01</t>
        </is>
      </c>
      <c r="H209" t="n">
        <v>448.2</v>
      </c>
      <c r="J209" t="n">
        <v>26175.75</v>
      </c>
    </row>
    <row r="210">
      <c r="G210" s="34" t="inlineStr">
        <is>
          <t>2025-11-28</t>
        </is>
      </c>
      <c r="H210" t="n">
        <v>445.45</v>
      </c>
      <c r="J210" t="n">
        <v>26202.95</v>
      </c>
    </row>
    <row r="211">
      <c r="G211" s="34" t="inlineStr">
        <is>
          <t>2025-11-27</t>
        </is>
      </c>
      <c r="H211" t="n">
        <v>444.05</v>
      </c>
      <c r="J211" t="n">
        <v>26215.55</v>
      </c>
    </row>
    <row r="212">
      <c r="G212" s="34" t="inlineStr">
        <is>
          <t>2025-11-26</t>
        </is>
      </c>
      <c r="H212" t="n">
        <v>440.2</v>
      </c>
      <c r="J212" t="n">
        <v>26205.3</v>
      </c>
    </row>
    <row r="213">
      <c r="G213" s="34" t="inlineStr">
        <is>
          <t>2025-11-25</t>
        </is>
      </c>
      <c r="H213" t="n">
        <v>442.2</v>
      </c>
      <c r="J213" t="n">
        <v>25884.8</v>
      </c>
    </row>
    <row r="214">
      <c r="G214" s="34" t="inlineStr">
        <is>
          <t>2025-11-24</t>
        </is>
      </c>
      <c r="H214" t="n">
        <v>441.2</v>
      </c>
      <c r="J214" t="n">
        <v>25959.5</v>
      </c>
    </row>
    <row r="215">
      <c r="G215" s="34" t="inlineStr">
        <is>
          <t>2025-11-21</t>
        </is>
      </c>
      <c r="H215" t="n">
        <v>442</v>
      </c>
      <c r="J215" t="n">
        <v>26068.15</v>
      </c>
    </row>
    <row r="216">
      <c r="G216" s="34" t="inlineStr">
        <is>
          <t>2025-11-20</t>
        </is>
      </c>
      <c r="H216" t="n">
        <v>441.05</v>
      </c>
      <c r="J216" t="n">
        <v>26192.15</v>
      </c>
    </row>
    <row r="217">
      <c r="G217" s="34" t="inlineStr">
        <is>
          <t>2025-11-19</t>
        </is>
      </c>
      <c r="H217" t="n">
        <v>441</v>
      </c>
      <c r="J217" t="n">
        <v>26052.65</v>
      </c>
    </row>
    <row r="218">
      <c r="G218" s="34" t="inlineStr">
        <is>
          <t>2025-11-18</t>
        </is>
      </c>
      <c r="H218" t="n">
        <v>443.6</v>
      </c>
      <c r="J218" t="n">
        <v>25910.05</v>
      </c>
    </row>
    <row r="219">
      <c r="G219" s="34" t="inlineStr">
        <is>
          <t>2025-11-17</t>
        </is>
      </c>
      <c r="H219" t="n">
        <v>442</v>
      </c>
      <c r="J219" t="n">
        <v>26013.45</v>
      </c>
    </row>
    <row r="220">
      <c r="G220" s="34" t="inlineStr">
        <is>
          <t>2025-11-14</t>
        </is>
      </c>
      <c r="H220" t="n">
        <v>432.65</v>
      </c>
      <c r="J220" t="n">
        <v>25910.05</v>
      </c>
    </row>
    <row r="221">
      <c r="G221" s="34" t="inlineStr">
        <is>
          <t>2025-11-13</t>
        </is>
      </c>
      <c r="H221" t="n">
        <v>428.65</v>
      </c>
      <c r="J221" t="n">
        <v>25879.15</v>
      </c>
    </row>
    <row r="222">
      <c r="G222" s="34" t="inlineStr">
        <is>
          <t>2025-11-12</t>
        </is>
      </c>
      <c r="H222" t="n">
        <v>423.2</v>
      </c>
      <c r="J222" t="n">
        <v>25875.8</v>
      </c>
    </row>
    <row r="223">
      <c r="G223" s="34" t="inlineStr">
        <is>
          <t>2025-11-11</t>
        </is>
      </c>
      <c r="H223" t="n">
        <v>425.05</v>
      </c>
      <c r="J223" t="n">
        <v>25694.95</v>
      </c>
    </row>
    <row r="224">
      <c r="G224" s="34" t="inlineStr">
        <is>
          <t>2025-11-10</t>
        </is>
      </c>
      <c r="H224" t="n">
        <v>419.85</v>
      </c>
      <c r="J224" t="n">
        <v>25574.35</v>
      </c>
    </row>
    <row r="225">
      <c r="G225" s="34" t="inlineStr">
        <is>
          <t>2025-11-07</t>
        </is>
      </c>
      <c r="H225" t="n">
        <v>419.15</v>
      </c>
      <c r="J225" t="n">
        <v>25492.3</v>
      </c>
    </row>
    <row r="226">
      <c r="G226" s="34" t="inlineStr">
        <is>
          <t>2025-11-06</t>
        </is>
      </c>
      <c r="H226" t="n">
        <v>431.5</v>
      </c>
      <c r="J226" t="n">
        <v>25509.7</v>
      </c>
    </row>
    <row r="227">
      <c r="G227" s="34" t="inlineStr">
        <is>
          <t>2025-11-04</t>
        </is>
      </c>
      <c r="H227" t="n">
        <v>433.35</v>
      </c>
      <c r="J227" t="n">
        <v>25597.65</v>
      </c>
    </row>
    <row r="228">
      <c r="G228" s="34" t="inlineStr">
        <is>
          <t>2025-11-03</t>
        </is>
      </c>
      <c r="H228" t="n">
        <v>432.9</v>
      </c>
      <c r="J228" t="n">
        <v>25763.35</v>
      </c>
    </row>
    <row r="229">
      <c r="G229" s="34" t="inlineStr">
        <is>
          <t>2025-10-31</t>
        </is>
      </c>
      <c r="H229" t="n">
        <v>433.15</v>
      </c>
      <c r="J229" t="n">
        <v>25722.1</v>
      </c>
    </row>
    <row r="230">
      <c r="G230" s="34" t="inlineStr">
        <is>
          <t>2025-10-30</t>
        </is>
      </c>
      <c r="H230" t="n">
        <v>430.45</v>
      </c>
      <c r="J230" t="n">
        <v>25877.85</v>
      </c>
    </row>
    <row r="231">
      <c r="G231" s="34" t="inlineStr">
        <is>
          <t>2025-10-29</t>
        </is>
      </c>
      <c r="H231" t="n">
        <v>438.6</v>
      </c>
      <c r="J231" t="n">
        <v>26053.9</v>
      </c>
    </row>
    <row r="232">
      <c r="G232" s="34" t="inlineStr">
        <is>
          <t>2025-10-28</t>
        </is>
      </c>
      <c r="H232" t="n">
        <v>445.9</v>
      </c>
      <c r="J232" t="n">
        <v>25936.2</v>
      </c>
    </row>
    <row r="233">
      <c r="G233" s="34" t="inlineStr">
        <is>
          <t>2025-10-27</t>
        </is>
      </c>
      <c r="H233" t="n">
        <v>458.7</v>
      </c>
      <c r="J233" t="n">
        <v>25966.05</v>
      </c>
    </row>
    <row r="234">
      <c r="G234" s="34" t="inlineStr">
        <is>
          <t>2025-10-24</t>
        </is>
      </c>
      <c r="H234" t="n">
        <v>472.2</v>
      </c>
      <c r="J234" t="n">
        <v>25795.15</v>
      </c>
    </row>
    <row r="235">
      <c r="G235" s="34" t="inlineStr">
        <is>
          <t>2025-10-23</t>
        </is>
      </c>
      <c r="H235" t="n">
        <v>466.85</v>
      </c>
      <c r="J235" t="n">
        <v>25891.4</v>
      </c>
    </row>
    <row r="236">
      <c r="G236" s="34" t="inlineStr">
        <is>
          <t>2025-10-21</t>
        </is>
      </c>
      <c r="H236" t="n">
        <v>468.75</v>
      </c>
      <c r="J236" t="n">
        <v>25868.6</v>
      </c>
    </row>
    <row r="237">
      <c r="G237" s="34" t="inlineStr">
        <is>
          <t>2025-10-20</t>
        </is>
      </c>
      <c r="H237" t="n">
        <v>462.05</v>
      </c>
      <c r="J237" t="n">
        <v>25843.15</v>
      </c>
    </row>
    <row r="238">
      <c r="G238" s="34" t="inlineStr">
        <is>
          <t>2025-10-17</t>
        </is>
      </c>
      <c r="H238" t="n">
        <v>463.1</v>
      </c>
      <c r="J238" t="n">
        <v>25709.85</v>
      </c>
    </row>
    <row r="239">
      <c r="G239" s="34" t="inlineStr">
        <is>
          <t>2025-10-16</t>
        </is>
      </c>
      <c r="H239" t="n">
        <v>468.2</v>
      </c>
      <c r="J239" t="n">
        <v>25585.3</v>
      </c>
    </row>
    <row r="240">
      <c r="G240" s="34" t="inlineStr">
        <is>
          <t>2025-10-15</t>
        </is>
      </c>
      <c r="H240" t="n">
        <v>469.05</v>
      </c>
      <c r="J240" t="n">
        <v>25323.55</v>
      </c>
    </row>
    <row r="241">
      <c r="G241" s="34" t="inlineStr">
        <is>
          <t>2025-10-14</t>
        </is>
      </c>
      <c r="H241" t="n">
        <v>468.85</v>
      </c>
      <c r="J241" t="n">
        <v>25145.5</v>
      </c>
    </row>
    <row r="242">
      <c r="G242" s="34" t="inlineStr">
        <is>
          <t>2025-10-13</t>
        </is>
      </c>
      <c r="H242" t="n">
        <v>467.95</v>
      </c>
      <c r="J242" t="n">
        <v>25227.35</v>
      </c>
    </row>
    <row r="243">
      <c r="G243" s="34" t="inlineStr">
        <is>
          <t>2025-10-10</t>
        </is>
      </c>
      <c r="H243" t="n">
        <v>475.95</v>
      </c>
      <c r="J243" t="n">
        <v>25285.35</v>
      </c>
    </row>
    <row r="244">
      <c r="G244" s="34" t="inlineStr">
        <is>
          <t>2025-10-09</t>
        </is>
      </c>
      <c r="H244" t="n">
        <v>478.3</v>
      </c>
      <c r="J244" t="n">
        <v>25181.8</v>
      </c>
    </row>
    <row r="245">
      <c r="G245" s="34" t="inlineStr">
        <is>
          <t>2025-10-08</t>
        </is>
      </c>
      <c r="H245" t="n">
        <v>484.25</v>
      </c>
      <c r="J245" t="n">
        <v>25046.15</v>
      </c>
    </row>
    <row r="246">
      <c r="G246" s="34" t="inlineStr">
        <is>
          <t>2025-10-07</t>
        </is>
      </c>
      <c r="H246" t="n">
        <v>462.05</v>
      </c>
      <c r="J246" t="n">
        <v>25108.3</v>
      </c>
    </row>
    <row r="247">
      <c r="G247" s="34" t="inlineStr">
        <is>
          <t>2025-10-06</t>
        </is>
      </c>
      <c r="H247" t="n">
        <v>464</v>
      </c>
      <c r="J247" t="n">
        <v>25077.65</v>
      </c>
    </row>
    <row r="248">
      <c r="G248" s="34" t="inlineStr">
        <is>
          <t>2025-10-03</t>
        </is>
      </c>
      <c r="H248" t="n">
        <v>466.4</v>
      </c>
      <c r="J248" t="n">
        <v>24894.25</v>
      </c>
    </row>
    <row r="249">
      <c r="G249" t="inlineStr">
        <is>
          <t>2025-10-01</t>
        </is>
      </c>
      <c r="H249" t="n">
        <v>460.3</v>
      </c>
      <c r="J249" t="n">
        <v>24836.3</v>
      </c>
    </row>
    <row r="250">
      <c r="G250" t="inlineStr">
        <is>
          <t>2025-09-30</t>
        </is>
      </c>
      <c r="H250" t="n">
        <v>460.5</v>
      </c>
      <c r="J250" t="n">
        <v>24611.1</v>
      </c>
    </row>
    <row r="251">
      <c r="G251" t="inlineStr">
        <is>
          <t>2025-09-29</t>
        </is>
      </c>
      <c r="H251" t="n">
        <v>460.05</v>
      </c>
      <c r="J251" t="n">
        <v>24634.9</v>
      </c>
    </row>
    <row r="252">
      <c r="G252" t="inlineStr">
        <is>
          <t>2025-09-26</t>
        </is>
      </c>
      <c r="H252" t="n">
        <v>461.65</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PKTEA</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DTIL</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532230</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NORBTEAEXP</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GROBTEA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538564</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TERAI</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JAYSREETEA</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THE UNITED NILGIRI TEA ESTATES COMPANY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4.2" customHeight="1" s="109">
      <c r="B7" s="37" t="n"/>
    </row>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Nilgiris tea production hit by severe drought, El Nino conditions; green leaf supply drops sharply</t>
        </is>
      </c>
    </row>
    <row r="38"/>
    <row r="39">
      <c r="A39" t="inlineStr">
        <is>
          <t>•</t>
        </is>
      </c>
      <c r="B39" s="167" t="inlineStr">
        <is>
          <t>From Assam to Nilgiri: How regional teas are becoming premium brands</t>
        </is>
      </c>
    </row>
    <row r="40"/>
    <row r="41">
      <c r="A41" t="inlineStr">
        <is>
          <t>•</t>
        </is>
      </c>
      <c r="B41" s="167" t="inlineStr">
        <is>
          <t>The Bengal boom: 7 stocks that surged up to 22% after BJP win and should you still buy?</t>
        </is>
      </c>
    </row>
    <row r="42"/>
    <row r="43">
      <c r="A43" t="inlineStr">
        <is>
          <t>•</t>
        </is>
      </c>
      <c r="B43" s="167" t="inlineStr">
        <is>
          <t>Dhunseri Tea to buy three tea estates of Warren Tea in Assam</t>
        </is>
      </c>
    </row>
    <row r="44"/>
    <row r="45">
      <c r="A45" t="inlineStr">
        <is>
          <t>•</t>
        </is>
      </c>
      <c r="B45" s="167" t="inlineStr">
        <is>
          <t>Tea planters suffering from 'crop loss', 'falling' prices in Tripura</t>
        </is>
      </c>
    </row>
    <row r="46"/>
    <row r="47">
      <c r="A47" t="inlineStr">
        <is>
          <t>•</t>
        </is>
      </c>
      <c r="B47" s="167" t="inlineStr">
        <is>
          <t>THE UNITED NILGIRI TEA ESTATES COMPANY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6.6" customHeight="1" s="109"/>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Nilgiris tea production hit by severe drought, El Nino conditions; green leaf supply drops sharply</t>
        </is>
      </c>
    </row>
    <row r="37"/>
    <row r="38" ht="14.4" customHeight="1" s="109">
      <c r="A38" t="inlineStr">
        <is>
          <t>•</t>
        </is>
      </c>
      <c r="B38" s="167" t="inlineStr">
        <is>
          <t>From Assam to Nilgiri: How regional teas are becoming premium brands</t>
        </is>
      </c>
    </row>
    <row r="39"/>
    <row r="40" ht="20.4" customHeight="1" s="109">
      <c r="A40" t="inlineStr">
        <is>
          <t>•</t>
        </is>
      </c>
      <c r="B40" s="167" t="inlineStr">
        <is>
          <t>The Bengal boom: 7 stocks that surged up to 22% after BJP win and should you still buy?</t>
        </is>
      </c>
    </row>
    <row r="41"/>
    <row r="42">
      <c r="A42" t="inlineStr">
        <is>
          <t>•</t>
        </is>
      </c>
      <c r="B42" s="167" t="inlineStr">
        <is>
          <t>Dhunseri Tea to buy three tea estates of Warren Tea in Assam</t>
        </is>
      </c>
    </row>
    <row r="43"/>
    <row r="44">
      <c r="A44" t="inlineStr">
        <is>
          <t>•</t>
        </is>
      </c>
      <c r="B44" s="167" t="inlineStr">
        <is>
          <t>Tea planters suffering from 'crop loss', 'falling' prices in Tripura</t>
        </is>
      </c>
    </row>
    <row r="45"/>
    <row r="46">
      <c r="A46" t="inlineStr">
        <is>
          <t>•</t>
        </is>
      </c>
      <c r="B46" s="167" t="inlineStr">
        <is>
          <t>THE UNITED NILGIRI TEA ESTATES COMPANY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row>
    <row r="20">
      <c r="C20" s="73" t="n"/>
      <c r="D20" s="73" t="n"/>
      <c r="E20" s="73" t="n"/>
      <c r="F20" s="73" t="n"/>
      <c r="G20" s="73" t="n"/>
      <c r="H20" s="73" t="n"/>
      <c r="I20" s="73" t="n"/>
      <c r="J20" s="73" t="n"/>
      <c r="K20" s="73" t="n"/>
      <c r="L20" s="73" t="n"/>
      <c r="M20" s="73" t="n"/>
      <c r="N20" s="73" t="n"/>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row>
    <row r="29">
      <c r="B29" t="inlineStr">
        <is>
          <t>Intangible Assets</t>
        </is>
      </c>
      <c r="C29" t="n">
        <v>0</v>
      </c>
      <c r="D29" t="n">
        <v>0</v>
      </c>
      <c r="E29" t="n">
        <v>0</v>
      </c>
      <c r="F29" t="n">
        <v>0</v>
      </c>
      <c r="G29" t="n">
        <v>1</v>
      </c>
      <c r="H29" t="n">
        <v>1</v>
      </c>
      <c r="I29" s="73" t="n">
        <v>1</v>
      </c>
      <c r="J29" s="73" t="n">
        <v>2</v>
      </c>
      <c r="K29" s="73" t="n">
        <v>3</v>
      </c>
      <c r="L29" s="73" t="n">
        <v>2</v>
      </c>
      <c r="M29" s="73" t="n">
        <v>1</v>
      </c>
      <c r="N29" s="73" t="n">
        <v>1</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row>
    <row r="30">
      <c r="B30" t="inlineStr">
        <is>
          <t>Other fixed assets</t>
        </is>
      </c>
      <c r="C30" t="n">
        <v>2</v>
      </c>
      <c r="D30" t="n">
        <v>4</v>
      </c>
      <c r="E30" t="n">
        <v>41</v>
      </c>
      <c r="F30" t="n">
        <v>63</v>
      </c>
      <c r="G30" t="n">
        <v>73</v>
      </c>
      <c r="H30" t="n">
        <v>76</v>
      </c>
      <c r="I30" t="n">
        <v>102</v>
      </c>
      <c r="J30" t="n">
        <v>107</v>
      </c>
      <c r="K30" t="n">
        <v>127</v>
      </c>
      <c r="L30" t="n">
        <v>134</v>
      </c>
      <c r="M30" t="n">
        <v>151</v>
      </c>
      <c r="N30" s="73" t="n">
        <v>169</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row>
    <row r="31">
      <c r="B31" t="inlineStr">
        <is>
          <t>Gross Block</t>
        </is>
      </c>
      <c r="C31" s="73" t="n">
        <v>26</v>
      </c>
      <c r="D31" s="73" t="n">
        <v>34</v>
      </c>
      <c r="E31" s="73" t="n">
        <v>30</v>
      </c>
      <c r="F31" s="73" t="n">
        <v>23</v>
      </c>
      <c r="G31" s="73" t="n">
        <v>36</v>
      </c>
      <c r="H31" s="73" t="n">
        <v>43</v>
      </c>
      <c r="I31" s="73" t="n">
        <v>30</v>
      </c>
      <c r="J31" s="73" t="n">
        <v>34</v>
      </c>
      <c r="K31" s="73" t="n">
        <v>25</v>
      </c>
      <c r="L31" s="73" t="n">
        <v>38</v>
      </c>
      <c r="M31" s="73" t="n">
        <v>36</v>
      </c>
      <c r="N31" s="73" t="n">
        <v>42</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row>
    <row r="32">
      <c r="B32" s="73" t="inlineStr">
        <is>
          <t>Accumulated Depreciation</t>
        </is>
      </c>
      <c r="C32" s="73" t="n">
        <v>3</v>
      </c>
      <c r="D32" s="73" t="n">
        <v>2.85</v>
      </c>
      <c r="E32" s="73" t="n">
        <v>4.37</v>
      </c>
      <c r="F32" s="73" t="n">
        <v>4.93</v>
      </c>
      <c r="G32" s="73" t="n">
        <v>6.32</v>
      </c>
      <c r="H32" s="73" t="n">
        <v>6.63</v>
      </c>
      <c r="I32" s="73" t="n">
        <v>10.42</v>
      </c>
      <c r="J32" s="73" t="n">
        <v>9.59</v>
      </c>
      <c r="K32" s="73" t="n">
        <v>7.09</v>
      </c>
      <c r="L32" s="73" t="n">
        <v>6.55</v>
      </c>
      <c r="M32" s="73" t="n">
        <v>3.69</v>
      </c>
      <c r="N32" s="73" t="n">
        <v>4.53</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row>
    <row r="33">
      <c r="B33" t="inlineStr">
        <is>
          <t>Net Block</t>
        </is>
      </c>
      <c r="C33" s="73" t="n">
        <v>4.82</v>
      </c>
      <c r="D33" s="73" t="n">
        <v>5.51</v>
      </c>
      <c r="E33" s="73" t="n">
        <v>2.06</v>
      </c>
      <c r="F33" s="73" t="n">
        <v>5.33</v>
      </c>
      <c r="G33" s="73" t="n">
        <v>4.44</v>
      </c>
      <c r="H33" s="73" t="n">
        <v>7.2</v>
      </c>
      <c r="I33" s="73" t="n">
        <v>4.86</v>
      </c>
      <c r="J33" s="73" t="n">
        <v>8.25</v>
      </c>
      <c r="K33" s="73" t="n">
        <v>5.41</v>
      </c>
      <c r="L33" s="73" t="n">
        <v>12.88</v>
      </c>
      <c r="M33" s="73" t="n">
        <v>6.87</v>
      </c>
      <c r="N33" s="73" t="n">
        <v>7.43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15.87</v>
      </c>
      <c r="D34" t="n">
        <v>22.57</v>
      </c>
      <c r="E34" t="n">
        <v>18.61</v>
      </c>
      <c r="F34" s="73" t="n">
        <v>7.51</v>
      </c>
      <c r="G34" s="73" t="n">
        <v>17.87</v>
      </c>
      <c r="H34" s="73" t="n">
        <v>10.62</v>
      </c>
      <c r="I34" s="73" t="n">
        <v>9.6</v>
      </c>
      <c r="J34" s="73" t="n">
        <v>10.84</v>
      </c>
      <c r="K34" s="73" t="n">
        <v>6.29</v>
      </c>
      <c r="L34" s="73" t="n">
        <v>7.18</v>
      </c>
      <c r="M34" s="73" t="n">
        <v>9.85</v>
      </c>
      <c r="N34" s="73" t="n">
        <v>7.12</v>
      </c>
      <c r="R34" t="inlineStr">
        <is>
          <t>Investment in group cos</t>
        </is>
      </c>
      <c r="S34" s="73" t="n">
        <v>-3.98</v>
      </c>
      <c r="T34" s="73" t="n">
        <v>-7.29</v>
      </c>
      <c r="U34" s="73" t="n">
        <v>4.74</v>
      </c>
      <c r="V34" s="73" t="n">
        <v>9.6</v>
      </c>
      <c r="W34" s="73" t="n">
        <v>-10.96</v>
      </c>
      <c r="X34" s="73" t="n">
        <v>-0.76</v>
      </c>
      <c r="Y34" s="73" t="n">
        <v>12.11</v>
      </c>
      <c r="Z34" s="73" t="n">
        <v>-0.31</v>
      </c>
      <c r="AA34" s="73" t="n">
        <v>5.05</v>
      </c>
      <c r="AB34" s="73" t="n">
        <v>-1.51</v>
      </c>
      <c r="AC34" s="73" t="n">
        <v>-6.62</v>
      </c>
      <c r="AD34" s="73" t="n">
        <v>-0.16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1.28</v>
      </c>
      <c r="D36" s="73" t="n">
        <v>1.92</v>
      </c>
      <c r="E36" s="73" t="n">
        <v>3.87</v>
      </c>
      <c r="F36" s="73" t="n">
        <v>3.99</v>
      </c>
      <c r="G36" s="73" t="n">
        <v>6</v>
      </c>
      <c r="H36" s="73" t="n">
        <v>16.84</v>
      </c>
      <c r="I36" s="73" t="n">
        <v>3.16</v>
      </c>
      <c r="J36" s="73" t="n">
        <v>2.55</v>
      </c>
      <c r="K36" s="73" t="n">
        <v>2.74</v>
      </c>
      <c r="L36" s="73" t="n">
        <v>8.23</v>
      </c>
      <c r="M36" s="73" t="n">
        <v>12.67</v>
      </c>
      <c r="N36" s="73" t="n">
        <v>19.66</v>
      </c>
      <c r="O36" s="73" t="n"/>
      <c r="R36" t="inlineStr">
        <is>
          <t>Other investing items</t>
        </is>
      </c>
      <c r="S36" s="73" t="n">
        <v>-2</v>
      </c>
      <c r="T36" s="73" t="n">
        <v>-2</v>
      </c>
      <c r="U36" s="73" t="n">
        <v>-2</v>
      </c>
      <c r="V36" s="73" t="n">
        <v>-2</v>
      </c>
      <c r="W36" s="73" t="n">
        <v>-2</v>
      </c>
      <c r="X36" s="73" t="n">
        <v>-2</v>
      </c>
      <c r="Y36" s="73" t="n">
        <v>-1</v>
      </c>
      <c r="Z36" s="73" t="n">
        <v>-1</v>
      </c>
      <c r="AA36" t="n">
        <v>-1</v>
      </c>
      <c r="AB36" s="73" t="n">
        <v>-2</v>
      </c>
      <c r="AC36" t="n">
        <v>-1</v>
      </c>
      <c r="AD36" s="73" t="n">
        <v>-1</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v>
      </c>
      <c r="D38" s="73" t="n">
        <v>76</v>
      </c>
      <c r="E38" s="73" t="n">
        <v>108</v>
      </c>
      <c r="F38" s="73" t="n">
        <v>125</v>
      </c>
      <c r="G38" s="73" t="n">
        <v>148</v>
      </c>
      <c r="H38" s="73" t="n">
        <v>164</v>
      </c>
      <c r="I38" s="73" t="n">
        <v>177</v>
      </c>
      <c r="J38" s="73" t="n">
        <v>187</v>
      </c>
      <c r="K38" s="73" t="n">
        <v>198</v>
      </c>
      <c r="L38" s="73" t="n">
        <v>217</v>
      </c>
      <c r="M38" s="73" t="n">
        <v>233</v>
      </c>
      <c r="N38" s="73" t="n">
        <v>256</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-0.53</v>
      </c>
      <c r="T39" t="n">
        <v>-0.04</v>
      </c>
      <c r="U39" t="n">
        <v>0</v>
      </c>
      <c r="V39" t="n">
        <v>0</v>
      </c>
      <c r="W39" t="n">
        <v>0</v>
      </c>
      <c r="X39" t="n">
        <v>0</v>
      </c>
      <c r="Y39" t="n">
        <v>0</v>
      </c>
      <c r="Z39" t="n">
        <v>0</v>
      </c>
      <c r="AA39" t="n">
        <v>0</v>
      </c>
      <c r="AB39" t="n">
        <v>0</v>
      </c>
      <c r="AC39" t="n">
        <v>0</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-0.04</v>
      </c>
      <c r="T40" t="n">
        <v>0</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-1.32</v>
      </c>
      <c r="T41" s="73" t="n">
        <v>-1.35</v>
      </c>
      <c r="U41" s="73" t="n">
        <v>-1.35</v>
      </c>
      <c r="V41" s="73" t="n">
        <v>-1.33</v>
      </c>
      <c r="W41" s="73" t="n">
        <v>-1.35</v>
      </c>
      <c r="X41" s="73" t="n">
        <v>-1.35</v>
      </c>
      <c r="Y41" s="73" t="n">
        <v>-1.35</v>
      </c>
      <c r="Z41" s="73" t="n">
        <v>-1.35</v>
      </c>
      <c r="AA41" s="73" t="n">
        <v>-1.35</v>
      </c>
      <c r="AB41" s="73" t="n">
        <v>-1.85</v>
      </c>
      <c r="AC41" s="73" t="n">
        <v>-1.35</v>
      </c>
      <c r="AD41" s="73" t="n">
        <v>-1.48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v>
      </c>
      <c r="U45" t="n">
        <v>1</v>
      </c>
      <c r="V45" t="n">
        <v>-2</v>
      </c>
      <c r="W45" t="n">
        <v>-1</v>
      </c>
      <c r="X45" t="n">
        <v>3</v>
      </c>
      <c r="Y45" t="n">
        <v>-2</v>
      </c>
      <c r="Z45" t="n">
        <v>1</v>
      </c>
      <c r="AA45" t="n">
        <v>0</v>
      </c>
      <c r="AB45" t="n">
        <v>2</v>
      </c>
      <c r="AC45" t="n">
        <v>1</v>
      </c>
      <c r="AD45" t="n">
        <v>-1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1.0289</v>
      </c>
      <c r="AR58" t="n">
        <v>144.4</v>
      </c>
      <c r="AS58">
        <f>AZ58-BA58</f>
        <v/>
      </c>
      <c r="AT58">
        <f>AR58+AS58</f>
        <v/>
      </c>
      <c r="AU58" t="n">
        <v>340.5</v>
      </c>
      <c r="AV58" t="n">
        <v>27.1</v>
      </c>
      <c r="AW58" t="n">
        <v>7.22</v>
      </c>
      <c r="AX58" t="n">
        <v>15</v>
      </c>
      <c r="AZ58" t="n">
        <v>36.1</v>
      </c>
      <c r="BA58" t="n">
        <v>7.2</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1.5288</v>
      </c>
      <c r="AR60" t="n">
        <v>107.2</v>
      </c>
      <c r="AS60">
        <f>AZ60-BA60</f>
        <v/>
      </c>
      <c r="AT60">
        <f>AR60+AS60</f>
        <v/>
      </c>
      <c r="AU60" t="n">
        <v>5.2</v>
      </c>
      <c r="AV60" t="n">
        <v>1.9</v>
      </c>
      <c r="AW60" t="n">
        <v>5.36</v>
      </c>
      <c r="AX60" t="n">
        <v>15</v>
      </c>
      <c r="AZ60" t="n">
        <v>26.8</v>
      </c>
      <c r="BA60" t="n">
        <v>5.4</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0.6677</v>
      </c>
      <c r="AR63" t="n">
        <v>78.7</v>
      </c>
      <c r="AS63">
        <f>AZ63-BA63</f>
        <v/>
      </c>
      <c r="AT63">
        <f>AR63+AS63</f>
        <v/>
      </c>
      <c r="AU63" t="n">
        <v>24.9</v>
      </c>
      <c r="AV63" t="n">
        <v>40.5</v>
      </c>
      <c r="AW63" t="n">
        <v>3.94</v>
      </c>
      <c r="AX63" t="n">
        <v>15</v>
      </c>
      <c r="AZ63" t="n">
        <v>19.7</v>
      </c>
      <c r="BA63" t="n">
        <v>3.9</v>
      </c>
    </row>
    <row r="64">
      <c r="K64" t="n">
        <v>8</v>
      </c>
      <c r="L64" t="inlineStr">
        <is>
          <t>Jay Shree Tea</t>
        </is>
      </c>
      <c r="M64" t="n">
        <v>89.37</v>
      </c>
      <c r="N64" t="n">
        <v>2.8858</v>
      </c>
      <c r="AR64" t="n">
        <v>257.9</v>
      </c>
      <c r="AS64">
        <f>AZ64-BA64</f>
        <v/>
      </c>
      <c r="AT64">
        <f>AR64+AS64</f>
        <v/>
      </c>
      <c r="AU64" t="n">
        <v>824.7</v>
      </c>
      <c r="AV64" t="n">
        <v>148.4</v>
      </c>
      <c r="AW64" t="n">
        <v>12.89</v>
      </c>
      <c r="AX64" t="n">
        <v>15</v>
      </c>
      <c r="AZ64" t="n">
        <v>64.5</v>
      </c>
      <c r="BA64" t="n">
        <v>12.9</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2026-09-25T16:23:37Z</dcterms:modified>
  <cp:lastModifiedBy>Loveish</cp:lastModifiedBy>
  <cp:lastPrinted>2012-12-06T18:14:13Z</cp:lastPrinted>
</cp:coreProperties>
</file>