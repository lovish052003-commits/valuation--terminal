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0" activeTab="17"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2">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s>
  <fonts count="19">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s>
  <fills count="14">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87">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74" fontId="0" fillId="0" borderId="0" pivotButton="0" quotePrefix="0" xfId="0"/>
    <xf numFmtId="175" fontId="0" fillId="0" borderId="0" pivotButton="0" quotePrefix="0" xfId="0"/>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Analysis'!$F$66:$I$66</f>
              <numCache>
                <formatCode>"₹"\ #,##0.00;\("₹"\ #,##0.0\);\-</formatCode>
                <ptCount val="4"/>
                <pt idx="0">
                  <v>19191.66</v>
                </pt>
                <pt idx="1">
                  <v>20458.78</v>
                </pt>
                <pt idx="2">
                  <v>34746.63</v>
                </pt>
                <pt idx="3">
                  <v>20689.47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Analysis'!$F$71:$I$71</f>
              <numCache>
                <formatCode>"₹"\ #,##0.00;\("₹"\ #,##0.0\);\-</formatCode>
                <ptCount val="4"/>
                <pt idx="0">
                  <v>81513.49000000001</v>
                </pt>
                <pt idx="1">
                  <v>88792.465</v>
                </pt>
                <pt idx="2">
                  <v>89878.33499999999</v>
                </pt>
                <pt idx="3">
                  <v>90819.95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45016</v>
                </pt>
                <pt idx="1">
                  <v>45382</v>
                </pt>
                <pt idx="2">
                  <v>45747</v>
                </pt>
                <pt idx="3">
                  <v>46112</v>
                </pt>
              </numCache>
            </numRef>
          </cat>
          <val>
            <numRef>
              <f>'Dupont Analysis'!$F$78:$I$78</f>
              <numCache>
                <formatCode>0.00%</formatCode>
                <ptCount val="4"/>
                <pt idx="0">
                  <v>0.2916425646734391</v>
                </pt>
                <pt idx="1">
                  <v>0.2848177384930461</v>
                </pt>
                <pt idx="2">
                  <v>0.4807989370199544</v>
                </pt>
                <pt idx="3">
                  <v>0.2903024365192702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Analysis'!$F$84:$I$84</f>
              <numCache>
                <formatCode>0.00%</formatCode>
                <ptCount val="4"/>
                <pt idx="0">
                  <v>0.235441520170465</v>
                </pt>
                <pt idx="1">
                  <v>0.2304112178888152</v>
                </pt>
                <pt idx="2">
                  <v>0.3865962804050609</v>
                </pt>
                <pt idx="3">
                  <v>0.2278075466899068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Analysis'!$F$76:$I$76</f>
              <numCache>
                <formatCode>0.00\x</formatCode>
                <ptCount val="4"/>
                <pt idx="0">
                  <v>1.238704899893117</v>
                </pt>
                <pt idx="1">
                  <v>1.236127915570867</v>
                </pt>
                <pt idx="2">
                  <v>1.243671916646977</v>
                </pt>
                <pt idx="3">
                  <v>1.274331955799655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Score'!$F$65:$I$65</f>
              <numCache>
                <formatCode>"₹"\ #,##0.00;\("₹"\ #,##0.0\);\-</formatCode>
                <ptCount val="4"/>
                <pt idx="0">
                  <v>67912.46000000001</v>
                </pt>
                <pt idx="1">
                  <v>73258.53</v>
                </pt>
                <pt idx="2">
                  <v>68778.64</v>
                </pt>
                <pt idx="3">
                  <v>71254.35000000001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Score'!$F$72:$I$72</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19.6431083718611</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26.79192909443082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29.06586832933553</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28.53030841306096</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17.05988741073077</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44651</v>
                </pt>
                <pt idx="1">
                  <v>45016</v>
                </pt>
                <pt idx="2">
                  <v>45382</v>
                </pt>
                <pt idx="3">
                  <v>45747</v>
                </pt>
                <pt idx="4">
                  <v>46112</v>
                </pt>
              </numCache>
            </numRef>
          </cat>
          <val>
            <numRef>
              <f>'Altman''s Z Score'!$E$85:$I$85</f>
              <numCache>
                <formatCode>0.00%</formatCode>
                <ptCount val="5"/>
                <pt idx="0">
                  <v>0.7855915369730201</v>
                </pt>
                <pt idx="1">
                  <v>0.8262639728135395</v>
                </pt>
                <pt idx="2">
                  <v>0.7403705801503739</v>
                </pt>
                <pt idx="3">
                  <v>0.8559207842486651</v>
                </pt>
                <pt idx="4">
                  <v>0.8422763602499861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44651</v>
                </pt>
                <pt idx="1">
                  <v>45016</v>
                </pt>
                <pt idx="2">
                  <v>45382</v>
                </pt>
                <pt idx="3">
                  <v>45747</v>
                </pt>
                <pt idx="4">
                  <v>46112</v>
                </pt>
              </numCache>
            </numRef>
          </cat>
          <val>
            <numRef>
              <f>'Altman''s Z Score'!$E$89:$I$89</f>
              <numCache>
                <formatCode>0.00</formatCode>
                <ptCount val="5"/>
                <pt idx="0">
                  <v>14.73271798263452</v>
                </pt>
                <pt idx="1">
                  <v>19.16499154449812</v>
                </pt>
                <pt idx="2">
                  <v>20.43898111905437</v>
                </pt>
                <pt idx="3">
                  <v>20.81389720212275</v>
                </pt>
                <pt idx="4">
                  <v>13.29768689872879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t="inlineStr">
        <is>
          <t>Infosys Ltd (INFY) - Institutional Valuation</t>
        </is>
      </c>
    </row>
    <row r="4">
      <c r="A4" t="inlineStr">
        <is>
          <t>Current Price</t>
        </is>
      </c>
      <c r="B4" t="inlineStr">
        <is>
          <t>Intrinsic Value</t>
        </is>
      </c>
      <c r="C4" t="inlineStr">
        <is>
          <t>Margin of Safety</t>
        </is>
      </c>
      <c r="D4" t="inlineStr">
        <is>
          <t>Verdict</t>
        </is>
      </c>
      <c r="E4" t="inlineStr">
        <is>
          <t>WACC</t>
        </is>
      </c>
      <c r="F4" t="inlineStr">
        <is>
          <t>Altman Z-Score</t>
        </is>
      </c>
      <c r="G4" t="inlineStr">
        <is>
          <t>DuPont ROE</t>
        </is>
      </c>
    </row>
    <row r="5">
      <c r="A5" s="170">
        <f>DCF!D44</f>
        <v/>
      </c>
      <c r="B5" s="170">
        <f>DCF!D42</f>
        <v/>
      </c>
      <c r="C5" s="171">
        <f>(B5-A5)/A5</f>
        <v/>
      </c>
      <c r="D5">
        <f>IF(C5&gt;0.15,"UNDERVALUED / BUY",IF(C5&lt;-0.15,"OVERVALUED / SELL","FAIRLY VALUED / HOLD"))</f>
        <v/>
      </c>
      <c r="E5" s="46">
        <f>DCF!D20</f>
        <v/>
      </c>
      <c r="F5" s="47">
        <f>'Altman''s Z Score'!I89</f>
        <v/>
      </c>
      <c r="G5" s="46">
        <f>'Dupont Analysis'!I78</f>
        <v/>
      </c>
    </row>
    <row r="6">
      <c r="C6">
        <f>DCF!D42</f>
        <v/>
      </c>
    </row>
    <row r="7">
      <c r="C7">
        <f>DCF!D44</f>
        <v/>
      </c>
    </row>
    <row r="8">
      <c r="C8">
        <f>(C6-C7)/C7</f>
        <v/>
      </c>
    </row>
    <row r="10">
      <c r="C10">
        <f>WACC!K29</f>
        <v/>
      </c>
    </row>
    <row r="11">
      <c r="C11">
        <f>WACC!K26</f>
        <v/>
      </c>
    </row>
    <row r="12">
      <c r="C12">
        <f>WACC!K28</f>
        <v/>
      </c>
    </row>
    <row r="15">
      <c r="A15" t="inlineStr">
        <is>
          <t>Year 1</t>
        </is>
      </c>
      <c r="B15">
        <f>DCF!I8</f>
        <v/>
      </c>
      <c r="C15">
        <f>DCF!I10</f>
        <v/>
      </c>
      <c r="D15">
        <f>DCF!I11</f>
        <v/>
      </c>
      <c r="E15">
        <f>DCF!I12</f>
        <v/>
      </c>
      <c r="F15">
        <f>DCF!I14</f>
        <v/>
      </c>
      <c r="G15">
        <f>DCF!I16</f>
        <v/>
      </c>
    </row>
    <row r="16">
      <c r="A16" t="inlineStr">
        <is>
          <t>Year 2</t>
        </is>
      </c>
      <c r="B16">
        <f>DCF!J8</f>
        <v/>
      </c>
      <c r="C16">
        <f>DCF!J10</f>
        <v/>
      </c>
      <c r="D16">
        <f>DCF!J11</f>
        <v/>
      </c>
      <c r="E16">
        <f>DCF!J12</f>
        <v/>
      </c>
      <c r="F16">
        <f>DCF!J14</f>
        <v/>
      </c>
      <c r="G16">
        <f>DCF!J16</f>
        <v/>
      </c>
    </row>
    <row r="17">
      <c r="A17" t="inlineStr">
        <is>
          <t>Year 3</t>
        </is>
      </c>
      <c r="B17">
        <f>DCF!K8</f>
        <v/>
      </c>
      <c r="C17">
        <f>DCF!K10</f>
        <v/>
      </c>
      <c r="D17">
        <f>DCF!K11</f>
        <v/>
      </c>
      <c r="E17">
        <f>DCF!K12</f>
        <v/>
      </c>
      <c r="F17">
        <f>DCF!K14</f>
        <v/>
      </c>
      <c r="G17">
        <f>DCF!K16</f>
        <v/>
      </c>
    </row>
    <row r="18">
      <c r="A18" t="inlineStr">
        <is>
          <t>Year 4</t>
        </is>
      </c>
      <c r="B18">
        <f>DCF!L8</f>
        <v/>
      </c>
      <c r="C18">
        <f>DCF!L10</f>
        <v/>
      </c>
      <c r="D18">
        <f>DCF!L11</f>
        <v/>
      </c>
      <c r="E18">
        <f>DCF!L12</f>
        <v/>
      </c>
      <c r="F18">
        <f>DCF!L14</f>
        <v/>
      </c>
      <c r="G18">
        <f>DCF!L16</f>
        <v/>
      </c>
    </row>
    <row r="19">
      <c r="A19" t="inlineStr">
        <is>
          <t>Year 5</t>
        </is>
      </c>
      <c r="B19">
        <f>DCF!M8</f>
        <v/>
      </c>
      <c r="C19">
        <f>DCF!M10</f>
        <v/>
      </c>
      <c r="D19">
        <f>DCF!M11</f>
        <v/>
      </c>
      <c r="E19">
        <f>DCF!M12</f>
        <v/>
      </c>
      <c r="F19">
        <f>DCF!M14</f>
        <v/>
      </c>
      <c r="G19">
        <f>DCF!M16</f>
        <v/>
      </c>
    </row>
    <row r="22">
      <c r="B22">
        <f>DCF!D33</f>
        <v/>
      </c>
      <c r="C22">
        <f>Comp_Valuation!O25</f>
        <v/>
      </c>
    </row>
    <row r="23">
      <c r="B23">
        <f>DCF!D29</f>
        <v/>
      </c>
      <c r="C23">
        <f>Comp_Valuation!P25</f>
        <v/>
      </c>
    </row>
    <row r="24">
      <c r="B24">
        <f>DCF!D34</f>
        <v/>
      </c>
    </row>
    <row r="25">
      <c r="B25">
        <f>DCF!D35</f>
        <v/>
      </c>
    </row>
    <row r="26">
      <c r="B26">
        <f>DCF!D37</f>
        <v/>
      </c>
    </row>
    <row r="27">
      <c r="B27">
        <f>DCF!D38</f>
        <v/>
      </c>
    </row>
    <row r="28">
      <c r="B28">
        <f>DCF!D39</f>
        <v/>
      </c>
    </row>
    <row r="29">
      <c r="B29">
        <f>DCF!D40</f>
        <v/>
      </c>
    </row>
    <row r="30">
      <c r="B30">
        <f>DCF!D42</f>
        <v/>
      </c>
    </row>
    <row r="31">
      <c r="B31">
        <f>DCF!D44</f>
        <v/>
      </c>
    </row>
    <row r="32">
      <c r="B32">
        <f>(B30-B31)/B31</f>
        <v/>
      </c>
    </row>
  </sheetData>
  <pageMargins left="0.75" right="0.75" top="1" bottom="1" header="0.5" footer="0.5"/>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72">
        <f>'Data Sheet'!B17</f>
        <v/>
      </c>
      <c r="C4" s="172">
        <f>'Data Sheet'!C17</f>
        <v/>
      </c>
      <c r="D4" s="172">
        <f>'Data Sheet'!D17</f>
        <v/>
      </c>
      <c r="E4" s="172">
        <f>'Data Sheet'!E17</f>
        <v/>
      </c>
      <c r="F4" s="172">
        <f>'Data Sheet'!F17</f>
        <v/>
      </c>
      <c r="G4" s="172">
        <f>'Data Sheet'!G17</f>
        <v/>
      </c>
      <c r="H4" s="172">
        <f>'Data Sheet'!H17</f>
        <v/>
      </c>
      <c r="I4" s="172">
        <f>'Data Sheet'!I17</f>
        <v/>
      </c>
      <c r="J4" s="172">
        <f>'Data Sheet'!J17</f>
        <v/>
      </c>
      <c r="K4" s="172">
        <f>'Data Sheet'!K17</f>
        <v/>
      </c>
      <c r="L4" s="172">
        <f>SUM(Quarters!H4:K4)</f>
        <v/>
      </c>
      <c r="M4" s="172">
        <f>$K4+M23*K4</f>
        <v/>
      </c>
      <c r="N4" s="172">
        <f>$K4+N23*L4</f>
        <v/>
      </c>
    </row>
    <row r="5">
      <c r="A5" t="inlineStr">
        <is>
          <t>Expenses</t>
        </is>
      </c>
      <c r="B5" s="173">
        <f>SUM('Data Sheet'!B18,'Data Sheet'!B20:B24, -1*'Data Sheet'!B19)</f>
        <v/>
      </c>
      <c r="C5" s="173">
        <f>SUM('Data Sheet'!C18,'Data Sheet'!C20:C24, -1*'Data Sheet'!C19)</f>
        <v/>
      </c>
      <c r="D5" s="173">
        <f>SUM('Data Sheet'!D18,'Data Sheet'!D20:D24, -1*'Data Sheet'!D19)</f>
        <v/>
      </c>
      <c r="E5" s="173">
        <f>SUM('Data Sheet'!E18,'Data Sheet'!E20:E24, -1*'Data Sheet'!E19)</f>
        <v/>
      </c>
      <c r="F5" s="173">
        <f>SUM('Data Sheet'!F18,'Data Sheet'!F20:F24, -1*'Data Sheet'!F19)</f>
        <v/>
      </c>
      <c r="G5" s="173">
        <f>SUM('Data Sheet'!G18,'Data Sheet'!G20:G24, -1*'Data Sheet'!G19)</f>
        <v/>
      </c>
      <c r="H5" s="173">
        <f>SUM('Data Sheet'!H18,'Data Sheet'!H20:H24, -1*'Data Sheet'!H19)</f>
        <v/>
      </c>
      <c r="I5" s="173">
        <f>SUM('Data Sheet'!I18,'Data Sheet'!I20:I24, -1*'Data Sheet'!I19)</f>
        <v/>
      </c>
      <c r="J5" s="173">
        <f>SUM('Data Sheet'!J18,'Data Sheet'!J20:J24, -1*'Data Sheet'!J19)</f>
        <v/>
      </c>
      <c r="K5" s="173">
        <f>SUM('Data Sheet'!K18,'Data Sheet'!K20:K24, -1*'Data Sheet'!K19)</f>
        <v/>
      </c>
      <c r="L5" s="173">
        <f>SUM(Quarters!H5:K5)</f>
        <v/>
      </c>
      <c r="M5" s="173">
        <f>M4-M6</f>
        <v/>
      </c>
      <c r="N5" s="173">
        <f>N4-N6</f>
        <v/>
      </c>
    </row>
    <row r="6" customFormat="1" s="37">
      <c r="A6" s="37" t="inlineStr">
        <is>
          <t>Operating Profit</t>
        </is>
      </c>
      <c r="B6" s="172">
        <f>B4-B5</f>
        <v/>
      </c>
      <c r="C6" s="172">
        <f>C4-C5</f>
        <v/>
      </c>
      <c r="D6" s="172">
        <f>D4-D5</f>
        <v/>
      </c>
      <c r="E6" s="172">
        <f>E4-E5</f>
        <v/>
      </c>
      <c r="F6" s="172">
        <f>F4-F5</f>
        <v/>
      </c>
      <c r="G6" s="172">
        <f>G4-G5</f>
        <v/>
      </c>
      <c r="H6" s="172">
        <f>H4-H5</f>
        <v/>
      </c>
      <c r="I6" s="172">
        <f>I4-I5</f>
        <v/>
      </c>
      <c r="J6" s="172">
        <f>J4-J5</f>
        <v/>
      </c>
      <c r="K6" s="172">
        <f>K4-K5</f>
        <v/>
      </c>
      <c r="L6" s="172">
        <f>SUM(Quarters!H6:K6)</f>
        <v/>
      </c>
      <c r="M6" s="172">
        <f>M4*M24</f>
        <v/>
      </c>
      <c r="N6" s="172">
        <f>N4*N24</f>
        <v/>
      </c>
    </row>
    <row r="7">
      <c r="A7" t="inlineStr">
        <is>
          <t>Other Income</t>
        </is>
      </c>
      <c r="B7" s="173">
        <f>'Data Sheet'!B25</f>
        <v/>
      </c>
      <c r="C7" s="173">
        <f>'Data Sheet'!C25</f>
        <v/>
      </c>
      <c r="D7" s="173">
        <f>'Data Sheet'!D25</f>
        <v/>
      </c>
      <c r="E7" s="173">
        <f>'Data Sheet'!E25</f>
        <v/>
      </c>
      <c r="F7" s="173">
        <f>'Data Sheet'!F25</f>
        <v/>
      </c>
      <c r="G7" s="173">
        <f>'Data Sheet'!G25</f>
        <v/>
      </c>
      <c r="H7" s="173">
        <f>'Data Sheet'!H25</f>
        <v/>
      </c>
      <c r="I7" s="173">
        <f>'Data Sheet'!I25</f>
        <v/>
      </c>
      <c r="J7" s="173">
        <f>'Data Sheet'!J25</f>
        <v/>
      </c>
      <c r="K7" s="173">
        <f>'Data Sheet'!K25</f>
        <v/>
      </c>
      <c r="L7" s="173">
        <f>SUM(Quarters!H7:K7)</f>
        <v/>
      </c>
      <c r="M7" s="173" t="n">
        <v>0</v>
      </c>
      <c r="N7" s="173" t="n">
        <v>0</v>
      </c>
    </row>
    <row r="8">
      <c r="A8" t="inlineStr">
        <is>
          <t>Depreciation</t>
        </is>
      </c>
      <c r="B8" s="173">
        <f>'Data Sheet'!B26</f>
        <v/>
      </c>
      <c r="C8" s="173">
        <f>'Data Sheet'!C26</f>
        <v/>
      </c>
      <c r="D8" s="173">
        <f>'Data Sheet'!D26</f>
        <v/>
      </c>
      <c r="E8" s="173">
        <f>'Data Sheet'!E26</f>
        <v/>
      </c>
      <c r="F8" s="173">
        <f>'Data Sheet'!F26</f>
        <v/>
      </c>
      <c r="G8" s="173">
        <f>'Data Sheet'!G26</f>
        <v/>
      </c>
      <c r="H8" s="173">
        <f>'Data Sheet'!H26</f>
        <v/>
      </c>
      <c r="I8" s="173">
        <f>'Data Sheet'!I26</f>
        <v/>
      </c>
      <c r="J8" s="173">
        <f>'Data Sheet'!J26</f>
        <v/>
      </c>
      <c r="K8" s="173">
        <f>'Data Sheet'!K26</f>
        <v/>
      </c>
      <c r="L8" s="173">
        <f>SUM(Quarters!H8:K8)</f>
        <v/>
      </c>
      <c r="M8" s="173">
        <f>+$L8</f>
        <v/>
      </c>
      <c r="N8" s="173">
        <f>+$L8</f>
        <v/>
      </c>
    </row>
    <row r="9">
      <c r="A9" t="inlineStr">
        <is>
          <t>Interest</t>
        </is>
      </c>
      <c r="B9" s="173">
        <f>'Data Sheet'!B27</f>
        <v/>
      </c>
      <c r="C9" s="173">
        <f>'Data Sheet'!C27</f>
        <v/>
      </c>
      <c r="D9" s="173">
        <f>'Data Sheet'!D27</f>
        <v/>
      </c>
      <c r="E9" s="173">
        <f>'Data Sheet'!E27</f>
        <v/>
      </c>
      <c r="F9" s="173">
        <f>'Data Sheet'!F27</f>
        <v/>
      </c>
      <c r="G9" s="173">
        <f>'Data Sheet'!G27</f>
        <v/>
      </c>
      <c r="H9" s="173">
        <f>'Data Sheet'!H27</f>
        <v/>
      </c>
      <c r="I9" s="173">
        <f>'Data Sheet'!I27</f>
        <v/>
      </c>
      <c r="J9" s="173">
        <f>'Data Sheet'!J27</f>
        <v/>
      </c>
      <c r="K9" s="173">
        <f>'Data Sheet'!K27</f>
        <v/>
      </c>
      <c r="L9" s="173">
        <f>SUM(Quarters!H9:K9)</f>
        <v/>
      </c>
      <c r="M9" s="173">
        <f>+$L9</f>
        <v/>
      </c>
      <c r="N9" s="173">
        <f>+$L9</f>
        <v/>
      </c>
    </row>
    <row r="10">
      <c r="A10" t="inlineStr">
        <is>
          <t>Profit before tax</t>
        </is>
      </c>
      <c r="B10" s="173">
        <f>'Data Sheet'!B28</f>
        <v/>
      </c>
      <c r="C10" s="173">
        <f>'Data Sheet'!C28</f>
        <v/>
      </c>
      <c r="D10" s="173">
        <f>'Data Sheet'!D28</f>
        <v/>
      </c>
      <c r="E10" s="173">
        <f>'Data Sheet'!E28</f>
        <v/>
      </c>
      <c r="F10" s="173">
        <f>'Data Sheet'!F28</f>
        <v/>
      </c>
      <c r="G10" s="173">
        <f>'Data Sheet'!G28</f>
        <v/>
      </c>
      <c r="H10" s="173">
        <f>'Data Sheet'!H28</f>
        <v/>
      </c>
      <c r="I10" s="173">
        <f>'Data Sheet'!I28</f>
        <v/>
      </c>
      <c r="J10" s="173">
        <f>'Data Sheet'!J28</f>
        <v/>
      </c>
      <c r="K10" s="173">
        <f>'Data Sheet'!K28</f>
        <v/>
      </c>
      <c r="L10" s="173">
        <f>SUM(Quarters!H10:K10)</f>
        <v/>
      </c>
      <c r="M10" s="173">
        <f>M6+M7-SUM(M8:M9)</f>
        <v/>
      </c>
      <c r="N10" s="173">
        <f>N6+N7-SUM(N8:N9)</f>
        <v/>
      </c>
    </row>
    <row r="11">
      <c r="A11" t="inlineStr">
        <is>
          <t>Tax</t>
        </is>
      </c>
      <c r="B11" s="173">
        <f>'Data Sheet'!B29</f>
        <v/>
      </c>
      <c r="C11" s="173">
        <f>'Data Sheet'!C29</f>
        <v/>
      </c>
      <c r="D11" s="173">
        <f>'Data Sheet'!D29</f>
        <v/>
      </c>
      <c r="E11" s="173">
        <f>'Data Sheet'!E29</f>
        <v/>
      </c>
      <c r="F11" s="173">
        <f>'Data Sheet'!F29</f>
        <v/>
      </c>
      <c r="G11" s="173">
        <f>'Data Sheet'!G29</f>
        <v/>
      </c>
      <c r="H11" s="173">
        <f>'Data Sheet'!H29</f>
        <v/>
      </c>
      <c r="I11" s="173">
        <f>'Data Sheet'!I29</f>
        <v/>
      </c>
      <c r="J11" s="173">
        <f>'Data Sheet'!J29</f>
        <v/>
      </c>
      <c r="K11" s="173">
        <f>'Data Sheet'!K29</f>
        <v/>
      </c>
      <c r="L11" s="173">
        <f>SUM(Quarters!H11:K11)</f>
        <v/>
      </c>
      <c r="M11" s="10">
        <f>IF($L10&gt;0,$L11/$L10,0)</f>
        <v/>
      </c>
      <c r="N11" s="10">
        <f>IF($L10&gt;0,$L11/$L10,0)</f>
        <v/>
      </c>
    </row>
    <row r="12" customFormat="1" s="37">
      <c r="A12" s="37" t="inlineStr">
        <is>
          <t>Net profit</t>
        </is>
      </c>
      <c r="B12" s="172">
        <f>'Data Sheet'!B30</f>
        <v/>
      </c>
      <c r="C12" s="172">
        <f>'Data Sheet'!C30</f>
        <v/>
      </c>
      <c r="D12" s="172">
        <f>'Data Sheet'!D30</f>
        <v/>
      </c>
      <c r="E12" s="172">
        <f>'Data Sheet'!E30</f>
        <v/>
      </c>
      <c r="F12" s="172">
        <f>'Data Sheet'!F30</f>
        <v/>
      </c>
      <c r="G12" s="172">
        <f>'Data Sheet'!G30</f>
        <v/>
      </c>
      <c r="H12" s="172">
        <f>'Data Sheet'!H30</f>
        <v/>
      </c>
      <c r="I12" s="172">
        <f>'Data Sheet'!I30</f>
        <v/>
      </c>
      <c r="J12" s="172">
        <f>'Data Sheet'!J30</f>
        <v/>
      </c>
      <c r="K12" s="172">
        <f>'Data Sheet'!K30</f>
        <v/>
      </c>
      <c r="L12" s="172">
        <f>SUM(Quarters!H12:K12)</f>
        <v/>
      </c>
      <c r="M12" s="172">
        <f>M10-M11*M10</f>
        <v/>
      </c>
      <c r="N12" s="172">
        <f>N10-N11*N10</f>
        <v/>
      </c>
    </row>
    <row r="13">
      <c r="A13" t="inlineStr">
        <is>
          <t>EPS</t>
        </is>
      </c>
      <c r="B13" s="173">
        <f>IF('Data Sheet'!B93&gt;0,B12/'Data Sheet'!B93,0)</f>
        <v/>
      </c>
      <c r="C13" s="173">
        <f>IF('Data Sheet'!C93&gt;0,C12/'Data Sheet'!C93,0)</f>
        <v/>
      </c>
      <c r="D13" s="173">
        <f>IF('Data Sheet'!D93&gt;0,D12/'Data Sheet'!D93,0)</f>
        <v/>
      </c>
      <c r="E13" s="173">
        <f>IF('Data Sheet'!E93&gt;0,E12/'Data Sheet'!E93,0)</f>
        <v/>
      </c>
      <c r="F13" s="173">
        <f>IF('Data Sheet'!F93&gt;0,F12/'Data Sheet'!F93,0)</f>
        <v/>
      </c>
      <c r="G13" s="173">
        <f>IF('Data Sheet'!G93&gt;0,G12/'Data Sheet'!G93,0)</f>
        <v/>
      </c>
      <c r="H13" s="173">
        <f>IF('Data Sheet'!H93&gt;0,H12/'Data Sheet'!H93,0)</f>
        <v/>
      </c>
      <c r="I13" s="173">
        <f>IF('Data Sheet'!I93&gt;0,I12/'Data Sheet'!I93,0)</f>
        <v/>
      </c>
      <c r="J13" s="173">
        <f>IF('Data Sheet'!J93&gt;0,J12/'Data Sheet'!J93,0)</f>
        <v/>
      </c>
      <c r="K13" s="173">
        <f>IF('Data Sheet'!K93&gt;0,K12/'Data Sheet'!K93,0)</f>
        <v/>
      </c>
      <c r="L13" s="173">
        <f>IF('Data Sheet'!$B6&gt;0,'Profit &amp; Loss'!L12/'Data Sheet'!$B6,0)</f>
        <v/>
      </c>
      <c r="M13" s="173">
        <f>IF('Data Sheet'!$B6&gt;0,'Profit &amp; Loss'!M12/'Data Sheet'!$B6,0)</f>
        <v/>
      </c>
      <c r="N13" s="173">
        <f>IF('Data Sheet'!$B6&gt;0,'Profit &amp; Loss'!N12/'Data Sheet'!$B6,0)</f>
        <v/>
      </c>
    </row>
    <row r="14">
      <c r="A14" t="inlineStr">
        <is>
          <t>Price to earning</t>
        </is>
      </c>
      <c r="B14" s="173">
        <f>IF(B15&gt;0,B15/B13,"")</f>
        <v/>
      </c>
      <c r="C14" s="173">
        <f>IF(C15&gt;0,C15/C13,"")</f>
        <v/>
      </c>
      <c r="D14" s="173">
        <f>IF(D15&gt;0,D15/D13,"")</f>
        <v/>
      </c>
      <c r="E14" s="173">
        <f>IF(E15&gt;0,E15/E13,"")</f>
        <v/>
      </c>
      <c r="F14" s="173">
        <f>IF(F15&gt;0,F15/F13,"")</f>
        <v/>
      </c>
      <c r="G14" s="173">
        <f>IF(G15&gt;0,G15/G13,"")</f>
        <v/>
      </c>
      <c r="H14" s="173">
        <f>IF(H15&gt;0,H15/H13,"")</f>
        <v/>
      </c>
      <c r="I14" s="173">
        <f>IF(I15&gt;0,I15/I13,"")</f>
        <v/>
      </c>
      <c r="J14" s="173">
        <f>IF(J15&gt;0,J15/J13,"")</f>
        <v/>
      </c>
      <c r="K14" s="173">
        <f>IF(K15&gt;0,K15/K13,"")</f>
        <v/>
      </c>
      <c r="L14" s="173">
        <f>IF(L13&gt;0,L15/L13,0)</f>
        <v/>
      </c>
      <c r="M14" s="173">
        <f>M25</f>
        <v/>
      </c>
      <c r="N14" s="173">
        <f>N25</f>
        <v/>
      </c>
    </row>
    <row r="15" customFormat="1" s="37">
      <c r="A15" s="37" t="inlineStr">
        <is>
          <t>Price</t>
        </is>
      </c>
      <c r="B15" s="172">
        <f>'Data Sheet'!B90</f>
        <v/>
      </c>
      <c r="C15" s="172">
        <f>'Data Sheet'!C90</f>
        <v/>
      </c>
      <c r="D15" s="172">
        <f>'Data Sheet'!D90</f>
        <v/>
      </c>
      <c r="E15" s="172">
        <f>'Data Sheet'!E90</f>
        <v/>
      </c>
      <c r="F15" s="172">
        <f>'Data Sheet'!F90</f>
        <v/>
      </c>
      <c r="G15" s="172">
        <f>'Data Sheet'!G90</f>
        <v/>
      </c>
      <c r="H15" s="172">
        <f>'Data Sheet'!H90</f>
        <v/>
      </c>
      <c r="I15" s="172">
        <f>'Data Sheet'!I90</f>
        <v/>
      </c>
      <c r="J15" s="172">
        <f>'Data Sheet'!J90</f>
        <v/>
      </c>
      <c r="K15" s="172">
        <f>'Data Sheet'!K90</f>
        <v/>
      </c>
      <c r="L15" s="172">
        <f>'Data Sheet'!B8</f>
        <v/>
      </c>
      <c r="M15" s="174">
        <f>M13*M14</f>
        <v/>
      </c>
      <c r="N15" s="175">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73">
        <f>IF(ISERROR(AVERAGEIF(B14:$L14,"&gt;0")),"",AVERAGEIF(B14:$L14,"&gt;0"))</f>
        <v/>
      </c>
      <c r="I25" s="173">
        <f>IF(ISERROR(AVERAGEIF(E14:$L14,"&gt;0")),"",AVERAGEIF(E14:$L14,"&gt;0"))</f>
        <v/>
      </c>
      <c r="J25" s="173">
        <f>IF(ISERROR(AVERAGEIF(G14:$L14,"&gt;0")),"",AVERAGEIF(G14:$L14,"&gt;0"))</f>
        <v/>
      </c>
      <c r="K25" s="173">
        <f>IF(ISERROR(AVERAGEIF(I14:$L14,"&gt;0")),"",AVERAGEIF(I14:$L14,"&gt;0"))</f>
        <v/>
      </c>
      <c r="L25" s="173">
        <f>L14</f>
        <v/>
      </c>
      <c r="M25" s="172">
        <f>MAX(K25:L25)</f>
        <v/>
      </c>
      <c r="N25" s="172">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72">
        <f>'Data Sheet'!B42</f>
        <v/>
      </c>
      <c r="C4" s="172">
        <f>'Data Sheet'!C42</f>
        <v/>
      </c>
      <c r="D4" s="172">
        <f>'Data Sheet'!D42</f>
        <v/>
      </c>
      <c r="E4" s="172">
        <f>'Data Sheet'!E42</f>
        <v/>
      </c>
      <c r="F4" s="172">
        <f>'Data Sheet'!F42</f>
        <v/>
      </c>
      <c r="G4" s="172">
        <f>'Data Sheet'!G42</f>
        <v/>
      </c>
      <c r="H4" s="172">
        <f>'Data Sheet'!H42</f>
        <v/>
      </c>
      <c r="I4" s="172">
        <f>'Data Sheet'!I42</f>
        <v/>
      </c>
      <c r="J4" s="172">
        <f>'Data Sheet'!J42</f>
        <v/>
      </c>
      <c r="K4" s="172">
        <f>'Data Sheet'!K42</f>
        <v/>
      </c>
    </row>
    <row r="5">
      <c r="A5" t="inlineStr">
        <is>
          <t>Expenses</t>
        </is>
      </c>
      <c r="B5" s="173">
        <f>'Data Sheet'!B43</f>
        <v/>
      </c>
      <c r="C5" s="173">
        <f>'Data Sheet'!C43</f>
        <v/>
      </c>
      <c r="D5" s="173">
        <f>'Data Sheet'!D43</f>
        <v/>
      </c>
      <c r="E5" s="173">
        <f>'Data Sheet'!E43</f>
        <v/>
      </c>
      <c r="F5" s="173">
        <f>'Data Sheet'!F43</f>
        <v/>
      </c>
      <c r="G5" s="173">
        <f>'Data Sheet'!G43</f>
        <v/>
      </c>
      <c r="H5" s="173">
        <f>'Data Sheet'!H43</f>
        <v/>
      </c>
      <c r="I5" s="173">
        <f>'Data Sheet'!I43</f>
        <v/>
      </c>
      <c r="J5" s="173">
        <f>'Data Sheet'!J43</f>
        <v/>
      </c>
      <c r="K5" s="173">
        <f>'Data Sheet'!K43</f>
        <v/>
      </c>
    </row>
    <row r="6" customFormat="1" s="37">
      <c r="A6" s="37" t="inlineStr">
        <is>
          <t>Operating Profit</t>
        </is>
      </c>
      <c r="B6" s="172">
        <f>'Data Sheet'!B50</f>
        <v/>
      </c>
      <c r="C6" s="172">
        <f>'Data Sheet'!C50</f>
        <v/>
      </c>
      <c r="D6" s="172">
        <f>'Data Sheet'!D50</f>
        <v/>
      </c>
      <c r="E6" s="172">
        <f>'Data Sheet'!E50</f>
        <v/>
      </c>
      <c r="F6" s="172">
        <f>'Data Sheet'!F50</f>
        <v/>
      </c>
      <c r="G6" s="172">
        <f>'Data Sheet'!G50</f>
        <v/>
      </c>
      <c r="H6" s="172">
        <f>'Data Sheet'!H50</f>
        <v/>
      </c>
      <c r="I6" s="172">
        <f>'Data Sheet'!I50</f>
        <v/>
      </c>
      <c r="J6" s="172">
        <f>'Data Sheet'!J50</f>
        <v/>
      </c>
      <c r="K6" s="172">
        <f>'Data Sheet'!K50</f>
        <v/>
      </c>
    </row>
    <row r="7">
      <c r="A7" t="inlineStr">
        <is>
          <t>Other Income</t>
        </is>
      </c>
      <c r="B7" s="173">
        <f>'Data Sheet'!B44</f>
        <v/>
      </c>
      <c r="C7" s="173">
        <f>'Data Sheet'!C44</f>
        <v/>
      </c>
      <c r="D7" s="173">
        <f>'Data Sheet'!D44</f>
        <v/>
      </c>
      <c r="E7" s="173">
        <f>'Data Sheet'!E44</f>
        <v/>
      </c>
      <c r="F7" s="173">
        <f>'Data Sheet'!F44</f>
        <v/>
      </c>
      <c r="G7" s="173">
        <f>'Data Sheet'!G44</f>
        <v/>
      </c>
      <c r="H7" s="173">
        <f>'Data Sheet'!H44</f>
        <v/>
      </c>
      <c r="I7" s="173">
        <f>'Data Sheet'!I44</f>
        <v/>
      </c>
      <c r="J7" s="173">
        <f>'Data Sheet'!J44</f>
        <v/>
      </c>
      <c r="K7" s="173">
        <f>'Data Sheet'!K44</f>
        <v/>
      </c>
    </row>
    <row r="8">
      <c r="A8" t="inlineStr">
        <is>
          <t>Depreciation</t>
        </is>
      </c>
      <c r="B8" s="173">
        <f>'Data Sheet'!B45</f>
        <v/>
      </c>
      <c r="C8" s="173">
        <f>'Data Sheet'!C45</f>
        <v/>
      </c>
      <c r="D8" s="173">
        <f>'Data Sheet'!D45</f>
        <v/>
      </c>
      <c r="E8" s="173">
        <f>'Data Sheet'!E45</f>
        <v/>
      </c>
      <c r="F8" s="173">
        <f>'Data Sheet'!F45</f>
        <v/>
      </c>
      <c r="G8" s="173">
        <f>'Data Sheet'!G45</f>
        <v/>
      </c>
      <c r="H8" s="173">
        <f>'Data Sheet'!H45</f>
        <v/>
      </c>
      <c r="I8" s="173">
        <f>'Data Sheet'!I45</f>
        <v/>
      </c>
      <c r="J8" s="173">
        <f>'Data Sheet'!J45</f>
        <v/>
      </c>
      <c r="K8" s="173">
        <f>'Data Sheet'!K45</f>
        <v/>
      </c>
    </row>
    <row r="9">
      <c r="A9" t="inlineStr">
        <is>
          <t>Interest</t>
        </is>
      </c>
      <c r="B9" s="173">
        <f>'Data Sheet'!B46</f>
        <v/>
      </c>
      <c r="C9" s="173">
        <f>'Data Sheet'!C46</f>
        <v/>
      </c>
      <c r="D9" s="173">
        <f>'Data Sheet'!D46</f>
        <v/>
      </c>
      <c r="E9" s="173">
        <f>'Data Sheet'!E46</f>
        <v/>
      </c>
      <c r="F9" s="173">
        <f>'Data Sheet'!F46</f>
        <v/>
      </c>
      <c r="G9" s="173">
        <f>'Data Sheet'!G46</f>
        <v/>
      </c>
      <c r="H9" s="173">
        <f>'Data Sheet'!H46</f>
        <v/>
      </c>
      <c r="I9" s="173">
        <f>'Data Sheet'!I46</f>
        <v/>
      </c>
      <c r="J9" s="173">
        <f>'Data Sheet'!J46</f>
        <v/>
      </c>
      <c r="K9" s="173">
        <f>'Data Sheet'!K46</f>
        <v/>
      </c>
    </row>
    <row r="10">
      <c r="A10" t="inlineStr">
        <is>
          <t>Profit before tax</t>
        </is>
      </c>
      <c r="B10" s="173">
        <f>'Data Sheet'!B47</f>
        <v/>
      </c>
      <c r="C10" s="173">
        <f>'Data Sheet'!C47</f>
        <v/>
      </c>
      <c r="D10" s="173">
        <f>'Data Sheet'!D47</f>
        <v/>
      </c>
      <c r="E10" s="173">
        <f>'Data Sheet'!E47</f>
        <v/>
      </c>
      <c r="F10" s="173">
        <f>'Data Sheet'!F47</f>
        <v/>
      </c>
      <c r="G10" s="173">
        <f>'Data Sheet'!G47</f>
        <v/>
      </c>
      <c r="H10" s="173">
        <f>'Data Sheet'!H47</f>
        <v/>
      </c>
      <c r="I10" s="173">
        <f>'Data Sheet'!I47</f>
        <v/>
      </c>
      <c r="J10" s="173">
        <f>'Data Sheet'!J47</f>
        <v/>
      </c>
      <c r="K10" s="173">
        <f>'Data Sheet'!K47</f>
        <v/>
      </c>
    </row>
    <row r="11">
      <c r="A11" t="inlineStr">
        <is>
          <t>Tax</t>
        </is>
      </c>
      <c r="B11" s="173">
        <f>'Data Sheet'!B48</f>
        <v/>
      </c>
      <c r="C11" s="173">
        <f>'Data Sheet'!C48</f>
        <v/>
      </c>
      <c r="D11" s="173">
        <f>'Data Sheet'!D48</f>
        <v/>
      </c>
      <c r="E11" s="173">
        <f>'Data Sheet'!E48</f>
        <v/>
      </c>
      <c r="F11" s="173">
        <f>'Data Sheet'!F48</f>
        <v/>
      </c>
      <c r="G11" s="173">
        <f>'Data Sheet'!G48</f>
        <v/>
      </c>
      <c r="H11" s="173">
        <f>'Data Sheet'!H48</f>
        <v/>
      </c>
      <c r="I11" s="173">
        <f>'Data Sheet'!I48</f>
        <v/>
      </c>
      <c r="J11" s="173">
        <f>'Data Sheet'!J48</f>
        <v/>
      </c>
      <c r="K11" s="173">
        <f>'Data Sheet'!K48</f>
        <v/>
      </c>
    </row>
    <row r="12" customFormat="1" s="37">
      <c r="A12" s="37" t="inlineStr">
        <is>
          <t>Net profit</t>
        </is>
      </c>
      <c r="B12" s="172">
        <f>'Data Sheet'!B49</f>
        <v/>
      </c>
      <c r="C12" s="172">
        <f>'Data Sheet'!C49</f>
        <v/>
      </c>
      <c r="D12" s="172">
        <f>'Data Sheet'!D49</f>
        <v/>
      </c>
      <c r="E12" s="172">
        <f>'Data Sheet'!E49</f>
        <v/>
      </c>
      <c r="F12" s="172">
        <f>'Data Sheet'!F49</f>
        <v/>
      </c>
      <c r="G12" s="172">
        <f>'Data Sheet'!G49</f>
        <v/>
      </c>
      <c r="H12" s="172">
        <f>'Data Sheet'!H49</f>
        <v/>
      </c>
      <c r="I12" s="172">
        <f>'Data Sheet'!I49</f>
        <v/>
      </c>
      <c r="J12" s="172">
        <f>'Data Sheet'!J49</f>
        <v/>
      </c>
      <c r="K12" s="172">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76">
        <f>'Data Sheet'!B57</f>
        <v/>
      </c>
      <c r="C4" s="176">
        <f>'Data Sheet'!C57</f>
        <v/>
      </c>
      <c r="D4" s="176">
        <f>'Data Sheet'!D57</f>
        <v/>
      </c>
      <c r="E4" s="176">
        <f>'Data Sheet'!E57</f>
        <v/>
      </c>
      <c r="F4" s="176">
        <f>'Data Sheet'!F57</f>
        <v/>
      </c>
      <c r="G4" s="176">
        <f>'Data Sheet'!G57</f>
        <v/>
      </c>
      <c r="H4" s="176">
        <f>'Data Sheet'!H57</f>
        <v/>
      </c>
      <c r="I4" s="176">
        <f>'Data Sheet'!I57</f>
        <v/>
      </c>
      <c r="J4" s="176">
        <f>'Data Sheet'!J57</f>
        <v/>
      </c>
      <c r="K4" s="176">
        <f>'Data Sheet'!K57</f>
        <v/>
      </c>
    </row>
    <row r="5" s="109">
      <c r="A5" t="inlineStr">
        <is>
          <t>Reserves</t>
        </is>
      </c>
      <c r="B5" s="176">
        <f>'Data Sheet'!B58</f>
        <v/>
      </c>
      <c r="C5" s="176">
        <f>'Data Sheet'!C58</f>
        <v/>
      </c>
      <c r="D5" s="176">
        <f>'Data Sheet'!D58</f>
        <v/>
      </c>
      <c r="E5" s="176">
        <f>'Data Sheet'!E58</f>
        <v/>
      </c>
      <c r="F5" s="176">
        <f>'Data Sheet'!F58</f>
        <v/>
      </c>
      <c r="G5" s="176">
        <f>'Data Sheet'!G58</f>
        <v/>
      </c>
      <c r="H5" s="176">
        <f>'Data Sheet'!H58</f>
        <v/>
      </c>
      <c r="I5" s="176">
        <f>'Data Sheet'!I58</f>
        <v/>
      </c>
      <c r="J5" s="176">
        <f>'Data Sheet'!J58</f>
        <v/>
      </c>
      <c r="K5" s="176">
        <f>'Data Sheet'!K58</f>
        <v/>
      </c>
    </row>
    <row r="6">
      <c r="A6" t="inlineStr">
        <is>
          <t>Borrowings</t>
        </is>
      </c>
      <c r="B6" s="176">
        <f>'Data Sheet'!B59</f>
        <v/>
      </c>
      <c r="C6" s="176">
        <f>'Data Sheet'!C59</f>
        <v/>
      </c>
      <c r="D6" s="176">
        <f>'Data Sheet'!D59</f>
        <v/>
      </c>
      <c r="E6" s="176">
        <f>'Data Sheet'!E59</f>
        <v/>
      </c>
      <c r="F6" s="176">
        <f>'Data Sheet'!F59</f>
        <v/>
      </c>
      <c r="G6" s="176">
        <f>'Data Sheet'!G59</f>
        <v/>
      </c>
      <c r="H6" s="176">
        <f>'Data Sheet'!H59</f>
        <v/>
      </c>
      <c r="I6" s="176">
        <f>'Data Sheet'!I59</f>
        <v/>
      </c>
      <c r="J6" s="176">
        <f>'Data Sheet'!J59</f>
        <v/>
      </c>
      <c r="K6" s="176">
        <f>'Data Sheet'!K59</f>
        <v/>
      </c>
    </row>
    <row r="7" s="109">
      <c r="A7" t="inlineStr">
        <is>
          <t>Other Liabilities</t>
        </is>
      </c>
      <c r="B7" s="176">
        <f>'Data Sheet'!B60</f>
        <v/>
      </c>
      <c r="C7" s="176">
        <f>'Data Sheet'!C60</f>
        <v/>
      </c>
      <c r="D7" s="176">
        <f>'Data Sheet'!D60</f>
        <v/>
      </c>
      <c r="E7" s="176">
        <f>'Data Sheet'!E60</f>
        <v/>
      </c>
      <c r="F7" s="176">
        <f>'Data Sheet'!F60</f>
        <v/>
      </c>
      <c r="G7" s="176">
        <f>'Data Sheet'!G60</f>
        <v/>
      </c>
      <c r="H7" s="176">
        <f>'Data Sheet'!H60</f>
        <v/>
      </c>
      <c r="I7" s="176">
        <f>'Data Sheet'!I60</f>
        <v/>
      </c>
      <c r="J7" s="176">
        <f>'Data Sheet'!J60</f>
        <v/>
      </c>
      <c r="K7" s="176">
        <f>'Data Sheet'!K60</f>
        <v/>
      </c>
    </row>
    <row r="8" customFormat="1" s="37">
      <c r="A8" s="37" t="inlineStr">
        <is>
          <t>Total</t>
        </is>
      </c>
      <c r="B8" s="177">
        <f>'Data Sheet'!B61</f>
        <v/>
      </c>
      <c r="C8" s="177">
        <f>'Data Sheet'!C61</f>
        <v/>
      </c>
      <c r="D8" s="177">
        <f>'Data Sheet'!D61</f>
        <v/>
      </c>
      <c r="E8" s="177">
        <f>'Data Sheet'!E61</f>
        <v/>
      </c>
      <c r="F8" s="177">
        <f>'Data Sheet'!F61</f>
        <v/>
      </c>
      <c r="G8" s="177">
        <f>'Data Sheet'!G61</f>
        <v/>
      </c>
      <c r="H8" s="177">
        <f>'Data Sheet'!H61</f>
        <v/>
      </c>
      <c r="I8" s="177">
        <f>'Data Sheet'!I61</f>
        <v/>
      </c>
      <c r="J8" s="177">
        <f>'Data Sheet'!J61</f>
        <v/>
      </c>
      <c r="K8" s="177">
        <f>'Data Sheet'!K61</f>
        <v/>
      </c>
    </row>
    <row r="9" customFormat="1" s="37">
      <c r="B9" s="177" t="n"/>
      <c r="C9" s="177" t="n"/>
      <c r="D9" s="177" t="n"/>
      <c r="E9" s="177" t="n"/>
      <c r="F9" s="177" t="n"/>
      <c r="G9" s="177" t="n"/>
      <c r="H9" s="177" t="n"/>
      <c r="I9" s="177" t="n"/>
      <c r="J9" s="177" t="n"/>
      <c r="K9" s="177" t="n"/>
    </row>
    <row r="10">
      <c r="A10" t="inlineStr">
        <is>
          <t>Net Block</t>
        </is>
      </c>
      <c r="B10" s="176">
        <f>'Data Sheet'!B62</f>
        <v/>
      </c>
      <c r="C10" s="176">
        <f>'Data Sheet'!C62</f>
        <v/>
      </c>
      <c r="D10" s="176">
        <f>'Data Sheet'!D62</f>
        <v/>
      </c>
      <c r="E10" s="176">
        <f>'Data Sheet'!E62</f>
        <v/>
      </c>
      <c r="F10" s="176">
        <f>'Data Sheet'!F62</f>
        <v/>
      </c>
      <c r="G10" s="176">
        <f>'Data Sheet'!G62</f>
        <v/>
      </c>
      <c r="H10" s="176">
        <f>'Data Sheet'!H62</f>
        <v/>
      </c>
      <c r="I10" s="176">
        <f>'Data Sheet'!I62</f>
        <v/>
      </c>
      <c r="J10" s="176">
        <f>'Data Sheet'!J62</f>
        <v/>
      </c>
      <c r="K10" s="176">
        <f>'Data Sheet'!K62</f>
        <v/>
      </c>
    </row>
    <row r="11">
      <c r="A11" t="inlineStr">
        <is>
          <t>Capital Work in Progress</t>
        </is>
      </c>
      <c r="B11" s="176">
        <f>'Data Sheet'!B63</f>
        <v/>
      </c>
      <c r="C11" s="176">
        <f>'Data Sheet'!C63</f>
        <v/>
      </c>
      <c r="D11" s="176">
        <f>'Data Sheet'!D63</f>
        <v/>
      </c>
      <c r="E11" s="176">
        <f>'Data Sheet'!E63</f>
        <v/>
      </c>
      <c r="F11" s="176">
        <f>'Data Sheet'!F63</f>
        <v/>
      </c>
      <c r="G11" s="176">
        <f>'Data Sheet'!G63</f>
        <v/>
      </c>
      <c r="H11" s="176">
        <f>'Data Sheet'!H63</f>
        <v/>
      </c>
      <c r="I11" s="176">
        <f>'Data Sheet'!I63</f>
        <v/>
      </c>
      <c r="J11" s="176">
        <f>'Data Sheet'!J63</f>
        <v/>
      </c>
      <c r="K11" s="176">
        <f>'Data Sheet'!K63</f>
        <v/>
      </c>
    </row>
    <row r="12">
      <c r="A12" t="inlineStr">
        <is>
          <t>Investments</t>
        </is>
      </c>
      <c r="B12" s="176">
        <f>'Data Sheet'!B64</f>
        <v/>
      </c>
      <c r="C12" s="176">
        <f>'Data Sheet'!C64</f>
        <v/>
      </c>
      <c r="D12" s="176">
        <f>'Data Sheet'!D64</f>
        <v/>
      </c>
      <c r="E12" s="176">
        <f>'Data Sheet'!E64</f>
        <v/>
      </c>
      <c r="F12" s="176">
        <f>'Data Sheet'!F64</f>
        <v/>
      </c>
      <c r="G12" s="176">
        <f>'Data Sheet'!G64</f>
        <v/>
      </c>
      <c r="H12" s="176">
        <f>'Data Sheet'!H64</f>
        <v/>
      </c>
      <c r="I12" s="176">
        <f>'Data Sheet'!I64</f>
        <v/>
      </c>
      <c r="J12" s="176">
        <f>'Data Sheet'!J64</f>
        <v/>
      </c>
      <c r="K12" s="176">
        <f>'Data Sheet'!K64</f>
        <v/>
      </c>
    </row>
    <row r="13">
      <c r="A13" t="inlineStr">
        <is>
          <t>Other Assets</t>
        </is>
      </c>
      <c r="B13" s="176">
        <f>'Data Sheet'!B65</f>
        <v/>
      </c>
      <c r="C13" s="176">
        <f>'Data Sheet'!C65</f>
        <v/>
      </c>
      <c r="D13" s="176">
        <f>'Data Sheet'!D65</f>
        <v/>
      </c>
      <c r="E13" s="176">
        <f>'Data Sheet'!E65</f>
        <v/>
      </c>
      <c r="F13" s="176">
        <f>'Data Sheet'!F65</f>
        <v/>
      </c>
      <c r="G13" s="176">
        <f>'Data Sheet'!G65</f>
        <v/>
      </c>
      <c r="H13" s="176">
        <f>'Data Sheet'!H65</f>
        <v/>
      </c>
      <c r="I13" s="176">
        <f>'Data Sheet'!I65</f>
        <v/>
      </c>
      <c r="J13" s="176">
        <f>'Data Sheet'!J65</f>
        <v/>
      </c>
      <c r="K13" s="176">
        <f>'Data Sheet'!K65</f>
        <v/>
      </c>
    </row>
    <row r="14" customFormat="1" s="37">
      <c r="A14" s="37" t="inlineStr">
        <is>
          <t>Total</t>
        </is>
      </c>
      <c r="B14" s="176">
        <f>'Data Sheet'!B66</f>
        <v/>
      </c>
      <c r="C14" s="176">
        <f>'Data Sheet'!C66</f>
        <v/>
      </c>
      <c r="D14" s="176">
        <f>'Data Sheet'!D66</f>
        <v/>
      </c>
      <c r="E14" s="176">
        <f>'Data Sheet'!E66</f>
        <v/>
      </c>
      <c r="F14" s="176">
        <f>'Data Sheet'!F66</f>
        <v/>
      </c>
      <c r="G14" s="176">
        <f>'Data Sheet'!G66</f>
        <v/>
      </c>
      <c r="H14" s="176">
        <f>'Data Sheet'!H66</f>
        <v/>
      </c>
      <c r="I14" s="176">
        <f>'Data Sheet'!I66</f>
        <v/>
      </c>
      <c r="J14" s="176">
        <f>'Data Sheet'!J66</f>
        <v/>
      </c>
      <c r="K14" s="176">
        <f>'Data Sheet'!K66</f>
        <v/>
      </c>
    </row>
    <row r="15">
      <c r="B15" s="178" t="n"/>
      <c r="C15" s="178" t="n"/>
      <c r="D15" s="178" t="n"/>
      <c r="E15" s="178" t="n"/>
      <c r="F15" s="178" t="n"/>
      <c r="G15" s="178" t="n"/>
      <c r="H15" s="178" t="n"/>
      <c r="I15" s="178" t="n"/>
      <c r="J15" s="178" t="n"/>
      <c r="K15" s="178" t="n"/>
    </row>
    <row r="16">
      <c r="A16" t="inlineStr">
        <is>
          <t>Working Capital</t>
        </is>
      </c>
      <c r="B16" s="178">
        <f>B13-B7</f>
        <v/>
      </c>
      <c r="C16" s="178">
        <f>C13-C7</f>
        <v/>
      </c>
      <c r="D16" s="178">
        <f>D13-D7</f>
        <v/>
      </c>
      <c r="E16" s="178">
        <f>E13-E7</f>
        <v/>
      </c>
      <c r="F16" s="178">
        <f>F13-F7</f>
        <v/>
      </c>
      <c r="G16" s="178">
        <f>G13-G7</f>
        <v/>
      </c>
      <c r="H16" s="178">
        <f>H13-H7</f>
        <v/>
      </c>
      <c r="I16" s="178">
        <f>I13-I7</f>
        <v/>
      </c>
      <c r="J16" s="178">
        <f>J13-J7</f>
        <v/>
      </c>
      <c r="K16" s="178">
        <f>K13-K7</f>
        <v/>
      </c>
    </row>
    <row r="17">
      <c r="A17" t="inlineStr">
        <is>
          <t>Debtors</t>
        </is>
      </c>
      <c r="B17" s="178">
        <f>'Data Sheet'!B67</f>
        <v/>
      </c>
      <c r="C17" s="178">
        <f>'Data Sheet'!C67</f>
        <v/>
      </c>
      <c r="D17" s="178">
        <f>'Data Sheet'!D67</f>
        <v/>
      </c>
      <c r="E17" s="178">
        <f>'Data Sheet'!E67</f>
        <v/>
      </c>
      <c r="F17" s="178">
        <f>'Data Sheet'!F67</f>
        <v/>
      </c>
      <c r="G17" s="178">
        <f>'Data Sheet'!G67</f>
        <v/>
      </c>
      <c r="H17" s="178">
        <f>'Data Sheet'!H67</f>
        <v/>
      </c>
      <c r="I17" s="178">
        <f>'Data Sheet'!I67</f>
        <v/>
      </c>
      <c r="J17" s="178">
        <f>'Data Sheet'!J67</f>
        <v/>
      </c>
      <c r="K17" s="178">
        <f>'Data Sheet'!K67</f>
        <v/>
      </c>
    </row>
    <row r="18">
      <c r="A18" t="inlineStr">
        <is>
          <t>Inventory</t>
        </is>
      </c>
      <c r="B18" s="178">
        <f>'Data Sheet'!B68</f>
        <v/>
      </c>
      <c r="C18" s="178">
        <f>'Data Sheet'!C68</f>
        <v/>
      </c>
      <c r="D18" s="178">
        <f>'Data Sheet'!D68</f>
        <v/>
      </c>
      <c r="E18" s="178">
        <f>'Data Sheet'!E68</f>
        <v/>
      </c>
      <c r="F18" s="178">
        <f>'Data Sheet'!F68</f>
        <v/>
      </c>
      <c r="G18" s="178">
        <f>'Data Sheet'!G68</f>
        <v/>
      </c>
      <c r="H18" s="178">
        <f>'Data Sheet'!H68</f>
        <v/>
      </c>
      <c r="I18" s="178">
        <f>'Data Sheet'!I68</f>
        <v/>
      </c>
      <c r="J18" s="178">
        <f>'Data Sheet'!J68</f>
        <v/>
      </c>
      <c r="K18" s="178">
        <f>'Data Sheet'!K68</f>
        <v/>
      </c>
    </row>
    <row r="20">
      <c r="A20" t="inlineStr">
        <is>
          <t>Debtor Days</t>
        </is>
      </c>
      <c r="B20" s="178">
        <f>IF('Profit &amp; Loss'!B4&gt;0,'Balance Sheet'!B17/('Profit &amp; Loss'!B4/365),0)</f>
        <v/>
      </c>
      <c r="C20" s="178">
        <f>IF('Profit &amp; Loss'!C4&gt;0,'Balance Sheet'!C17/('Profit &amp; Loss'!C4/365),0)</f>
        <v/>
      </c>
      <c r="D20" s="178">
        <f>IF('Profit &amp; Loss'!D4&gt;0,'Balance Sheet'!D17/('Profit &amp; Loss'!D4/365),0)</f>
        <v/>
      </c>
      <c r="E20" s="178">
        <f>IF('Profit &amp; Loss'!E4&gt;0,'Balance Sheet'!E17/('Profit &amp; Loss'!E4/365),0)</f>
        <v/>
      </c>
      <c r="F20" s="178">
        <f>IF('Profit &amp; Loss'!F4&gt;0,'Balance Sheet'!F17/('Profit &amp; Loss'!F4/365),0)</f>
        <v/>
      </c>
      <c r="G20" s="178">
        <f>IF('Profit &amp; Loss'!G4&gt;0,'Balance Sheet'!G17/('Profit &amp; Loss'!G4/365),0)</f>
        <v/>
      </c>
      <c r="H20" s="178">
        <f>IF('Profit &amp; Loss'!H4&gt;0,'Balance Sheet'!H17/('Profit &amp; Loss'!H4/365),0)</f>
        <v/>
      </c>
      <c r="I20" s="178">
        <f>IF('Profit &amp; Loss'!I4&gt;0,'Balance Sheet'!I17/('Profit &amp; Loss'!I4/365),0)</f>
        <v/>
      </c>
      <c r="J20" s="178">
        <f>IF('Profit &amp; Loss'!J4&gt;0,'Balance Sheet'!J17/('Profit &amp; Loss'!J4/365),0)</f>
        <v/>
      </c>
      <c r="K20" s="178">
        <f>IF('Profit &amp; Loss'!K4&gt;0,'Balance Sheet'!K17/('Profit &amp; Loss'!K4/365),0)</f>
        <v/>
      </c>
    </row>
    <row r="21">
      <c r="A21" t="inlineStr">
        <is>
          <t>Inventory Turnover</t>
        </is>
      </c>
      <c r="B21" s="178">
        <f>IF('Balance Sheet'!B18&gt;0,'Profit &amp; Loss'!B4/'Balance Sheet'!B18,0)</f>
        <v/>
      </c>
      <c r="C21" s="178">
        <f>IF('Balance Sheet'!C18&gt;0,'Profit &amp; Loss'!C4/'Balance Sheet'!C18,0)</f>
        <v/>
      </c>
      <c r="D21" s="178">
        <f>IF('Balance Sheet'!D18&gt;0,'Profit &amp; Loss'!D4/'Balance Sheet'!D18,0)</f>
        <v/>
      </c>
      <c r="E21" s="178">
        <f>IF('Balance Sheet'!E18&gt;0,'Profit &amp; Loss'!E4/'Balance Sheet'!E18,0)</f>
        <v/>
      </c>
      <c r="F21" s="178">
        <f>IF('Balance Sheet'!F18&gt;0,'Profit &amp; Loss'!F4/'Balance Sheet'!F18,0)</f>
        <v/>
      </c>
      <c r="G21" s="178">
        <f>IF('Balance Sheet'!G18&gt;0,'Profit &amp; Loss'!G4/'Balance Sheet'!G18,0)</f>
        <v/>
      </c>
      <c r="H21" s="178">
        <f>IF('Balance Sheet'!H18&gt;0,'Profit &amp; Loss'!H4/'Balance Sheet'!H18,0)</f>
        <v/>
      </c>
      <c r="I21" s="178">
        <f>IF('Balance Sheet'!I18&gt;0,'Profit &amp; Loss'!I4/'Balance Sheet'!I18,0)</f>
        <v/>
      </c>
      <c r="J21" s="178">
        <f>IF('Balance Sheet'!J18&gt;0,'Profit &amp; Loss'!J4/'Balance Sheet'!J18,0)</f>
        <v/>
      </c>
      <c r="K21" s="178">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72">
        <f>'Data Sheet'!B82</f>
        <v/>
      </c>
      <c r="C4" s="172">
        <f>'Data Sheet'!C82</f>
        <v/>
      </c>
      <c r="D4" s="172">
        <f>'Data Sheet'!D82</f>
        <v/>
      </c>
      <c r="E4" s="172">
        <f>'Data Sheet'!E82</f>
        <v/>
      </c>
      <c r="F4" s="172">
        <f>'Data Sheet'!F82</f>
        <v/>
      </c>
      <c r="G4" s="172">
        <f>'Data Sheet'!G82</f>
        <v/>
      </c>
      <c r="H4" s="172">
        <f>'Data Sheet'!H82</f>
        <v/>
      </c>
      <c r="I4" s="172">
        <f>'Data Sheet'!I82</f>
        <v/>
      </c>
      <c r="J4" s="172">
        <f>'Data Sheet'!J82</f>
        <v/>
      </c>
      <c r="K4" s="172">
        <f>'Data Sheet'!K82</f>
        <v/>
      </c>
    </row>
    <row r="5">
      <c r="A5" t="inlineStr">
        <is>
          <t>Cash from Investing Activity</t>
        </is>
      </c>
      <c r="B5" s="173">
        <f>'Data Sheet'!B83</f>
        <v/>
      </c>
      <c r="C5" s="173">
        <f>'Data Sheet'!C83</f>
        <v/>
      </c>
      <c r="D5" s="173">
        <f>'Data Sheet'!D83</f>
        <v/>
      </c>
      <c r="E5" s="173">
        <f>'Data Sheet'!E83</f>
        <v/>
      </c>
      <c r="F5" s="173">
        <f>'Data Sheet'!F83</f>
        <v/>
      </c>
      <c r="G5" s="173">
        <f>'Data Sheet'!G83</f>
        <v/>
      </c>
      <c r="H5" s="173">
        <f>'Data Sheet'!H83</f>
        <v/>
      </c>
      <c r="I5" s="173">
        <f>'Data Sheet'!I83</f>
        <v/>
      </c>
      <c r="J5" s="173">
        <f>'Data Sheet'!J83</f>
        <v/>
      </c>
      <c r="K5" s="173">
        <f>'Data Sheet'!K83</f>
        <v/>
      </c>
    </row>
    <row r="6">
      <c r="A6" t="inlineStr">
        <is>
          <t>Cash from Financing Activity</t>
        </is>
      </c>
      <c r="B6" s="173">
        <f>'Data Sheet'!B84</f>
        <v/>
      </c>
      <c r="C6" s="173">
        <f>'Data Sheet'!C84</f>
        <v/>
      </c>
      <c r="D6" s="173">
        <f>'Data Sheet'!D84</f>
        <v/>
      </c>
      <c r="E6" s="173">
        <f>'Data Sheet'!E84</f>
        <v/>
      </c>
      <c r="F6" s="173">
        <f>'Data Sheet'!F84</f>
        <v/>
      </c>
      <c r="G6" s="173">
        <f>'Data Sheet'!G84</f>
        <v/>
      </c>
      <c r="H6" s="173">
        <f>'Data Sheet'!H84</f>
        <v/>
      </c>
      <c r="I6" s="173">
        <f>'Data Sheet'!I84</f>
        <v/>
      </c>
      <c r="J6" s="173">
        <f>'Data Sheet'!J84</f>
        <v/>
      </c>
      <c r="K6" s="173">
        <f>'Data Sheet'!K84</f>
        <v/>
      </c>
    </row>
    <row r="7" customFormat="1" s="37">
      <c r="A7" s="37" t="inlineStr">
        <is>
          <t>Net Cash Flow</t>
        </is>
      </c>
      <c r="B7" s="172">
        <f>'Data Sheet'!B85</f>
        <v/>
      </c>
      <c r="C7" s="172">
        <f>'Data Sheet'!C85</f>
        <v/>
      </c>
      <c r="D7" s="172">
        <f>'Data Sheet'!D85</f>
        <v/>
      </c>
      <c r="E7" s="172">
        <f>'Data Sheet'!E85</f>
        <v/>
      </c>
      <c r="F7" s="172">
        <f>'Data Sheet'!F85</f>
        <v/>
      </c>
      <c r="G7" s="172">
        <f>'Data Sheet'!G85</f>
        <v/>
      </c>
      <c r="H7" s="172">
        <f>'Data Sheet'!H85</f>
        <v/>
      </c>
      <c r="I7" s="172">
        <f>'Data Sheet'!I85</f>
        <v/>
      </c>
      <c r="J7" s="172">
        <f>'Data Sheet'!J85</f>
        <v/>
      </c>
      <c r="K7" s="172">
        <f>'Data Sheet'!K85</f>
        <v/>
      </c>
    </row>
    <row r="8">
      <c r="B8" s="173" t="n"/>
      <c r="C8" s="173" t="n"/>
      <c r="D8" s="173" t="n"/>
      <c r="E8" s="173" t="n"/>
      <c r="F8" s="173" t="n"/>
      <c r="G8" s="173" t="n"/>
      <c r="H8" s="173" t="n"/>
      <c r="I8" s="173" t="n"/>
      <c r="J8" s="173" t="n"/>
      <c r="K8" s="173"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0">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79">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80">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80">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80">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80">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80">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80">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80">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80">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80">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80">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80">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80">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80">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80">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80">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0">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79"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80">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80">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80">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80">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79"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80"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80">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80">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80">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80">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80">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80">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78" min="1" max="1"/>
    <col width="13.44140625" bestFit="1" customWidth="1" style="178" min="2" max="11"/>
    <col width="8.77734375" customWidth="1" style="178" min="12" max="16384"/>
  </cols>
  <sheetData>
    <row r="1" customFormat="1" s="172">
      <c r="A1" s="172" t="inlineStr">
        <is>
          <t>COMPANY NAME</t>
        </is>
      </c>
      <c r="B1" s="172" t="inlineStr">
        <is>
          <t>Infosys Ltd</t>
        </is>
      </c>
      <c r="E1" s="181">
        <f>IF(B2&lt;&gt;B3, "A NEW VERSION OF THE WORKSHEET IS AVAILABLE", "")</f>
        <v/>
      </c>
    </row>
    <row r="2">
      <c r="A2" s="172" t="inlineStr">
        <is>
          <t>LATEST VERSION</t>
        </is>
      </c>
      <c r="B2" s="178" t="n">
        <v>2.1</v>
      </c>
      <c r="E2" s="182" t="inlineStr">
        <is>
          <t>PLEASE DO NOT MAKE ANY CHANGES TO THIS SHEET</t>
        </is>
      </c>
    </row>
    <row r="3">
      <c r="A3" s="172" t="inlineStr">
        <is>
          <t>CURRENT VERSION</t>
        </is>
      </c>
      <c r="B3" s="178" t="n">
        <v>2.1</v>
      </c>
    </row>
    <row r="4">
      <c r="A4" s="172" t="n"/>
    </row>
    <row r="5">
      <c r="A5" s="172" t="inlineStr">
        <is>
          <t>META</t>
        </is>
      </c>
    </row>
    <row r="6">
      <c r="A6" s="178" t="inlineStr">
        <is>
          <t>Number of shares</t>
        </is>
      </c>
      <c r="B6" s="178">
        <f>IF(B9&gt;0, B9/B8, 0)</f>
        <v/>
      </c>
    </row>
    <row r="7">
      <c r="A7" s="178" t="inlineStr">
        <is>
          <t>Face Value</t>
        </is>
      </c>
      <c r="B7" t="n">
        <v>5</v>
      </c>
    </row>
    <row r="8">
      <c r="A8" s="178" t="inlineStr">
        <is>
          <t>Current Price</t>
        </is>
      </c>
      <c r="B8" t="n">
        <v>1051</v>
      </c>
    </row>
    <row r="9">
      <c r="A9" s="178" t="inlineStr">
        <is>
          <t>Market Capitalization</t>
        </is>
      </c>
      <c r="B9" t="n">
        <v>425444.8</v>
      </c>
    </row>
    <row r="15">
      <c r="A15" s="172" t="inlineStr">
        <is>
          <t>PROFIT &amp; LOSS</t>
        </is>
      </c>
    </row>
    <row r="16" customFormat="1" s="24">
      <c r="A16" s="23" t="inlineStr">
        <is>
          <t>Report Date</t>
        </is>
      </c>
      <c r="B16" s="16" t="inlineStr">
        <is>
          <t>Mar 2017</t>
        </is>
      </c>
      <c r="C16" s="16" t="inlineStr">
        <is>
          <t>Mar 2018</t>
        </is>
      </c>
      <c r="D16" s="16" t="inlineStr">
        <is>
          <t>Mar 2019</t>
        </is>
      </c>
      <c r="E16" s="16" t="inlineStr">
        <is>
          <t>Mar 2020</t>
        </is>
      </c>
      <c r="F16" s="16" t="inlineStr">
        <is>
          <t>Mar 2021</t>
        </is>
      </c>
      <c r="G16" s="16" t="inlineStr">
        <is>
          <t>Mar 2022</t>
        </is>
      </c>
      <c r="H16" s="16" t="inlineStr">
        <is>
          <t>Mar 2023</t>
        </is>
      </c>
      <c r="I16" s="16" t="inlineStr">
        <is>
          <t>Mar 2024</t>
        </is>
      </c>
      <c r="J16" s="16" t="inlineStr">
        <is>
          <t>Mar 2025</t>
        </is>
      </c>
      <c r="K16" s="16" t="inlineStr">
        <is>
          <t>Mar 2026</t>
        </is>
      </c>
    </row>
    <row r="17" customFormat="1" s="173">
      <c r="A17" s="173" t="inlineStr">
        <is>
          <t>Sales</t>
        </is>
      </c>
      <c r="B17" t="n">
        <v>68484</v>
      </c>
      <c r="C17" t="n">
        <v>70522</v>
      </c>
      <c r="D17" t="n">
        <v>82675</v>
      </c>
      <c r="E17" t="n">
        <v>90791</v>
      </c>
      <c r="F17" t="n">
        <v>100472</v>
      </c>
      <c r="G17" t="n">
        <v>121641</v>
      </c>
      <c r="H17" t="n">
        <v>146767</v>
      </c>
      <c r="I17" t="n">
        <v>153670</v>
      </c>
      <c r="J17" t="n">
        <v>162990</v>
      </c>
      <c r="K17" t="n">
        <v>178650</v>
      </c>
    </row>
    <row r="18" customFormat="1" s="173">
      <c r="A18" s="178" t="inlineStr">
        <is>
          <t>Raw Material Cost</t>
        </is>
      </c>
      <c r="B18" t="n">
        <v>0</v>
      </c>
      <c r="C18" t="n">
        <v>0</v>
      </c>
      <c r="D18" t="n">
        <v>0</v>
      </c>
      <c r="E18" t="n">
        <v>0</v>
      </c>
      <c r="F18" t="n">
        <v>0</v>
      </c>
      <c r="G18" t="n">
        <v>0</v>
      </c>
      <c r="H18" t="n">
        <v>0</v>
      </c>
      <c r="I18" t="n">
        <v>0</v>
      </c>
      <c r="J18" t="n">
        <v>0</v>
      </c>
      <c r="K18" t="n">
        <v>0</v>
      </c>
    </row>
    <row r="19" customFormat="1" s="173">
      <c r="A19" s="178" t="inlineStr">
        <is>
          <t>Change in Inventory</t>
        </is>
      </c>
      <c r="B19" t="n">
        <v>0</v>
      </c>
      <c r="C19" t="n">
        <v>0</v>
      </c>
      <c r="D19" t="n">
        <v>0</v>
      </c>
      <c r="E19" t="n">
        <v>0</v>
      </c>
      <c r="F19" t="n">
        <v>0</v>
      </c>
      <c r="G19" t="n">
        <v>0</v>
      </c>
      <c r="H19" t="n">
        <v>0</v>
      </c>
      <c r="I19" t="n">
        <v>0</v>
      </c>
      <c r="J19" t="n">
        <v>0</v>
      </c>
      <c r="K19" t="n">
        <v>0</v>
      </c>
    </row>
    <row r="20" customFormat="1" s="173">
      <c r="A20" s="178" t="inlineStr">
        <is>
          <t>Power and Fuel</t>
        </is>
      </c>
      <c r="B20" t="n">
        <v>0</v>
      </c>
      <c r="C20" t="n">
        <v>0</v>
      </c>
      <c r="D20" t="n">
        <v>0</v>
      </c>
      <c r="E20" t="n">
        <v>0</v>
      </c>
      <c r="F20" t="n">
        <v>0</v>
      </c>
      <c r="G20" t="n">
        <v>0</v>
      </c>
      <c r="H20" t="n">
        <v>0</v>
      </c>
      <c r="I20" t="n">
        <v>0</v>
      </c>
      <c r="J20" t="n">
        <v>0</v>
      </c>
      <c r="K20" t="n">
        <v>0</v>
      </c>
    </row>
    <row r="21" customFormat="1" s="173">
      <c r="A21" s="178" t="inlineStr">
        <is>
          <t>Other Mfr. Exp</t>
        </is>
      </c>
      <c r="B21" t="n">
        <v>6848.4</v>
      </c>
      <c r="C21" t="n">
        <v>7757.42</v>
      </c>
      <c r="D21" t="n">
        <v>9921</v>
      </c>
      <c r="E21" t="n">
        <v>10894.92</v>
      </c>
      <c r="F21" t="n">
        <v>13061.36</v>
      </c>
      <c r="G21" t="n">
        <v>20678.97</v>
      </c>
      <c r="H21" t="n">
        <v>26418.06</v>
      </c>
      <c r="I21" t="n">
        <v>27660.6</v>
      </c>
      <c r="J21" t="n">
        <v>30968.1</v>
      </c>
      <c r="K21" t="n">
        <v>33943.5</v>
      </c>
    </row>
    <row r="22" customFormat="1" s="173">
      <c r="A22" s="178" t="inlineStr">
        <is>
          <t>Employee Cost</t>
        </is>
      </c>
      <c r="B22" t="n">
        <v>37666.2</v>
      </c>
      <c r="C22" t="n">
        <v>38787.1</v>
      </c>
      <c r="D22" t="n">
        <v>45471.25</v>
      </c>
      <c r="E22" t="n">
        <v>50842.96</v>
      </c>
      <c r="F22" t="n">
        <v>55259.6</v>
      </c>
      <c r="G22" t="n">
        <v>64469.73</v>
      </c>
      <c r="H22" t="n">
        <v>77786.50999999999</v>
      </c>
      <c r="I22" t="n">
        <v>82981.8</v>
      </c>
      <c r="J22" t="n">
        <v>86384.7</v>
      </c>
      <c r="K22" t="n">
        <v>94684.5</v>
      </c>
    </row>
    <row r="23" customFormat="1" s="173">
      <c r="A23" s="178" t="inlineStr">
        <is>
          <t>Selling and admin</t>
        </is>
      </c>
      <c r="B23" t="n">
        <v>0</v>
      </c>
      <c r="C23" t="n">
        <v>0</v>
      </c>
      <c r="D23" t="n">
        <v>0</v>
      </c>
      <c r="E23" t="n">
        <v>0</v>
      </c>
      <c r="F23" t="n">
        <v>0</v>
      </c>
      <c r="G23" t="n">
        <v>0</v>
      </c>
      <c r="H23" t="n">
        <v>0</v>
      </c>
      <c r="I23" t="n">
        <v>0</v>
      </c>
      <c r="J23" t="n">
        <v>0</v>
      </c>
      <c r="K23" t="n">
        <v>0</v>
      </c>
    </row>
    <row r="24" customFormat="1" s="173">
      <c r="A24" s="178" t="inlineStr">
        <is>
          <t>Other Expenses</t>
        </is>
      </c>
      <c r="B24" t="n">
        <v>5478.72</v>
      </c>
      <c r="C24" t="n">
        <v>5641.76</v>
      </c>
      <c r="D24" t="n">
        <v>7440.75</v>
      </c>
      <c r="E24" t="n">
        <v>6355.37</v>
      </c>
      <c r="F24" t="n">
        <v>4018.88</v>
      </c>
      <c r="G24" t="n">
        <v>4865.64</v>
      </c>
      <c r="H24" t="n">
        <v>7338.35</v>
      </c>
      <c r="I24" t="n">
        <v>7683.5</v>
      </c>
      <c r="J24" t="n">
        <v>6519.6</v>
      </c>
      <c r="K24" t="n">
        <v>8932.5</v>
      </c>
    </row>
    <row r="25" customFormat="1" s="173">
      <c r="A25" s="173" t="inlineStr">
        <is>
          <t>Other Income</t>
        </is>
      </c>
      <c r="B25" t="n">
        <v>3050</v>
      </c>
      <c r="C25" t="n">
        <v>3311</v>
      </c>
      <c r="D25" t="n">
        <v>2882</v>
      </c>
      <c r="E25" t="n">
        <v>2803</v>
      </c>
      <c r="F25" t="n">
        <v>2201</v>
      </c>
      <c r="G25" t="n">
        <v>2295</v>
      </c>
      <c r="H25" t="n">
        <v>2701</v>
      </c>
      <c r="I25" t="n">
        <v>4711</v>
      </c>
      <c r="J25" t="n">
        <v>3600</v>
      </c>
      <c r="K25" t="n">
        <v>3033</v>
      </c>
    </row>
    <row r="26" customFormat="1" s="173">
      <c r="A26" s="173" t="inlineStr">
        <is>
          <t>Depreciation</t>
        </is>
      </c>
      <c r="B26" t="n">
        <v>1703</v>
      </c>
      <c r="C26" t="n">
        <v>1863</v>
      </c>
      <c r="D26" t="n">
        <v>2011</v>
      </c>
      <c r="E26" t="n">
        <v>2893</v>
      </c>
      <c r="F26" t="n">
        <v>3267</v>
      </c>
      <c r="G26" t="n">
        <v>3476</v>
      </c>
      <c r="H26" t="n">
        <v>4225</v>
      </c>
      <c r="I26" t="n">
        <v>4678</v>
      </c>
      <c r="J26" t="n">
        <v>4812</v>
      </c>
      <c r="K26" t="n">
        <v>4902</v>
      </c>
    </row>
    <row r="27" customFormat="1" s="173">
      <c r="A27" s="173" t="inlineStr">
        <is>
          <t>Interest</t>
        </is>
      </c>
      <c r="B27" t="n">
        <v>0</v>
      </c>
      <c r="C27" t="n">
        <v>0</v>
      </c>
      <c r="D27" t="n">
        <v>0</v>
      </c>
      <c r="E27" t="n">
        <v>170</v>
      </c>
      <c r="F27" t="n">
        <v>195</v>
      </c>
      <c r="G27" t="n">
        <v>200</v>
      </c>
      <c r="H27" t="n">
        <v>284</v>
      </c>
      <c r="I27" t="n">
        <v>470</v>
      </c>
      <c r="J27" t="n">
        <v>416</v>
      </c>
      <c r="K27" t="n">
        <v>416</v>
      </c>
    </row>
    <row r="28" customFormat="1" s="173">
      <c r="A28" s="173" t="inlineStr">
        <is>
          <t>Profit before tax</t>
        </is>
      </c>
      <c r="B28" t="n">
        <v>19951</v>
      </c>
      <c r="C28" t="n">
        <v>20270</v>
      </c>
      <c r="D28" t="n">
        <v>21041</v>
      </c>
      <c r="E28" t="n">
        <v>22007</v>
      </c>
      <c r="F28" t="n">
        <v>26628</v>
      </c>
      <c r="G28" t="n">
        <v>30110</v>
      </c>
      <c r="H28" t="n">
        <v>33322</v>
      </c>
      <c r="I28" t="n">
        <v>35988</v>
      </c>
      <c r="J28" t="n">
        <v>37608</v>
      </c>
      <c r="K28" t="n">
        <v>39995</v>
      </c>
    </row>
    <row r="29" customFormat="1" s="173">
      <c r="A29" s="173" t="inlineStr">
        <is>
          <t>Tax</t>
        </is>
      </c>
      <c r="B29" t="n">
        <v>19951</v>
      </c>
      <c r="C29" t="n">
        <v>20270</v>
      </c>
      <c r="D29" t="n">
        <v>21041</v>
      </c>
      <c r="E29" t="n">
        <v>22007</v>
      </c>
      <c r="F29" t="n">
        <v>26628</v>
      </c>
      <c r="G29" t="n">
        <v>30110</v>
      </c>
      <c r="H29" t="n">
        <v>33322</v>
      </c>
      <c r="I29" t="n">
        <v>35988</v>
      </c>
      <c r="J29" t="n">
        <v>37608</v>
      </c>
      <c r="K29" t="n">
        <v>39995</v>
      </c>
    </row>
    <row r="30" customFormat="1" s="173">
      <c r="A30" s="173" t="inlineStr">
        <is>
          <t>Net profit</t>
        </is>
      </c>
      <c r="B30" t="n">
        <v>14353</v>
      </c>
      <c r="C30" t="n">
        <v>16029</v>
      </c>
      <c r="D30" t="n">
        <v>15410</v>
      </c>
      <c r="E30" t="n">
        <v>16639</v>
      </c>
      <c r="F30" t="n">
        <v>19423</v>
      </c>
      <c r="G30" t="n">
        <v>22146</v>
      </c>
      <c r="H30" t="n">
        <v>24108</v>
      </c>
      <c r="I30" t="n">
        <v>26248</v>
      </c>
      <c r="J30" t="n">
        <v>26750</v>
      </c>
      <c r="K30" t="n">
        <v>29474</v>
      </c>
    </row>
    <row r="31" customFormat="1" s="173">
      <c r="A31" s="173" t="inlineStr">
        <is>
          <t>Dividend Amount</t>
        </is>
      </c>
      <c r="B31" t="n">
        <v>5884.73</v>
      </c>
      <c r="C31" t="n">
        <v>9457.110000000001</v>
      </c>
      <c r="D31" t="n">
        <v>9246</v>
      </c>
      <c r="E31" t="n">
        <v>7487.55</v>
      </c>
      <c r="F31" t="n">
        <v>11459.57</v>
      </c>
      <c r="G31" t="n">
        <v>13066.14</v>
      </c>
      <c r="H31" t="n">
        <v>13982.64</v>
      </c>
      <c r="I31" t="n">
        <v>19161.04</v>
      </c>
      <c r="J31" t="n">
        <v>17922.5</v>
      </c>
      <c r="K31" t="n">
        <v>19452.84</v>
      </c>
    </row>
    <row r="32" customFormat="1" s="173">
      <c r="A32" s="173" t="inlineStr">
        <is>
          <t>EBITDA</t>
        </is>
      </c>
      <c r="B32" s="173">
        <f>SUM(B26:B28)</f>
        <v/>
      </c>
      <c r="C32" s="173">
        <f>SUM(C26:C28)</f>
        <v/>
      </c>
      <c r="D32" s="173">
        <f>SUM(D26:D28)</f>
        <v/>
      </c>
      <c r="E32" s="173">
        <f>SUM(E26:E28)</f>
        <v/>
      </c>
      <c r="F32" s="173">
        <f>SUM(F26:F28)</f>
        <v/>
      </c>
      <c r="G32" s="173">
        <f>SUM(G26:G28)</f>
        <v/>
      </c>
      <c r="H32" s="173">
        <f>SUM(H26:H28)</f>
        <v/>
      </c>
      <c r="I32" s="173">
        <f>SUM(I26:I28)</f>
        <v/>
      </c>
      <c r="J32" s="173">
        <f>SUM(J26:J28)</f>
        <v/>
      </c>
      <c r="K32" s="173">
        <f>SUM(K26:K28)</f>
        <v/>
      </c>
    </row>
    <row r="33">
      <c r="A33" s="173" t="n"/>
      <c r="B33">
        <f>B30+B29+B27+B26</f>
        <v/>
      </c>
      <c r="C33">
        <f>C30+C29+C27+C26</f>
        <v/>
      </c>
      <c r="D33">
        <f>D30+D29+D27+D26</f>
        <v/>
      </c>
      <c r="E33">
        <f>E30+E29+E27+E26</f>
        <v/>
      </c>
      <c r="F33">
        <f>F30+F29+F27+F26</f>
        <v/>
      </c>
      <c r="G33">
        <f>G30+G29+G27+G26</f>
        <v/>
      </c>
      <c r="H33">
        <f>H30+H29+H27+H26</f>
        <v/>
      </c>
      <c r="I33">
        <f>I30+I29+I27+I26</f>
        <v/>
      </c>
      <c r="J33">
        <f>J30+J29+J27+J26</f>
        <v/>
      </c>
      <c r="K33">
        <f>K30+K29+K27+K26</f>
        <v/>
      </c>
    </row>
    <row r="34">
      <c r="A34" s="173" t="n"/>
    </row>
    <row r="35">
      <c r="A35" s="173" t="n"/>
    </row>
    <row r="36">
      <c r="A36" s="173" t="n"/>
    </row>
    <row r="37">
      <c r="A37" s="173" t="n"/>
    </row>
    <row r="38">
      <c r="A38" s="173" t="n"/>
    </row>
    <row r="39">
      <c r="A39" s="173" t="n"/>
    </row>
    <row r="40">
      <c r="A40" s="172" t="inlineStr">
        <is>
          <t>Quarters</t>
        </is>
      </c>
    </row>
    <row r="41" customFormat="1" s="24">
      <c r="A41" s="23" t="inlineStr">
        <is>
          <t>Report Date</t>
        </is>
      </c>
      <c r="B41" s="16" t="inlineStr">
        <is>
          <t>Mar 2024</t>
        </is>
      </c>
      <c r="C41" s="16" t="inlineStr">
        <is>
          <t>Jun 2024</t>
        </is>
      </c>
      <c r="D41" s="16" t="inlineStr">
        <is>
          <t>Sep 2024</t>
        </is>
      </c>
      <c r="E41" s="16" t="inlineStr">
        <is>
          <t>Dec 2024</t>
        </is>
      </c>
      <c r="F41" s="16" t="inlineStr">
        <is>
          <t>Mar 2025</t>
        </is>
      </c>
      <c r="G41" s="16" t="inlineStr">
        <is>
          <t>Jun 2025</t>
        </is>
      </c>
      <c r="H41" s="16" t="inlineStr">
        <is>
          <t>Sep 2025</t>
        </is>
      </c>
      <c r="I41" s="16" t="inlineStr">
        <is>
          <t>Dec 2025</t>
        </is>
      </c>
      <c r="J41" s="16" t="inlineStr">
        <is>
          <t>Mar 2026</t>
        </is>
      </c>
      <c r="K41" s="16" t="inlineStr">
        <is>
          <t>Jun 2026</t>
        </is>
      </c>
    </row>
    <row r="42" customFormat="1" s="173">
      <c r="A42" s="173" t="inlineStr">
        <is>
          <t>Sales</t>
        </is>
      </c>
      <c r="B42" t="n">
        <v>37923</v>
      </c>
      <c r="C42" t="n">
        <v>39315</v>
      </c>
      <c r="D42" t="n">
        <v>40986</v>
      </c>
      <c r="E42" t="n">
        <v>41764</v>
      </c>
      <c r="F42" t="n">
        <v>40925</v>
      </c>
      <c r="G42" t="n">
        <v>42279</v>
      </c>
      <c r="H42" t="n">
        <v>44490</v>
      </c>
      <c r="I42" t="n">
        <v>45479</v>
      </c>
      <c r="J42" t="n">
        <v>46402</v>
      </c>
      <c r="K42" t="n">
        <v>48211</v>
      </c>
    </row>
    <row r="43" customFormat="1" s="173">
      <c r="A43" s="173" t="inlineStr">
        <is>
          <t>Expenses</t>
        </is>
      </c>
      <c r="B43" t="n">
        <v>29139</v>
      </c>
      <c r="C43" t="n">
        <v>29878</v>
      </c>
      <c r="D43" t="n">
        <v>31177</v>
      </c>
      <c r="E43" t="n">
        <v>31649</v>
      </c>
      <c r="F43" t="n">
        <v>31051</v>
      </c>
      <c r="G43" t="n">
        <v>32336</v>
      </c>
      <c r="H43" t="n">
        <v>33955</v>
      </c>
      <c r="I43" t="n">
        <v>34845</v>
      </c>
      <c r="J43" t="n">
        <v>35235</v>
      </c>
      <c r="K43" t="n">
        <v>36802</v>
      </c>
    </row>
    <row r="44" customFormat="1" s="173">
      <c r="A44" s="173" t="inlineStr">
        <is>
          <t>Other Income</t>
        </is>
      </c>
      <c r="B44" t="n">
        <v>2729</v>
      </c>
      <c r="C44" t="n">
        <v>838</v>
      </c>
      <c r="D44" t="n">
        <v>712</v>
      </c>
      <c r="E44" t="n">
        <v>859</v>
      </c>
      <c r="F44" t="n">
        <v>1190</v>
      </c>
      <c r="G44" t="n">
        <v>1042</v>
      </c>
      <c r="H44" t="n">
        <v>982</v>
      </c>
      <c r="I44" t="n">
        <v>-150</v>
      </c>
      <c r="J44" t="n">
        <v>1159</v>
      </c>
      <c r="K44" t="n">
        <v>984</v>
      </c>
    </row>
    <row r="45" customFormat="1" s="173">
      <c r="A45" s="173" t="inlineStr">
        <is>
          <t>Depreciation</t>
        </is>
      </c>
      <c r="B45" t="n">
        <v>1163</v>
      </c>
      <c r="C45" t="n">
        <v>1149</v>
      </c>
      <c r="D45" t="n">
        <v>1160</v>
      </c>
      <c r="E45" t="n">
        <v>1203</v>
      </c>
      <c r="F45" t="n">
        <v>1299</v>
      </c>
      <c r="G45" t="n">
        <v>1140</v>
      </c>
      <c r="H45" t="n">
        <v>1182</v>
      </c>
      <c r="I45" t="n">
        <v>1155</v>
      </c>
      <c r="J45" t="n">
        <v>1424</v>
      </c>
      <c r="K45" t="n">
        <v>1246</v>
      </c>
    </row>
    <row r="46" customFormat="1" s="173">
      <c r="A46" s="173" t="inlineStr">
        <is>
          <t>Interest</t>
        </is>
      </c>
      <c r="B46" t="n">
        <v>110</v>
      </c>
      <c r="C46" t="n">
        <v>105</v>
      </c>
      <c r="D46" t="n">
        <v>108</v>
      </c>
      <c r="E46" t="n">
        <v>101</v>
      </c>
      <c r="F46" t="n">
        <v>102</v>
      </c>
      <c r="G46" t="n">
        <v>105</v>
      </c>
      <c r="H46" t="n">
        <v>106</v>
      </c>
      <c r="I46" t="n">
        <v>100</v>
      </c>
      <c r="J46" t="n">
        <v>105</v>
      </c>
      <c r="K46" t="n">
        <v>119</v>
      </c>
    </row>
    <row r="47" customFormat="1" s="173">
      <c r="A47" s="173" t="inlineStr">
        <is>
          <t>Profit before tax</t>
        </is>
      </c>
      <c r="B47" t="n">
        <v>10240</v>
      </c>
      <c r="C47" t="n">
        <v>9021</v>
      </c>
      <c r="D47" t="n">
        <v>9253</v>
      </c>
      <c r="E47" t="n">
        <v>9670</v>
      </c>
      <c r="F47" t="n">
        <v>9663</v>
      </c>
      <c r="G47" t="n">
        <v>9740</v>
      </c>
      <c r="H47" t="n">
        <v>10229</v>
      </c>
      <c r="I47" t="n">
        <v>9229</v>
      </c>
      <c r="J47" t="n">
        <v>10797</v>
      </c>
      <c r="K47" t="n">
        <v>11028</v>
      </c>
    </row>
    <row r="48" customFormat="1" s="173">
      <c r="A48" s="173" t="inlineStr">
        <is>
          <t>Tax</t>
        </is>
      </c>
      <c r="B48" t="n">
        <v>10240</v>
      </c>
      <c r="C48" t="n">
        <v>9021</v>
      </c>
      <c r="D48" t="n">
        <v>9253</v>
      </c>
      <c r="E48" t="n">
        <v>9670</v>
      </c>
      <c r="F48" t="n">
        <v>9663</v>
      </c>
      <c r="G48" t="n">
        <v>9740</v>
      </c>
      <c r="H48" t="n">
        <v>10229</v>
      </c>
      <c r="I48" t="n">
        <v>9229</v>
      </c>
      <c r="J48" t="n">
        <v>10797</v>
      </c>
      <c r="K48" t="n">
        <v>11028</v>
      </c>
    </row>
    <row r="49" customFormat="1" s="173">
      <c r="A49" s="173" t="inlineStr">
        <is>
          <t>Net profit</t>
        </is>
      </c>
      <c r="B49" t="n">
        <v>7975</v>
      </c>
      <c r="C49" t="n">
        <v>6374</v>
      </c>
      <c r="D49" t="n">
        <v>6516</v>
      </c>
      <c r="E49" t="n">
        <v>6822</v>
      </c>
      <c r="F49" t="n">
        <v>7038</v>
      </c>
      <c r="G49" t="n">
        <v>6924</v>
      </c>
      <c r="H49" t="n">
        <v>7375</v>
      </c>
      <c r="I49" t="n">
        <v>6666</v>
      </c>
      <c r="J49" t="n">
        <v>8509</v>
      </c>
      <c r="K49" t="n">
        <v>7775</v>
      </c>
    </row>
    <row r="50">
      <c r="A50" s="173" t="inlineStr">
        <is>
          <t>Operating Profit</t>
        </is>
      </c>
      <c r="B50" t="n">
        <v>8784</v>
      </c>
      <c r="C50" t="n">
        <v>9437</v>
      </c>
      <c r="D50" t="n">
        <v>9809</v>
      </c>
      <c r="E50" t="n">
        <v>10115</v>
      </c>
      <c r="F50" t="n">
        <v>9874</v>
      </c>
      <c r="G50" t="n">
        <v>9943</v>
      </c>
      <c r="H50" t="n">
        <v>10535</v>
      </c>
      <c r="I50" t="n">
        <v>10634</v>
      </c>
      <c r="J50" t="n">
        <v>11167</v>
      </c>
      <c r="K50" t="n">
        <v>11409</v>
      </c>
    </row>
    <row r="51">
      <c r="A51" s="173" t="n"/>
    </row>
    <row r="52">
      <c r="A52" s="173" t="n"/>
    </row>
    <row r="53">
      <c r="A53" s="173" t="n"/>
    </row>
    <row r="54">
      <c r="A54" s="173" t="n"/>
    </row>
    <row r="55">
      <c r="A55" s="172" t="inlineStr">
        <is>
          <t>BALANCE SHEET</t>
        </is>
      </c>
    </row>
    <row r="56" customFormat="1" s="24">
      <c r="A56" s="23" t="inlineStr">
        <is>
          <t>Report Date</t>
        </is>
      </c>
      <c r="B56" s="16" t="inlineStr">
        <is>
          <t>Mar 2017</t>
        </is>
      </c>
      <c r="C56" s="16" t="inlineStr">
        <is>
          <t>Mar 2018</t>
        </is>
      </c>
      <c r="D56" s="16" t="inlineStr">
        <is>
          <t>Mar 2019</t>
        </is>
      </c>
      <c r="E56" s="16" t="inlineStr">
        <is>
          <t>Mar 2020</t>
        </is>
      </c>
      <c r="F56" s="16" t="inlineStr">
        <is>
          <t>Mar 2021</t>
        </is>
      </c>
      <c r="G56" s="16" t="inlineStr">
        <is>
          <t>Mar 2022</t>
        </is>
      </c>
      <c r="H56" s="16" t="inlineStr">
        <is>
          <t>Mar 2023</t>
        </is>
      </c>
      <c r="I56" s="16" t="inlineStr">
        <is>
          <t>Mar 2024</t>
        </is>
      </c>
      <c r="J56" s="16" t="inlineStr">
        <is>
          <t>Mar 2025</t>
        </is>
      </c>
      <c r="K56" s="16" t="inlineStr">
        <is>
          <t>Mar 2026</t>
        </is>
      </c>
    </row>
    <row r="57">
      <c r="A57" s="173" t="inlineStr">
        <is>
          <t>Equity Share Capital</t>
        </is>
      </c>
      <c r="B57" t="n">
        <v>1144</v>
      </c>
      <c r="C57" t="n">
        <v>1088</v>
      </c>
      <c r="D57" t="n">
        <v>2170</v>
      </c>
      <c r="E57" t="n">
        <v>2122</v>
      </c>
      <c r="F57" t="n">
        <v>2124</v>
      </c>
      <c r="G57" t="n">
        <v>2098</v>
      </c>
      <c r="H57" t="n">
        <v>2069</v>
      </c>
      <c r="I57" t="n">
        <v>2071</v>
      </c>
      <c r="J57" t="n">
        <v>2073</v>
      </c>
      <c r="K57" t="n">
        <v>2024</v>
      </c>
    </row>
    <row r="58">
      <c r="A58" s="173" t="inlineStr">
        <is>
          <t>Reserves</t>
        </is>
      </c>
      <c r="B58" t="n">
        <v>67838</v>
      </c>
      <c r="C58" t="n">
        <v>63835</v>
      </c>
      <c r="D58" t="n">
        <v>62778</v>
      </c>
      <c r="E58" t="n">
        <v>63328</v>
      </c>
      <c r="F58" t="n">
        <v>74227</v>
      </c>
      <c r="G58" t="n">
        <v>73252</v>
      </c>
      <c r="H58" t="n">
        <v>73338</v>
      </c>
      <c r="I58" t="n">
        <v>86045</v>
      </c>
      <c r="J58" t="n">
        <v>93745</v>
      </c>
      <c r="K58" t="n">
        <v>90828</v>
      </c>
    </row>
    <row r="59">
      <c r="A59" s="173" t="inlineStr">
        <is>
          <t>Borrowings</t>
        </is>
      </c>
      <c r="B59" t="n">
        <v>0</v>
      </c>
      <c r="C59" t="n">
        <v>0</v>
      </c>
      <c r="D59" t="n">
        <v>0</v>
      </c>
      <c r="E59" t="n">
        <v>4633</v>
      </c>
      <c r="F59" t="n">
        <v>5325</v>
      </c>
      <c r="G59" t="n">
        <v>5474</v>
      </c>
      <c r="H59" t="n">
        <v>8299</v>
      </c>
      <c r="I59" t="n">
        <v>8359</v>
      </c>
      <c r="J59" t="n">
        <v>8227</v>
      </c>
      <c r="K59" t="n">
        <v>9176</v>
      </c>
    </row>
    <row r="60">
      <c r="A60" s="173" t="inlineStr">
        <is>
          <t>Other Liabilities</t>
        </is>
      </c>
      <c r="B60" t="n">
        <v>14166</v>
      </c>
      <c r="C60" t="n">
        <v>14426</v>
      </c>
      <c r="D60" t="n">
        <v>19118</v>
      </c>
      <c r="E60" t="n">
        <v>21717</v>
      </c>
      <c r="F60" t="n">
        <v>25835</v>
      </c>
      <c r="G60" t="n">
        <v>35905</v>
      </c>
      <c r="H60" t="n">
        <v>40890</v>
      </c>
      <c r="I60" t="n">
        <v>39545</v>
      </c>
      <c r="J60" t="n">
        <v>43750</v>
      </c>
      <c r="K60" t="n">
        <v>52260</v>
      </c>
    </row>
    <row r="61" customFormat="1" s="172">
      <c r="A61" s="172" t="inlineStr">
        <is>
          <t>Total</t>
        </is>
      </c>
      <c r="B61" t="n">
        <v>83148</v>
      </c>
      <c r="C61" t="n">
        <v>79349</v>
      </c>
      <c r="D61" t="n">
        <v>84066</v>
      </c>
      <c r="E61" t="n">
        <v>91800</v>
      </c>
      <c r="F61" t="n">
        <v>107511</v>
      </c>
      <c r="G61" t="n">
        <v>116729</v>
      </c>
      <c r="H61" t="n">
        <v>124596</v>
      </c>
      <c r="I61" t="n">
        <v>136020</v>
      </c>
      <c r="J61" t="n">
        <v>147795</v>
      </c>
      <c r="K61" t="n">
        <v>154288</v>
      </c>
    </row>
    <row r="62">
      <c r="A62" s="173" t="inlineStr">
        <is>
          <t>Net Block</t>
        </is>
      </c>
      <c r="B62" t="n">
        <v>14179</v>
      </c>
      <c r="C62" t="n">
        <v>12574</v>
      </c>
      <c r="D62" t="n">
        <v>15710</v>
      </c>
      <c r="E62" t="n">
        <v>23789</v>
      </c>
      <c r="F62" t="n">
        <v>25505</v>
      </c>
      <c r="G62" t="n">
        <v>25800</v>
      </c>
      <c r="H62" t="n">
        <v>29225</v>
      </c>
      <c r="I62" t="n">
        <v>27622</v>
      </c>
      <c r="J62" t="n">
        <v>30961</v>
      </c>
      <c r="K62" t="n">
        <v>33770</v>
      </c>
    </row>
    <row r="63">
      <c r="A63" s="173" t="inlineStr">
        <is>
          <t>Capital Work in Progress</t>
        </is>
      </c>
      <c r="B63" t="n">
        <v>1365</v>
      </c>
      <c r="C63" t="n">
        <v>1606</v>
      </c>
      <c r="D63" t="n">
        <v>1388</v>
      </c>
      <c r="E63" t="n">
        <v>954</v>
      </c>
      <c r="F63" t="n">
        <v>922</v>
      </c>
      <c r="G63" t="n">
        <v>416</v>
      </c>
      <c r="H63" t="n">
        <v>288</v>
      </c>
      <c r="I63" t="n">
        <v>293</v>
      </c>
      <c r="J63" t="n">
        <v>814</v>
      </c>
      <c r="K63" t="n">
        <v>526</v>
      </c>
    </row>
    <row r="64">
      <c r="A64" s="173" t="inlineStr">
        <is>
          <t>Investments</t>
        </is>
      </c>
      <c r="B64" t="n">
        <v>16423</v>
      </c>
      <c r="C64" t="n">
        <v>12163</v>
      </c>
      <c r="D64" t="n">
        <v>11261</v>
      </c>
      <c r="E64" t="n">
        <v>8792</v>
      </c>
      <c r="F64" t="n">
        <v>14205</v>
      </c>
      <c r="G64" t="n">
        <v>20324</v>
      </c>
      <c r="H64" t="n">
        <v>19478</v>
      </c>
      <c r="I64" t="n">
        <v>24623</v>
      </c>
      <c r="J64" t="n">
        <v>23541</v>
      </c>
      <c r="K64" t="n">
        <v>21880</v>
      </c>
    </row>
    <row r="65">
      <c r="A65" s="173" t="inlineStr">
        <is>
          <t>Other Assets</t>
        </is>
      </c>
      <c r="B65" t="n">
        <v>51181</v>
      </c>
      <c r="C65" t="n">
        <v>53006</v>
      </c>
      <c r="D65" t="n">
        <v>55707</v>
      </c>
      <c r="E65" t="n">
        <v>58265</v>
      </c>
      <c r="F65" t="n">
        <v>66879</v>
      </c>
      <c r="G65" t="n">
        <v>70189</v>
      </c>
      <c r="H65" t="n">
        <v>75605</v>
      </c>
      <c r="I65" t="n">
        <v>83482</v>
      </c>
      <c r="J65" t="n">
        <v>92479</v>
      </c>
      <c r="K65" t="n">
        <v>98112</v>
      </c>
    </row>
    <row r="66" customFormat="1" s="172">
      <c r="A66" s="172" t="inlineStr">
        <is>
          <t>Total</t>
        </is>
      </c>
      <c r="B66" t="n">
        <v>83148</v>
      </c>
      <c r="C66" t="n">
        <v>79349</v>
      </c>
      <c r="D66" t="n">
        <v>84066</v>
      </c>
      <c r="E66" t="n">
        <v>91800</v>
      </c>
      <c r="F66" t="n">
        <v>107511</v>
      </c>
      <c r="G66" t="n">
        <v>116729</v>
      </c>
      <c r="H66" t="n">
        <v>124596</v>
      </c>
      <c r="I66" t="n">
        <v>136020</v>
      </c>
      <c r="J66" t="n">
        <v>147795</v>
      </c>
      <c r="K66" t="n">
        <v>154288</v>
      </c>
    </row>
    <row r="67" customFormat="1" s="173">
      <c r="A67" s="173" t="inlineStr">
        <is>
          <t>Receivables</t>
        </is>
      </c>
      <c r="B67" t="n">
        <v>12322</v>
      </c>
      <c r="C67" t="n">
        <v>13142</v>
      </c>
      <c r="D67" t="n">
        <v>14827</v>
      </c>
      <c r="E67" t="n">
        <v>18487</v>
      </c>
      <c r="F67" t="n">
        <v>19294</v>
      </c>
      <c r="G67" t="n">
        <v>22698</v>
      </c>
      <c r="H67" t="n">
        <v>25424</v>
      </c>
      <c r="I67" t="n">
        <v>30193</v>
      </c>
      <c r="J67" t="n">
        <v>31158</v>
      </c>
      <c r="K67" t="n">
        <v>35234</v>
      </c>
    </row>
    <row r="68">
      <c r="A68" s="173" t="inlineStr">
        <is>
          <t>Inventory</t>
        </is>
      </c>
      <c r="B68" t="n">
        <v>0</v>
      </c>
      <c r="C68" t="n">
        <v>0</v>
      </c>
      <c r="D68" t="n">
        <v>0</v>
      </c>
      <c r="E68" t="n">
        <v>0</v>
      </c>
      <c r="F68" t="n">
        <v>0</v>
      </c>
      <c r="G68" t="n">
        <v>0</v>
      </c>
      <c r="H68" t="n">
        <v>0</v>
      </c>
      <c r="I68" t="n">
        <v>0</v>
      </c>
      <c r="J68" t="n">
        <v>0</v>
      </c>
      <c r="K68" t="n">
        <v>0</v>
      </c>
    </row>
    <row r="69">
      <c r="A69" s="178" t="inlineStr">
        <is>
          <t>Cash &amp; Bank</t>
        </is>
      </c>
      <c r="B69" t="n">
        <v>22625</v>
      </c>
      <c r="C69" t="n">
        <v>19818</v>
      </c>
      <c r="D69" t="n">
        <v>19568</v>
      </c>
      <c r="E69" t="n">
        <v>18649</v>
      </c>
      <c r="F69" t="n">
        <v>24714</v>
      </c>
      <c r="G69" t="n">
        <v>17472</v>
      </c>
      <c r="H69" t="n">
        <v>12173</v>
      </c>
      <c r="I69" t="n">
        <v>14786</v>
      </c>
      <c r="J69" t="n">
        <v>24455</v>
      </c>
      <c r="K69" t="n">
        <v>22201</v>
      </c>
    </row>
    <row r="70">
      <c r="A70" s="178" t="inlineStr">
        <is>
          <t>No. of Equity Shares</t>
        </is>
      </c>
      <c r="B70" t="n">
        <v>2288000000</v>
      </c>
      <c r="C70" t="n">
        <v>2176000000</v>
      </c>
      <c r="D70" t="n">
        <v>4340000000</v>
      </c>
      <c r="E70" t="n">
        <v>4244000000</v>
      </c>
      <c r="F70" t="n">
        <v>4248000000</v>
      </c>
      <c r="G70" t="n">
        <v>4196000000</v>
      </c>
      <c r="H70" t="n">
        <v>4138000000</v>
      </c>
      <c r="I70" t="n">
        <v>4142000000</v>
      </c>
      <c r="J70" t="n">
        <v>4146000000</v>
      </c>
      <c r="K70" t="n">
        <v>4048000000</v>
      </c>
    </row>
    <row r="71">
      <c r="A71" s="178" t="inlineStr">
        <is>
          <t>New Bonus Shares</t>
        </is>
      </c>
      <c r="B71" t="n">
        <v>4026657100</v>
      </c>
    </row>
    <row r="72">
      <c r="A72" s="178" t="inlineStr">
        <is>
          <t>Face value</t>
        </is>
      </c>
      <c r="B72" t="n">
        <v>5</v>
      </c>
      <c r="C72" t="n">
        <v>5</v>
      </c>
      <c r="D72" t="n">
        <v>5</v>
      </c>
      <c r="E72" t="n">
        <v>5</v>
      </c>
      <c r="F72" t="n">
        <v>5</v>
      </c>
      <c r="G72" t="n">
        <v>5</v>
      </c>
      <c r="H72" t="n">
        <v>5</v>
      </c>
      <c r="I72" t="n">
        <v>5</v>
      </c>
      <c r="J72" t="n">
        <v>5</v>
      </c>
      <c r="K72" t="n">
        <v>5</v>
      </c>
    </row>
    <row r="74">
      <c r="A74" s="173" t="n"/>
      <c r="B74" s="178">
        <f>B65-SUM(B67:B69)</f>
        <v/>
      </c>
      <c r="C74" s="178">
        <f>C65-SUM(C67:C69)</f>
        <v/>
      </c>
      <c r="D74" s="178">
        <f>D65-SUM(D67:D69)</f>
        <v/>
      </c>
      <c r="E74" s="178">
        <f>E65-SUM(E67:E69)</f>
        <v/>
      </c>
      <c r="F74" s="178">
        <f>F65-SUM(F67:F69)</f>
        <v/>
      </c>
      <c r="G74" s="178">
        <f>G65-SUM(G67:G69)</f>
        <v/>
      </c>
      <c r="H74" s="178">
        <f>H65-SUM(H67:H69)</f>
        <v/>
      </c>
      <c r="I74" s="178">
        <f>I65-SUM(I67:I69)</f>
        <v/>
      </c>
      <c r="J74" s="178">
        <f>J65-SUM(J67:J69)</f>
        <v/>
      </c>
      <c r="K74" s="178">
        <f>K65-SUM(K67:K69)</f>
        <v/>
      </c>
    </row>
    <row r="75">
      <c r="A75" s="173" t="inlineStr">
        <is>
          <t>Other Assets</t>
        </is>
      </c>
      <c r="B75">
        <f>B65-SUM(B67:B69)</f>
        <v/>
      </c>
      <c r="C75">
        <f>C65-SUM(C67:C69)</f>
        <v/>
      </c>
      <c r="D75">
        <f>D65-SUM(D67:D69)</f>
        <v/>
      </c>
      <c r="E75">
        <f>E65-SUM(E67:E69)</f>
        <v/>
      </c>
      <c r="F75">
        <f>F65-SUM(F67:F69)</f>
        <v/>
      </c>
      <c r="G75">
        <f>G65-SUM(G67:G69)</f>
        <v/>
      </c>
      <c r="H75">
        <f>H65-SUM(H67:H69)</f>
        <v/>
      </c>
      <c r="I75">
        <f>I65-SUM(I67:I69)</f>
        <v/>
      </c>
      <c r="J75">
        <f>J65-SUM(J67:J69)</f>
        <v/>
      </c>
      <c r="K75">
        <f>K65-SUM(K67:K69)</f>
        <v/>
      </c>
    </row>
    <row r="76">
      <c r="A76" s="173" t="n"/>
    </row>
    <row r="77">
      <c r="A77" s="173" t="n"/>
    </row>
    <row r="78">
      <c r="A78" s="173" t="n"/>
    </row>
    <row r="79">
      <c r="A79" s="173" t="n"/>
    </row>
    <row r="80">
      <c r="A80" s="172" t="inlineStr">
        <is>
          <t>CASH FLOW:</t>
        </is>
      </c>
    </row>
    <row r="81" customFormat="1" s="24">
      <c r="A81" s="23" t="inlineStr">
        <is>
          <t>Report Date</t>
        </is>
      </c>
      <c r="B81" s="16" t="inlineStr">
        <is>
          <t>Mar 2017</t>
        </is>
      </c>
      <c r="C81" s="16" t="inlineStr">
        <is>
          <t>Mar 2018</t>
        </is>
      </c>
      <c r="D81" s="16" t="inlineStr">
        <is>
          <t>Mar 2019</t>
        </is>
      </c>
      <c r="E81" s="16" t="inlineStr">
        <is>
          <t>Mar 2020</t>
        </is>
      </c>
      <c r="F81" s="16" t="inlineStr">
        <is>
          <t>Mar 2021</t>
        </is>
      </c>
      <c r="G81" s="16" t="inlineStr">
        <is>
          <t>Mar 2022</t>
        </is>
      </c>
      <c r="H81" s="16" t="inlineStr">
        <is>
          <t>Mar 2023</t>
        </is>
      </c>
      <c r="I81" s="16" t="inlineStr">
        <is>
          <t>Mar 2024</t>
        </is>
      </c>
      <c r="J81" s="16" t="inlineStr">
        <is>
          <t>Mar 2025</t>
        </is>
      </c>
      <c r="K81" s="16" t="inlineStr">
        <is>
          <t>Mar 2026</t>
        </is>
      </c>
    </row>
    <row r="82" customFormat="1" s="172">
      <c r="A82" s="173" t="inlineStr">
        <is>
          <t>Cash from Operating Activity</t>
        </is>
      </c>
      <c r="B82" t="n">
        <v>11531</v>
      </c>
      <c r="C82" t="n">
        <v>13218</v>
      </c>
      <c r="D82" t="n">
        <v>14841</v>
      </c>
      <c r="E82" t="n">
        <v>17003</v>
      </c>
      <c r="F82" t="n">
        <v>23224</v>
      </c>
      <c r="G82" t="n">
        <v>23885</v>
      </c>
      <c r="H82" t="n">
        <v>22467</v>
      </c>
      <c r="I82" t="n">
        <v>25210</v>
      </c>
      <c r="J82" t="n">
        <v>35694</v>
      </c>
      <c r="K82" t="n">
        <v>33986</v>
      </c>
    </row>
    <row r="83" customFormat="1" s="173">
      <c r="A83" s="173" t="inlineStr">
        <is>
          <t>Cash from Investing Activity</t>
        </is>
      </c>
      <c r="B83" t="n">
        <v>-14664</v>
      </c>
      <c r="C83" t="n">
        <v>4533</v>
      </c>
      <c r="D83" t="n">
        <v>-632</v>
      </c>
      <c r="E83" t="n">
        <v>-331</v>
      </c>
      <c r="F83" t="n">
        <v>-7373</v>
      </c>
      <c r="G83" t="n">
        <v>-6485</v>
      </c>
      <c r="H83" t="n">
        <v>-1071</v>
      </c>
      <c r="I83" t="n">
        <v>-5093</v>
      </c>
      <c r="J83" t="n">
        <v>-1864</v>
      </c>
      <c r="K83" t="n">
        <v>3546</v>
      </c>
    </row>
    <row r="84" customFormat="1" s="173">
      <c r="A84" s="173" t="inlineStr">
        <is>
          <t>Cash from Financing Activity</t>
        </is>
      </c>
      <c r="B84" t="n">
        <v>-6939</v>
      </c>
      <c r="C84" t="n">
        <v>-20505</v>
      </c>
      <c r="D84" t="n">
        <v>-14512</v>
      </c>
      <c r="E84" t="n">
        <v>-17591</v>
      </c>
      <c r="F84" t="n">
        <v>-9786</v>
      </c>
      <c r="G84" t="n">
        <v>-24642</v>
      </c>
      <c r="H84" t="n">
        <v>-26695</v>
      </c>
      <c r="I84" t="n">
        <v>-17504</v>
      </c>
      <c r="J84" t="n">
        <v>-24161</v>
      </c>
      <c r="K84" t="n">
        <v>-39786</v>
      </c>
    </row>
    <row r="85" customFormat="1" s="172">
      <c r="A85" s="173" t="inlineStr">
        <is>
          <t>Net Cash Flow</t>
        </is>
      </c>
      <c r="B85" t="n">
        <v>-10072</v>
      </c>
      <c r="C85" t="n">
        <v>-2754</v>
      </c>
      <c r="D85" t="n">
        <v>-303</v>
      </c>
      <c r="E85" t="n">
        <v>-919</v>
      </c>
      <c r="F85" t="n">
        <v>6065</v>
      </c>
      <c r="G85" t="n">
        <v>-7242</v>
      </c>
      <c r="H85" t="n">
        <v>-5299</v>
      </c>
      <c r="I85" t="n">
        <v>2613</v>
      </c>
      <c r="J85" t="n">
        <v>9669</v>
      </c>
      <c r="K85" t="n">
        <v>-2254</v>
      </c>
    </row>
    <row r="86">
      <c r="A86" s="173" t="n"/>
    </row>
    <row r="87">
      <c r="A87" s="173" t="n"/>
    </row>
    <row r="88">
      <c r="A88" s="173" t="n"/>
    </row>
    <row r="89">
      <c r="A89" s="173" t="n"/>
    </row>
    <row r="90" customFormat="1" s="172">
      <c r="A90" s="172" t="inlineStr">
        <is>
          <t>PRICE:</t>
        </is>
      </c>
      <c r="B90" t="n">
        <v>515.6</v>
      </c>
      <c r="C90" t="n">
        <v>580.38</v>
      </c>
      <c r="D90" t="n">
        <v>741.9</v>
      </c>
      <c r="E90" t="n">
        <v>731.7</v>
      </c>
      <c r="F90" t="n">
        <v>1253.3</v>
      </c>
      <c r="G90" t="n">
        <v>1723.3</v>
      </c>
      <c r="H90" t="n">
        <v>1479.3</v>
      </c>
      <c r="I90" t="n">
        <v>1656.3</v>
      </c>
      <c r="J90" t="n">
        <v>1687.7</v>
      </c>
      <c r="K90" t="n">
        <v>1300.1</v>
      </c>
    </row>
    <row r="92" customFormat="1" s="172">
      <c r="A92" s="172" t="inlineStr">
        <is>
          <t>DERIVED:</t>
        </is>
      </c>
    </row>
    <row r="93">
      <c r="A93" s="178" t="inlineStr">
        <is>
          <t>Adjusted Equity Shares in Cr</t>
        </is>
      </c>
      <c r="B93" s="183" t="n">
        <v>459.41</v>
      </c>
      <c r="C93" s="183" t="n">
        <v>459.41</v>
      </c>
      <c r="D93" s="183" t="n">
        <v>459.41</v>
      </c>
      <c r="E93" s="183" t="n">
        <v>459.41</v>
      </c>
      <c r="F93" s="183" t="n">
        <v>459.41</v>
      </c>
      <c r="G93" s="183" t="n">
        <v>459.41</v>
      </c>
      <c r="H93" s="183" t="n">
        <v>459.41</v>
      </c>
      <c r="I93" s="183" t="n">
        <v>459.41</v>
      </c>
      <c r="J93" s="183" t="n">
        <v>459.41</v>
      </c>
      <c r="K93" s="183" t="n">
        <v>459.41</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0" t="inlineStr">
        <is>
          <t>Cash Flow Statement - Infosys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8353</v>
      </c>
      <c r="D6" s="73" t="n">
        <v>10028</v>
      </c>
      <c r="E6" s="73" t="n">
        <v>11531</v>
      </c>
      <c r="F6" s="73" t="n">
        <v>13218</v>
      </c>
      <c r="G6" s="73" t="n">
        <v>14841</v>
      </c>
      <c r="H6" s="73" t="n">
        <v>17003</v>
      </c>
      <c r="I6" s="73" t="n">
        <v>23224</v>
      </c>
      <c r="J6" s="73" t="n">
        <v>23885</v>
      </c>
      <c r="K6" s="73" t="n">
        <v>22467</v>
      </c>
      <c r="L6" s="73" t="n">
        <v>25210</v>
      </c>
      <c r="M6" s="73" t="n">
        <v>35694</v>
      </c>
      <c r="N6" s="73" t="n">
        <v>33986</v>
      </c>
    </row>
    <row r="7">
      <c r="B7" t="inlineStr">
        <is>
          <t>Profit from operations</t>
        </is>
      </c>
      <c r="C7" s="73" t="n">
        <v>15946</v>
      </c>
      <c r="D7" s="73" t="n">
        <v>17839</v>
      </c>
      <c r="E7" s="73" t="n">
        <v>19340</v>
      </c>
      <c r="F7" s="73" t="n">
        <v>19963</v>
      </c>
      <c r="G7" s="73" t="n">
        <v>22126</v>
      </c>
      <c r="H7" s="73" t="n">
        <v>23920</v>
      </c>
      <c r="I7" s="73" t="n">
        <v>28845</v>
      </c>
      <c r="J7" s="73" t="n">
        <v>32921</v>
      </c>
      <c r="K7" s="73" t="n">
        <v>37605</v>
      </c>
      <c r="L7" s="73" t="n">
        <v>39523</v>
      </c>
      <c r="M7" s="73" t="n">
        <v>41591</v>
      </c>
      <c r="N7" s="73" t="n">
        <v>45273</v>
      </c>
    </row>
    <row r="8">
      <c r="B8" t="inlineStr">
        <is>
          <t>Receivables</t>
        </is>
      </c>
      <c r="C8" t="n">
        <v>-1475</v>
      </c>
      <c r="D8" t="n">
        <v>-1654</v>
      </c>
      <c r="E8" t="n">
        <v>-1743</v>
      </c>
      <c r="F8" t="n">
        <v>-1523</v>
      </c>
      <c r="G8" t="n">
        <v>-2881</v>
      </c>
      <c r="H8" s="73" t="n">
        <v>-3861</v>
      </c>
      <c r="I8" t="n">
        <v>-1835</v>
      </c>
      <c r="J8" t="n">
        <v>-7937</v>
      </c>
      <c r="K8" t="n">
        <v>-7076</v>
      </c>
      <c r="L8" t="n">
        <v>-2667</v>
      </c>
      <c r="M8" s="73" t="n">
        <v>-1769</v>
      </c>
      <c r="N8" t="n">
        <v>-5177</v>
      </c>
    </row>
    <row r="9">
      <c r="B9" t="inlineStr">
        <is>
          <t>Inventory</t>
        </is>
      </c>
      <c r="C9" t="n">
        <v>0</v>
      </c>
      <c r="D9" t="n">
        <v>0</v>
      </c>
      <c r="E9" t="n">
        <v>0</v>
      </c>
      <c r="F9" t="n">
        <v>0</v>
      </c>
      <c r="G9" t="n">
        <v>0</v>
      </c>
      <c r="H9" t="n">
        <v>0</v>
      </c>
      <c r="I9" s="73" t="n">
        <v>0</v>
      </c>
      <c r="J9" t="n">
        <v>0</v>
      </c>
      <c r="K9" s="73" t="n">
        <v>0</v>
      </c>
      <c r="L9" s="73" t="n">
        <v>0</v>
      </c>
      <c r="M9" s="73" t="n">
        <v>0</v>
      </c>
      <c r="N9" s="73" t="n">
        <v>0</v>
      </c>
    </row>
    <row r="10">
      <c r="B10" t="inlineStr">
        <is>
          <t>Payables</t>
        </is>
      </c>
      <c r="C10" t="n">
        <v>0</v>
      </c>
      <c r="D10" t="n">
        <v>242</v>
      </c>
      <c r="E10" t="n">
        <v>-19</v>
      </c>
      <c r="F10" s="73" t="n">
        <v>328</v>
      </c>
      <c r="G10" t="n">
        <v>916</v>
      </c>
      <c r="H10" t="n">
        <v>-373</v>
      </c>
      <c r="I10" s="73" t="n">
        <v>-245</v>
      </c>
      <c r="J10" s="73" t="n">
        <v>1489</v>
      </c>
      <c r="K10" s="73" t="n">
        <v>-279</v>
      </c>
      <c r="L10" t="n">
        <v>91</v>
      </c>
      <c r="M10" s="73" t="n">
        <v>176</v>
      </c>
      <c r="N10" t="n">
        <v>-26</v>
      </c>
    </row>
    <row r="11">
      <c r="B11" t="inlineStr">
        <is>
          <t>Working capital changes</t>
        </is>
      </c>
      <c r="C11" t="n">
        <v>-842</v>
      </c>
      <c r="D11" t="n">
        <v>-1946</v>
      </c>
      <c r="E11" t="n">
        <v>-2156</v>
      </c>
      <c r="F11" s="73" t="n">
        <v>84</v>
      </c>
      <c r="G11" t="n">
        <v>-453</v>
      </c>
      <c r="H11" t="n">
        <v>-2367</v>
      </c>
      <c r="I11" t="n">
        <v>768</v>
      </c>
      <c r="J11" t="n">
        <v>-1424</v>
      </c>
      <c r="K11" t="n">
        <v>-6344</v>
      </c>
      <c r="L11" s="73" t="n">
        <v>-5082</v>
      </c>
      <c r="M11" s="73" t="n">
        <v>-295</v>
      </c>
      <c r="N11" s="73" t="n">
        <v>-2639</v>
      </c>
    </row>
    <row r="12">
      <c r="B12" t="inlineStr">
        <is>
          <t>Direct taxes</t>
        </is>
      </c>
      <c r="C12" s="73" t="n">
        <v>-6751</v>
      </c>
      <c r="D12" s="73" t="n">
        <v>-5865</v>
      </c>
      <c r="E12" s="73" t="n">
        <v>-5653</v>
      </c>
      <c r="F12" s="73" t="n">
        <v>-6829</v>
      </c>
      <c r="G12" s="73" t="n">
        <v>-6832</v>
      </c>
      <c r="H12" s="73" t="n">
        <v>-4550</v>
      </c>
      <c r="I12" s="73" t="n">
        <v>-6389</v>
      </c>
      <c r="J12" s="73" t="n">
        <v>-7612</v>
      </c>
      <c r="K12" s="73" t="n">
        <v>-8794</v>
      </c>
      <c r="L12" s="73" t="n">
        <v>-9231</v>
      </c>
      <c r="M12" s="73" t="n">
        <v>-5602</v>
      </c>
      <c r="N12" s="73" t="n">
        <v>-8648</v>
      </c>
    </row>
    <row r="13">
      <c r="B13" t="inlineStr">
        <is>
          <t>Cash from Investing Activity -</t>
        </is>
      </c>
      <c r="C13" s="73" t="n">
        <v>999</v>
      </c>
      <c r="D13" s="73" t="n">
        <v>-885</v>
      </c>
      <c r="E13" s="73" t="n">
        <v>-14664</v>
      </c>
      <c r="F13" s="73" t="n">
        <v>4533</v>
      </c>
      <c r="G13" s="73" t="n">
        <v>-632</v>
      </c>
      <c r="H13" s="73" t="n">
        <v>-331</v>
      </c>
      <c r="I13" s="73" t="n">
        <v>-7373</v>
      </c>
      <c r="J13" s="73" t="n">
        <v>-6485</v>
      </c>
      <c r="K13" s="73" t="n">
        <v>-1071</v>
      </c>
      <c r="L13" s="73" t="n">
        <v>-5093</v>
      </c>
      <c r="M13" t="n">
        <v>-1864</v>
      </c>
      <c r="N13" s="73" t="n">
        <v>3546</v>
      </c>
    </row>
    <row r="14">
      <c r="B14" t="inlineStr">
        <is>
          <t>Fixed assets purchased</t>
        </is>
      </c>
      <c r="C14" s="73" t="n">
        <v>-2247</v>
      </c>
      <c r="D14" s="73" t="n">
        <v>-2723</v>
      </c>
      <c r="E14" s="73" t="n">
        <v>-2760</v>
      </c>
      <c r="F14" s="73" t="n">
        <v>-1998</v>
      </c>
      <c r="G14" s="73" t="n">
        <v>-2445</v>
      </c>
      <c r="H14" s="73" t="n">
        <v>-3307</v>
      </c>
      <c r="I14" s="73" t="n">
        <v>-2107</v>
      </c>
      <c r="J14" s="73" t="n">
        <v>-2161</v>
      </c>
      <c r="K14" s="73" t="n">
        <v>-2579</v>
      </c>
      <c r="L14" s="73" t="n">
        <v>-2201</v>
      </c>
      <c r="M14" s="73" t="n">
        <v>-2237</v>
      </c>
      <c r="N14" s="73" t="n">
        <v>-2727</v>
      </c>
    </row>
    <row r="15">
      <c r="B15" t="inlineStr">
        <is>
          <t>Fixed assets sold</t>
        </is>
      </c>
      <c r="C15" t="n">
        <v>0</v>
      </c>
      <c r="D15" t="n">
        <v>0</v>
      </c>
      <c r="E15" t="n">
        <v>0</v>
      </c>
      <c r="F15" t="n">
        <v>0</v>
      </c>
      <c r="G15" t="n">
        <v>0</v>
      </c>
      <c r="H15" t="n">
        <v>0</v>
      </c>
      <c r="I15" t="n">
        <v>0</v>
      </c>
      <c r="J15" t="n">
        <v>0</v>
      </c>
      <c r="K15" t="n">
        <v>0</v>
      </c>
      <c r="L15" t="n">
        <v>0</v>
      </c>
      <c r="M15" t="n">
        <v>0</v>
      </c>
      <c r="N15" t="n">
        <v>0</v>
      </c>
    </row>
    <row r="16">
      <c r="B16" t="inlineStr">
        <is>
          <t>Investments purchased</t>
        </is>
      </c>
      <c r="C16" s="73" t="n">
        <v>-23923</v>
      </c>
      <c r="D16" s="73" t="n">
        <v>-24577</v>
      </c>
      <c r="E16" s="73" t="n">
        <v>-66410</v>
      </c>
      <c r="F16" s="73" t="n">
        <v>-69159</v>
      </c>
      <c r="G16" s="73" t="n">
        <v>-79410</v>
      </c>
      <c r="H16" s="73" t="n">
        <v>-37482</v>
      </c>
      <c r="I16" s="73" t="n">
        <v>-46738</v>
      </c>
      <c r="J16" s="73" t="n">
        <v>-59951</v>
      </c>
      <c r="K16" s="73" t="n">
        <v>-75800</v>
      </c>
      <c r="L16" s="73" t="n">
        <v>-78092</v>
      </c>
      <c r="M16" s="73" t="n">
        <v>-82742</v>
      </c>
      <c r="N16" s="73" t="n">
        <v>-82617</v>
      </c>
    </row>
    <row r="17">
      <c r="B17" t="inlineStr">
        <is>
          <t>Investments sold</t>
        </is>
      </c>
      <c r="C17" s="73" t="n">
        <v>25253</v>
      </c>
      <c r="D17" s="73" t="n">
        <v>24980</v>
      </c>
      <c r="E17" s="73" t="n">
        <v>52048</v>
      </c>
      <c r="F17" s="73" t="n">
        <v>74003</v>
      </c>
      <c r="G17" s="73" t="n">
        <v>78098</v>
      </c>
      <c r="H17" s="73" t="n">
        <v>38861</v>
      </c>
      <c r="I17" s="73" t="n">
        <v>40381</v>
      </c>
      <c r="J17" s="73" t="n">
        <v>57356</v>
      </c>
      <c r="K17" s="73" t="n">
        <v>76722</v>
      </c>
      <c r="L17" s="73" t="n">
        <v>72930</v>
      </c>
      <c r="M17" s="73" t="n">
        <v>84877</v>
      </c>
      <c r="N17" s="73" t="n">
        <v>89699</v>
      </c>
    </row>
    <row r="18">
      <c r="B18" t="inlineStr">
        <is>
          <t>Interest received</t>
        </is>
      </c>
      <c r="C18" t="n">
        <v>2551</v>
      </c>
      <c r="D18" t="n">
        <v>2383</v>
      </c>
      <c r="E18" t="n">
        <v>0</v>
      </c>
      <c r="F18" t="n">
        <v>0</v>
      </c>
      <c r="G18" s="73" t="n">
        <v>0</v>
      </c>
      <c r="H18" s="73" t="n">
        <v>0</v>
      </c>
      <c r="I18" s="73" t="n">
        <v>0</v>
      </c>
      <c r="J18" s="73" t="n">
        <v>0</v>
      </c>
      <c r="K18" s="73" t="n">
        <v>0</v>
      </c>
      <c r="L18" s="73" t="n">
        <v>0</v>
      </c>
      <c r="M18" s="73" t="n">
        <v>0</v>
      </c>
      <c r="N18" t="n">
        <v>0</v>
      </c>
    </row>
    <row r="19">
      <c r="B19" t="inlineStr">
        <is>
          <t>Dividends received</t>
        </is>
      </c>
      <c r="C19" t="n">
        <v>0</v>
      </c>
      <c r="D19" t="n">
        <v>0</v>
      </c>
      <c r="E19" t="n">
        <v>2753</v>
      </c>
      <c r="F19" t="n">
        <v>1768</v>
      </c>
      <c r="G19" t="n">
        <v>1557</v>
      </c>
      <c r="H19" t="n">
        <v>1929</v>
      </c>
      <c r="I19" t="n">
        <v>1418</v>
      </c>
      <c r="J19" t="n">
        <v>1898</v>
      </c>
      <c r="K19" t="n">
        <v>1525</v>
      </c>
      <c r="L19" t="n">
        <v>1768</v>
      </c>
      <c r="M19" t="n">
        <v>2040</v>
      </c>
      <c r="N19" t="n">
        <v>2713</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0</v>
      </c>
      <c r="F22" t="n">
        <v>0</v>
      </c>
      <c r="G22" t="n">
        <v>0</v>
      </c>
      <c r="H22" t="n">
        <v>0</v>
      </c>
      <c r="I22" t="n">
        <v>0</v>
      </c>
      <c r="J22" t="n">
        <v>0</v>
      </c>
      <c r="K22" t="n">
        <v>0</v>
      </c>
      <c r="L22" t="n">
        <v>0</v>
      </c>
      <c r="M22" t="n">
        <v>0</v>
      </c>
      <c r="N22" t="n">
        <v>0</v>
      </c>
    </row>
    <row r="23">
      <c r="B23" t="inlineStr">
        <is>
          <t>Other investing items</t>
        </is>
      </c>
      <c r="C23" s="73" t="n">
        <v>741</v>
      </c>
      <c r="D23" s="73" t="n">
        <v>-59</v>
      </c>
      <c r="E23" s="73" t="n">
        <v>-131</v>
      </c>
      <c r="F23" s="73" t="n">
        <v>49</v>
      </c>
      <c r="G23" s="73" t="n">
        <v>1592</v>
      </c>
      <c r="H23" s="73" t="n">
        <v>-224</v>
      </c>
      <c r="I23" s="73" t="n">
        <v>-327</v>
      </c>
      <c r="J23" s="73" t="n">
        <v>-3627</v>
      </c>
      <c r="K23" t="n">
        <v>-939</v>
      </c>
      <c r="L23" s="73" t="n">
        <v>502</v>
      </c>
      <c r="M23" t="n">
        <v>-3802</v>
      </c>
      <c r="N23" s="73" t="n">
        <v>-3522</v>
      </c>
    </row>
    <row r="24">
      <c r="B24" t="inlineStr">
        <is>
          <t>Cash from Financing Activity -</t>
        </is>
      </c>
      <c r="C24" s="73" t="n">
        <v>-4935</v>
      </c>
      <c r="D24" s="73" t="n">
        <v>-6813</v>
      </c>
      <c r="E24" s="73" t="n">
        <v>-6939</v>
      </c>
      <c r="F24" s="73" t="n">
        <v>-20505</v>
      </c>
      <c r="G24" s="73" t="n">
        <v>-14512</v>
      </c>
      <c r="H24" s="73" t="n">
        <v>-17591</v>
      </c>
      <c r="I24" s="73" t="n">
        <v>-9786</v>
      </c>
      <c r="J24" s="73" t="n">
        <v>-24642</v>
      </c>
      <c r="K24" s="73" t="n">
        <v>-26695</v>
      </c>
      <c r="L24" s="73" t="n">
        <v>-17504</v>
      </c>
      <c r="M24" s="73" t="n">
        <v>-24161</v>
      </c>
      <c r="N24" s="73" t="n">
        <v>-39786</v>
      </c>
    </row>
    <row r="25">
      <c r="B25" t="inlineStr">
        <is>
          <t>Proceeds from shares</t>
        </is>
      </c>
      <c r="C25" t="n">
        <v>0</v>
      </c>
      <c r="D25" t="n">
        <v>0</v>
      </c>
      <c r="E25" s="73" t="n">
        <v>0</v>
      </c>
      <c r="F25" t="n">
        <v>5</v>
      </c>
      <c r="G25" t="n">
        <v>6</v>
      </c>
      <c r="H25" t="n">
        <v>6</v>
      </c>
      <c r="I25" t="n">
        <v>15</v>
      </c>
      <c r="J25" t="n">
        <v>21</v>
      </c>
      <c r="K25" s="73" t="n">
        <v>35</v>
      </c>
      <c r="L25" s="73" t="n">
        <v>5</v>
      </c>
      <c r="M25" t="n">
        <v>6</v>
      </c>
      <c r="N25" t="n">
        <v>2</v>
      </c>
    </row>
    <row r="26">
      <c r="B26" t="inlineStr">
        <is>
          <t>Proceeds from borrowings</t>
        </is>
      </c>
      <c r="C26" t="n">
        <v>0</v>
      </c>
      <c r="D26" t="n">
        <v>0</v>
      </c>
      <c r="E26" t="n">
        <v>0</v>
      </c>
      <c r="F26" t="n">
        <v>0</v>
      </c>
      <c r="G26" t="n">
        <v>0</v>
      </c>
      <c r="H26" t="n">
        <v>0</v>
      </c>
      <c r="I26" t="n">
        <v>0</v>
      </c>
      <c r="J26" t="n">
        <v>0</v>
      </c>
      <c r="K26" t="n">
        <v>0</v>
      </c>
      <c r="L26" t="n">
        <v>0</v>
      </c>
      <c r="M26" t="n">
        <v>0</v>
      </c>
      <c r="N26" s="73" t="n">
        <v>0</v>
      </c>
    </row>
    <row r="27">
      <c r="B27" t="inlineStr">
        <is>
          <t>Repayment of borrowings</t>
        </is>
      </c>
      <c r="C27" t="n">
        <v>0</v>
      </c>
      <c r="D27" t="n">
        <v>0</v>
      </c>
      <c r="E27" t="n">
        <v>0</v>
      </c>
      <c r="F27" t="n">
        <v>0</v>
      </c>
      <c r="G27" t="n">
        <v>0</v>
      </c>
      <c r="H27" t="n">
        <v>0</v>
      </c>
      <c r="I27" t="n">
        <v>0</v>
      </c>
      <c r="J27" t="n">
        <v>0</v>
      </c>
      <c r="K27" t="n">
        <v>0</v>
      </c>
      <c r="L27" t="n">
        <v>0</v>
      </c>
      <c r="M27" t="n">
        <v>-985</v>
      </c>
      <c r="N27" t="n">
        <v>0</v>
      </c>
    </row>
    <row r="28">
      <c r="B28" t="inlineStr">
        <is>
          <t>Interest paid fin</t>
        </is>
      </c>
      <c r="C28" t="n">
        <v>0</v>
      </c>
      <c r="D28" t="n">
        <v>0</v>
      </c>
      <c r="E28" t="n">
        <v>0</v>
      </c>
      <c r="F28" t="n">
        <v>0</v>
      </c>
      <c r="G28" t="n">
        <v>0</v>
      </c>
      <c r="H28" t="n">
        <v>0</v>
      </c>
      <c r="I28" t="n">
        <v>0</v>
      </c>
      <c r="J28" t="n">
        <v>0</v>
      </c>
      <c r="K28" t="n">
        <v>0</v>
      </c>
      <c r="L28" t="n">
        <v>0</v>
      </c>
      <c r="M28" t="n">
        <v>0</v>
      </c>
      <c r="N28" t="n">
        <v>0</v>
      </c>
    </row>
    <row r="29">
      <c r="B29" t="inlineStr">
        <is>
          <t>Dividends paid</t>
        </is>
      </c>
      <c r="C29" s="73" t="n">
        <v>-4935</v>
      </c>
      <c r="D29" s="73" t="n">
        <v>-6813</v>
      </c>
      <c r="E29" s="73" t="n">
        <v>-6939</v>
      </c>
      <c r="F29" s="73" t="n">
        <v>-7464</v>
      </c>
      <c r="G29" s="73" t="n">
        <v>-13705</v>
      </c>
      <c r="H29" s="73" t="n">
        <v>-9548</v>
      </c>
      <c r="I29" s="73" t="n">
        <v>-9137</v>
      </c>
      <c r="J29" s="73" t="n">
        <v>-12731</v>
      </c>
      <c r="K29" s="73" t="n">
        <v>-13653</v>
      </c>
      <c r="L29" s="73" t="n">
        <v>-14731</v>
      </c>
      <c r="M29" s="73" t="n">
        <v>-20289</v>
      </c>
      <c r="N29" s="73" t="n">
        <v>-18656</v>
      </c>
    </row>
    <row r="30">
      <c r="B30" t="inlineStr">
        <is>
          <t>Financial liabilities</t>
        </is>
      </c>
      <c r="C30" t="n">
        <v>0</v>
      </c>
      <c r="D30" t="n">
        <v>0</v>
      </c>
      <c r="E30" t="n">
        <v>0</v>
      </c>
      <c r="F30" t="n">
        <v>0</v>
      </c>
      <c r="G30" t="n">
        <v>0</v>
      </c>
      <c r="H30" t="n">
        <v>-571</v>
      </c>
      <c r="I30" t="n">
        <v>-698</v>
      </c>
      <c r="J30" t="n">
        <v>-915</v>
      </c>
      <c r="K30" t="n">
        <v>-1231</v>
      </c>
      <c r="L30" t="n">
        <v>-2024</v>
      </c>
      <c r="M30" t="n">
        <v>-2355</v>
      </c>
      <c r="N30" t="n">
        <v>-2824</v>
      </c>
    </row>
    <row r="31">
      <c r="B31" t="inlineStr">
        <is>
          <t>Other financing items</t>
        </is>
      </c>
      <c r="C31" t="n">
        <v>0</v>
      </c>
      <c r="D31" t="n">
        <v>0</v>
      </c>
      <c r="E31" s="73" t="n">
        <v>0</v>
      </c>
      <c r="F31" s="73" t="n">
        <v>-13046</v>
      </c>
      <c r="G31" s="73" t="n">
        <v>-813</v>
      </c>
      <c r="H31" s="73" t="n">
        <v>-7478</v>
      </c>
      <c r="I31" t="n">
        <v>34</v>
      </c>
      <c r="J31" t="n">
        <v>-11017</v>
      </c>
      <c r="K31" t="n">
        <v>-11846</v>
      </c>
      <c r="L31" t="n">
        <v>-754</v>
      </c>
      <c r="M31" t="n">
        <v>-538</v>
      </c>
      <c r="N31" t="n">
        <v>-18308</v>
      </c>
    </row>
    <row r="32">
      <c r="B32" t="inlineStr">
        <is>
          <t>Net Cash Flow</t>
        </is>
      </c>
      <c r="C32" t="n">
        <v>4417</v>
      </c>
      <c r="D32" t="n">
        <v>2330</v>
      </c>
      <c r="E32" t="n">
        <v>-10072</v>
      </c>
      <c r="F32" t="n">
        <v>-2754</v>
      </c>
      <c r="G32" t="n">
        <v>-303</v>
      </c>
      <c r="H32" t="n">
        <v>-919</v>
      </c>
      <c r="I32" t="n">
        <v>6065</v>
      </c>
      <c r="J32" t="n">
        <v>-7242</v>
      </c>
      <c r="K32" t="n">
        <v>-5299</v>
      </c>
      <c r="L32" t="n">
        <v>2613</v>
      </c>
      <c r="M32" t="n">
        <v>9669</v>
      </c>
      <c r="N32" t="n">
        <v>-2254</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0">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80">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80">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80">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80">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80"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80"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80">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80">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80">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f>'Data Sheet'!L75</f>
        <v/>
      </c>
      <c r="N60">
        <f>'Data Sheet'!M75</f>
        <v/>
      </c>
      <c r="O60">
        <f>'Data Sheet'!N75</f>
        <v/>
      </c>
    </row>
    <row r="61">
      <c r="B61" s="180"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80" t="n"/>
      <c r="C62" s="107" t="n"/>
      <c r="D62" s="107" t="n"/>
      <c r="E62" s="107" t="n"/>
      <c r="F62" s="107" t="n"/>
      <c r="G62" s="107" t="n"/>
      <c r="H62" s="107" t="n"/>
      <c r="I62" s="107" t="n"/>
      <c r="J62" s="107" t="n"/>
      <c r="K62" s="107" t="n"/>
      <c r="L62" s="107" t="n"/>
    </row>
    <row r="63">
      <c r="B63" s="180">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80">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80">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80"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80"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0">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3">
        <f>'Data Sheet'!$B$1&amp;" -"&amp;'Data Sheet'!A17&amp;" Forecasting"</f>
        <v/>
      </c>
      <c r="G2" s="163">
        <f>'Data Sheet'!$B$1&amp;" -"&amp;'Historical FS'!B19&amp;" Forecasting"</f>
        <v/>
      </c>
      <c r="L2" s="163">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4">TRANSPOSE('Data Sheet'!B16:K16)</f>
        <v/>
      </c>
      <c r="D5" s="107">
        <f t="array" ref="D5:D14">TRANSPOSE('Data Sheet'!B17:K17)</f>
        <v/>
      </c>
      <c r="E5" s="56" t="inlineStr">
        <is>
          <t>-</t>
        </is>
      </c>
      <c r="G5" t="n">
        <v>1</v>
      </c>
      <c r="H5" s="54">
        <f t="array" ref="H5:H14">TRANSPOSE('Data Sheet'!B16:K16)</f>
        <v/>
      </c>
      <c r="I5" s="107">
        <f t="array" ref="I5:I14">TRANSPOSE('Historical FS'!C19:L19)</f>
        <v/>
      </c>
      <c r="J5" s="163" t="inlineStr">
        <is>
          <t>-</t>
        </is>
      </c>
      <c r="L5" t="n">
        <v>1</v>
      </c>
      <c r="M5" s="54">
        <f t="array" ref="M5:M14">TRANSPOSE('Data Sheet'!B16:K16)</f>
        <v/>
      </c>
      <c r="N5" s="107">
        <f t="array" ref="N5:N14">TRANSPOSE('Historical FS'!C37:L37)</f>
        <v/>
      </c>
      <c r="O5" s="56" t="inlineStr">
        <is>
          <t>-</t>
        </is>
      </c>
    </row>
    <row r="6">
      <c r="B6">
        <f>B5+1</f>
        <v/>
      </c>
      <c r="C6" s="54" t="n">
        <v>43190</v>
      </c>
      <c r="D6" s="107" t="n">
        <v>43448.94</v>
      </c>
      <c r="E6" s="36">
        <f>D6/D5-1</f>
        <v/>
      </c>
      <c r="G6">
        <f>G5+1</f>
        <v/>
      </c>
      <c r="H6" s="54" t="n">
        <v>43190</v>
      </c>
      <c r="I6" s="107" t="n">
        <v>17526.57</v>
      </c>
      <c r="J6" s="36">
        <f>I6/I5-1</f>
        <v/>
      </c>
      <c r="L6">
        <f>L5+1</f>
        <v/>
      </c>
      <c r="M6" s="54" t="n">
        <v>43190</v>
      </c>
      <c r="N6" s="107" t="n">
        <v>10258.85</v>
      </c>
      <c r="O6" s="36">
        <f>N6/N5-1</f>
        <v/>
      </c>
    </row>
    <row r="7">
      <c r="B7">
        <f>B6+1</f>
        <v/>
      </c>
      <c r="C7" s="54" t="n">
        <v>43555</v>
      </c>
      <c r="D7" s="107" t="n">
        <v>48339.58</v>
      </c>
      <c r="E7" s="36">
        <f>D7/D6-1</f>
        <v/>
      </c>
      <c r="G7">
        <f>G6+1</f>
        <v/>
      </c>
      <c r="H7" s="54" t="n">
        <v>43555</v>
      </c>
      <c r="I7" s="107" t="n">
        <v>19577.24</v>
      </c>
      <c r="J7" s="36">
        <f>I7/I6-1</f>
        <v/>
      </c>
      <c r="L7">
        <f>L6+1</f>
        <v/>
      </c>
      <c r="M7" s="54" t="n">
        <v>43555</v>
      </c>
      <c r="N7" s="107" t="n">
        <v>11795.31</v>
      </c>
      <c r="O7" s="36">
        <f>N7/N6-1</f>
        <v/>
      </c>
    </row>
    <row r="8">
      <c r="B8">
        <f>B7+1</f>
        <v/>
      </c>
      <c r="C8" s="54" t="n">
        <v>43921</v>
      </c>
      <c r="D8" s="107" t="n">
        <v>49387.7</v>
      </c>
      <c r="E8" s="36">
        <f>D8/D7-1</f>
        <v/>
      </c>
      <c r="G8">
        <f>G7+1</f>
        <v/>
      </c>
      <c r="H8" s="54" t="n">
        <v>43921</v>
      </c>
      <c r="I8" s="107" t="n">
        <v>20568.67</v>
      </c>
      <c r="J8" s="36">
        <f>I8/I7-1</f>
        <v/>
      </c>
      <c r="L8">
        <f>L7+1</f>
        <v/>
      </c>
      <c r="M8" s="54" t="n">
        <v>43921</v>
      </c>
      <c r="N8" s="107" t="n">
        <v>14400.59</v>
      </c>
      <c r="O8" s="36">
        <f>N8/N7-1</f>
        <v/>
      </c>
    </row>
    <row r="9">
      <c r="B9">
        <f>B8+1</f>
        <v/>
      </c>
      <c r="C9" s="54" t="n">
        <v>44286</v>
      </c>
      <c r="D9" s="107" t="n">
        <v>49257.45</v>
      </c>
      <c r="E9" s="36">
        <f>D9/D8-1</f>
        <v/>
      </c>
      <c r="G9">
        <f>G8+1</f>
        <v/>
      </c>
      <c r="H9" s="54" t="n">
        <v>44286</v>
      </c>
      <c r="I9" s="107" t="n">
        <v>18139.17</v>
      </c>
      <c r="J9" s="36">
        <f>I9/I8-1</f>
        <v/>
      </c>
      <c r="L9">
        <f>L8+1</f>
        <v/>
      </c>
      <c r="M9" s="54" t="n">
        <v>44286</v>
      </c>
      <c r="N9" s="107" t="n">
        <v>11880.32</v>
      </c>
      <c r="O9" s="36">
        <f>N9/N8-1</f>
        <v/>
      </c>
    </row>
    <row r="10">
      <c r="B10">
        <f>B9+1</f>
        <v/>
      </c>
      <c r="C10" s="54" t="n">
        <v>44651</v>
      </c>
      <c r="D10" s="107" t="n">
        <v>60644.54</v>
      </c>
      <c r="E10" s="36">
        <f>D10/D9-1</f>
        <v/>
      </c>
      <c r="G10">
        <f>G9+1</f>
        <v/>
      </c>
      <c r="H10" s="54" t="n">
        <v>44651</v>
      </c>
      <c r="I10" s="107" t="n">
        <v>21733.09999999999</v>
      </c>
      <c r="J10" s="36">
        <f>I10/I9-1</f>
        <v/>
      </c>
      <c r="L10">
        <f>L9+1</f>
        <v/>
      </c>
      <c r="M10" s="54" t="n">
        <v>44651</v>
      </c>
      <c r="N10" s="107" t="n">
        <v>14703.35999999999</v>
      </c>
      <c r="O10" s="36">
        <f>N10/N9-1</f>
        <v/>
      </c>
    </row>
    <row r="11">
      <c r="B11">
        <f>B10+1</f>
        <v/>
      </c>
      <c r="C11" s="54" t="n">
        <v>45016</v>
      </c>
      <c r="D11" s="107" t="n">
        <v>70919.03</v>
      </c>
      <c r="E11" s="36">
        <f>D11/D10-1</f>
        <v/>
      </c>
      <c r="G11">
        <f>G10+1</f>
        <v/>
      </c>
      <c r="H11" s="54" t="n">
        <v>45016</v>
      </c>
      <c r="I11" s="107" t="n">
        <v>27012.81999999999</v>
      </c>
      <c r="J11" s="36">
        <f>I11/I10-1</f>
        <v/>
      </c>
      <c r="L11">
        <f>L10+1</f>
        <v/>
      </c>
      <c r="M11" s="54" t="n">
        <v>45016</v>
      </c>
      <c r="N11" s="107" t="n">
        <v>18687.63999999999</v>
      </c>
      <c r="O11" s="36">
        <f>N11/N10-1</f>
        <v/>
      </c>
    </row>
    <row r="12">
      <c r="B12">
        <f>B11+1</f>
        <v/>
      </c>
      <c r="C12" s="54" t="n">
        <v>45382</v>
      </c>
      <c r="D12" s="107" t="n">
        <v>67931.94</v>
      </c>
      <c r="E12" s="36">
        <f>D12/D11-1</f>
        <v/>
      </c>
      <c r="G12">
        <f>G11+1</f>
        <v/>
      </c>
      <c r="H12" s="54" t="n">
        <v>45382</v>
      </c>
      <c r="I12" s="107" t="n">
        <v>26953.5</v>
      </c>
      <c r="J12" s="36">
        <f>I12/I11-1</f>
        <v/>
      </c>
      <c r="L12">
        <f>L11+1</f>
        <v/>
      </c>
      <c r="M12" s="54" t="n">
        <v>45382</v>
      </c>
      <c r="N12" s="107" t="n">
        <v>19186.88</v>
      </c>
      <c r="O12" s="36">
        <f>N12/N11-1</f>
        <v/>
      </c>
    </row>
    <row r="13">
      <c r="B13">
        <f>B12+1</f>
        <v/>
      </c>
      <c r="C13" s="54" t="n">
        <v>45747</v>
      </c>
      <c r="D13" s="107" t="n">
        <v>75323.34</v>
      </c>
      <c r="E13" s="36">
        <f>D13/D12-1</f>
        <v/>
      </c>
      <c r="G13">
        <f>G12+1</f>
        <v/>
      </c>
      <c r="H13" s="54" t="n">
        <v>45747</v>
      </c>
      <c r="I13" s="107" t="n">
        <v>28060.84</v>
      </c>
      <c r="J13" s="36">
        <f>I13/I12-1</f>
        <v/>
      </c>
      <c r="L13">
        <f>L12+1</f>
        <v/>
      </c>
      <c r="M13" s="54" t="n">
        <v>45747</v>
      </c>
      <c r="N13" s="107" t="n">
        <v>19478.98999999999</v>
      </c>
      <c r="O13" s="36">
        <f>N13/N12-1</f>
        <v/>
      </c>
    </row>
    <row r="14">
      <c r="B14">
        <f>B13+1</f>
        <v/>
      </c>
      <c r="C14" s="54" t="n">
        <v>46112</v>
      </c>
      <c r="D14" s="107" t="n">
        <v>78868.39999999999</v>
      </c>
      <c r="E14" s="36">
        <f>D14/D13-1</f>
        <v/>
      </c>
      <c r="G14">
        <f>G13+1</f>
        <v/>
      </c>
      <c r="H14" s="54" t="n">
        <v>46112</v>
      </c>
      <c r="I14" s="107" t="n">
        <v>29630.87999999999</v>
      </c>
      <c r="J14" s="36">
        <f>I14/I13-1</f>
        <v/>
      </c>
      <c r="L14">
        <f>L13+1</f>
        <v/>
      </c>
      <c r="M14" s="54" t="n">
        <v>46112</v>
      </c>
      <c r="N14" s="107" t="n">
        <v>20819.94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0" t="inlineStr">
        <is>
          <t>Nifty 50 Daily Returns</t>
        </is>
      </c>
      <c r="J7" s="160"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63" t="inlineStr">
        <is>
          <t>-</t>
        </is>
      </c>
      <c r="F10" s="34">
        <f>'Raw Data'!G6</f>
        <v/>
      </c>
      <c r="G10">
        <f>'Raw Data'!J6</f>
        <v/>
      </c>
      <c r="H10" s="163"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SLOPE(D10:D256, H10:H256)</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_xlfn.COVARIANCE.S(D10:D256, H10:H256)/_xlfn.VAR.S(H10:H256)</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f>'Raw Data'!G249</f>
        <v/>
      </c>
      <c r="G253">
        <f>'Raw Data'!J249</f>
        <v/>
      </c>
      <c r="H253">
        <f>G252/G253-1</f>
        <v/>
      </c>
    </row>
    <row r="254">
      <c r="B254" s="34">
        <f>'Raw Data'!G250</f>
        <v/>
      </c>
      <c r="C254">
        <f>'Raw Data'!H250</f>
        <v/>
      </c>
      <c r="D254">
        <f>C253/C254-1</f>
        <v/>
      </c>
      <c r="F254">
        <f>'Raw Data'!G250</f>
        <v/>
      </c>
      <c r="G254">
        <f>'Raw Data'!J250</f>
        <v/>
      </c>
      <c r="H254">
        <f>G253/G254-1</f>
        <v/>
      </c>
    </row>
    <row r="255">
      <c r="B255" s="34">
        <f>'Raw Data'!G251</f>
        <v/>
      </c>
      <c r="C255">
        <f>'Raw Data'!H251</f>
        <v/>
      </c>
      <c r="D255">
        <f>C254/C255-1</f>
        <v/>
      </c>
      <c r="F255">
        <f>'Raw Data'!G251</f>
        <v/>
      </c>
      <c r="G255">
        <f>'Raw Data'!J251</f>
        <v/>
      </c>
      <c r="H255">
        <f>G254/G255-1</f>
        <v/>
      </c>
    </row>
    <row r="256">
      <c r="B256" s="34">
        <f>'Raw Data'!G252</f>
        <v/>
      </c>
      <c r="C256">
        <f>'Raw Data'!H252</f>
        <v/>
      </c>
      <c r="D256">
        <f>C255/C256-1</f>
        <v/>
      </c>
      <c r="F256">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184" t="inlineStr">
        <is>
          <t>Total Debt</t>
        </is>
      </c>
      <c r="F11" s="184" t="inlineStr">
        <is>
          <t>Total Equity</t>
        </is>
      </c>
      <c r="G11" s="57" t="n"/>
      <c r="H11" s="184" t="inlineStr">
        <is>
          <t>Debt /Equity</t>
        </is>
      </c>
      <c r="I11" s="184" t="inlineStr">
        <is>
          <t>Debt /Capital</t>
        </is>
      </c>
      <c r="J11" s="184" t="inlineStr">
        <is>
          <t>Levered Beta</t>
        </is>
      </c>
      <c r="K11" s="184" t="inlineStr">
        <is>
          <t>Unlevered Beta</t>
        </is>
      </c>
    </row>
    <row r="12">
      <c r="B12" s="58" t="inlineStr">
        <is>
          <t>Name of the Comp</t>
        </is>
      </c>
      <c r="C12" s="58" t="n"/>
      <c r="D12" s="58" t="inlineStr">
        <is>
          <t>Country</t>
        </is>
      </c>
      <c r="E12" s="58" t="n"/>
      <c r="F12" s="58" t="n"/>
      <c r="G12" s="165"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v>
      </c>
      <c r="K14" s="47">
        <f>J14/(1+(1-G14)*H14)</f>
        <v/>
      </c>
    </row>
    <row r="15">
      <c r="B15" s="119">
        <f>'Raw Data'!O25</f>
        <v/>
      </c>
      <c r="C15" s="119" t="n"/>
      <c r="D15" s="119">
        <f>'Raw Data'!Q25</f>
        <v/>
      </c>
      <c r="E15" s="124">
        <f>'Raw Data'!R25</f>
        <v/>
      </c>
      <c r="F15" s="124">
        <f>'Raw Data'!S25</f>
        <v/>
      </c>
      <c r="G15" s="120">
        <f>'Raw Data'!T25</f>
        <v/>
      </c>
      <c r="H15" s="36">
        <f>E15/F15</f>
        <v/>
      </c>
      <c r="I15" s="36">
        <f>E15/SUM(E15:F15)</f>
        <v/>
      </c>
      <c r="J15" s="47">
        <f>'Beta-Regression'!L15</f>
        <v/>
      </c>
      <c r="K15" s="47">
        <f>J15/(1+(1-G15)*H15)</f>
        <v/>
      </c>
    </row>
    <row r="16">
      <c r="B16" s="119">
        <f>'Raw Data'!O26</f>
        <v/>
      </c>
      <c r="C16" s="119" t="n"/>
      <c r="D16" s="119">
        <f>'Raw Data'!Q26</f>
        <v/>
      </c>
      <c r="E16" s="124">
        <f>'Raw Data'!R26</f>
        <v/>
      </c>
      <c r="F16" s="124">
        <f>'Raw Data'!S26</f>
        <v/>
      </c>
      <c r="G16" s="120">
        <f>'Raw Data'!T26</f>
        <v/>
      </c>
      <c r="H16" s="36">
        <f>E16/F16</f>
        <v/>
      </c>
      <c r="I16" s="36">
        <f>E16/SUM(E16:F16)</f>
        <v/>
      </c>
      <c r="J16" t="n">
        <v>1</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v>
      </c>
      <c r="K17" s="47">
        <f>J17/(1+(1-G17)*H17)</f>
        <v/>
      </c>
    </row>
    <row r="18">
      <c r="B18" s="119">
        <f>'Raw Data'!O28</f>
        <v/>
      </c>
      <c r="C18" s="119" t="n"/>
      <c r="D18" s="119">
        <f>'Raw Data'!Q28</f>
        <v/>
      </c>
      <c r="E18" s="124">
        <f>'Raw Data'!R28</f>
        <v/>
      </c>
      <c r="F18" s="124">
        <f>'Raw Data'!S28</f>
        <v/>
      </c>
      <c r="G18" s="120">
        <f>'Raw Data'!T28</f>
        <v/>
      </c>
      <c r="H18" s="36">
        <f>E18/F18</f>
        <v/>
      </c>
      <c r="I18" s="36">
        <f>E18/SUM(E18:F18)</f>
        <v/>
      </c>
      <c r="J18" t="n">
        <v>1</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0.07000000000000001</v>
      </c>
    </row>
    <row r="27">
      <c r="B27" t="inlineStr">
        <is>
          <t>Tax Rate</t>
        </is>
      </c>
      <c r="E27" s="46">
        <f>G15</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E15</f>
        <v/>
      </c>
      <c r="D34" s="36">
        <f>C34/C$36</f>
        <v/>
      </c>
      <c r="E34" s="46">
        <f>I20</f>
        <v/>
      </c>
      <c r="G34" t="inlineStr">
        <is>
          <t>Target Debt/Equity</t>
        </is>
      </c>
      <c r="K34" s="46">
        <f>E38</f>
        <v/>
      </c>
    </row>
    <row r="35">
      <c r="B35" t="inlineStr">
        <is>
          <t>Market Capitalization</t>
        </is>
      </c>
      <c r="C35" s="107">
        <f>F15</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3"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N45"/>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MIN(0.85, MAX(0.15, 'Intrinsic Valuation'!$L$55))</f>
        <v/>
      </c>
      <c r="J11" s="81">
        <f>$I$11+($M$11-$I$11)/4*1</f>
        <v/>
      </c>
      <c r="K11" s="81">
        <f>$I$11+($M$11-$I$11)/4*2</f>
        <v/>
      </c>
      <c r="L11" s="81">
        <f>$I$11+($M$11-$I$11)/4*3</f>
        <v/>
      </c>
      <c r="M11" s="81">
        <f>D21</f>
        <v/>
      </c>
      <c r="N11" t="n">
        <v>0</v>
      </c>
    </row>
    <row r="12">
      <c r="B12" s="72" t="inlineStr">
        <is>
          <t>Free Cash Flow to Firm</t>
        </is>
      </c>
      <c r="C12" s="72" t="n"/>
      <c r="D12" s="72" t="n"/>
      <c r="E12" s="72" t="n"/>
      <c r="F12" s="72" t="n"/>
      <c r="G12" s="72" t="n"/>
      <c r="H12" s="130">
        <f>H10*(1-H11)</f>
        <v/>
      </c>
      <c r="I12" s="130">
        <f>I10*(1-MIN(0.85, I11))</f>
        <v/>
      </c>
      <c r="J12" s="130">
        <f>J10*(1-MIN(0.85, J11))</f>
        <v/>
      </c>
      <c r="K12" s="130">
        <f>K10*(1-MIN(0.85, K11))</f>
        <v/>
      </c>
      <c r="L12" s="130">
        <f>L10*(1-MIN(0.85, L11))</f>
        <v/>
      </c>
      <c r="M12" s="130">
        <f>M10*(1-MIN(0.85, 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t>
        </is>
      </c>
      <c r="D37" s="107">
        <f>'Data Sheet'!K69</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2" ht="15" customHeight="1" s="109" thickBot="1">
      <c r="B42" s="127" t="inlineStr">
        <is>
          <t>Equity Value per Share</t>
        </is>
      </c>
      <c r="C42" s="127" t="n"/>
      <c r="D42" s="128">
        <f>D39/D40</f>
        <v/>
      </c>
    </row>
    <row r="44">
      <c r="B44" t="inlineStr">
        <is>
          <t>Share Price</t>
        </is>
      </c>
      <c r="D44" s="107" t="n">
        <v>1051</v>
      </c>
    </row>
    <row r="45">
      <c r="B45" t="inlineStr">
        <is>
          <t>Discount /Premium</t>
        </is>
      </c>
      <c r="D45" s="83">
        <f>D44/D42</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inlineStr">
        <is>
          <t>2026-09-18</t>
        </is>
      </c>
      <c r="H6" t="n">
        <v>1051.4</v>
      </c>
      <c r="J6" t="n">
        <v>23346.4</v>
      </c>
    </row>
    <row r="7">
      <c r="B7" t="n">
        <v>2024</v>
      </c>
      <c r="C7" s="46" t="n">
        <v>0.08749999999999999</v>
      </c>
      <c r="G7" s="34" t="inlineStr">
        <is>
          <t>2026-09-17</t>
        </is>
      </c>
      <c r="H7" t="n">
        <v>1058.6</v>
      </c>
      <c r="J7" t="n">
        <v>23270.6</v>
      </c>
    </row>
    <row r="8">
      <c r="B8" t="n">
        <v>2023</v>
      </c>
      <c r="C8" s="46" t="n">
        <v>0.1942</v>
      </c>
      <c r="G8" s="34" t="inlineStr">
        <is>
          <t>2026-09-16</t>
        </is>
      </c>
      <c r="H8" t="n">
        <v>1060</v>
      </c>
      <c r="J8" t="n">
        <v>23217.6</v>
      </c>
    </row>
    <row r="9">
      <c r="B9" t="n">
        <v>2022</v>
      </c>
      <c r="C9" s="46" t="n">
        <v>0.0432</v>
      </c>
      <c r="G9" s="34" t="inlineStr">
        <is>
          <t>2026-09-15</t>
        </is>
      </c>
      <c r="H9" t="n">
        <v>1077</v>
      </c>
      <c r="J9" t="n">
        <v>23118.6</v>
      </c>
    </row>
    <row r="10">
      <c r="B10" t="n">
        <v>2021</v>
      </c>
      <c r="C10" s="46" t="n">
        <v>0.2412</v>
      </c>
      <c r="G10" s="34" t="inlineStr">
        <is>
          <t>2026-09-11</t>
        </is>
      </c>
      <c r="H10" t="n">
        <v>1037.7</v>
      </c>
      <c r="J10" t="n">
        <v>23398.1</v>
      </c>
    </row>
    <row r="11">
      <c r="B11" t="n">
        <v>2020</v>
      </c>
      <c r="C11" s="46" t="n">
        <v>0.149</v>
      </c>
      <c r="G11" s="34" t="inlineStr">
        <is>
          <t>2026-09-10</t>
        </is>
      </c>
      <c r="H11" t="n">
        <v>1036.5</v>
      </c>
      <c r="J11" t="n">
        <v>23477.8</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2026-09-09</t>
        </is>
      </c>
      <c r="H12" t="n">
        <v>1035</v>
      </c>
      <c r="J12" t="n">
        <v>23431.5</v>
      </c>
      <c r="N12" t="n">
        <v>1</v>
      </c>
      <c r="O12" t="inlineStr">
        <is>
          <t>Hind. Unilever</t>
        </is>
      </c>
      <c r="P12" t="n">
        <v>2087.2</v>
      </c>
      <c r="Q12" t="n">
        <v>234.96</v>
      </c>
      <c r="R12" t="n">
        <v>494084.03</v>
      </c>
      <c r="S12" t="n">
        <v>1478</v>
      </c>
      <c r="T12" t="n">
        <v>3248</v>
      </c>
      <c r="U12" t="n">
        <v>492314.03</v>
      </c>
      <c r="V12" t="n">
        <v>66052</v>
      </c>
      <c r="W12" t="n">
        <v>30.61</v>
      </c>
      <c r="X12" t="n">
        <v>14971</v>
      </c>
    </row>
    <row r="13">
      <c r="B13" t="n">
        <v>2018</v>
      </c>
      <c r="C13" s="46" t="n">
        <v>0.0315</v>
      </c>
      <c r="G13" s="34" t="inlineStr">
        <is>
          <t>2026-09-08</t>
        </is>
      </c>
      <c r="H13" t="n">
        <v>1082</v>
      </c>
      <c r="J13" t="n">
        <v>23635.1</v>
      </c>
      <c r="N13" t="n">
        <v>2</v>
      </c>
      <c r="O13" t="inlineStr">
        <is>
          <t>ITC</t>
        </is>
      </c>
      <c r="P13" t="n">
        <v>282.65</v>
      </c>
      <c r="Q13" t="n">
        <v>1252.95</v>
      </c>
      <c r="R13" t="n">
        <v>354889.69</v>
      </c>
      <c r="S13" t="n">
        <v>2399.06</v>
      </c>
      <c r="T13" t="n">
        <v>3008.79</v>
      </c>
      <c r="U13" t="n">
        <v>354279.96</v>
      </c>
      <c r="V13" t="n">
        <v>76487.98</v>
      </c>
      <c r="W13" t="n">
        <v>12.44</v>
      </c>
      <c r="X13" t="n">
        <v>20183.53</v>
      </c>
    </row>
    <row r="14">
      <c r="B14" t="n">
        <v>2017</v>
      </c>
      <c r="C14" s="46" t="n">
        <v>0.2865</v>
      </c>
      <c r="G14" s="34" t="inlineStr">
        <is>
          <t>2026-09-07</t>
        </is>
      </c>
      <c r="H14" t="n">
        <v>1087.5</v>
      </c>
      <c r="J14" t="n">
        <v>23779.15</v>
      </c>
      <c r="N14" t="n">
        <v>3</v>
      </c>
      <c r="O14" t="inlineStr">
        <is>
          <t>Hindustan Foods</t>
        </is>
      </c>
      <c r="P14" t="n">
        <v>585.6</v>
      </c>
      <c r="Q14" t="n">
        <v>12.12</v>
      </c>
      <c r="R14" t="n">
        <v>7105.77</v>
      </c>
      <c r="S14" t="n">
        <v>1088.26</v>
      </c>
      <c r="T14" t="n">
        <v>51.71</v>
      </c>
      <c r="U14" t="n">
        <v>8142.32</v>
      </c>
      <c r="V14" t="n">
        <v>4400.19</v>
      </c>
      <c r="W14" t="n">
        <v>20.53</v>
      </c>
      <c r="X14" t="n">
        <v>158.3</v>
      </c>
    </row>
    <row r="15">
      <c r="B15" t="n">
        <v>2016</v>
      </c>
      <c r="C15" s="46" t="n">
        <v>0.0301</v>
      </c>
      <c r="G15" s="34" t="inlineStr">
        <is>
          <t>2026-09-04</t>
        </is>
      </c>
      <c r="H15" t="n">
        <v>1130</v>
      </c>
      <c r="J15" t="n">
        <v>23897.7</v>
      </c>
      <c r="N15" t="n">
        <v>4</v>
      </c>
      <c r="O15" t="inlineStr">
        <is>
          <t>Godavari Bioref.</t>
        </is>
      </c>
      <c r="P15" t="n">
        <v>240.1</v>
      </c>
      <c r="Q15" t="n">
        <v>5.12</v>
      </c>
      <c r="R15" t="n">
        <v>1227</v>
      </c>
      <c r="S15" t="n">
        <v>530.76</v>
      </c>
      <c r="T15" t="n">
        <v>32.15</v>
      </c>
      <c r="U15" t="n">
        <v>1725.61</v>
      </c>
      <c r="V15" t="n">
        <v>2012.58</v>
      </c>
      <c r="W15" t="n">
        <v>12.74</v>
      </c>
      <c r="X15" t="n">
        <v>0.22</v>
      </c>
    </row>
    <row r="16">
      <c r="B16" t="n">
        <v>2015</v>
      </c>
      <c r="C16" s="46" t="n">
        <v>-0.0406</v>
      </c>
      <c r="G16" s="34" t="inlineStr">
        <is>
          <t>2026-09-03</t>
        </is>
      </c>
      <c r="H16" t="n">
        <v>1130.3</v>
      </c>
      <c r="J16" t="n">
        <v>23873.45</v>
      </c>
      <c r="N16" t="n">
        <v>5</v>
      </c>
      <c r="O16" t="inlineStr">
        <is>
          <t>Davangere Sugar</t>
        </is>
      </c>
      <c r="P16" t="n">
        <v>3.08</v>
      </c>
      <c r="Q16" t="n">
        <v>143</v>
      </c>
      <c r="R16" t="n">
        <v>440.44</v>
      </c>
      <c r="S16" t="n">
        <v>250.05</v>
      </c>
      <c r="T16" t="n">
        <v>6.57</v>
      </c>
      <c r="U16" t="n">
        <v>683.92</v>
      </c>
      <c r="V16" t="n">
        <v>238.77</v>
      </c>
      <c r="W16" t="n">
        <v>13.43</v>
      </c>
      <c r="X16" t="n">
        <v>8.51</v>
      </c>
    </row>
    <row r="17">
      <c r="B17" t="n">
        <v>2014</v>
      </c>
      <c r="C17" s="46" t="n">
        <v>0.3139</v>
      </c>
      <c r="G17" s="34" t="inlineStr">
        <is>
          <t>2026-09-02</t>
        </is>
      </c>
      <c r="H17" t="n">
        <v>1140</v>
      </c>
      <c r="J17" t="n">
        <v>23914.45</v>
      </c>
    </row>
    <row r="18">
      <c r="B18" t="n">
        <v>2013</v>
      </c>
      <c r="C18" s="46" t="n">
        <v>0.06759999999999999</v>
      </c>
      <c r="G18" s="34" t="inlineStr">
        <is>
          <t>2026-09-01</t>
        </is>
      </c>
      <c r="H18" t="n">
        <v>1156</v>
      </c>
      <c r="J18" t="n">
        <v>24055.8</v>
      </c>
    </row>
    <row r="19">
      <c r="B19" t="n">
        <v>2012</v>
      </c>
      <c r="C19" s="46" t="n">
        <v>0.277</v>
      </c>
      <c r="G19" s="34" t="inlineStr">
        <is>
          <t>2026-08-31</t>
        </is>
      </c>
      <c r="H19" t="n">
        <v>1133.8</v>
      </c>
      <c r="J19" t="n">
        <v>24080.4</v>
      </c>
    </row>
    <row r="20">
      <c r="B20" t="n">
        <v>2011</v>
      </c>
      <c r="C20" s="46" t="n">
        <v>-0.2462</v>
      </c>
      <c r="G20" s="34" t="inlineStr">
        <is>
          <t>2026-08-28</t>
        </is>
      </c>
      <c r="H20" t="n">
        <v>1144</v>
      </c>
      <c r="J20" t="n">
        <v>24175.65</v>
      </c>
    </row>
    <row r="21">
      <c r="B21" t="n">
        <v>2010</v>
      </c>
      <c r="C21" s="46" t="n">
        <v>0.1795</v>
      </c>
      <c r="G21" s="34" t="inlineStr">
        <is>
          <t>2026-08-27</t>
        </is>
      </c>
      <c r="H21" t="n">
        <v>1110.8</v>
      </c>
      <c r="J21" t="n">
        <v>24090.85</v>
      </c>
    </row>
    <row r="22">
      <c r="B22" t="n">
        <v>2009</v>
      </c>
      <c r="C22" s="46" t="n">
        <v>0.7576000000000001</v>
      </c>
      <c r="G22" s="34" t="inlineStr">
        <is>
          <t>2026-08-26</t>
        </is>
      </c>
      <c r="H22" t="n">
        <v>1120</v>
      </c>
      <c r="J22" t="n">
        <v>24207.75</v>
      </c>
    </row>
    <row r="23">
      <c r="B23" t="n">
        <v>2008</v>
      </c>
      <c r="C23" s="46" t="n">
        <v>-0.5179</v>
      </c>
      <c r="G23" s="34" t="inlineStr">
        <is>
          <t>2026-08-25</t>
        </is>
      </c>
      <c r="H23" t="n">
        <v>1144</v>
      </c>
      <c r="J23" t="n">
        <v>24334.55</v>
      </c>
    </row>
    <row r="24">
      <c r="B24" t="n">
        <v>2007</v>
      </c>
      <c r="C24" s="46" t="n">
        <v>0.5477</v>
      </c>
      <c r="G24" s="34" t="inlineStr">
        <is>
          <t>2026-08-24</t>
        </is>
      </c>
      <c r="H24" t="n">
        <v>1130</v>
      </c>
      <c r="J24" t="n">
        <v>24219.05</v>
      </c>
      <c r="O24" t="inlineStr">
        <is>
          <t>TCS</t>
        </is>
      </c>
      <c r="Q24" t="inlineStr">
        <is>
          <t>India</t>
        </is>
      </c>
      <c r="R24" t="n">
        <v>190401.9</v>
      </c>
      <c r="S24" t="n">
        <v>761607.42</v>
      </c>
      <c r="T24" s="46" t="n">
        <v>0.3</v>
      </c>
    </row>
    <row r="25">
      <c r="B25" t="n">
        <v>2006</v>
      </c>
      <c r="C25" s="46" t="n">
        <v>0.3983</v>
      </c>
      <c r="G25" s="34" t="inlineStr">
        <is>
          <t>2026-08-21</t>
        </is>
      </c>
      <c r="H25" t="n">
        <v>1121</v>
      </c>
      <c r="J25" t="n">
        <v>24252</v>
      </c>
      <c r="O25" t="inlineStr">
        <is>
          <t>Infosys Ltd</t>
        </is>
      </c>
      <c r="Q25">
        <f>Q24</f>
        <v/>
      </c>
      <c r="R25" t="n">
        <v>9176</v>
      </c>
      <c r="S25" t="n">
        <v>426683</v>
      </c>
      <c r="T25" s="46">
        <f>T24</f>
        <v/>
      </c>
    </row>
    <row r="26">
      <c r="B26" t="n">
        <v>2005</v>
      </c>
      <c r="C26" s="46" t="n">
        <v>0.3634</v>
      </c>
      <c r="G26" s="34" t="inlineStr">
        <is>
          <t>2026-08-20</t>
        </is>
      </c>
      <c r="H26" t="n">
        <v>1130</v>
      </c>
      <c r="J26" t="n">
        <v>24231.85</v>
      </c>
      <c r="O26" t="inlineStr">
        <is>
          <t>HCL Technologies</t>
        </is>
      </c>
      <c r="Q26">
        <f>Q25</f>
        <v/>
      </c>
      <c r="R26" t="n">
        <v>84754.5</v>
      </c>
      <c r="S26" t="n">
        <v>339018.18</v>
      </c>
      <c r="T26" s="46">
        <f>T25</f>
        <v/>
      </c>
    </row>
    <row r="27">
      <c r="B27" t="n">
        <v>2004</v>
      </c>
      <c r="C27" s="46" t="n">
        <v>0.1068</v>
      </c>
      <c r="G27" s="34" t="inlineStr">
        <is>
          <t>2026-08-19</t>
        </is>
      </c>
      <c r="H27" t="n">
        <v>1119.8</v>
      </c>
      <c r="J27" t="n">
        <v>24078.3</v>
      </c>
      <c r="O27" t="inlineStr">
        <is>
          <t>Wipro</t>
        </is>
      </c>
      <c r="Q27">
        <f>Q26</f>
        <v/>
      </c>
      <c r="R27" t="n">
        <v>41311</v>
      </c>
      <c r="S27" t="n">
        <v>165244.04</v>
      </c>
      <c r="T27" s="46">
        <f>T26</f>
        <v/>
      </c>
    </row>
    <row r="28">
      <c r="B28" t="n">
        <v>2003</v>
      </c>
      <c r="C28" s="46" t="n">
        <v>0.719</v>
      </c>
      <c r="G28" s="34" t="inlineStr">
        <is>
          <t>2026-08-18</t>
        </is>
      </c>
      <c r="H28" t="n">
        <v>1115</v>
      </c>
      <c r="J28" t="n">
        <v>24154.9</v>
      </c>
      <c r="O28" t="inlineStr">
        <is>
          <t>Tech Mahindra</t>
        </is>
      </c>
      <c r="Q28">
        <f>Q27</f>
        <v/>
      </c>
      <c r="R28" t="n">
        <v>37664.1</v>
      </c>
      <c r="S28" t="n">
        <v>150656.36</v>
      </c>
      <c r="T28" s="46">
        <f>T27</f>
        <v/>
      </c>
    </row>
    <row r="29">
      <c r="B29" t="n">
        <v>2002</v>
      </c>
      <c r="C29" s="46" t="n">
        <v>0.0325</v>
      </c>
      <c r="G29" s="34" t="inlineStr">
        <is>
          <t>2026-08-17</t>
        </is>
      </c>
      <c r="H29" t="n">
        <v>1139.9</v>
      </c>
      <c r="J29" t="n">
        <v>24287.65</v>
      </c>
    </row>
    <row r="30">
      <c r="G30" s="34" t="inlineStr">
        <is>
          <t>2026-08-14</t>
        </is>
      </c>
      <c r="H30" t="n">
        <v>1169.2</v>
      </c>
      <c r="J30" t="n">
        <v>24366</v>
      </c>
    </row>
    <row r="31">
      <c r="G31" s="34" t="inlineStr">
        <is>
          <t>2026-08-13</t>
        </is>
      </c>
      <c r="H31" t="n">
        <v>1175</v>
      </c>
      <c r="J31" t="n">
        <v>24395.85</v>
      </c>
    </row>
    <row r="32">
      <c r="G32" s="34" t="inlineStr">
        <is>
          <t>2026-08-12</t>
        </is>
      </c>
      <c r="H32" t="n">
        <v>1176.1</v>
      </c>
      <c r="J32" t="n">
        <v>24435.95</v>
      </c>
    </row>
    <row r="33">
      <c r="G33" s="34" t="inlineStr">
        <is>
          <t>2026-08-11</t>
        </is>
      </c>
      <c r="H33" t="n">
        <v>1190.7</v>
      </c>
      <c r="J33" t="n">
        <v>24471.7</v>
      </c>
    </row>
    <row r="34">
      <c r="G34" s="34" t="inlineStr">
        <is>
          <t>2026-08-10</t>
        </is>
      </c>
      <c r="H34" t="n">
        <v>1183</v>
      </c>
      <c r="J34" t="n">
        <v>24583.8</v>
      </c>
    </row>
    <row r="35">
      <c r="G35" s="34" t="inlineStr">
        <is>
          <t>2026-08-07</t>
        </is>
      </c>
      <c r="H35" t="n">
        <v>1175.1</v>
      </c>
      <c r="J35" t="n">
        <v>24570.65</v>
      </c>
    </row>
    <row r="36">
      <c r="G36" s="34" t="inlineStr">
        <is>
          <t>2026-08-06</t>
        </is>
      </c>
      <c r="H36" t="n">
        <v>1165</v>
      </c>
      <c r="J36" t="n">
        <v>24636</v>
      </c>
    </row>
    <row r="37">
      <c r="G37" s="34" t="inlineStr">
        <is>
          <t>2026-08-05</t>
        </is>
      </c>
      <c r="H37" t="n">
        <v>1174</v>
      </c>
      <c r="J37" t="n">
        <v>24624.65</v>
      </c>
    </row>
    <row r="38">
      <c r="G38" s="34" t="inlineStr">
        <is>
          <t>2026-08-04</t>
        </is>
      </c>
      <c r="H38" t="n">
        <v>1167.5</v>
      </c>
      <c r="J38" t="n">
        <v>24614.9</v>
      </c>
    </row>
    <row r="39">
      <c r="G39" s="34" t="inlineStr">
        <is>
          <t>2026-08-03</t>
        </is>
      </c>
      <c r="H39" t="n">
        <v>1180</v>
      </c>
      <c r="J39" t="n">
        <v>24774.3</v>
      </c>
    </row>
    <row r="40">
      <c r="G40" s="34" t="inlineStr">
        <is>
          <t>2026-07-31</t>
        </is>
      </c>
      <c r="H40" t="n">
        <v>1130.1</v>
      </c>
      <c r="J40" t="n">
        <v>24383.6</v>
      </c>
    </row>
    <row r="41">
      <c r="G41" s="34" t="inlineStr">
        <is>
          <t>2026-07-30</t>
        </is>
      </c>
      <c r="H41" t="n">
        <v>1155.1</v>
      </c>
      <c r="J41" t="n">
        <v>24317.15</v>
      </c>
    </row>
    <row r="42">
      <c r="G42" s="34" t="inlineStr">
        <is>
          <t>2026-07-29</t>
        </is>
      </c>
      <c r="H42" t="n">
        <v>1155.6</v>
      </c>
      <c r="J42" t="n">
        <v>24250.2</v>
      </c>
    </row>
    <row r="43">
      <c r="G43" s="34" t="inlineStr">
        <is>
          <t>2026-07-28</t>
        </is>
      </c>
      <c r="H43" t="n">
        <v>1105.7</v>
      </c>
      <c r="J43" t="n">
        <v>23985.35</v>
      </c>
    </row>
    <row r="44">
      <c r="G44" s="34" t="inlineStr">
        <is>
          <t>2026-07-27</t>
        </is>
      </c>
      <c r="H44" t="n">
        <v>1079.2</v>
      </c>
      <c r="J44" t="n">
        <v>23995.95</v>
      </c>
    </row>
    <row r="45">
      <c r="G45" s="34" t="inlineStr">
        <is>
          <t>2026-07-24</t>
        </is>
      </c>
      <c r="H45" t="n">
        <v>1040.9</v>
      </c>
      <c r="J45" t="n">
        <v>23767.45</v>
      </c>
    </row>
    <row r="46">
      <c r="G46" s="34" t="inlineStr">
        <is>
          <t>2026-07-23</t>
        </is>
      </c>
      <c r="H46" t="n">
        <v>1047.4</v>
      </c>
      <c r="J46" t="n">
        <v>23869.6</v>
      </c>
    </row>
    <row r="47">
      <c r="G47" s="34" t="inlineStr">
        <is>
          <t>2026-07-22</t>
        </is>
      </c>
      <c r="H47" t="n">
        <v>1052.1</v>
      </c>
      <c r="J47" t="n">
        <v>23996.25</v>
      </c>
    </row>
    <row r="48">
      <c r="G48" s="34" t="inlineStr">
        <is>
          <t>2026-07-21</t>
        </is>
      </c>
      <c r="H48" t="n">
        <v>1073.5</v>
      </c>
      <c r="J48" t="n">
        <v>24187.7</v>
      </c>
    </row>
    <row r="49">
      <c r="G49" s="34" t="inlineStr">
        <is>
          <t>2026-07-20</t>
        </is>
      </c>
      <c r="H49" t="n">
        <v>1087.1</v>
      </c>
      <c r="J49" t="n">
        <v>24238.5</v>
      </c>
    </row>
    <row r="50">
      <c r="G50" s="34" t="inlineStr">
        <is>
          <t>2026-07-17</t>
        </is>
      </c>
      <c r="H50" t="n">
        <v>1096.5</v>
      </c>
      <c r="J50" t="n">
        <v>24334.3</v>
      </c>
    </row>
    <row r="51">
      <c r="G51" s="34" t="inlineStr">
        <is>
          <t>2026-07-16</t>
        </is>
      </c>
      <c r="H51" t="n">
        <v>1082.4</v>
      </c>
      <c r="J51" t="n">
        <v>24072.75</v>
      </c>
    </row>
    <row r="52">
      <c r="G52" s="34" t="inlineStr">
        <is>
          <t>2026-07-15</t>
        </is>
      </c>
      <c r="H52" t="n">
        <v>1076.3</v>
      </c>
      <c r="J52" t="n">
        <v>24078.5</v>
      </c>
    </row>
    <row r="53">
      <c r="G53" s="34" t="inlineStr">
        <is>
          <t>2026-07-14</t>
        </is>
      </c>
      <c r="H53" t="n">
        <v>1092.9</v>
      </c>
      <c r="J53" t="n">
        <v>24052.05</v>
      </c>
    </row>
    <row r="54">
      <c r="G54" s="34" t="inlineStr">
        <is>
          <t>2026-07-13</t>
        </is>
      </c>
      <c r="H54" t="n">
        <v>1102.6</v>
      </c>
      <c r="J54" t="n">
        <v>24211</v>
      </c>
    </row>
    <row r="55">
      <c r="G55" s="34" t="inlineStr">
        <is>
          <t>2026-07-10</t>
        </is>
      </c>
      <c r="H55" t="n">
        <v>1068</v>
      </c>
      <c r="J55" t="n">
        <v>24206.9</v>
      </c>
    </row>
    <row r="56">
      <c r="G56" s="34" t="inlineStr">
        <is>
          <t>2026-07-09</t>
        </is>
      </c>
      <c r="H56" t="n">
        <v>1050.8</v>
      </c>
      <c r="J56" t="n">
        <v>23962.8</v>
      </c>
    </row>
    <row r="57">
      <c r="G57" s="34" t="inlineStr">
        <is>
          <t>2026-07-08</t>
        </is>
      </c>
      <c r="H57" t="n">
        <v>1069.3</v>
      </c>
      <c r="J57" t="n">
        <v>23882.05</v>
      </c>
    </row>
    <row r="58">
      <c r="G58" s="34" t="inlineStr">
        <is>
          <t>2026-07-07</t>
        </is>
      </c>
      <c r="H58" t="n">
        <v>1071.8</v>
      </c>
      <c r="J58" t="n">
        <v>24398.7</v>
      </c>
    </row>
    <row r="59">
      <c r="G59" s="34" t="inlineStr">
        <is>
          <t>2026-07-06</t>
        </is>
      </c>
      <c r="H59" t="n">
        <v>1042.2</v>
      </c>
      <c r="J59" t="n">
        <v>24430.35</v>
      </c>
    </row>
    <row r="60">
      <c r="G60" s="34" t="inlineStr">
        <is>
          <t>2026-07-03</t>
        </is>
      </c>
      <c r="H60" t="n">
        <v>1047.2</v>
      </c>
      <c r="J60" t="n">
        <v>24270.85</v>
      </c>
    </row>
    <row r="61">
      <c r="G61" s="34" t="inlineStr">
        <is>
          <t>2026-07-02</t>
        </is>
      </c>
      <c r="H61" t="n">
        <v>1040.9</v>
      </c>
      <c r="J61" t="n">
        <v>24175.7</v>
      </c>
    </row>
    <row r="62">
      <c r="G62" s="34" t="inlineStr">
        <is>
          <t>2026-07-01</t>
        </is>
      </c>
      <c r="H62" t="n">
        <v>985.3</v>
      </c>
      <c r="J62" t="n">
        <v>24005.85</v>
      </c>
    </row>
    <row r="63">
      <c r="G63" s="34" t="inlineStr">
        <is>
          <t>2026-06-30</t>
        </is>
      </c>
      <c r="H63" t="n">
        <v>1000.4</v>
      </c>
      <c r="J63" t="n">
        <v>23865.75</v>
      </c>
    </row>
    <row r="64">
      <c r="G64" s="34" t="inlineStr">
        <is>
          <t>2026-06-29</t>
        </is>
      </c>
      <c r="H64" t="n">
        <v>1036.7</v>
      </c>
      <c r="J64" t="n">
        <v>23946.25</v>
      </c>
    </row>
    <row r="65">
      <c r="G65" s="34" t="inlineStr">
        <is>
          <t>2026-06-25</t>
        </is>
      </c>
      <c r="H65" t="n">
        <v>1041.2</v>
      </c>
      <c r="J65" t="n">
        <v>24056</v>
      </c>
    </row>
    <row r="66">
      <c r="G66" s="34" t="inlineStr">
        <is>
          <t>2026-06-24</t>
        </is>
      </c>
      <c r="H66" t="n">
        <v>1056.6</v>
      </c>
      <c r="J66" t="n">
        <v>24021.65</v>
      </c>
    </row>
    <row r="67">
      <c r="G67" s="34" t="inlineStr">
        <is>
          <t>2026-06-23</t>
        </is>
      </c>
      <c r="H67" t="n">
        <v>1029.3</v>
      </c>
      <c r="J67" t="n">
        <v>23824.1</v>
      </c>
    </row>
    <row r="68">
      <c r="G68" s="34" t="inlineStr">
        <is>
          <t>2026-06-22</t>
        </is>
      </c>
      <c r="H68" t="n">
        <v>1065.4</v>
      </c>
      <c r="J68" t="n">
        <v>24102.9</v>
      </c>
    </row>
    <row r="69">
      <c r="G69" s="34" t="inlineStr">
        <is>
          <t>2026-06-19</t>
        </is>
      </c>
      <c r="H69" t="n">
        <v>1051.4</v>
      </c>
      <c r="J69" t="n">
        <v>24013.1</v>
      </c>
    </row>
    <row r="70">
      <c r="G70" s="34" t="inlineStr">
        <is>
          <t>2026-06-18</t>
        </is>
      </c>
      <c r="H70" t="n">
        <v>1127.5</v>
      </c>
      <c r="J70" t="n">
        <v>24168</v>
      </c>
    </row>
    <row r="71">
      <c r="G71" s="34" t="inlineStr">
        <is>
          <t>2026-06-17</t>
        </is>
      </c>
      <c r="H71" t="n">
        <v>1157.7</v>
      </c>
      <c r="J71" t="n">
        <v>24085.7</v>
      </c>
    </row>
    <row r="72">
      <c r="G72" s="34" t="inlineStr">
        <is>
          <t>2026-06-16</t>
        </is>
      </c>
      <c r="H72" t="n">
        <v>1143.6</v>
      </c>
      <c r="J72" t="n">
        <v>23989.15</v>
      </c>
    </row>
    <row r="73">
      <c r="G73" s="34" t="inlineStr">
        <is>
          <t>2026-06-15</t>
        </is>
      </c>
      <c r="H73" t="n">
        <v>1134.9</v>
      </c>
      <c r="J73" t="n">
        <v>23853.9</v>
      </c>
    </row>
    <row r="74">
      <c r="G74" s="34" t="inlineStr">
        <is>
          <t>2026-06-12</t>
        </is>
      </c>
      <c r="H74" t="n">
        <v>1116.4</v>
      </c>
      <c r="J74" t="n">
        <v>23622.9</v>
      </c>
    </row>
    <row r="75">
      <c r="G75" s="34" t="inlineStr">
        <is>
          <t>2026-06-11</t>
        </is>
      </c>
      <c r="H75" t="n">
        <v>1114.6</v>
      </c>
      <c r="J75" t="n">
        <v>23161.6</v>
      </c>
    </row>
    <row r="76">
      <c r="G76" s="34" t="inlineStr">
        <is>
          <t>2026-06-10</t>
        </is>
      </c>
      <c r="H76" t="n">
        <v>1145.3</v>
      </c>
      <c r="J76" t="n">
        <v>23214.95</v>
      </c>
    </row>
    <row r="77">
      <c r="G77" s="34" t="inlineStr">
        <is>
          <t>2026-06-09</t>
        </is>
      </c>
      <c r="H77" t="n">
        <v>1180.3</v>
      </c>
      <c r="J77" t="n">
        <v>23242.1</v>
      </c>
    </row>
    <row r="78">
      <c r="G78" s="34" t="inlineStr">
        <is>
          <t>2026-06-08</t>
        </is>
      </c>
      <c r="H78" t="n">
        <v>1187.6</v>
      </c>
      <c r="J78" t="n">
        <v>23123</v>
      </c>
    </row>
    <row r="79">
      <c r="G79" s="34" t="inlineStr">
        <is>
          <t>2026-06-05</t>
        </is>
      </c>
      <c r="H79" t="n">
        <v>1197.5</v>
      </c>
      <c r="J79" t="n">
        <v>23366.7</v>
      </c>
    </row>
    <row r="80">
      <c r="G80" s="34" t="inlineStr">
        <is>
          <t>2026-06-04</t>
        </is>
      </c>
      <c r="H80" t="n">
        <v>1201.3</v>
      </c>
      <c r="J80" t="n">
        <v>23416.55</v>
      </c>
    </row>
    <row r="81">
      <c r="G81" s="34" t="inlineStr">
        <is>
          <t>2026-06-03</t>
        </is>
      </c>
      <c r="H81" t="n">
        <v>1222.6</v>
      </c>
      <c r="J81" t="n">
        <v>23405.6</v>
      </c>
    </row>
    <row r="82">
      <c r="G82" s="34" t="inlineStr">
        <is>
          <t>2026-06-02</t>
        </is>
      </c>
      <c r="H82" t="n">
        <v>1270.8</v>
      </c>
      <c r="J82" t="n">
        <v>23483.55</v>
      </c>
    </row>
    <row r="83">
      <c r="G83" s="34" t="inlineStr">
        <is>
          <t>2026-06-01</t>
        </is>
      </c>
      <c r="H83" t="n">
        <v>1202.5</v>
      </c>
      <c r="J83" t="n">
        <v>23382.6</v>
      </c>
    </row>
    <row r="84">
      <c r="G84" s="34" t="inlineStr">
        <is>
          <t>2026-05-29</t>
        </is>
      </c>
      <c r="H84" t="n">
        <v>1160.9</v>
      </c>
      <c r="J84" t="n">
        <v>23547.75</v>
      </c>
    </row>
    <row r="85">
      <c r="G85" s="34" t="inlineStr">
        <is>
          <t>2026-05-27</t>
        </is>
      </c>
      <c r="H85" t="n">
        <v>1159.9</v>
      </c>
      <c r="J85" t="n">
        <v>23907.15</v>
      </c>
    </row>
    <row r="86">
      <c r="G86" s="34" t="inlineStr">
        <is>
          <t>2026-05-26</t>
        </is>
      </c>
      <c r="H86" t="n">
        <v>1167.7</v>
      </c>
      <c r="J86" t="n">
        <v>23913.7</v>
      </c>
    </row>
    <row r="87">
      <c r="G87" s="34" t="inlineStr">
        <is>
          <t>2026-05-25</t>
        </is>
      </c>
      <c r="H87" t="n">
        <v>1168.5</v>
      </c>
      <c r="J87" t="n">
        <v>24031.7</v>
      </c>
    </row>
    <row r="88">
      <c r="G88" s="34" t="inlineStr">
        <is>
          <t>2026-05-22</t>
        </is>
      </c>
      <c r="H88" t="n">
        <v>1174.5</v>
      </c>
      <c r="J88" t="n">
        <v>23719.3</v>
      </c>
    </row>
    <row r="89">
      <c r="G89" s="34" t="inlineStr">
        <is>
          <t>2026-05-21</t>
        </is>
      </c>
      <c r="H89" t="n">
        <v>1181.2</v>
      </c>
      <c r="J89" t="n">
        <v>23654.7</v>
      </c>
    </row>
    <row r="90">
      <c r="G90" s="34" t="inlineStr">
        <is>
          <t>2026-05-20</t>
        </is>
      </c>
      <c r="H90" t="n">
        <v>1193.7</v>
      </c>
      <c r="J90" t="n">
        <v>23659</v>
      </c>
    </row>
    <row r="91">
      <c r="G91" s="34" t="inlineStr">
        <is>
          <t>2026-05-19</t>
        </is>
      </c>
      <c r="H91" t="n">
        <v>1196.9</v>
      </c>
      <c r="J91" t="n">
        <v>23618</v>
      </c>
    </row>
    <row r="92">
      <c r="G92" s="34" t="inlineStr">
        <is>
          <t>2026-05-18</t>
        </is>
      </c>
      <c r="H92" t="n">
        <v>1142.5</v>
      </c>
      <c r="J92" t="n">
        <v>23649.95</v>
      </c>
    </row>
    <row r="93">
      <c r="G93" s="34" t="inlineStr">
        <is>
          <t>2026-05-15</t>
        </is>
      </c>
      <c r="H93" t="n">
        <v>1119</v>
      </c>
      <c r="J93" t="n">
        <v>23643.5</v>
      </c>
    </row>
    <row r="94">
      <c r="G94" s="34" t="inlineStr">
        <is>
          <t>2026-05-14</t>
        </is>
      </c>
      <c r="H94" t="n">
        <v>1095</v>
      </c>
      <c r="J94" t="n">
        <v>23689.6</v>
      </c>
    </row>
    <row r="95">
      <c r="G95" s="34" t="inlineStr">
        <is>
          <t>2026-05-13</t>
        </is>
      </c>
      <c r="H95" t="n">
        <v>1123.1</v>
      </c>
      <c r="J95" t="n">
        <v>23412.6</v>
      </c>
    </row>
    <row r="96">
      <c r="G96" s="34" t="inlineStr">
        <is>
          <t>2026-05-12</t>
        </is>
      </c>
      <c r="H96" t="n">
        <v>1140.3</v>
      </c>
      <c r="J96" t="n">
        <v>23379.55</v>
      </c>
    </row>
    <row r="97">
      <c r="G97" s="34" t="inlineStr">
        <is>
          <t>2026-05-11</t>
        </is>
      </c>
      <c r="H97" t="n">
        <v>1177</v>
      </c>
      <c r="J97" t="n">
        <v>23815.85</v>
      </c>
    </row>
    <row r="98">
      <c r="G98" s="34" t="inlineStr">
        <is>
          <t>2026-05-08</t>
        </is>
      </c>
      <c r="H98" t="n">
        <v>1179.2</v>
      </c>
      <c r="J98" t="n">
        <v>24176.15</v>
      </c>
    </row>
    <row r="99">
      <c r="G99" s="34" t="inlineStr">
        <is>
          <t>2026-05-07</t>
        </is>
      </c>
      <c r="H99" t="n">
        <v>1162.7</v>
      </c>
      <c r="J99" t="n">
        <v>24326.65</v>
      </c>
    </row>
    <row r="100">
      <c r="G100" s="34" t="inlineStr">
        <is>
          <t>2026-05-06</t>
        </is>
      </c>
      <c r="H100" t="n">
        <v>1167.2</v>
      </c>
      <c r="J100" t="n">
        <v>24330.95</v>
      </c>
    </row>
    <row r="101">
      <c r="G101" s="34" t="inlineStr">
        <is>
          <t>2026-05-05</t>
        </is>
      </c>
      <c r="H101" t="n">
        <v>1178.1</v>
      </c>
      <c r="J101" t="n">
        <v>24032.8</v>
      </c>
    </row>
    <row r="102">
      <c r="G102" s="34" t="inlineStr">
        <is>
          <t>2026-05-04</t>
        </is>
      </c>
      <c r="H102" t="n">
        <v>1168.4</v>
      </c>
      <c r="J102" t="n">
        <v>24119.3</v>
      </c>
    </row>
    <row r="103">
      <c r="G103" s="34" t="inlineStr">
        <is>
          <t>2026-04-30</t>
        </is>
      </c>
      <c r="H103" t="n">
        <v>1181.8</v>
      </c>
      <c r="J103" t="n">
        <v>23997.55</v>
      </c>
    </row>
    <row r="104">
      <c r="G104" s="34" t="inlineStr">
        <is>
          <t>2026-04-29</t>
        </is>
      </c>
      <c r="H104" t="n">
        <v>1167.5</v>
      </c>
      <c r="J104" t="n">
        <v>24177.65</v>
      </c>
    </row>
    <row r="105">
      <c r="G105" s="34" t="inlineStr">
        <is>
          <t>2026-04-28</t>
        </is>
      </c>
      <c r="H105" t="n">
        <v>1152.1</v>
      </c>
      <c r="J105" t="n">
        <v>23995.7</v>
      </c>
    </row>
    <row r="106">
      <c r="G106" s="34" t="inlineStr">
        <is>
          <t>2026-04-27</t>
        </is>
      </c>
      <c r="H106" t="n">
        <v>1170.3</v>
      </c>
      <c r="J106" t="n">
        <v>24092.7</v>
      </c>
    </row>
    <row r="107">
      <c r="G107" s="34" t="inlineStr">
        <is>
          <t>2026-04-24</t>
        </is>
      </c>
      <c r="H107" t="n">
        <v>1154.6</v>
      </c>
      <c r="J107" t="n">
        <v>23897.95</v>
      </c>
    </row>
    <row r="108">
      <c r="G108" s="34" t="inlineStr">
        <is>
          <t>2026-04-23</t>
        </is>
      </c>
      <c r="H108" t="n">
        <v>1240.6</v>
      </c>
      <c r="J108" t="n">
        <v>24173.05</v>
      </c>
    </row>
    <row r="109">
      <c r="G109" s="34" t="inlineStr">
        <is>
          <t>2026-04-22</t>
        </is>
      </c>
      <c r="H109" t="n">
        <v>1268.6</v>
      </c>
      <c r="J109" t="n">
        <v>24378.1</v>
      </c>
    </row>
    <row r="110">
      <c r="G110" s="34" t="inlineStr">
        <is>
          <t>2026-04-21</t>
        </is>
      </c>
      <c r="H110" t="n">
        <v>1313.2</v>
      </c>
      <c r="J110" t="n">
        <v>24576.6</v>
      </c>
    </row>
    <row r="111">
      <c r="G111" s="34" t="inlineStr">
        <is>
          <t>2026-04-20</t>
        </is>
      </c>
      <c r="H111" t="n">
        <v>1312.6</v>
      </c>
      <c r="J111" t="n">
        <v>24364.85</v>
      </c>
    </row>
    <row r="112">
      <c r="G112" s="34" t="inlineStr">
        <is>
          <t>2026-04-17</t>
        </is>
      </c>
      <c r="H112" t="n">
        <v>1318.7</v>
      </c>
      <c r="J112" t="n">
        <v>24353.55</v>
      </c>
    </row>
    <row r="113">
      <c r="G113" s="34" t="inlineStr">
        <is>
          <t>2026-04-16</t>
        </is>
      </c>
      <c r="H113" t="n">
        <v>1319.2</v>
      </c>
      <c r="J113" t="n">
        <v>24196.75</v>
      </c>
    </row>
    <row r="114">
      <c r="G114" s="34" t="inlineStr">
        <is>
          <t>2026-04-15</t>
        </is>
      </c>
      <c r="H114" t="n">
        <v>1305.3</v>
      </c>
      <c r="J114" t="n">
        <v>24231.3</v>
      </c>
    </row>
    <row r="115">
      <c r="G115" s="34" t="inlineStr">
        <is>
          <t>2026-04-13</t>
        </is>
      </c>
      <c r="H115" t="n">
        <v>1276.8</v>
      </c>
      <c r="J115" t="n">
        <v>23842.65</v>
      </c>
    </row>
    <row r="116">
      <c r="G116" s="34" t="inlineStr">
        <is>
          <t>2026-04-10</t>
        </is>
      </c>
      <c r="H116" t="n">
        <v>1292.5</v>
      </c>
      <c r="J116" t="n">
        <v>24050.6</v>
      </c>
    </row>
    <row r="117">
      <c r="G117" s="34" t="inlineStr">
        <is>
          <t>2026-04-09</t>
        </is>
      </c>
      <c r="H117" t="n">
        <v>1331.6</v>
      </c>
      <c r="J117" t="n">
        <v>23775.1</v>
      </c>
    </row>
    <row r="118">
      <c r="G118" s="34" t="inlineStr">
        <is>
          <t>2026-04-08</t>
        </is>
      </c>
      <c r="H118" t="n">
        <v>1346.2</v>
      </c>
      <c r="J118" t="n">
        <v>23997.35</v>
      </c>
    </row>
    <row r="119">
      <c r="G119" s="34" t="inlineStr">
        <is>
          <t>2026-04-07</t>
        </is>
      </c>
      <c r="H119" t="n">
        <v>1339.4</v>
      </c>
      <c r="J119" t="n">
        <v>23123.65</v>
      </c>
    </row>
    <row r="120">
      <c r="G120" s="34" t="inlineStr">
        <is>
          <t>2026-04-06</t>
        </is>
      </c>
      <c r="H120" t="n">
        <v>1306.2</v>
      </c>
      <c r="J120" t="n">
        <v>22968.25</v>
      </c>
    </row>
    <row r="121">
      <c r="G121" s="34" t="inlineStr">
        <is>
          <t>2026-04-02</t>
        </is>
      </c>
      <c r="H121" t="n">
        <v>1300.8</v>
      </c>
      <c r="J121" t="n">
        <v>22713.1</v>
      </c>
    </row>
    <row r="122">
      <c r="G122" s="34" t="inlineStr">
        <is>
          <t>2026-04-01</t>
        </is>
      </c>
      <c r="H122" t="n">
        <v>1275.7</v>
      </c>
      <c r="J122" t="n">
        <v>22679.4</v>
      </c>
    </row>
    <row r="123">
      <c r="G123" s="34" t="inlineStr">
        <is>
          <t>2026-03-30</t>
        </is>
      </c>
      <c r="H123" t="n">
        <v>1250.6</v>
      </c>
      <c r="J123" t="n">
        <v>22331.4</v>
      </c>
    </row>
    <row r="124">
      <c r="G124" s="34" t="inlineStr">
        <is>
          <t>2026-03-27</t>
        </is>
      </c>
      <c r="H124" t="n">
        <v>1269.7</v>
      </c>
      <c r="J124" t="n">
        <v>22819.6</v>
      </c>
    </row>
    <row r="125">
      <c r="G125" s="34" t="inlineStr">
        <is>
          <t>2026-03-25</t>
        </is>
      </c>
      <c r="H125" t="n">
        <v>1279.1</v>
      </c>
      <c r="J125" t="n">
        <v>23306.45</v>
      </c>
    </row>
    <row r="126">
      <c r="G126" s="34" t="inlineStr">
        <is>
          <t>2026-03-24</t>
        </is>
      </c>
      <c r="H126" t="n">
        <v>1278.3</v>
      </c>
      <c r="J126" t="n">
        <v>22912.4</v>
      </c>
    </row>
    <row r="127">
      <c r="G127" s="34" t="inlineStr">
        <is>
          <t>2026-03-23</t>
        </is>
      </c>
      <c r="H127" t="n">
        <v>1256.8</v>
      </c>
      <c r="J127" t="n">
        <v>22512.65</v>
      </c>
    </row>
    <row r="128">
      <c r="G128" s="34" t="inlineStr">
        <is>
          <t>2026-03-20</t>
        </is>
      </c>
      <c r="H128" t="n">
        <v>1255.9</v>
      </c>
      <c r="J128" t="n">
        <v>23114.5</v>
      </c>
    </row>
    <row r="129">
      <c r="G129" s="34" t="inlineStr">
        <is>
          <t>2026-03-19</t>
        </is>
      </c>
      <c r="H129" t="n">
        <v>1220.8</v>
      </c>
      <c r="J129" t="n">
        <v>23002.15</v>
      </c>
    </row>
    <row r="130">
      <c r="G130" s="34" t="inlineStr">
        <is>
          <t>2026-03-18</t>
        </is>
      </c>
      <c r="H130" t="n">
        <v>1267.1</v>
      </c>
      <c r="J130" t="n">
        <v>23777.8</v>
      </c>
    </row>
    <row r="131">
      <c r="G131" s="34" t="inlineStr">
        <is>
          <t>2026-03-17</t>
        </is>
      </c>
      <c r="H131" t="n">
        <v>1232.9</v>
      </c>
      <c r="J131" t="n">
        <v>23581.15</v>
      </c>
    </row>
    <row r="132">
      <c r="G132" s="34" t="inlineStr">
        <is>
          <t>2026-03-16</t>
        </is>
      </c>
      <c r="H132" t="n">
        <v>1249.8</v>
      </c>
      <c r="J132" t="n">
        <v>23408.8</v>
      </c>
    </row>
    <row r="133">
      <c r="G133" s="34" t="inlineStr">
        <is>
          <t>2026-03-13</t>
        </is>
      </c>
      <c r="H133" t="n">
        <v>1248.3</v>
      </c>
      <c r="J133" t="n">
        <v>23151.1</v>
      </c>
    </row>
    <row r="134">
      <c r="G134" s="34" t="inlineStr">
        <is>
          <t>2026-03-12</t>
        </is>
      </c>
      <c r="H134" t="n">
        <v>1265.8</v>
      </c>
      <c r="J134" t="n">
        <v>23639.15</v>
      </c>
    </row>
    <row r="135">
      <c r="G135" s="34" t="inlineStr">
        <is>
          <t>2026-03-11</t>
        </is>
      </c>
      <c r="H135" t="n">
        <v>1276.3</v>
      </c>
      <c r="J135" t="n">
        <v>23866.85</v>
      </c>
    </row>
    <row r="136">
      <c r="G136" s="34" t="inlineStr">
        <is>
          <t>2026-03-10</t>
        </is>
      </c>
      <c r="H136" t="n">
        <v>1295.6</v>
      </c>
      <c r="J136" t="n">
        <v>24261.6</v>
      </c>
    </row>
    <row r="137">
      <c r="G137" s="34" t="inlineStr">
        <is>
          <t>2026-03-09</t>
        </is>
      </c>
      <c r="H137" t="n">
        <v>1315</v>
      </c>
      <c r="J137" t="n">
        <v>24028.05</v>
      </c>
    </row>
    <row r="138">
      <c r="G138" s="34" t="inlineStr">
        <is>
          <t>2026-03-06</t>
        </is>
      </c>
      <c r="H138" t="n">
        <v>1308.4</v>
      </c>
      <c r="J138" t="n">
        <v>24450.45</v>
      </c>
    </row>
    <row r="139">
      <c r="G139" s="34" t="inlineStr">
        <is>
          <t>2026-03-05</t>
        </is>
      </c>
      <c r="H139" t="n">
        <v>1305.8</v>
      </c>
      <c r="J139" t="n">
        <v>24765.9</v>
      </c>
    </row>
    <row r="140">
      <c r="G140" s="34" t="inlineStr">
        <is>
          <t>2026-03-04</t>
        </is>
      </c>
      <c r="H140" t="n">
        <v>1307.4</v>
      </c>
      <c r="J140" t="n">
        <v>24480.5</v>
      </c>
    </row>
    <row r="141">
      <c r="G141" s="34" t="inlineStr">
        <is>
          <t>2026-03-02</t>
        </is>
      </c>
      <c r="H141" t="n">
        <v>1288.9</v>
      </c>
      <c r="J141" t="n">
        <v>24865.7</v>
      </c>
    </row>
    <row r="142">
      <c r="G142" s="34" t="inlineStr">
        <is>
          <t>2026-02-27</t>
        </is>
      </c>
      <c r="H142" t="n">
        <v>1300.1</v>
      </c>
      <c r="J142" t="n">
        <v>25178.65</v>
      </c>
    </row>
    <row r="143">
      <c r="G143" s="34" t="inlineStr">
        <is>
          <t>2026-02-26</t>
        </is>
      </c>
      <c r="H143" t="n">
        <v>1289.1</v>
      </c>
      <c r="J143" t="n">
        <v>25496.55</v>
      </c>
    </row>
    <row r="144">
      <c r="G144" s="34" t="inlineStr">
        <is>
          <t>2026-02-25</t>
        </is>
      </c>
      <c r="H144" t="n">
        <v>1290.1</v>
      </c>
      <c r="J144" t="n">
        <v>25482.5</v>
      </c>
    </row>
    <row r="145">
      <c r="G145" s="34" t="inlineStr">
        <is>
          <t>2026-02-24</t>
        </is>
      </c>
      <c r="H145" t="n">
        <v>1275.5</v>
      </c>
      <c r="J145" t="n">
        <v>25424.65</v>
      </c>
    </row>
    <row r="146">
      <c r="G146" s="34" t="inlineStr">
        <is>
          <t>2026-02-23</t>
        </is>
      </c>
      <c r="H146" t="n">
        <v>1327.5</v>
      </c>
      <c r="J146" t="n">
        <v>25713</v>
      </c>
    </row>
    <row r="147">
      <c r="G147" s="34" t="inlineStr">
        <is>
          <t>2026-02-20</t>
        </is>
      </c>
      <c r="H147" t="n">
        <v>1353.2</v>
      </c>
      <c r="J147" t="n">
        <v>25571.25</v>
      </c>
    </row>
    <row r="148">
      <c r="G148" s="34" t="inlineStr">
        <is>
          <t>2026-02-19</t>
        </is>
      </c>
      <c r="H148" t="n">
        <v>1370.5</v>
      </c>
      <c r="J148" t="n">
        <v>25454.35</v>
      </c>
    </row>
    <row r="149">
      <c r="G149" s="34" t="inlineStr">
        <is>
          <t>2026-02-18</t>
        </is>
      </c>
      <c r="H149" t="n">
        <v>1373.7</v>
      </c>
      <c r="J149" t="n">
        <v>25819.35</v>
      </c>
    </row>
    <row r="150">
      <c r="G150" s="34" t="inlineStr">
        <is>
          <t>2026-02-17</t>
        </is>
      </c>
      <c r="H150" t="n">
        <v>1391.2</v>
      </c>
      <c r="J150" t="n">
        <v>25725.4</v>
      </c>
    </row>
    <row r="151">
      <c r="G151" s="34" t="inlineStr">
        <is>
          <t>2026-02-16</t>
        </is>
      </c>
      <c r="H151" t="n">
        <v>1365.6</v>
      </c>
      <c r="J151" t="n">
        <v>25682.75</v>
      </c>
    </row>
    <row r="152">
      <c r="G152" s="34" t="inlineStr">
        <is>
          <t>2026-02-13</t>
        </is>
      </c>
      <c r="H152" t="n">
        <v>1369.1</v>
      </c>
      <c r="J152" t="n">
        <v>25471.1</v>
      </c>
    </row>
    <row r="153">
      <c r="G153" s="34" t="inlineStr">
        <is>
          <t>2026-02-12</t>
        </is>
      </c>
      <c r="H153" t="n">
        <v>1386</v>
      </c>
      <c r="J153" t="n">
        <v>25807.2</v>
      </c>
    </row>
    <row r="154">
      <c r="G154" s="34" t="inlineStr">
        <is>
          <t>2026-02-11</t>
        </is>
      </c>
      <c r="H154" t="n">
        <v>1471.9</v>
      </c>
      <c r="J154" t="n">
        <v>25953.85</v>
      </c>
    </row>
    <row r="155">
      <c r="G155" s="34" t="inlineStr">
        <is>
          <t>2026-02-10</t>
        </is>
      </c>
      <c r="H155" t="n">
        <v>1497.8</v>
      </c>
      <c r="J155" t="n">
        <v>25935.15</v>
      </c>
    </row>
    <row r="156">
      <c r="G156" s="34" t="inlineStr">
        <is>
          <t>2026-02-09</t>
        </is>
      </c>
      <c r="H156" t="n">
        <v>1497.2</v>
      </c>
      <c r="J156" t="n">
        <v>25867.3</v>
      </c>
    </row>
    <row r="157">
      <c r="G157" s="34" t="inlineStr">
        <is>
          <t>2026-02-06</t>
        </is>
      </c>
      <c r="H157" t="n">
        <v>1507.1</v>
      </c>
      <c r="J157" t="n">
        <v>25693.7</v>
      </c>
    </row>
    <row r="158">
      <c r="G158" s="34" t="inlineStr">
        <is>
          <t>2026-02-05</t>
        </is>
      </c>
      <c r="H158" t="n">
        <v>1520.2</v>
      </c>
      <c r="J158" t="n">
        <v>25642.8</v>
      </c>
    </row>
    <row r="159">
      <c r="G159" s="34" t="inlineStr">
        <is>
          <t>2026-02-04</t>
        </is>
      </c>
      <c r="H159" t="n">
        <v>1535.8</v>
      </c>
      <c r="J159" t="n">
        <v>25776</v>
      </c>
    </row>
    <row r="160">
      <c r="G160" s="34" t="inlineStr">
        <is>
          <t>2026-02-03</t>
        </is>
      </c>
      <c r="H160" t="n">
        <v>1656</v>
      </c>
      <c r="J160" t="n">
        <v>25727.55</v>
      </c>
    </row>
    <row r="161">
      <c r="G161" s="34" t="inlineStr">
        <is>
          <t>2026-02-02</t>
        </is>
      </c>
      <c r="H161" t="n">
        <v>1629.4</v>
      </c>
      <c r="J161" t="n">
        <v>25088.4</v>
      </c>
    </row>
    <row r="162">
      <c r="G162" s="34" t="inlineStr">
        <is>
          <t>2026-02-01</t>
        </is>
      </c>
      <c r="H162" t="n">
        <v>1654.5</v>
      </c>
      <c r="J162" t="n">
        <v>25320.65</v>
      </c>
    </row>
    <row r="163">
      <c r="G163" s="34" t="inlineStr">
        <is>
          <t>2026-01-30</t>
        </is>
      </c>
      <c r="H163" t="n">
        <v>1641</v>
      </c>
      <c r="J163" t="n">
        <v>25320.65</v>
      </c>
    </row>
    <row r="164">
      <c r="G164" s="34" t="inlineStr">
        <is>
          <t>2026-01-29</t>
        </is>
      </c>
      <c r="H164" t="n">
        <v>1659.5</v>
      </c>
      <c r="J164" t="n">
        <v>25418.9</v>
      </c>
    </row>
    <row r="165">
      <c r="G165" s="34" t="inlineStr">
        <is>
          <t>2026-01-28</t>
        </is>
      </c>
      <c r="H165" t="n">
        <v>1666.5</v>
      </c>
      <c r="J165" t="n">
        <v>25342.75</v>
      </c>
    </row>
    <row r="166">
      <c r="G166" s="34" t="inlineStr">
        <is>
          <t>2026-01-27</t>
        </is>
      </c>
      <c r="H166" t="n">
        <v>1682.7</v>
      </c>
      <c r="J166" t="n">
        <v>25175.4</v>
      </c>
    </row>
    <row r="167">
      <c r="G167" s="34" t="inlineStr">
        <is>
          <t>2026-01-23</t>
        </is>
      </c>
      <c r="H167" t="n">
        <v>1670.8</v>
      </c>
      <c r="J167" t="n">
        <v>25048.65</v>
      </c>
    </row>
    <row r="168">
      <c r="G168" s="34" t="inlineStr">
        <is>
          <t>2026-01-22</t>
        </is>
      </c>
      <c r="H168" t="n">
        <v>1663.5</v>
      </c>
      <c r="J168" t="n">
        <v>25289.9</v>
      </c>
    </row>
    <row r="169">
      <c r="G169" s="34" t="inlineStr">
        <is>
          <t>2026-01-21</t>
        </is>
      </c>
      <c r="H169" t="n">
        <v>1654.4</v>
      </c>
      <c r="J169" t="n">
        <v>25157.5</v>
      </c>
    </row>
    <row r="170">
      <c r="G170" s="34" t="inlineStr">
        <is>
          <t>2026-01-20</t>
        </is>
      </c>
      <c r="H170" t="n">
        <v>1658.9</v>
      </c>
      <c r="J170" t="n">
        <v>25232.5</v>
      </c>
    </row>
    <row r="171">
      <c r="G171" s="34" t="inlineStr">
        <is>
          <t>2026-01-19</t>
        </is>
      </c>
      <c r="H171" t="n">
        <v>1681.2</v>
      </c>
      <c r="J171" t="n">
        <v>25585.5</v>
      </c>
    </row>
    <row r="172">
      <c r="G172" s="34" t="inlineStr">
        <is>
          <t>2026-01-16</t>
        </is>
      </c>
      <c r="H172" t="n">
        <v>1689.8</v>
      </c>
      <c r="J172" t="n">
        <v>25694.35</v>
      </c>
    </row>
    <row r="173">
      <c r="G173" s="34" t="inlineStr">
        <is>
          <t>2026-01-14</t>
        </is>
      </c>
      <c r="H173" t="n">
        <v>1599.8</v>
      </c>
      <c r="J173" t="n">
        <v>25665.6</v>
      </c>
    </row>
    <row r="174">
      <c r="G174" s="34" t="inlineStr">
        <is>
          <t>2026-01-13</t>
        </is>
      </c>
      <c r="H174" t="n">
        <v>1599</v>
      </c>
      <c r="J174" t="n">
        <v>25732.3</v>
      </c>
    </row>
    <row r="175">
      <c r="G175" s="34" t="inlineStr">
        <is>
          <t>2026-01-12</t>
        </is>
      </c>
      <c r="H175" t="n">
        <v>1595.9</v>
      </c>
      <c r="J175" t="n">
        <v>25790.25</v>
      </c>
    </row>
    <row r="176">
      <c r="G176" s="34" t="inlineStr">
        <is>
          <t>2026-01-09</t>
        </is>
      </c>
      <c r="H176" t="n">
        <v>1614.1</v>
      </c>
      <c r="J176" t="n">
        <v>25683.3</v>
      </c>
    </row>
    <row r="177">
      <c r="G177" s="34" t="inlineStr">
        <is>
          <t>2026-01-08</t>
        </is>
      </c>
      <c r="H177" t="n">
        <v>1613.3</v>
      </c>
      <c r="J177" t="n">
        <v>25876.85</v>
      </c>
    </row>
    <row r="178">
      <c r="G178" s="34" t="inlineStr">
        <is>
          <t>2026-01-07</t>
        </is>
      </c>
      <c r="H178" t="n">
        <v>1639</v>
      </c>
      <c r="J178" t="n">
        <v>26140.75</v>
      </c>
    </row>
    <row r="179">
      <c r="G179" s="34" t="inlineStr">
        <is>
          <t>2026-01-06</t>
        </is>
      </c>
      <c r="H179" t="n">
        <v>1612.2</v>
      </c>
      <c r="J179" t="n">
        <v>26178.7</v>
      </c>
    </row>
    <row r="180">
      <c r="G180" s="34" t="inlineStr">
        <is>
          <t>2026-01-05</t>
        </is>
      </c>
      <c r="H180" t="n">
        <v>1606.4</v>
      </c>
      <c r="J180" t="n">
        <v>26250.3</v>
      </c>
    </row>
    <row r="181">
      <c r="G181" s="34" t="inlineStr">
        <is>
          <t>2026-01-02</t>
        </is>
      </c>
      <c r="H181" t="n">
        <v>1640.4</v>
      </c>
      <c r="J181" t="n">
        <v>26328.55</v>
      </c>
    </row>
    <row r="182">
      <c r="G182" s="34" t="inlineStr">
        <is>
          <t>2026-01-01</t>
        </is>
      </c>
      <c r="H182" t="n">
        <v>1629.8</v>
      </c>
      <c r="J182" t="n">
        <v>26146.55</v>
      </c>
    </row>
    <row r="183">
      <c r="G183" s="34" t="inlineStr">
        <is>
          <t>2025-12-31</t>
        </is>
      </c>
      <c r="H183" t="n">
        <v>1615.4</v>
      </c>
      <c r="J183" t="n">
        <v>26129.6</v>
      </c>
    </row>
    <row r="184">
      <c r="G184" s="34" t="inlineStr">
        <is>
          <t>2025-12-30</t>
        </is>
      </c>
      <c r="H184" t="n">
        <v>1621.6</v>
      </c>
      <c r="J184" t="n">
        <v>25938.85</v>
      </c>
    </row>
    <row r="185">
      <c r="G185" s="34" t="inlineStr">
        <is>
          <t>2025-12-29</t>
        </is>
      </c>
      <c r="H185" t="n">
        <v>1644.7</v>
      </c>
      <c r="J185" t="n">
        <v>25942.1</v>
      </c>
    </row>
    <row r="186">
      <c r="G186" s="34" t="inlineStr">
        <is>
          <t>2025-12-26</t>
        </is>
      </c>
      <c r="H186" t="n">
        <v>1656.1</v>
      </c>
      <c r="J186" t="n">
        <v>26042.3</v>
      </c>
    </row>
    <row r="187">
      <c r="G187" s="34" t="inlineStr">
        <is>
          <t>2025-12-24</t>
        </is>
      </c>
      <c r="H187" t="n">
        <v>1663.4</v>
      </c>
      <c r="J187" t="n">
        <v>26142.1</v>
      </c>
    </row>
    <row r="188">
      <c r="G188" s="34" t="inlineStr">
        <is>
          <t>2025-12-23</t>
        </is>
      </c>
      <c r="H188" t="n">
        <v>1668.3</v>
      </c>
      <c r="J188" t="n">
        <v>26177.15</v>
      </c>
    </row>
    <row r="189">
      <c r="G189" s="34" t="inlineStr">
        <is>
          <t>2025-12-22</t>
        </is>
      </c>
      <c r="H189" t="n">
        <v>1689.6</v>
      </c>
      <c r="J189" t="n">
        <v>26172.4</v>
      </c>
    </row>
    <row r="190">
      <c r="G190" s="34" t="inlineStr">
        <is>
          <t>2025-12-19</t>
        </is>
      </c>
      <c r="H190" t="n">
        <v>1638.7</v>
      </c>
      <c r="J190" t="n">
        <v>25966.4</v>
      </c>
    </row>
    <row r="191">
      <c r="G191" s="34" t="inlineStr">
        <is>
          <t>2025-12-18</t>
        </is>
      </c>
      <c r="H191" t="n">
        <v>1626.8</v>
      </c>
      <c r="J191" t="n">
        <v>25815.55</v>
      </c>
    </row>
    <row r="192">
      <c r="G192" s="34" t="inlineStr">
        <is>
          <t>2025-12-17</t>
        </is>
      </c>
      <c r="H192" t="n">
        <v>1602</v>
      </c>
      <c r="J192" t="n">
        <v>25818.55</v>
      </c>
    </row>
    <row r="193">
      <c r="G193" s="34" t="inlineStr">
        <is>
          <t>2025-12-16</t>
        </is>
      </c>
      <c r="H193" t="n">
        <v>1592.9</v>
      </c>
      <c r="J193" t="n">
        <v>25860.1</v>
      </c>
    </row>
    <row r="194">
      <c r="G194" s="34" t="inlineStr">
        <is>
          <t>2025-12-15</t>
        </is>
      </c>
      <c r="H194" t="n">
        <v>1606.8</v>
      </c>
      <c r="J194" t="n">
        <v>26027.3</v>
      </c>
    </row>
    <row r="195">
      <c r="G195" s="34" t="inlineStr">
        <is>
          <t>2025-12-12</t>
        </is>
      </c>
      <c r="H195" t="n">
        <v>1598.2</v>
      </c>
      <c r="J195" t="n">
        <v>26046.95</v>
      </c>
    </row>
    <row r="196">
      <c r="G196" s="34" t="inlineStr">
        <is>
          <t>2025-12-11</t>
        </is>
      </c>
      <c r="H196" t="n">
        <v>1598</v>
      </c>
      <c r="J196" t="n">
        <v>25898.55</v>
      </c>
    </row>
    <row r="197">
      <c r="G197" s="34" t="inlineStr">
        <is>
          <t>2025-12-10</t>
        </is>
      </c>
      <c r="H197" t="n">
        <v>1584.8</v>
      </c>
      <c r="J197" t="n">
        <v>25758</v>
      </c>
    </row>
    <row r="198">
      <c r="G198" s="34" t="inlineStr">
        <is>
          <t>2025-12-09</t>
        </is>
      </c>
      <c r="H198" t="n">
        <v>1599</v>
      </c>
      <c r="J198" t="n">
        <v>25839.65</v>
      </c>
    </row>
    <row r="199">
      <c r="G199" s="34" t="inlineStr">
        <is>
          <t>2025-12-08</t>
        </is>
      </c>
      <c r="H199" t="n">
        <v>1610.8</v>
      </c>
      <c r="J199" t="n">
        <v>25960.55</v>
      </c>
    </row>
    <row r="200">
      <c r="G200" s="34" t="inlineStr">
        <is>
          <t>2025-12-05</t>
        </is>
      </c>
      <c r="H200" t="n">
        <v>1616.2</v>
      </c>
      <c r="J200" t="n">
        <v>26186.45</v>
      </c>
    </row>
    <row r="201">
      <c r="G201" s="34" t="inlineStr">
        <is>
          <t>2025-12-04</t>
        </is>
      </c>
      <c r="H201" t="n">
        <v>1597.6</v>
      </c>
      <c r="J201" t="n">
        <v>26033.75</v>
      </c>
    </row>
    <row r="202">
      <c r="G202" s="34" t="inlineStr">
        <is>
          <t>2025-12-03</t>
        </is>
      </c>
      <c r="H202" t="n">
        <v>1578.7</v>
      </c>
      <c r="J202" t="n">
        <v>25986</v>
      </c>
    </row>
    <row r="203">
      <c r="G203" s="34" t="inlineStr">
        <is>
          <t>2025-12-02</t>
        </is>
      </c>
      <c r="H203" t="n">
        <v>1561</v>
      </c>
      <c r="J203" t="n">
        <v>26032.2</v>
      </c>
    </row>
    <row r="204">
      <c r="G204" s="34" t="inlineStr">
        <is>
          <t>2025-12-01</t>
        </is>
      </c>
      <c r="H204" t="n">
        <v>1564</v>
      </c>
      <c r="J204" t="n">
        <v>26175.75</v>
      </c>
    </row>
    <row r="205">
      <c r="G205" s="34" t="inlineStr">
        <is>
          <t>2025-11-28</t>
        </is>
      </c>
      <c r="H205" t="n">
        <v>1560.1</v>
      </c>
      <c r="J205" t="n">
        <v>26202.95</v>
      </c>
    </row>
    <row r="206">
      <c r="G206" s="34" t="inlineStr">
        <is>
          <t>2025-11-27</t>
        </is>
      </c>
      <c r="H206" t="n">
        <v>1566.4</v>
      </c>
      <c r="J206" t="n">
        <v>26215.55</v>
      </c>
    </row>
    <row r="207">
      <c r="G207" s="34" t="inlineStr">
        <is>
          <t>2025-11-26</t>
        </is>
      </c>
      <c r="H207" t="n">
        <v>1557.9</v>
      </c>
      <c r="J207" t="n">
        <v>26205.3</v>
      </c>
    </row>
    <row r="208">
      <c r="G208" s="34" t="inlineStr">
        <is>
          <t>2025-11-25</t>
        </is>
      </c>
      <c r="H208" t="n">
        <v>1530.6</v>
      </c>
      <c r="J208" t="n">
        <v>25884.8</v>
      </c>
    </row>
    <row r="209">
      <c r="G209" s="34" t="inlineStr">
        <is>
          <t>2025-11-24</t>
        </is>
      </c>
      <c r="H209" t="n">
        <v>1548</v>
      </c>
      <c r="J209" t="n">
        <v>25959.5</v>
      </c>
    </row>
    <row r="210">
      <c r="G210" s="34" t="inlineStr">
        <is>
          <t>2025-11-21</t>
        </is>
      </c>
      <c r="H210" t="n">
        <v>1545</v>
      </c>
      <c r="J210" t="n">
        <v>26068.15</v>
      </c>
    </row>
    <row r="211">
      <c r="G211" s="34" t="inlineStr">
        <is>
          <t>2025-11-20</t>
        </is>
      </c>
      <c r="H211" t="n">
        <v>1536.5</v>
      </c>
      <c r="J211" t="n">
        <v>26192.15</v>
      </c>
    </row>
    <row r="212">
      <c r="G212" s="34" t="inlineStr">
        <is>
          <t>2025-11-19</t>
        </is>
      </c>
      <c r="H212" t="n">
        <v>1541.1</v>
      </c>
      <c r="J212" t="n">
        <v>26052.65</v>
      </c>
    </row>
    <row r="213">
      <c r="G213" s="34" t="inlineStr">
        <is>
          <t>2025-11-18</t>
        </is>
      </c>
      <c r="H213" t="n">
        <v>1486.4</v>
      </c>
      <c r="J213" t="n">
        <v>25910.05</v>
      </c>
    </row>
    <row r="214">
      <c r="G214" s="34" t="inlineStr">
        <is>
          <t>2025-11-17</t>
        </is>
      </c>
      <c r="H214" t="n">
        <v>1507.6</v>
      </c>
      <c r="J214" t="n">
        <v>26013.45</v>
      </c>
    </row>
    <row r="215">
      <c r="G215" s="34" t="inlineStr">
        <is>
          <t>2025-11-14</t>
        </is>
      </c>
      <c r="H215" t="n">
        <v>1502.8</v>
      </c>
      <c r="J215" t="n">
        <v>25910.05</v>
      </c>
    </row>
    <row r="216">
      <c r="G216" s="34" t="inlineStr">
        <is>
          <t>2025-11-13</t>
        </is>
      </c>
      <c r="H216" t="n">
        <v>1541.8</v>
      </c>
      <c r="J216" t="n">
        <v>25879.15</v>
      </c>
    </row>
    <row r="217">
      <c r="G217" s="34" t="inlineStr">
        <is>
          <t>2025-11-12</t>
        </is>
      </c>
      <c r="H217" t="n">
        <v>1551.7</v>
      </c>
      <c r="J217" t="n">
        <v>25875.8</v>
      </c>
    </row>
    <row r="218">
      <c r="G218" s="34" t="inlineStr">
        <is>
          <t>2025-11-11</t>
        </is>
      </c>
      <c r="H218" t="n">
        <v>1530.3</v>
      </c>
      <c r="J218" t="n">
        <v>25694.95</v>
      </c>
    </row>
    <row r="219">
      <c r="G219" s="34" t="inlineStr">
        <is>
          <t>2025-11-10</t>
        </is>
      </c>
      <c r="H219" t="n">
        <v>1513.5</v>
      </c>
      <c r="J219" t="n">
        <v>25574.35</v>
      </c>
    </row>
    <row r="220">
      <c r="G220" s="34" t="inlineStr">
        <is>
          <t>2025-11-07</t>
        </is>
      </c>
      <c r="H220" t="n">
        <v>1476.8</v>
      </c>
      <c r="J220" t="n">
        <v>25492.3</v>
      </c>
    </row>
    <row r="221">
      <c r="G221" s="34" t="inlineStr">
        <is>
          <t>2025-11-06</t>
        </is>
      </c>
      <c r="H221" t="n">
        <v>1466.7</v>
      </c>
      <c r="J221" t="n">
        <v>25509.7</v>
      </c>
    </row>
    <row r="222">
      <c r="G222" s="34" t="inlineStr">
        <is>
          <t>2025-11-04</t>
        </is>
      </c>
      <c r="H222" t="n">
        <v>1467.9</v>
      </c>
      <c r="J222" t="n">
        <v>25597.65</v>
      </c>
    </row>
    <row r="223">
      <c r="G223" s="34" t="inlineStr">
        <is>
          <t>2025-11-03</t>
        </is>
      </c>
      <c r="H223" t="n">
        <v>1485.5</v>
      </c>
      <c r="J223" t="n">
        <v>25763.35</v>
      </c>
    </row>
    <row r="224">
      <c r="G224" s="34" t="inlineStr">
        <is>
          <t>2025-10-31</t>
        </is>
      </c>
      <c r="H224" t="n">
        <v>1482.3</v>
      </c>
      <c r="J224" t="n">
        <v>25722.1</v>
      </c>
    </row>
    <row r="225">
      <c r="G225" s="34" t="inlineStr">
        <is>
          <t>2025-10-30</t>
        </is>
      </c>
      <c r="H225" t="n">
        <v>1493.8</v>
      </c>
      <c r="J225" t="n">
        <v>25877.85</v>
      </c>
    </row>
    <row r="226">
      <c r="G226" s="34" t="inlineStr">
        <is>
          <t>2025-10-29</t>
        </is>
      </c>
      <c r="H226" t="n">
        <v>1510.4</v>
      </c>
      <c r="J226" t="n">
        <v>26053.9</v>
      </c>
    </row>
    <row r="227">
      <c r="G227" s="34" t="inlineStr">
        <is>
          <t>2025-10-28</t>
        </is>
      </c>
      <c r="H227" t="n">
        <v>1500.2</v>
      </c>
      <c r="J227" t="n">
        <v>25936.2</v>
      </c>
    </row>
    <row r="228">
      <c r="G228" s="34" t="inlineStr">
        <is>
          <t>2025-10-27</t>
        </is>
      </c>
      <c r="H228" t="n">
        <v>1504.5</v>
      </c>
      <c r="J228" t="n">
        <v>25966.05</v>
      </c>
    </row>
    <row r="229">
      <c r="G229" s="34" t="inlineStr">
        <is>
          <t>2025-10-24</t>
        </is>
      </c>
      <c r="H229" t="n">
        <v>1525.4</v>
      </c>
      <c r="J229" t="n">
        <v>25795.15</v>
      </c>
    </row>
    <row r="230">
      <c r="G230" s="34" t="inlineStr">
        <is>
          <t>2025-10-23</t>
        </is>
      </c>
      <c r="H230" t="n">
        <v>1528.5</v>
      </c>
      <c r="J230" t="n">
        <v>25891.4</v>
      </c>
    </row>
    <row r="231">
      <c r="G231" s="34" t="inlineStr">
        <is>
          <t>2025-10-21</t>
        </is>
      </c>
      <c r="H231" t="n">
        <v>1472.4</v>
      </c>
      <c r="J231" t="n">
        <v>25868.6</v>
      </c>
    </row>
    <row r="232">
      <c r="G232" s="34" t="inlineStr">
        <is>
          <t>2025-10-20</t>
        </is>
      </c>
      <c r="H232" t="n">
        <v>1460.9</v>
      </c>
      <c r="J232" t="n">
        <v>25843.15</v>
      </c>
    </row>
    <row r="233">
      <c r="G233" s="34" t="inlineStr">
        <is>
          <t>2025-10-17</t>
        </is>
      </c>
      <c r="H233" t="n">
        <v>1441.1</v>
      </c>
      <c r="J233" t="n">
        <v>25709.85</v>
      </c>
    </row>
    <row r="234">
      <c r="G234" s="34" t="inlineStr">
        <is>
          <t>2025-10-16</t>
        </is>
      </c>
      <c r="H234" t="n">
        <v>1471.5</v>
      </c>
      <c r="J234" t="n">
        <v>25585.3</v>
      </c>
    </row>
    <row r="235">
      <c r="G235" s="34" t="inlineStr">
        <is>
          <t>2025-10-15</t>
        </is>
      </c>
      <c r="H235" t="n">
        <v>1474.4</v>
      </c>
      <c r="J235" t="n">
        <v>25323.55</v>
      </c>
    </row>
    <row r="236">
      <c r="G236" s="34" t="inlineStr">
        <is>
          <t>2025-10-14</t>
        </is>
      </c>
      <c r="H236" t="n">
        <v>1489.9</v>
      </c>
      <c r="J236" t="n">
        <v>25145.5</v>
      </c>
    </row>
    <row r="237">
      <c r="G237" s="34" t="inlineStr">
        <is>
          <t>2025-10-13</t>
        </is>
      </c>
      <c r="H237" t="n">
        <v>1493.2</v>
      </c>
      <c r="J237" t="n">
        <v>25227.35</v>
      </c>
    </row>
    <row r="238">
      <c r="G238" s="34" t="inlineStr">
        <is>
          <t>2025-10-10</t>
        </is>
      </c>
      <c r="H238" t="n">
        <v>1514.9</v>
      </c>
      <c r="J238" t="n">
        <v>25285.35</v>
      </c>
    </row>
    <row r="239">
      <c r="G239" s="34" t="inlineStr">
        <is>
          <t>2025-10-09</t>
        </is>
      </c>
      <c r="H239" t="n">
        <v>1509.3</v>
      </c>
      <c r="J239" t="n">
        <v>25181.8</v>
      </c>
    </row>
    <row r="240">
      <c r="G240" s="34" t="inlineStr">
        <is>
          <t>2025-10-08</t>
        </is>
      </c>
      <c r="H240" t="n">
        <v>1495</v>
      </c>
      <c r="J240" t="n">
        <v>25046.15</v>
      </c>
    </row>
    <row r="241">
      <c r="G241" s="34" t="inlineStr">
        <is>
          <t>2025-10-07</t>
        </is>
      </c>
      <c r="H241" t="n">
        <v>1458.5</v>
      </c>
      <c r="J241" t="n">
        <v>25108.3</v>
      </c>
    </row>
    <row r="242">
      <c r="G242" s="34" t="inlineStr">
        <is>
          <t>2025-10-06</t>
        </is>
      </c>
      <c r="H242" t="n">
        <v>1476</v>
      </c>
      <c r="J242" t="n">
        <v>25077.65</v>
      </c>
    </row>
    <row r="243">
      <c r="G243" s="34" t="inlineStr">
        <is>
          <t>2025-10-03</t>
        </is>
      </c>
      <c r="H243" t="n">
        <v>1446.6</v>
      </c>
      <c r="J243" t="n">
        <v>24894.25</v>
      </c>
    </row>
    <row r="244">
      <c r="G244" s="34" t="inlineStr">
        <is>
          <t>2025-10-01</t>
        </is>
      </c>
      <c r="H244" t="n">
        <v>1445.8</v>
      </c>
      <c r="J244" t="n">
        <v>24836.3</v>
      </c>
    </row>
    <row r="245">
      <c r="G245" s="34" t="inlineStr">
        <is>
          <t>2025-09-30</t>
        </is>
      </c>
      <c r="H245" t="n">
        <v>1441.8</v>
      </c>
      <c r="J245" t="n">
        <v>24611.1</v>
      </c>
    </row>
    <row r="246">
      <c r="G246" s="34" t="inlineStr">
        <is>
          <t>2025-09-29</t>
        </is>
      </c>
      <c r="H246" t="n">
        <v>1441.8</v>
      </c>
      <c r="J246" t="n">
        <v>24634.9</v>
      </c>
    </row>
    <row r="247">
      <c r="G247" s="34" t="inlineStr">
        <is>
          <t>2025-09-26</t>
        </is>
      </c>
      <c r="H247" t="n">
        <v>1448.9</v>
      </c>
      <c r="J247" t="n">
        <v>24654.7</v>
      </c>
    </row>
    <row r="248">
      <c r="G248" s="34" t="inlineStr">
        <is>
          <t>2025-09-25</t>
        </is>
      </c>
      <c r="H248" t="n">
        <v>1484.8</v>
      </c>
      <c r="J248" t="n">
        <v>24890.85</v>
      </c>
    </row>
    <row r="249">
      <c r="G249" t="inlineStr">
        <is>
          <t>2025-09-24</t>
        </is>
      </c>
      <c r="H249" t="n">
        <v>1494.6</v>
      </c>
      <c r="J249" t="n">
        <v>25056.9</v>
      </c>
    </row>
    <row r="250">
      <c r="G250" t="inlineStr">
        <is>
          <t>2025-09-23</t>
        </is>
      </c>
      <c r="H250" t="n">
        <v>1497.5</v>
      </c>
      <c r="J250" t="n">
        <v>25169.5</v>
      </c>
    </row>
    <row r="251">
      <c r="G251" t="inlineStr">
        <is>
          <t>2025-09-22</t>
        </is>
      </c>
      <c r="H251" t="n">
        <v>1499.5</v>
      </c>
      <c r="J251" t="n">
        <v>25202.35</v>
      </c>
    </row>
    <row r="252">
      <c r="G252" t="inlineStr">
        <is>
          <t>2025-09-19</t>
        </is>
      </c>
      <c r="H252" t="n">
        <v>1540.2</v>
      </c>
      <c r="J252" t="n">
        <v>25327.05</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abSelected="1"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6" t="inlineStr">
        <is>
          <t>Market Data</t>
        </is>
      </c>
      <c r="E9" s="185" t="n"/>
      <c r="F9" s="185" t="n"/>
      <c r="G9" s="185" t="n"/>
      <c r="H9" s="185" t="n"/>
      <c r="I9" s="185" t="n"/>
      <c r="J9" s="84" t="n"/>
      <c r="K9" s="166" t="inlineStr">
        <is>
          <t>Financials</t>
        </is>
      </c>
      <c r="L9" s="185" t="n"/>
      <c r="M9" s="185" t="n"/>
      <c r="N9" s="84" t="n"/>
      <c r="O9" s="166" t="inlineStr">
        <is>
          <t>Valuation</t>
        </is>
      </c>
      <c r="P9" s="185" t="n"/>
      <c r="Q9" s="185"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n"/>
      <c r="J10" s="84" t="n"/>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row r="12">
      <c r="B12" s="150">
        <f>'Raw FS'!L57</f>
        <v/>
      </c>
      <c r="C12" s="150" t="n"/>
      <c r="D12" s="155">
        <f>'Raw FS'!M57</f>
        <v/>
      </c>
      <c r="E12" s="155">
        <f>'Raw FS'!N57</f>
        <v/>
      </c>
      <c r="F12" s="155">
        <f>D12*E12</f>
        <v/>
      </c>
      <c r="G12" s="155">
        <f>'Raw FS'!AS56</f>
        <v/>
      </c>
      <c r="H12" s="155">
        <f>'Raw FS'!AT56</f>
        <v/>
      </c>
      <c r="I12" s="150" t="n"/>
      <c r="J12" s="150" t="n"/>
      <c r="K12" s="155">
        <f>'Raw FS'!AU56</f>
        <v/>
      </c>
      <c r="L12" s="155">
        <f>'Raw FS'!AV56</f>
        <v/>
      </c>
      <c r="M12" s="155">
        <f>'Raw FS'!AW56</f>
        <v/>
      </c>
      <c r="N12" s="150" t="n"/>
      <c r="O12" s="151">
        <f>$H12/K12</f>
        <v/>
      </c>
      <c r="P12" s="151">
        <f>$H12/L12</f>
        <v/>
      </c>
      <c r="Q12" s="151">
        <f>F12/M12</f>
        <v/>
      </c>
    </row>
    <row r="13">
      <c r="B13" s="150">
        <f>'Raw FS'!L58</f>
        <v/>
      </c>
      <c r="C13" s="150" t="n"/>
      <c r="D13" s="155">
        <f>'Raw FS'!M58</f>
        <v/>
      </c>
      <c r="E13" s="155">
        <f>'Raw FS'!N58</f>
        <v/>
      </c>
      <c r="F13" s="155">
        <f>D13*E13</f>
        <v/>
      </c>
      <c r="G13" s="155">
        <f>'Raw FS'!AS57</f>
        <v/>
      </c>
      <c r="H13" s="155">
        <f>'Raw FS'!AT57</f>
        <v/>
      </c>
      <c r="I13" s="150" t="n"/>
      <c r="J13" s="150" t="n"/>
      <c r="K13" s="155">
        <f>'Raw FS'!AU57</f>
        <v/>
      </c>
      <c r="L13" s="155">
        <f>'Raw FS'!AV57</f>
        <v/>
      </c>
      <c r="M13" s="155">
        <f>'Raw FS'!AW57</f>
        <v/>
      </c>
      <c r="N13" s="150" t="n"/>
      <c r="O13" s="151">
        <f>$H13/K13</f>
        <v/>
      </c>
      <c r="P13" s="151">
        <f>$H13/L13</f>
        <v/>
      </c>
      <c r="Q13" s="151">
        <f>F13/M13</f>
        <v/>
      </c>
    </row>
    <row r="14">
      <c r="B14" s="150">
        <f>'Raw FS'!L59</f>
        <v/>
      </c>
      <c r="C14" s="150" t="n"/>
      <c r="D14" s="155">
        <f>'Raw FS'!M59</f>
        <v/>
      </c>
      <c r="E14" s="155">
        <f>'Raw FS'!N59</f>
        <v/>
      </c>
      <c r="F14" s="155">
        <f>D14*E14</f>
        <v/>
      </c>
      <c r="G14" s="155">
        <f>'Raw FS'!AS58</f>
        <v/>
      </c>
      <c r="H14" s="155">
        <f>'Raw FS'!AT58</f>
        <v/>
      </c>
      <c r="I14" s="150" t="n"/>
      <c r="J14" s="150" t="n"/>
      <c r="K14" s="155">
        <f>'Raw FS'!AU58</f>
        <v/>
      </c>
      <c r="L14" s="155">
        <f>'Raw FS'!AV58</f>
        <v/>
      </c>
      <c r="M14" s="155">
        <f>'Raw FS'!AW58</f>
        <v/>
      </c>
      <c r="N14" s="150" t="n"/>
      <c r="O14" s="151">
        <f>$H14/K14</f>
        <v/>
      </c>
      <c r="P14" s="151">
        <f>$H14/L14</f>
        <v/>
      </c>
      <c r="Q14" s="151">
        <f>F14/M14</f>
        <v/>
      </c>
    </row>
    <row r="15">
      <c r="B15" s="150">
        <f>'Raw FS'!L60</f>
        <v/>
      </c>
      <c r="C15" s="150" t="n"/>
      <c r="D15" s="155">
        <f>'Raw FS'!M60</f>
        <v/>
      </c>
      <c r="E15" s="155">
        <f>'Raw FS'!N60</f>
        <v/>
      </c>
      <c r="F15" s="155">
        <f>D15*E15</f>
        <v/>
      </c>
      <c r="G15" s="155">
        <f>'Raw FS'!AS59</f>
        <v/>
      </c>
      <c r="H15" s="155">
        <f>'Raw FS'!AT59</f>
        <v/>
      </c>
      <c r="I15" s="150" t="n"/>
      <c r="J15" s="150" t="n"/>
      <c r="K15" s="155">
        <f>'Raw FS'!AU59</f>
        <v/>
      </c>
      <c r="L15" s="155">
        <f>'Raw FS'!AV59</f>
        <v/>
      </c>
      <c r="M15" s="155">
        <f>'Raw FS'!AW59</f>
        <v/>
      </c>
      <c r="N15" s="150" t="n"/>
      <c r="O15" s="151">
        <f>$H15/K15</f>
        <v/>
      </c>
      <c r="P15" s="151">
        <f>$H15/L15</f>
        <v/>
      </c>
      <c r="Q15" s="151">
        <f>F15/M15</f>
        <v/>
      </c>
    </row>
    <row r="16">
      <c r="B16" s="150">
        <f>'Raw FS'!L61</f>
        <v/>
      </c>
      <c r="C16" s="150" t="n"/>
      <c r="D16" s="155">
        <f>'Raw FS'!M61</f>
        <v/>
      </c>
      <c r="E16" s="155">
        <f>'Raw FS'!N61</f>
        <v/>
      </c>
      <c r="F16" s="155">
        <f>D16*E16</f>
        <v/>
      </c>
      <c r="G16" s="155">
        <f>'Raw FS'!AS60</f>
        <v/>
      </c>
      <c r="H16" s="155">
        <f>'Raw FS'!AT60</f>
        <v/>
      </c>
      <c r="I16" s="150" t="n"/>
      <c r="J16" s="150" t="n"/>
      <c r="K16" s="155">
        <f>'Raw FS'!AU60</f>
        <v/>
      </c>
      <c r="L16" s="155">
        <f>'Raw FS'!AV60</f>
        <v/>
      </c>
      <c r="M16" s="155">
        <f>'Raw FS'!AW60</f>
        <v/>
      </c>
      <c r="N16" s="150" t="n"/>
      <c r="O16" s="151">
        <f>$H16/K16</f>
        <v/>
      </c>
      <c r="P16" s="151">
        <f>$H16/L16</f>
        <v/>
      </c>
      <c r="Q16" s="151">
        <f>F16/M16</f>
        <v/>
      </c>
    </row>
    <row r="17">
      <c r="B17" s="150">
        <f>'Raw FS'!L62</f>
        <v/>
      </c>
      <c r="C17" s="150" t="n"/>
      <c r="D17" s="155">
        <f>'Raw FS'!M62</f>
        <v/>
      </c>
      <c r="E17" s="155">
        <f>'Raw FS'!N62</f>
        <v/>
      </c>
      <c r="F17" s="155">
        <f>D17*E17</f>
        <v/>
      </c>
      <c r="G17" s="155">
        <f>'Raw FS'!AS61</f>
        <v/>
      </c>
      <c r="H17" s="155">
        <f>'Raw FS'!AT61</f>
        <v/>
      </c>
      <c r="I17" s="150" t="n"/>
      <c r="J17" s="150" t="n"/>
      <c r="K17" s="155">
        <f>'Raw FS'!AU61</f>
        <v/>
      </c>
      <c r="L17" s="155">
        <f>'Raw FS'!AV61</f>
        <v/>
      </c>
      <c r="M17" s="155">
        <f>'Raw FS'!AW61</f>
        <v/>
      </c>
      <c r="N17" s="150" t="n"/>
      <c r="O17" s="151">
        <f>$H17/K17</f>
        <v/>
      </c>
      <c r="P17" s="151">
        <f>$H17/L17</f>
        <v/>
      </c>
      <c r="Q17" s="151">
        <f>F17/M17</f>
        <v/>
      </c>
    </row>
    <row r="18">
      <c r="B18" s="150">
        <f>'Raw FS'!L63</f>
        <v/>
      </c>
      <c r="C18" s="150" t="n"/>
      <c r="D18" s="155">
        <f>'Raw FS'!M63</f>
        <v/>
      </c>
      <c r="E18" s="155">
        <f>'Raw FS'!N63</f>
        <v/>
      </c>
      <c r="F18" s="155">
        <f>D18*E18</f>
        <v/>
      </c>
      <c r="G18" s="155">
        <f>'Raw FS'!AS62</f>
        <v/>
      </c>
      <c r="H18" s="155">
        <f>'Raw FS'!AT62</f>
        <v/>
      </c>
      <c r="I18" s="150" t="n"/>
      <c r="J18" s="150" t="n"/>
      <c r="K18" s="155">
        <f>'Raw FS'!AU62</f>
        <v/>
      </c>
      <c r="L18" s="155">
        <f>'Raw FS'!AV62</f>
        <v/>
      </c>
      <c r="M18" s="155">
        <f>'Raw FS'!AW62</f>
        <v/>
      </c>
      <c r="N18" s="150" t="n"/>
      <c r="O18" s="151">
        <f>$H18/K18</f>
        <v/>
      </c>
      <c r="P18" s="151">
        <f>$H18/L18</f>
        <v/>
      </c>
      <c r="Q18" s="151">
        <f>F18/M18</f>
        <v/>
      </c>
    </row>
    <row r="19">
      <c r="B19" s="150">
        <f>'Raw FS'!L64</f>
        <v/>
      </c>
      <c r="C19" s="150" t="n"/>
      <c r="D19" s="155">
        <f>'Raw FS'!M64</f>
        <v/>
      </c>
      <c r="E19" s="155">
        <f>'Raw FS'!N64</f>
        <v/>
      </c>
      <c r="F19" s="155">
        <f>D19*E19</f>
        <v/>
      </c>
      <c r="G19" s="155">
        <f>'Raw FS'!AS63</f>
        <v/>
      </c>
      <c r="H19" s="155">
        <f>'Raw FS'!AT63</f>
        <v/>
      </c>
      <c r="I19" s="150" t="n"/>
      <c r="J19" s="150" t="n"/>
      <c r="K19" s="155">
        <f>'Raw FS'!AU63</f>
        <v/>
      </c>
      <c r="L19" s="155">
        <f>'Raw FS'!AV63</f>
        <v/>
      </c>
      <c r="M19" s="155">
        <f>'Raw FS'!AW63</f>
        <v/>
      </c>
      <c r="N19" s="150" t="n"/>
      <c r="O19" s="151">
        <f>$H19/K19</f>
        <v/>
      </c>
      <c r="P19" s="151">
        <f>$H19/L19</f>
        <v/>
      </c>
      <c r="Q19" s="151">
        <f>F19/M19</f>
        <v/>
      </c>
    </row>
    <row r="20">
      <c r="B20" s="150">
        <f>'Raw FS'!L65</f>
        <v/>
      </c>
      <c r="C20" s="150" t="n"/>
      <c r="D20" s="155">
        <f>'Raw FS'!M65</f>
        <v/>
      </c>
      <c r="E20" s="155">
        <f>'Raw FS'!N65</f>
        <v/>
      </c>
      <c r="F20" s="155">
        <f>D20*E20</f>
        <v/>
      </c>
      <c r="G20" s="155">
        <f>'Raw FS'!AS64</f>
        <v/>
      </c>
      <c r="H20" s="155">
        <f>'Raw FS'!AT64</f>
        <v/>
      </c>
      <c r="I20" s="150" t="n"/>
      <c r="J20" s="150" t="n"/>
      <c r="K20" s="155">
        <f>'Raw FS'!AU64</f>
        <v/>
      </c>
      <c r="L20" s="155">
        <f>'Raw FS'!AV64</f>
        <v/>
      </c>
      <c r="M20" s="155">
        <f>'Raw FS'!AW64</f>
        <v/>
      </c>
      <c r="N20" s="150" t="n"/>
      <c r="O20" s="151">
        <f>$H20/K20</f>
        <v/>
      </c>
      <c r="P20" s="151">
        <f>$H20/L20</f>
        <v/>
      </c>
      <c r="Q20" s="151">
        <f>F20/M20</f>
        <v/>
      </c>
    </row>
    <row r="21">
      <c r="B21" s="150">
        <f>'Raw FS'!L66</f>
        <v/>
      </c>
      <c r="C21" s="150" t="n"/>
      <c r="D21" s="155">
        <f>'Raw FS'!M66</f>
        <v/>
      </c>
      <c r="E21" s="155">
        <f>'Raw FS'!N66</f>
        <v/>
      </c>
      <c r="F21" s="155">
        <f>D21*E21</f>
        <v/>
      </c>
      <c r="G21" s="155">
        <f>'Raw FS'!AS65</f>
        <v/>
      </c>
      <c r="H21" s="155">
        <f>'Raw FS'!AT65</f>
        <v/>
      </c>
      <c r="I21" s="150" t="n"/>
      <c r="J21" s="150" t="n"/>
      <c r="K21" s="155">
        <f>'Raw FS'!AU65</f>
        <v/>
      </c>
      <c r="L21" s="155">
        <f>'Raw FS'!AV65</f>
        <v/>
      </c>
      <c r="M21" s="155">
        <f>'Raw FS'!AW65</f>
        <v/>
      </c>
      <c r="N21" s="150" t="n"/>
      <c r="O21" s="151">
        <f>$H21/K21</f>
        <v/>
      </c>
      <c r="P21" s="151">
        <f>$H21/L21</f>
        <v/>
      </c>
      <c r="Q21" s="151">
        <f>F21/M21</f>
        <v/>
      </c>
    </row>
    <row r="22" ht="6.6" customHeight="1" s="109"/>
    <row r="23">
      <c r="B23" s="79" t="inlineStr">
        <is>
          <t>High</t>
        </is>
      </c>
      <c r="C23" s="79" t="n"/>
      <c r="D23" s="79" t="n"/>
      <c r="E23" s="79" t="n"/>
      <c r="F23" s="79" t="n"/>
      <c r="G23" s="79" t="n"/>
      <c r="H23" s="79" t="n"/>
      <c r="I23" s="79" t="n"/>
      <c r="J23" s="79" t="n"/>
      <c r="K23" s="79" t="n"/>
      <c r="L23" s="79" t="n"/>
      <c r="M23" s="79" t="n"/>
      <c r="N23" s="79" t="n"/>
      <c r="O23" s="86">
        <f>MAX((O12,O14:O21))</f>
        <v/>
      </c>
      <c r="P23" s="86">
        <f>MAX((P12,P14:P21))</f>
        <v/>
      </c>
      <c r="Q23" s="86">
        <f>MAX((Q12,Q14:Q21))</f>
        <v/>
      </c>
    </row>
    <row r="24">
      <c r="B24" s="79" t="inlineStr">
        <is>
          <t>25th Percentile</t>
        </is>
      </c>
      <c r="C24" s="79" t="n"/>
      <c r="D24" s="79" t="n"/>
      <c r="E24" s="79" t="n"/>
      <c r="F24" s="79" t="n"/>
      <c r="G24" s="79" t="n"/>
      <c r="H24" s="79" t="n"/>
      <c r="I24" s="79" t="n"/>
      <c r="J24" s="79" t="n"/>
      <c r="K24" s="79" t="n"/>
      <c r="L24" s="79" t="n"/>
      <c r="M24" s="79" t="n"/>
      <c r="N24" s="79" t="n"/>
      <c r="O24" s="87">
        <f>QUARTILE((O12,O14:O21),1)</f>
        <v/>
      </c>
      <c r="P24" s="87">
        <f>QUARTILE((P12,P14:P21),1)</f>
        <v/>
      </c>
      <c r="Q24" s="87">
        <f>QUARTILE((Q12,Q14:Q21),1)</f>
        <v/>
      </c>
    </row>
    <row r="25">
      <c r="B25" s="152" t="inlineStr">
        <is>
          <t>Median</t>
        </is>
      </c>
      <c r="C25" s="152" t="n"/>
      <c r="D25" s="152" t="n"/>
      <c r="E25" s="152" t="n"/>
      <c r="F25" s="152" t="n"/>
      <c r="G25" s="152" t="n"/>
      <c r="H25" s="152" t="n"/>
      <c r="I25" s="152" t="n"/>
      <c r="J25" s="152" t="n"/>
      <c r="K25" s="152" t="n"/>
      <c r="L25" s="152" t="n"/>
      <c r="M25" s="152" t="n"/>
      <c r="N25" s="152" t="n"/>
      <c r="O25" s="153">
        <f>MEDIAN((O12,O14:O21))</f>
        <v/>
      </c>
      <c r="P25" s="153">
        <f>MEDIAN((P12,P14:P21))</f>
        <v/>
      </c>
      <c r="Q25" s="153">
        <f>MEDIAN((Q12,Q14:Q21))</f>
        <v/>
      </c>
    </row>
    <row r="26">
      <c r="B26" s="152" t="inlineStr">
        <is>
          <t>Average</t>
        </is>
      </c>
      <c r="C26" s="152" t="n"/>
      <c r="D26" s="152" t="n"/>
      <c r="E26" s="152" t="n"/>
      <c r="F26" s="152" t="n"/>
      <c r="G26" s="152" t="n"/>
      <c r="H26" s="152" t="n"/>
      <c r="I26" s="152" t="n"/>
      <c r="J26" s="152" t="n"/>
      <c r="K26" s="152" t="n"/>
      <c r="L26" s="152" t="n"/>
      <c r="M26" s="152" t="n"/>
      <c r="N26" s="152" t="n"/>
      <c r="O26" s="153">
        <f>AVERAGE((O12,O14:O21))</f>
        <v/>
      </c>
      <c r="P26" s="153">
        <f>AVERAGE((P12,P14:P21))</f>
        <v/>
      </c>
      <c r="Q26" s="153">
        <f>AVERAGE((Q12,Q14:Q21))</f>
        <v/>
      </c>
    </row>
    <row r="27">
      <c r="B27" s="79" t="inlineStr">
        <is>
          <t>75th Percentile</t>
        </is>
      </c>
      <c r="C27" s="79" t="n"/>
      <c r="D27" s="79" t="n"/>
      <c r="E27" s="79" t="n"/>
      <c r="F27" s="79" t="n"/>
      <c r="G27" s="79" t="n"/>
      <c r="H27" s="79" t="n"/>
      <c r="I27" s="79" t="n"/>
      <c r="J27" s="79" t="n"/>
      <c r="K27" s="79" t="n"/>
      <c r="L27" s="79" t="n"/>
      <c r="M27" s="79" t="n"/>
      <c r="N27" s="79" t="n"/>
      <c r="O27" s="87">
        <f>QUARTILE((O12,O14:O21),3)</f>
        <v/>
      </c>
      <c r="P27" s="87">
        <f>QUARTILE((P12,P14:P21),3)</f>
        <v/>
      </c>
      <c r="Q27" s="87">
        <f>QUARTILE((Q12,Q14:Q21),3)</f>
        <v/>
      </c>
    </row>
    <row r="28">
      <c r="B28" s="79" t="inlineStr">
        <is>
          <t>Low</t>
        </is>
      </c>
      <c r="C28" s="79" t="n"/>
      <c r="D28" s="79" t="n"/>
      <c r="E28" s="79" t="n"/>
      <c r="F28" s="79" t="n"/>
      <c r="G28" s="79" t="n"/>
      <c r="H28" s="79" t="n"/>
      <c r="I28" s="79" t="n"/>
      <c r="J28" s="79" t="n"/>
      <c r="K28" s="79" t="n"/>
      <c r="L28" s="79" t="n"/>
      <c r="M28" s="79" t="n"/>
      <c r="N28" s="79" t="n"/>
      <c r="O28" s="86">
        <f>MIN((O12,O14:O21))</f>
        <v/>
      </c>
      <c r="P28" s="86">
        <f>MIN((P12,P14:P21))</f>
        <v/>
      </c>
      <c r="Q28" s="86">
        <f>MIN((Q12,Q14:Q21))</f>
        <v/>
      </c>
    </row>
    <row r="30">
      <c r="B30" s="84" t="inlineStr">
        <is>
          <t>Infosys Ltd Comparable Valuation</t>
        </is>
      </c>
      <c r="C30" s="84" t="n"/>
      <c r="D30" s="84" t="n"/>
      <c r="E30" s="84" t="n"/>
      <c r="F30" s="84" t="n"/>
      <c r="G30" s="84" t="n"/>
      <c r="H30" s="84" t="n"/>
      <c r="I30" s="84" t="n"/>
      <c r="J30" s="84" t="n"/>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t="n"/>
      <c r="J32" s="150" t="n"/>
      <c r="K32" s="150" t="n"/>
      <c r="L32" s="150" t="n"/>
      <c r="M32" s="150" t="n"/>
      <c r="N32" s="150" t="n"/>
      <c r="O32" s="155">
        <f>K13*O26</f>
        <v/>
      </c>
      <c r="P32" s="155">
        <f>L13*P26</f>
        <v/>
      </c>
      <c r="Q32" s="155">
        <f>M13*Q26</f>
        <v/>
      </c>
    </row>
    <row r="33">
      <c r="B33" s="150" t="inlineStr">
        <is>
          <t>Net Debt Value</t>
        </is>
      </c>
      <c r="C33" s="150" t="n"/>
      <c r="D33" s="150" t="n"/>
      <c r="E33" s="150" t="n"/>
      <c r="F33" s="150" t="n"/>
      <c r="G33" s="150" t="n"/>
      <c r="H33" s="150" t="n"/>
      <c r="I33" s="150" t="n"/>
      <c r="J33" s="150" t="n"/>
      <c r="K33" s="150" t="n"/>
      <c r="L33" s="150" t="n"/>
      <c r="M33" s="150" t="n"/>
      <c r="N33" s="150" t="n"/>
      <c r="O33" s="155">
        <f>$G$13</f>
        <v/>
      </c>
      <c r="P33" s="155">
        <f>$G$13</f>
        <v/>
      </c>
      <c r="Q33" s="155">
        <f>$G$13</f>
        <v/>
      </c>
    </row>
    <row r="34">
      <c r="B34" s="150" t="inlineStr">
        <is>
          <t>Implied Market Value</t>
        </is>
      </c>
      <c r="C34" s="150" t="n"/>
      <c r="D34" s="150" t="n"/>
      <c r="E34" s="150" t="n"/>
      <c r="F34" s="150" t="n"/>
      <c r="G34" s="150" t="n"/>
      <c r="H34" s="150" t="n"/>
      <c r="I34" s="150" t="n"/>
      <c r="J34" s="150" t="n"/>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t="n"/>
      <c r="J35" s="150" t="n"/>
      <c r="K35" s="150" t="n"/>
      <c r="L35" s="150" t="n"/>
      <c r="M35" s="150" t="n"/>
      <c r="N35" s="150" t="n"/>
      <c r="O35" s="155">
        <f>$E$13</f>
        <v/>
      </c>
      <c r="P35" s="155">
        <f>$E$13</f>
        <v/>
      </c>
      <c r="Q35" s="155">
        <f>$E$13</f>
        <v/>
      </c>
    </row>
    <row r="36" ht="3.6" customFormat="1" customHeight="1" s="93">
      <c r="O36" s="156" t="n"/>
      <c r="P36" s="156" t="n"/>
      <c r="Q36" s="156" t="n"/>
    </row>
    <row r="37">
      <c r="B37" s="152" t="inlineStr">
        <is>
          <t>Implied Value per Share</t>
        </is>
      </c>
      <c r="C37" s="152" t="n"/>
      <c r="D37" s="152" t="n"/>
      <c r="E37" s="152" t="n"/>
      <c r="F37" s="152" t="n"/>
      <c r="G37" s="152" t="n"/>
      <c r="H37" s="152" t="n"/>
      <c r="I37" s="152" t="n"/>
      <c r="J37" s="152" t="n"/>
      <c r="K37" s="152" t="n"/>
      <c r="L37" s="152" t="n"/>
      <c r="M37" s="152" t="n"/>
      <c r="N37" s="152" t="n"/>
      <c r="O37" s="157">
        <f>O34/O35</f>
        <v/>
      </c>
      <c r="P37" s="157">
        <f>P34/P35</f>
        <v/>
      </c>
      <c r="Q37" s="157">
        <f>Q34/Q35</f>
        <v/>
      </c>
    </row>
    <row r="38">
      <c r="B38" s="52" t="inlineStr">
        <is>
          <t>Source : Screener.in</t>
        </is>
      </c>
    </row>
    <row r="39">
      <c r="O39">
        <f>IF(O37&gt;$D$13,"Overvalued","Undervalued")</f>
        <v/>
      </c>
      <c r="P39">
        <f>IF(P37&gt;$D$13,"Overvalued","Undervalued")</f>
        <v/>
      </c>
      <c r="Q39">
        <f>IF(Q37&gt;$D$13,"Overvalued","Undervalued")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186">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- 1,728.00 &amp; low INR - 982.00)</t>
        </is>
      </c>
      <c r="C5" s="58" t="n"/>
      <c r="D5" s="58" t="n"/>
      <c r="E5" s="58" t="n"/>
      <c r="F5" s="58" t="n"/>
      <c r="G5" s="58" t="n"/>
      <c r="H5" s="58" t="n"/>
      <c r="I5" s="58" t="n"/>
    </row>
    <row r="6">
      <c r="B6" s="37" t="inlineStr">
        <is>
          <t>About the Company</t>
        </is>
      </c>
    </row>
    <row r="7" ht="4.2" customHeight="1" s="109">
      <c r="B7" s="37" t="n"/>
    </row>
    <row r="8">
      <c r="B8" s="168" t="inlineStr">
        <is>
          <t>Infosys Limited is an Indian multinational technology company that offers information technology, business consulting, and outsourcing services. Founded in 1981 by seven engineers, the company is headquartered in Bengaluru and considered one of the Big Six Indian IT companies.</t>
        </is>
      </c>
    </row>
    <row r="9"/>
    <row r="10"/>
    <row r="11"/>
    <row r="13" ht="5.4" customHeight="1" s="109"/>
    <row r="15" ht="21" customHeight="1" s="109">
      <c r="B15" s="99" t="inlineStr">
        <is>
          <t>Financial Summary</t>
        </is>
      </c>
    </row>
    <row r="35" ht="18" customHeight="1" s="109">
      <c r="B35" s="101" t="inlineStr">
        <is>
          <t>Recent Updates</t>
        </is>
      </c>
    </row>
    <row r="37">
      <c r="A37" t="inlineStr">
        <is>
          <t>•</t>
        </is>
      </c>
      <c r="B37" s="167" t="inlineStr">
        <is>
          <t>India has a once-in-a-generation semiconductor demand window: Infosys SVP</t>
        </is>
      </c>
    </row>
    <row r="38"/>
    <row r="39">
      <c r="A39" t="inlineStr">
        <is>
          <t>•</t>
        </is>
      </c>
      <c r="B39" s="167" t="inlineStr">
        <is>
          <t>Stocks in news: Infosys, Mazagon Dock, Fortis Healthcare, JSW Energy and Kalpataru Projects</t>
        </is>
      </c>
    </row>
    <row r="40"/>
    <row r="41">
      <c r="A41" t="inlineStr">
        <is>
          <t>•</t>
        </is>
      </c>
      <c r="B41" s="167" t="inlineStr">
        <is>
          <t>Infosys, TCS, other IT stocks in focus after first Fed rate hike in 3 years. Will inflationary pressures o</t>
        </is>
      </c>
    </row>
    <row r="42"/>
    <row r="43">
      <c r="A43" t="inlineStr">
        <is>
          <t>•</t>
        </is>
      </c>
      <c r="B43" s="167" t="inlineStr">
        <is>
          <t>Ex-Infosys CEO Vishal Sikka’s startup Hang Ten Systems raises $53 million</t>
        </is>
      </c>
    </row>
    <row r="44"/>
    <row r="45">
      <c r="A45" t="inlineStr">
        <is>
          <t>•</t>
        </is>
      </c>
      <c r="B45" s="167" t="inlineStr">
        <is>
          <t>Market wrap: SBI, HDFC Life, TCS, Infosys top gainers and losers on Nifty and Sensex on Thursday</t>
        </is>
      </c>
    </row>
    <row r="46"/>
    <row r="47">
      <c r="A47" t="inlineStr">
        <is>
          <t>•</t>
        </is>
      </c>
      <c r="B47" s="167" t="inlineStr">
        <is>
          <t>ITC Limited’s Q1 FY27 net profit plunged 27% year-on-year to approximately ₹3,579 crore, missing street estimates due to sharp cigarette excise duty hikes and geopolitical disruptions.</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0"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0"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0"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0"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186">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- 1,728.00 &amp; low INR - 982.00)</t>
        </is>
      </c>
      <c r="C5" s="58" t="n"/>
      <c r="D5" s="58" t="n"/>
      <c r="E5" s="58" t="n"/>
      <c r="F5" s="58" t="n"/>
      <c r="G5" s="58" t="n"/>
      <c r="H5" s="58" t="n"/>
      <c r="I5" s="58" t="n"/>
    </row>
    <row r="6">
      <c r="B6" s="37" t="inlineStr">
        <is>
          <t>About the Company</t>
        </is>
      </c>
    </row>
    <row r="7" ht="6.6" customHeight="1" s="109"/>
    <row r="8">
      <c r="B8" s="168" t="inlineStr">
        <is>
          <t>Infosys Limited is an Indian multinational technology company that offers information technology, business consulting, and outsourcing services. Founded in 1981 by seven engineers, the company is headquartered in Bengaluru and considered one of the Big Six Indian IT companies.</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7" t="inlineStr">
        <is>
          <t>India has a once-in-a-generation semiconductor demand window: Infosys SVP</t>
        </is>
      </c>
    </row>
    <row r="37"/>
    <row r="38" ht="14.4" customHeight="1" s="109">
      <c r="A38" t="inlineStr">
        <is>
          <t>•</t>
        </is>
      </c>
      <c r="B38" s="167" t="inlineStr">
        <is>
          <t>Stocks in news: Infosys, Mazagon Dock, Fortis Healthcare, JSW Energy and Kalpataru Projects</t>
        </is>
      </c>
    </row>
    <row r="39"/>
    <row r="40" ht="20.4" customHeight="1" s="109">
      <c r="A40" t="inlineStr">
        <is>
          <t>•</t>
        </is>
      </c>
      <c r="B40" s="167" t="inlineStr">
        <is>
          <t>Infosys, TCS, other IT stocks in focus after first Fed rate hike in 3 years. Will inflationary pressures o</t>
        </is>
      </c>
    </row>
    <row r="41"/>
    <row r="42">
      <c r="A42" t="inlineStr">
        <is>
          <t>•</t>
        </is>
      </c>
      <c r="B42" s="167" t="inlineStr">
        <is>
          <t>Ex-Infosys CEO Vishal Sikka’s startup Hang Ten Systems raises $53 million</t>
        </is>
      </c>
    </row>
    <row r="43"/>
    <row r="44">
      <c r="A44" t="inlineStr">
        <is>
          <t>•</t>
        </is>
      </c>
      <c r="B44" s="167" t="inlineStr">
        <is>
          <t>Market wrap: SBI, HDFC Life, TCS, Infosys top gainers and losers on Nifty and Sensex on Thursday</t>
        </is>
      </c>
    </row>
    <row r="45"/>
    <row r="46">
      <c r="A46" t="inlineStr">
        <is>
          <t>•</t>
        </is>
      </c>
      <c r="B46" s="167" t="inlineStr">
        <is>
          <t>ITC Limited’s Q1 FY27 net profit plunged 27% year-on-year to approximately ₹3,579 crore, missing street estimates due to sharp cigarette excise duty hikes and geopolitical disruptions.</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0"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0"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0"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0"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0"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0"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69"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c r="D4" s="35" t="n"/>
      <c r="E4" s="35" t="n"/>
      <c r="F4" s="35" t="n"/>
      <c r="G4" s="35" t="n"/>
      <c r="H4" s="35" t="n"/>
      <c r="I4" s="35" t="n"/>
      <c r="J4" s="35" t="n"/>
      <c r="K4" s="35" t="n"/>
      <c r="L4" s="35" t="n"/>
      <c r="M4" s="35" t="n"/>
      <c r="N4" s="35" t="n"/>
      <c r="O4" s="35" t="n"/>
      <c r="R4" t="inlineStr">
        <is>
          <t>Sales +</t>
        </is>
      </c>
      <c r="S4" s="73" t="n">
        <v>53319</v>
      </c>
      <c r="T4" s="73" t="n">
        <v>62441</v>
      </c>
      <c r="U4" s="73" t="n">
        <v>68484</v>
      </c>
      <c r="V4" s="73" t="n">
        <v>70522</v>
      </c>
      <c r="W4" s="73" t="n">
        <v>82675</v>
      </c>
      <c r="X4" s="73" t="n">
        <v>90791</v>
      </c>
      <c r="Y4" s="73" t="n">
        <v>100472</v>
      </c>
      <c r="Z4" s="73" t="n">
        <v>121641</v>
      </c>
      <c r="AA4" s="73" t="n">
        <v>146767</v>
      </c>
      <c r="AB4" s="73" t="n">
        <v>153670</v>
      </c>
      <c r="AC4" s="73" t="n">
        <v>162990</v>
      </c>
      <c r="AD4" s="73" t="n">
        <v>178650</v>
      </c>
      <c r="AE4" s="73" t="n">
        <v>184582</v>
      </c>
    </row>
    <row r="5">
      <c r="B5" s="35" t="inlineStr">
        <is>
          <t>Equity Capital</t>
        </is>
      </c>
      <c r="C5" t="n">
        <v>572</v>
      </c>
      <c r="D5" s="47" t="n">
        <v>1144</v>
      </c>
      <c r="E5" s="47" t="n">
        <v>1144</v>
      </c>
      <c r="F5" s="47" t="n">
        <v>1088</v>
      </c>
      <c r="G5" s="47" t="n">
        <v>2170</v>
      </c>
      <c r="H5" s="47" t="n">
        <v>2122</v>
      </c>
      <c r="I5" s="47" t="n">
        <v>2124</v>
      </c>
      <c r="J5" s="47" t="n">
        <v>2098</v>
      </c>
      <c r="K5" s="47" t="n">
        <v>2069</v>
      </c>
      <c r="L5" s="47" t="n">
        <v>2071</v>
      </c>
      <c r="M5" s="47" t="n">
        <v>2073</v>
      </c>
      <c r="N5" s="47" t="n">
        <v>2024</v>
      </c>
      <c r="R5" t="inlineStr">
        <is>
          <t>Expenses +</t>
        </is>
      </c>
      <c r="S5" s="73" t="n">
        <v>38436</v>
      </c>
      <c r="T5" s="73" t="n">
        <v>45362</v>
      </c>
      <c r="U5" s="73" t="n">
        <v>49880</v>
      </c>
      <c r="V5" s="73" t="n">
        <v>51700</v>
      </c>
      <c r="W5" s="73" t="n">
        <v>62505</v>
      </c>
      <c r="X5" s="73" t="n">
        <v>68524</v>
      </c>
      <c r="Y5" s="73" t="n">
        <v>72583</v>
      </c>
      <c r="Z5" s="73" t="n">
        <v>90150</v>
      </c>
      <c r="AA5" s="73" t="n">
        <v>111637</v>
      </c>
      <c r="AB5" s="73" t="n">
        <v>117245</v>
      </c>
      <c r="AC5" s="73" t="n">
        <v>123754</v>
      </c>
      <c r="AD5" s="73" t="n">
        <v>136370</v>
      </c>
      <c r="AE5" s="73" t="n">
        <v>140837</v>
      </c>
    </row>
    <row r="6">
      <c r="B6" t="inlineStr">
        <is>
          <t>Reserves</t>
        </is>
      </c>
      <c r="C6" s="73" t="n">
        <v>50164</v>
      </c>
      <c r="D6" s="73" t="n">
        <v>60600</v>
      </c>
      <c r="E6" s="73" t="n">
        <v>67838</v>
      </c>
      <c r="F6" s="73" t="n">
        <v>63835</v>
      </c>
      <c r="G6" s="73" t="n">
        <v>62778</v>
      </c>
      <c r="H6" s="73" t="n">
        <v>63328</v>
      </c>
      <c r="I6" s="73" t="n">
        <v>74227</v>
      </c>
      <c r="J6" s="73" t="n">
        <v>73252</v>
      </c>
      <c r="K6" s="73" t="n">
        <v>73338</v>
      </c>
      <c r="L6" s="73" t="n">
        <v>86045</v>
      </c>
      <c r="M6" s="73" t="n">
        <v>93745</v>
      </c>
      <c r="N6" s="73" t="n">
        <v>90828</v>
      </c>
      <c r="O6" s="73" t="n"/>
      <c r="R6" t="inlineStr">
        <is>
          <t>Operating Profit</t>
        </is>
      </c>
      <c r="S6" s="73" t="n">
        <v>14883</v>
      </c>
      <c r="T6" s="73" t="n">
        <v>17079</v>
      </c>
      <c r="U6" s="73" t="n">
        <v>18604</v>
      </c>
      <c r="V6" s="73" t="n">
        <v>18822</v>
      </c>
      <c r="W6" s="73" t="n">
        <v>20170</v>
      </c>
      <c r="X6" s="73" t="n">
        <v>22267</v>
      </c>
      <c r="Y6" s="73" t="n">
        <v>27889</v>
      </c>
      <c r="Z6" s="73" t="n">
        <v>31491</v>
      </c>
      <c r="AA6" s="73" t="n">
        <v>35130</v>
      </c>
      <c r="AB6" s="73" t="n">
        <v>36425</v>
      </c>
      <c r="AC6" s="73" t="n">
        <v>39236</v>
      </c>
      <c r="AD6" s="73" t="n">
        <v>42280</v>
      </c>
      <c r="AE6" s="73" t="n">
        <v>43745</v>
      </c>
    </row>
    <row r="7">
      <c r="B7" s="73" t="inlineStr">
        <is>
          <t>Borrowings -</t>
        </is>
      </c>
      <c r="C7" s="73" t="n">
        <v>0</v>
      </c>
      <c r="D7" s="73" t="n">
        <v>0</v>
      </c>
      <c r="E7" s="73" t="n">
        <v>0</v>
      </c>
      <c r="F7" s="73" t="n">
        <v>0</v>
      </c>
      <c r="G7" s="73" t="n">
        <v>0</v>
      </c>
      <c r="H7" s="73" t="n">
        <v>4633</v>
      </c>
      <c r="I7" s="73" t="n">
        <v>5325</v>
      </c>
      <c r="J7" s="73" t="n">
        <v>5474</v>
      </c>
      <c r="K7" s="73" t="n">
        <v>8299</v>
      </c>
      <c r="L7" s="73" t="n">
        <v>8359</v>
      </c>
      <c r="M7" s="73" t="n">
        <v>8227</v>
      </c>
      <c r="N7" s="73" t="n">
        <v>9176</v>
      </c>
      <c r="O7" s="73" t="n"/>
      <c r="R7" t="inlineStr">
        <is>
          <t>OPM %</t>
        </is>
      </c>
      <c r="S7" s="75" t="n">
        <v>28</v>
      </c>
      <c r="T7" s="75" t="n">
        <v>27</v>
      </c>
      <c r="U7" s="75" t="n">
        <v>27</v>
      </c>
      <c r="V7" s="75" t="n">
        <v>27</v>
      </c>
      <c r="W7" s="75" t="n">
        <v>24</v>
      </c>
      <c r="X7" s="75" t="n">
        <v>25</v>
      </c>
      <c r="Y7" s="75" t="n">
        <v>28</v>
      </c>
      <c r="Z7" s="75" t="n">
        <v>26</v>
      </c>
      <c r="AA7" s="75" t="n">
        <v>24</v>
      </c>
      <c r="AB7" s="75" t="n">
        <v>24</v>
      </c>
      <c r="AC7" s="75" t="n">
        <v>24</v>
      </c>
      <c r="AD7" s="75" t="n">
        <v>24</v>
      </c>
      <c r="AE7" s="75" t="n">
        <v>24</v>
      </c>
    </row>
    <row r="8">
      <c r="B8" s="73" t="inlineStr">
        <is>
          <t>Long term Borrowings</t>
        </is>
      </c>
      <c r="C8" s="73" t="n">
        <v>61</v>
      </c>
      <c r="D8" s="73" t="n">
        <v>27</v>
      </c>
      <c r="E8" s="73" t="n">
        <v>18</v>
      </c>
      <c r="F8" s="73" t="n">
        <v>12</v>
      </c>
      <c r="G8" s="73" t="n">
        <v>8</v>
      </c>
      <c r="H8" s="73" t="n">
        <v>6</v>
      </c>
      <c r="I8" s="73" t="n">
        <v>6</v>
      </c>
      <c r="J8" s="73" t="n">
        <v>5</v>
      </c>
      <c r="K8" s="73" t="n">
        <v>3</v>
      </c>
      <c r="L8" s="73" t="n">
        <v>2</v>
      </c>
      <c r="M8" s="73" t="n">
        <v>0</v>
      </c>
      <c r="N8" s="73" t="n">
        <v>60</v>
      </c>
      <c r="R8" t="inlineStr">
        <is>
          <t>Other Income +</t>
        </is>
      </c>
      <c r="S8" s="73" t="n">
        <v>3430</v>
      </c>
      <c r="T8" s="73" t="n">
        <v>3120</v>
      </c>
      <c r="U8" s="73" t="n">
        <v>3050</v>
      </c>
      <c r="V8" s="73" t="n">
        <v>3311</v>
      </c>
      <c r="W8" s="73" t="n">
        <v>2882</v>
      </c>
      <c r="X8" s="73" t="n">
        <v>2803</v>
      </c>
      <c r="Y8" s="73" t="n">
        <v>2201</v>
      </c>
      <c r="Z8" s="73" t="n">
        <v>2295</v>
      </c>
      <c r="AA8" s="73" t="n">
        <v>2701</v>
      </c>
      <c r="AB8" s="73" t="n">
        <v>4711</v>
      </c>
      <c r="AC8" s="73" t="n">
        <v>3600</v>
      </c>
      <c r="AD8" s="73" t="n">
        <v>3033</v>
      </c>
      <c r="AE8" s="73" t="n">
        <v>2975</v>
      </c>
    </row>
    <row r="9">
      <c r="B9" t="inlineStr">
        <is>
          <t>Short term Borrowings</t>
        </is>
      </c>
      <c r="C9" t="n">
        <v>195</v>
      </c>
      <c r="D9" t="n">
        <v>44</v>
      </c>
      <c r="E9" t="n">
        <v>19</v>
      </c>
      <c r="F9" t="n">
        <v>17</v>
      </c>
      <c r="G9" t="n">
        <v>2</v>
      </c>
      <c r="H9" t="n">
        <v>1</v>
      </c>
      <c r="I9" t="n">
        <v>4</v>
      </c>
      <c r="J9" t="n">
        <v>1</v>
      </c>
      <c r="K9" t="n">
        <v>35</v>
      </c>
      <c r="L9" t="n">
        <v>10</v>
      </c>
      <c r="M9" t="n">
        <v>91</v>
      </c>
      <c r="N9" s="73" t="n">
        <v>2126</v>
      </c>
      <c r="R9" t="inlineStr">
        <is>
          <t>Interest</t>
        </is>
      </c>
      <c r="S9" t="n">
        <v>12</v>
      </c>
      <c r="T9" t="n">
        <v>0</v>
      </c>
      <c r="U9" t="n">
        <v>0</v>
      </c>
      <c r="V9" t="n">
        <v>0</v>
      </c>
      <c r="W9" t="n">
        <v>0</v>
      </c>
      <c r="X9" t="n">
        <v>170</v>
      </c>
      <c r="Y9" t="n">
        <v>195</v>
      </c>
      <c r="Z9" t="n">
        <v>200</v>
      </c>
      <c r="AA9" t="n">
        <v>284</v>
      </c>
      <c r="AB9" t="n">
        <v>470</v>
      </c>
      <c r="AC9" t="n">
        <v>416</v>
      </c>
      <c r="AD9" t="n">
        <v>416</v>
      </c>
      <c r="AE9" t="n">
        <v>430</v>
      </c>
    </row>
    <row r="10">
      <c r="B10" t="inlineStr">
        <is>
          <t>Lease Liabilities</t>
        </is>
      </c>
      <c r="C10" t="n">
        <v>0</v>
      </c>
      <c r="D10" t="n">
        <v>0</v>
      </c>
      <c r="E10" t="n">
        <v>0</v>
      </c>
      <c r="F10" t="n">
        <v>0</v>
      </c>
      <c r="G10" t="n">
        <v>0</v>
      </c>
      <c r="H10" t="n">
        <v>4633</v>
      </c>
      <c r="I10" t="n">
        <v>5325</v>
      </c>
      <c r="J10" t="n">
        <v>5474</v>
      </c>
      <c r="K10" t="n">
        <v>8299</v>
      </c>
      <c r="L10" t="n">
        <v>8359</v>
      </c>
      <c r="M10" t="n">
        <v>8227</v>
      </c>
      <c r="N10" t="n">
        <v>9176</v>
      </c>
      <c r="O10" s="73" t="n"/>
      <c r="R10" t="inlineStr">
        <is>
          <t>Depreciation</t>
        </is>
      </c>
      <c r="S10" s="73" t="n">
        <v>1017</v>
      </c>
      <c r="T10" s="73" t="n">
        <v>1459</v>
      </c>
      <c r="U10" s="73" t="n">
        <v>1703</v>
      </c>
      <c r="V10" s="73" t="n">
        <v>1863</v>
      </c>
      <c r="W10" s="73" t="n">
        <v>2011</v>
      </c>
      <c r="X10" s="73" t="n">
        <v>2893</v>
      </c>
      <c r="Y10" s="73" t="n">
        <v>3267</v>
      </c>
      <c r="Z10" s="73" t="n">
        <v>3476</v>
      </c>
      <c r="AA10" s="73" t="n">
        <v>4225</v>
      </c>
      <c r="AB10" s="73" t="n">
        <v>4678</v>
      </c>
      <c r="AC10" s="73" t="n">
        <v>4812</v>
      </c>
      <c r="AD10" s="73" t="n">
        <v>4902</v>
      </c>
      <c r="AE10" s="73" t="n">
        <v>5007</v>
      </c>
    </row>
    <row r="11">
      <c r="B11" s="73" t="inlineStr">
        <is>
          <t>Other Borrowings</t>
        </is>
      </c>
      <c r="C11" s="73" t="n">
        <v>13</v>
      </c>
      <c r="D11" s="73" t="n">
        <v>13</v>
      </c>
      <c r="E11" s="73" t="n">
        <v>8</v>
      </c>
      <c r="F11" s="73" t="n">
        <v>7</v>
      </c>
      <c r="G11" s="73" t="n">
        <v>3</v>
      </c>
      <c r="H11" s="73" t="n">
        <v>2</v>
      </c>
      <c r="I11" s="73" t="n">
        <v>0</v>
      </c>
      <c r="J11" s="73" t="n">
        <v>0</v>
      </c>
      <c r="K11" s="73" t="n">
        <v>0</v>
      </c>
      <c r="L11" s="73" t="n">
        <v>0</v>
      </c>
      <c r="M11" s="73" t="n">
        <v>0</v>
      </c>
      <c r="N11" s="73" t="n">
        <v>0</v>
      </c>
      <c r="O11" s="73" t="n"/>
      <c r="R11" t="inlineStr">
        <is>
          <t>Profit before tax</t>
        </is>
      </c>
      <c r="S11" s="73" t="n">
        <v>17284</v>
      </c>
      <c r="T11" s="73" t="n">
        <v>18740</v>
      </c>
      <c r="U11" s="73" t="n">
        <v>19951</v>
      </c>
      <c r="V11" s="73" t="n">
        <v>20270</v>
      </c>
      <c r="W11" s="73" t="n">
        <v>21041</v>
      </c>
      <c r="X11" s="73" t="n">
        <v>22007</v>
      </c>
      <c r="Y11" s="73" t="n">
        <v>26628</v>
      </c>
      <c r="Z11" s="73" t="n">
        <v>30110</v>
      </c>
      <c r="AA11" s="73" t="n">
        <v>33322</v>
      </c>
      <c r="AB11" s="73" t="n">
        <v>35988</v>
      </c>
      <c r="AC11" s="73" t="n">
        <v>37608</v>
      </c>
      <c r="AD11" s="73" t="n">
        <v>39995</v>
      </c>
      <c r="AE11" s="73" t="n">
        <v>41283</v>
      </c>
    </row>
    <row r="12">
      <c r="B12" s="73" t="inlineStr">
        <is>
          <t>Other Liabilities -</t>
        </is>
      </c>
      <c r="C12" s="73" t="n">
        <v>15553</v>
      </c>
      <c r="D12" s="73" t="n">
        <v>13354</v>
      </c>
      <c r="E12" s="73" t="n">
        <v>14166</v>
      </c>
      <c r="F12" s="73" t="n">
        <v>14426</v>
      </c>
      <c r="G12" s="73" t="n">
        <v>19118</v>
      </c>
      <c r="H12" s="73" t="n">
        <v>21717</v>
      </c>
      <c r="I12" s="73" t="n">
        <v>25835</v>
      </c>
      <c r="J12" s="73" t="n">
        <v>35905</v>
      </c>
      <c r="K12" s="73" t="n">
        <v>40890</v>
      </c>
      <c r="L12" s="73" t="n">
        <v>39545</v>
      </c>
      <c r="M12" s="73" t="n">
        <v>43750</v>
      </c>
      <c r="N12" s="73" t="n">
        <v>52260</v>
      </c>
      <c r="R12" t="inlineStr">
        <is>
          <t>Tax %</t>
        </is>
      </c>
      <c r="S12" s="75" t="n">
        <v>28</v>
      </c>
      <c r="T12" s="75" t="n">
        <v>28</v>
      </c>
      <c r="U12" s="75" t="n">
        <v>28</v>
      </c>
      <c r="V12" s="75" t="n">
        <v>21</v>
      </c>
      <c r="W12" s="75" t="n">
        <v>27</v>
      </c>
      <c r="X12" s="75" t="n">
        <v>24</v>
      </c>
      <c r="Y12" s="75" t="n">
        <v>27</v>
      </c>
      <c r="Z12" s="75" t="n">
        <v>26</v>
      </c>
      <c r="AA12" s="75" t="n">
        <v>28</v>
      </c>
      <c r="AB12" s="75" t="n">
        <v>27</v>
      </c>
      <c r="AC12" s="75" t="n">
        <v>29</v>
      </c>
      <c r="AD12" s="75" t="n">
        <v>26</v>
      </c>
      <c r="AE12" t="n">
        <v>0</v>
      </c>
    </row>
    <row r="13">
      <c r="B13" t="inlineStr">
        <is>
          <t>Non controlling int</t>
        </is>
      </c>
      <c r="C13" t="n">
        <v>0</v>
      </c>
      <c r="D13" t="n">
        <v>0</v>
      </c>
      <c r="E13" t="n">
        <v>0</v>
      </c>
      <c r="F13" t="n">
        <v>1</v>
      </c>
      <c r="G13" t="n">
        <v>58</v>
      </c>
      <c r="H13" t="n">
        <v>394</v>
      </c>
      <c r="I13" t="n">
        <v>431</v>
      </c>
      <c r="J13" t="n">
        <v>386</v>
      </c>
      <c r="K13" t="n">
        <v>388</v>
      </c>
      <c r="L13" t="n">
        <v>345</v>
      </c>
      <c r="M13" t="n">
        <v>385</v>
      </c>
      <c r="N13" t="n">
        <v>445</v>
      </c>
      <c r="O13" s="73" t="n"/>
      <c r="R13" t="inlineStr">
        <is>
          <t>Net Profit +</t>
        </is>
      </c>
      <c r="S13" s="73" t="n">
        <v>12372</v>
      </c>
      <c r="T13" s="73" t="n">
        <v>13489</v>
      </c>
      <c r="U13" s="73" t="n">
        <v>14353</v>
      </c>
      <c r="V13" s="73" t="n">
        <v>16029</v>
      </c>
      <c r="W13" s="73" t="n">
        <v>15410</v>
      </c>
      <c r="X13" s="73" t="n">
        <v>16639</v>
      </c>
      <c r="Y13" s="73" t="n">
        <v>19423</v>
      </c>
      <c r="Z13" s="73" t="n">
        <v>22146</v>
      </c>
      <c r="AA13" s="73" t="n">
        <v>24108</v>
      </c>
      <c r="AB13" s="73" t="n">
        <v>26248</v>
      </c>
      <c r="AC13" s="73" t="n">
        <v>26750</v>
      </c>
      <c r="AD13" s="73" t="n">
        <v>29474</v>
      </c>
      <c r="AE13" s="73" t="n">
        <v>30325</v>
      </c>
    </row>
    <row r="14">
      <c r="B14" s="73" t="inlineStr">
        <is>
          <t>Trade Payables</t>
        </is>
      </c>
      <c r="C14" s="73" t="n">
        <v>140</v>
      </c>
      <c r="D14" s="73" t="n">
        <v>386</v>
      </c>
      <c r="E14" s="73" t="n">
        <v>367</v>
      </c>
      <c r="F14" s="73" t="n">
        <v>694</v>
      </c>
      <c r="G14" s="73" t="n">
        <v>1655</v>
      </c>
      <c r="H14" s="73" t="n">
        <v>2852</v>
      </c>
      <c r="I14" s="73" t="n">
        <v>2645</v>
      </c>
      <c r="J14" s="73" t="n">
        <v>4134</v>
      </c>
      <c r="K14" s="73" t="n">
        <v>3865</v>
      </c>
      <c r="L14" s="73" t="n">
        <v>3956</v>
      </c>
      <c r="M14" s="73" t="n">
        <v>4164</v>
      </c>
      <c r="N14" s="73" t="n">
        <v>4744</v>
      </c>
      <c r="S14" t="n">
        <v>26.93</v>
      </c>
      <c r="T14" t="n">
        <v>29.36</v>
      </c>
      <c r="U14" t="n">
        <v>31.24</v>
      </c>
      <c r="V14" t="n">
        <v>36.69</v>
      </c>
      <c r="W14" t="n">
        <v>35.26</v>
      </c>
      <c r="X14" t="n">
        <v>38.96</v>
      </c>
      <c r="Y14" t="n">
        <v>45.42</v>
      </c>
      <c r="Z14" t="n">
        <v>52.56</v>
      </c>
      <c r="AA14" t="n">
        <v>58.08</v>
      </c>
      <c r="AB14" t="n">
        <v>63.2</v>
      </c>
      <c r="AC14" t="n">
        <v>64.31999999999999</v>
      </c>
      <c r="AD14" t="n">
        <v>72.59</v>
      </c>
      <c r="AE14" t="n">
        <v>74.25</v>
      </c>
    </row>
    <row r="15">
      <c r="B15" t="inlineStr">
        <is>
          <t>Advance from Customers</t>
        </is>
      </c>
      <c r="C15" t="n">
        <v>27</v>
      </c>
      <c r="D15" t="n">
        <v>28</v>
      </c>
      <c r="E15" t="n">
        <v>0</v>
      </c>
      <c r="F15" t="n">
        <v>0</v>
      </c>
      <c r="G15" t="n">
        <v>0</v>
      </c>
      <c r="H15" t="n">
        <v>0</v>
      </c>
      <c r="I15" t="n">
        <v>0</v>
      </c>
      <c r="J15" s="73" t="n">
        <v>0</v>
      </c>
      <c r="K15" s="73" t="n">
        <v>0</v>
      </c>
      <c r="L15" t="n">
        <v>0</v>
      </c>
      <c r="M15" s="73" t="n">
        <v>0</v>
      </c>
      <c r="N15" s="73" t="n">
        <v>0</v>
      </c>
      <c r="O15" s="73" t="n"/>
      <c r="S15" t="n">
        <v>55</v>
      </c>
      <c r="T15" t="n">
        <v>41</v>
      </c>
      <c r="U15" t="n">
        <v>41</v>
      </c>
      <c r="V15" t="n">
        <v>59</v>
      </c>
      <c r="W15" t="n">
        <v>60</v>
      </c>
      <c r="X15" t="n">
        <v>45</v>
      </c>
      <c r="Y15" t="n">
        <v>59</v>
      </c>
      <c r="Z15" t="n">
        <v>59</v>
      </c>
      <c r="AA15" t="n">
        <v>58</v>
      </c>
      <c r="AB15" t="n">
        <v>73</v>
      </c>
      <c r="AC15" t="n">
        <v>67</v>
      </c>
      <c r="AD15" t="n">
        <v>66</v>
      </c>
      <c r="AE15" t="n">
        <v>0</v>
      </c>
    </row>
    <row r="16">
      <c r="B16" s="73" t="inlineStr">
        <is>
          <t>Other liability items</t>
        </is>
      </c>
      <c r="C16" s="73" t="n">
        <v>15386</v>
      </c>
      <c r="D16" s="73" t="n">
        <v>12940</v>
      </c>
      <c r="E16" s="73" t="n">
        <v>13799</v>
      </c>
      <c r="F16" s="73" t="n">
        <v>13731</v>
      </c>
      <c r="G16" s="73" t="n">
        <v>17405</v>
      </c>
      <c r="H16" s="73" t="n">
        <v>18471</v>
      </c>
      <c r="I16" s="73" t="n">
        <v>22759</v>
      </c>
      <c r="J16" s="73" t="n">
        <v>31385</v>
      </c>
      <c r="K16" s="73" t="n">
        <v>36637</v>
      </c>
      <c r="L16" s="73" t="n">
        <v>35244</v>
      </c>
      <c r="M16" s="73" t="n">
        <v>39201</v>
      </c>
      <c r="N16" s="73" t="n">
        <v>47071</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66289</v>
      </c>
      <c r="D18" s="71" t="n">
        <v>75098</v>
      </c>
      <c r="E18" s="71" t="n">
        <v>83148</v>
      </c>
      <c r="F18" s="71" t="n">
        <v>79349</v>
      </c>
      <c r="G18" s="71" t="n">
        <v>84066</v>
      </c>
      <c r="H18" s="71" t="n">
        <v>91800</v>
      </c>
      <c r="I18" s="71" t="n">
        <v>107511</v>
      </c>
      <c r="J18" s="71" t="n">
        <v>116729</v>
      </c>
      <c r="K18" s="71" t="n">
        <v>124596</v>
      </c>
      <c r="L18" s="71" t="n">
        <v>136020</v>
      </c>
      <c r="M18" s="71" t="n">
        <v>147795</v>
      </c>
      <c r="N18" s="71" t="n">
        <v>154288</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8353</v>
      </c>
      <c r="T19" s="73" t="n">
        <v>10028</v>
      </c>
      <c r="U19" s="73" t="n">
        <v>11531</v>
      </c>
      <c r="V19" s="73" t="n">
        <v>13218</v>
      </c>
      <c r="W19" s="73" t="n">
        <v>14841</v>
      </c>
      <c r="X19" s="73" t="n">
        <v>17003</v>
      </c>
      <c r="Y19" s="73" t="n">
        <v>23224</v>
      </c>
      <c r="Z19" s="73" t="n">
        <v>23885</v>
      </c>
      <c r="AA19" s="73" t="n">
        <v>22467</v>
      </c>
      <c r="AB19" s="73" t="n">
        <v>25210</v>
      </c>
      <c r="AC19" s="73" t="n">
        <v>35694</v>
      </c>
      <c r="AD19" s="73" t="n">
        <v>33986</v>
      </c>
    </row>
    <row r="20">
      <c r="C20" s="73" t="n"/>
      <c r="D20" s="73" t="n"/>
      <c r="E20" s="73" t="n"/>
      <c r="F20" s="73" t="n"/>
      <c r="G20" s="73" t="n"/>
      <c r="H20" s="73" t="n"/>
      <c r="I20" s="73" t="n"/>
      <c r="J20" s="73" t="n"/>
      <c r="K20" s="73" t="n"/>
      <c r="L20" s="73" t="n"/>
      <c r="M20" s="73" t="n"/>
      <c r="N20" s="73" t="n"/>
      <c r="O20" s="73" t="n"/>
      <c r="R20" t="inlineStr">
        <is>
          <t>Profit from operations</t>
        </is>
      </c>
      <c r="S20" s="73" t="n">
        <v>15946</v>
      </c>
      <c r="T20" s="73" t="n">
        <v>17839</v>
      </c>
      <c r="U20" s="73" t="n">
        <v>19340</v>
      </c>
      <c r="V20" s="73" t="n">
        <v>19963</v>
      </c>
      <c r="W20" s="73" t="n">
        <v>22126</v>
      </c>
      <c r="X20" s="73" t="n">
        <v>23920</v>
      </c>
      <c r="Y20" s="73" t="n">
        <v>28845</v>
      </c>
      <c r="Z20" s="73" t="n">
        <v>32921</v>
      </c>
      <c r="AA20" s="73" t="n">
        <v>37605</v>
      </c>
      <c r="AB20" s="73" t="n">
        <v>39523</v>
      </c>
      <c r="AC20" s="73" t="n">
        <v>41591</v>
      </c>
      <c r="AD20" s="73" t="n">
        <v>45273</v>
      </c>
    </row>
    <row r="21">
      <c r="B21" s="73" t="inlineStr">
        <is>
          <t>Fixed Assets -</t>
        </is>
      </c>
      <c r="C21" s="73" t="n">
        <v>11346</v>
      </c>
      <c r="D21" s="73" t="n">
        <v>13386</v>
      </c>
      <c r="E21" s="73" t="n">
        <v>14179</v>
      </c>
      <c r="F21" s="73" t="n">
        <v>12574</v>
      </c>
      <c r="G21" s="73" t="n">
        <v>15710</v>
      </c>
      <c r="H21" s="73" t="n">
        <v>23789</v>
      </c>
      <c r="I21" s="73" t="n">
        <v>25505</v>
      </c>
      <c r="J21" s="73" t="n">
        <v>25800</v>
      </c>
      <c r="K21" s="73" t="n">
        <v>29225</v>
      </c>
      <c r="L21" s="73" t="n">
        <v>27622</v>
      </c>
      <c r="M21" s="73" t="n">
        <v>30961</v>
      </c>
      <c r="N21" s="73" t="n">
        <v>33770</v>
      </c>
      <c r="R21" t="inlineStr">
        <is>
          <t>Receivables</t>
        </is>
      </c>
      <c r="S21" t="n">
        <v>-1475</v>
      </c>
      <c r="T21" t="n">
        <v>-1654</v>
      </c>
      <c r="U21" t="n">
        <v>-1743</v>
      </c>
      <c r="V21" t="n">
        <v>-1523</v>
      </c>
      <c r="W21" t="n">
        <v>-2881</v>
      </c>
      <c r="X21" s="73" t="n">
        <v>-3861</v>
      </c>
      <c r="Y21" t="n">
        <v>-1835</v>
      </c>
      <c r="Z21" t="n">
        <v>-7937</v>
      </c>
      <c r="AA21" t="n">
        <v>-7076</v>
      </c>
      <c r="AB21" t="n">
        <v>-2667</v>
      </c>
      <c r="AC21" s="73" t="n">
        <v>-1769</v>
      </c>
      <c r="AD21" t="n">
        <v>-5177</v>
      </c>
    </row>
    <row r="22">
      <c r="B22" s="73" t="inlineStr">
        <is>
          <t>Land</t>
        </is>
      </c>
      <c r="C22" s="73" t="n">
        <v>1564</v>
      </c>
      <c r="D22" s="73" t="n">
        <v>1622</v>
      </c>
      <c r="E22" s="73" t="n">
        <v>1095</v>
      </c>
      <c r="F22" s="73" t="n">
        <v>1229</v>
      </c>
      <c r="G22" s="73" t="n">
        <v>1307</v>
      </c>
      <c r="H22" s="73" t="n">
        <v>1950</v>
      </c>
      <c r="I22" s="73" t="n">
        <v>2035</v>
      </c>
      <c r="J22" s="73" t="n">
        <v>2066</v>
      </c>
      <c r="K22" s="73" t="n">
        <v>2054</v>
      </c>
      <c r="L22" s="73" t="n">
        <v>2037</v>
      </c>
      <c r="M22" s="73" t="n">
        <v>2079</v>
      </c>
      <c r="N22" s="73" t="n">
        <v>1990</v>
      </c>
      <c r="O22" s="73" t="n"/>
      <c r="R22" t="inlineStr">
        <is>
          <t>Inventory</t>
        </is>
      </c>
      <c r="S22" t="n">
        <v>-505</v>
      </c>
      <c r="T22" t="n">
        <v>-693</v>
      </c>
      <c r="U22" t="n">
        <v>593</v>
      </c>
      <c r="V22" t="n">
        <v>602</v>
      </c>
      <c r="W22" t="n">
        <v>-359</v>
      </c>
      <c r="X22" t="n">
        <v>-508</v>
      </c>
      <c r="Y22" s="73" t="n">
        <v>-1460</v>
      </c>
      <c r="Z22" t="n">
        <v>-466</v>
      </c>
      <c r="AA22" s="73" t="n">
        <v>-1098</v>
      </c>
      <c r="AB22" s="73" t="n">
        <v>-2545</v>
      </c>
      <c r="AC22" s="73" t="n">
        <v>-2975</v>
      </c>
      <c r="AD22" s="73" t="n">
        <v>-3306</v>
      </c>
    </row>
    <row r="23">
      <c r="B23" s="73" t="inlineStr">
        <is>
          <t>Building</t>
        </is>
      </c>
      <c r="C23" s="73" t="n">
        <v>6102</v>
      </c>
      <c r="D23" s="73" t="n">
        <v>6325</v>
      </c>
      <c r="E23" s="73" t="n">
        <v>8419</v>
      </c>
      <c r="F23" s="73" t="n">
        <v>9334</v>
      </c>
      <c r="G23" s="73" t="n">
        <v>10270</v>
      </c>
      <c r="H23" s="73" t="n">
        <v>15104</v>
      </c>
      <c r="I23" s="73" t="n">
        <v>16394</v>
      </c>
      <c r="J23" s="73" t="n">
        <v>16760</v>
      </c>
      <c r="K23" s="73" t="n">
        <v>16903</v>
      </c>
      <c r="L23" s="73" t="n">
        <v>16515</v>
      </c>
      <c r="M23" s="73" t="n">
        <v>16376</v>
      </c>
      <c r="N23" s="73" t="n">
        <v>17193</v>
      </c>
      <c r="O23" s="73" t="n"/>
      <c r="R23" t="inlineStr">
        <is>
          <t>Payables</t>
        </is>
      </c>
      <c r="S23" t="n">
        <v>0</v>
      </c>
      <c r="T23" t="n">
        <v>242</v>
      </c>
      <c r="U23" t="n">
        <v>-19</v>
      </c>
      <c r="V23" s="73" t="n">
        <v>328</v>
      </c>
      <c r="W23" t="n">
        <v>916</v>
      </c>
      <c r="X23" t="n">
        <v>-373</v>
      </c>
      <c r="Y23" s="73" t="n">
        <v>-245</v>
      </c>
      <c r="Z23" s="73" t="n">
        <v>1489</v>
      </c>
      <c r="AA23" s="73" t="n">
        <v>-279</v>
      </c>
      <c r="AB23" t="n">
        <v>91</v>
      </c>
      <c r="AC23" s="73" t="n">
        <v>176</v>
      </c>
      <c r="AD23" t="n">
        <v>-26</v>
      </c>
    </row>
    <row r="24">
      <c r="B24" s="73" t="inlineStr">
        <is>
          <t>Plant Machinery</t>
        </is>
      </c>
      <c r="C24" s="73" t="n">
        <v>1427</v>
      </c>
      <c r="D24" s="73" t="n">
        <v>1759</v>
      </c>
      <c r="E24" s="73" t="n">
        <v>2048</v>
      </c>
      <c r="F24" s="73" t="n">
        <v>2306</v>
      </c>
      <c r="G24" s="73" t="n">
        <v>2709</v>
      </c>
      <c r="H24" s="73" t="n">
        <v>3185</v>
      </c>
      <c r="I24" s="73" t="n">
        <v>3296</v>
      </c>
      <c r="J24" s="73" t="n">
        <v>3210</v>
      </c>
      <c r="K24" s="73" t="n">
        <v>3302</v>
      </c>
      <c r="L24" s="73" t="n">
        <v>3428</v>
      </c>
      <c r="M24" s="73" t="n">
        <v>3461</v>
      </c>
      <c r="N24" s="73" t="n">
        <v>3714</v>
      </c>
      <c r="R24" t="inlineStr">
        <is>
          <t>Working capital changes</t>
        </is>
      </c>
      <c r="S24" t="n">
        <v>-842</v>
      </c>
      <c r="T24" t="n">
        <v>-1946</v>
      </c>
      <c r="U24" t="n">
        <v>-2156</v>
      </c>
      <c r="V24" s="73" t="n">
        <v>84</v>
      </c>
      <c r="W24" t="n">
        <v>-453</v>
      </c>
      <c r="X24" t="n">
        <v>-2367</v>
      </c>
      <c r="Y24" t="n">
        <v>768</v>
      </c>
      <c r="Z24" t="n">
        <v>-1424</v>
      </c>
      <c r="AA24" t="n">
        <v>-6344</v>
      </c>
      <c r="AB24" s="73" t="n">
        <v>-5082</v>
      </c>
      <c r="AC24" s="73" t="n">
        <v>-295</v>
      </c>
      <c r="AD24" s="73" t="n">
        <v>-2639</v>
      </c>
    </row>
    <row r="25">
      <c r="B25" t="inlineStr">
        <is>
          <t>Equipments</t>
        </is>
      </c>
      <c r="C25" t="n">
        <v>676</v>
      </c>
      <c r="D25" t="n">
        <v>839</v>
      </c>
      <c r="E25" t="n">
        <v>922</v>
      </c>
      <c r="F25" t="n">
        <v>1002</v>
      </c>
      <c r="G25" t="n">
        <v>1101</v>
      </c>
      <c r="H25" t="n">
        <v>1265</v>
      </c>
      <c r="I25" t="n">
        <v>1371</v>
      </c>
      <c r="J25" t="n">
        <v>1427</v>
      </c>
      <c r="K25" t="n">
        <v>1482</v>
      </c>
      <c r="L25" t="n">
        <v>1528</v>
      </c>
      <c r="M25" t="n">
        <v>1628</v>
      </c>
      <c r="N25" t="n">
        <v>1732</v>
      </c>
      <c r="R25" t="inlineStr">
        <is>
          <t>Direct taxes</t>
        </is>
      </c>
      <c r="S25" s="73" t="n">
        <v>-6751</v>
      </c>
      <c r="T25" s="73" t="n">
        <v>-5865</v>
      </c>
      <c r="U25" s="73" t="n">
        <v>-5653</v>
      </c>
      <c r="V25" s="73" t="n">
        <v>-6829</v>
      </c>
      <c r="W25" s="73" t="n">
        <v>-6832</v>
      </c>
      <c r="X25" s="73" t="n">
        <v>-4550</v>
      </c>
      <c r="Y25" s="73" t="n">
        <v>-6389</v>
      </c>
      <c r="Z25" s="73" t="n">
        <v>-7612</v>
      </c>
      <c r="AA25" s="73" t="n">
        <v>-8794</v>
      </c>
      <c r="AB25" s="73" t="n">
        <v>-9231</v>
      </c>
      <c r="AC25" s="73" t="n">
        <v>-5602</v>
      </c>
      <c r="AD25" s="73" t="n">
        <v>-8648</v>
      </c>
    </row>
    <row r="26">
      <c r="B26" s="73" t="inlineStr">
        <is>
          <t>Furniture n fittings</t>
        </is>
      </c>
      <c r="C26" s="73" t="n">
        <v>958</v>
      </c>
      <c r="D26" s="73" t="n">
        <v>1444</v>
      </c>
      <c r="E26" s="73" t="n">
        <v>1277</v>
      </c>
      <c r="F26" s="73" t="n">
        <v>1393</v>
      </c>
      <c r="G26" s="73" t="n">
        <v>1620</v>
      </c>
      <c r="H26" s="73" t="n">
        <v>2073</v>
      </c>
      <c r="I26" s="73" t="n">
        <v>2149</v>
      </c>
      <c r="J26" s="73" t="n">
        <v>2278</v>
      </c>
      <c r="K26" s="73" t="n">
        <v>2303</v>
      </c>
      <c r="L26" s="73" t="n">
        <v>2326</v>
      </c>
      <c r="M26" s="73" t="n">
        <v>2340</v>
      </c>
      <c r="N26" s="73" t="n">
        <v>2438</v>
      </c>
      <c r="R26" t="inlineStr">
        <is>
          <t>Cash from Investing Activity -</t>
        </is>
      </c>
      <c r="S26" s="73" t="n">
        <v>999</v>
      </c>
      <c r="T26" s="73" t="n">
        <v>-885</v>
      </c>
      <c r="U26" s="73" t="n">
        <v>-14664</v>
      </c>
      <c r="V26" s="73" t="n">
        <v>4533</v>
      </c>
      <c r="W26" s="73" t="n">
        <v>-632</v>
      </c>
      <c r="X26" s="73" t="n">
        <v>-331</v>
      </c>
      <c r="Y26" s="73" t="n">
        <v>-7373</v>
      </c>
      <c r="Z26" s="73" t="n">
        <v>-6485</v>
      </c>
      <c r="AA26" s="73" t="n">
        <v>-1071</v>
      </c>
      <c r="AB26" s="73" t="n">
        <v>-5093</v>
      </c>
      <c r="AC26" t="n">
        <v>-1864</v>
      </c>
      <c r="AD26" s="73" t="n">
        <v>3546</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-2247</v>
      </c>
      <c r="T27" s="73" t="n">
        <v>-2723</v>
      </c>
      <c r="U27" s="73" t="n">
        <v>-2760</v>
      </c>
      <c r="V27" s="73" t="n">
        <v>-1998</v>
      </c>
      <c r="W27" s="73" t="n">
        <v>-2445</v>
      </c>
      <c r="X27" s="73" t="n">
        <v>-3307</v>
      </c>
      <c r="Y27" s="73" t="n">
        <v>-2107</v>
      </c>
      <c r="Z27" s="73" t="n">
        <v>-2161</v>
      </c>
      <c r="AA27" s="73" t="n">
        <v>-2579</v>
      </c>
      <c r="AB27" s="73" t="n">
        <v>-2201</v>
      </c>
      <c r="AC27" s="73" t="n">
        <v>-2237</v>
      </c>
      <c r="AD27" s="73" t="n">
        <v>-2727</v>
      </c>
    </row>
    <row r="28">
      <c r="B28" t="inlineStr">
        <is>
          <t>Vehicles</t>
        </is>
      </c>
      <c r="C28" t="n">
        <v>34</v>
      </c>
      <c r="D28" t="n">
        <v>29</v>
      </c>
      <c r="E28" t="n">
        <v>31</v>
      </c>
      <c r="F28" t="n">
        <v>31</v>
      </c>
      <c r="G28" t="n">
        <v>38</v>
      </c>
      <c r="H28" t="n">
        <v>69</v>
      </c>
      <c r="I28" t="n">
        <v>73</v>
      </c>
      <c r="J28" t="n">
        <v>71</v>
      </c>
      <c r="K28" t="n">
        <v>60</v>
      </c>
      <c r="L28" t="n">
        <v>62</v>
      </c>
      <c r="M28" t="n">
        <v>72</v>
      </c>
      <c r="N28" t="n">
        <v>70</v>
      </c>
      <c r="O28" s="73" t="n"/>
      <c r="R28" t="inlineStr">
        <is>
          <t>Fixed assets sold</t>
        </is>
      </c>
      <c r="S28" s="73" t="n">
        <v>9</v>
      </c>
      <c r="T28" s="73" t="n">
        <v>8</v>
      </c>
      <c r="U28" s="73" t="n">
        <v>50</v>
      </c>
      <c r="V28" s="73" t="n">
        <v>80</v>
      </c>
      <c r="W28" s="73" t="n">
        <v>28</v>
      </c>
      <c r="X28" s="73" t="n">
        <v>27</v>
      </c>
      <c r="Y28" s="73" t="n">
        <v>3</v>
      </c>
      <c r="Z28" s="73" t="n">
        <v>133</v>
      </c>
      <c r="AA28" s="73" t="n">
        <v>49</v>
      </c>
      <c r="AB28" t="n">
        <v>107</v>
      </c>
      <c r="AC28" s="73" t="n">
        <v>175</v>
      </c>
      <c r="AD28" s="73" t="n">
        <v>50</v>
      </c>
    </row>
    <row r="29">
      <c r="B29" t="inlineStr">
        <is>
          <t>Intangible Assets</t>
        </is>
      </c>
      <c r="C29" t="n">
        <v>776</v>
      </c>
      <c r="D29" t="n">
        <v>960</v>
      </c>
      <c r="E29" t="n">
        <v>1365</v>
      </c>
      <c r="F29" t="n">
        <v>1606</v>
      </c>
      <c r="G29" t="n">
        <v>1388</v>
      </c>
      <c r="H29" t="n">
        <v>954</v>
      </c>
      <c r="I29" s="73" t="n">
        <v>922</v>
      </c>
      <c r="J29" s="73" t="n">
        <v>416</v>
      </c>
      <c r="K29" s="73" t="n">
        <v>288</v>
      </c>
      <c r="L29" s="73" t="n">
        <v>293</v>
      </c>
      <c r="M29" s="73" t="n">
        <v>814</v>
      </c>
      <c r="N29" s="73" t="n">
        <v>526</v>
      </c>
      <c r="R29" t="inlineStr">
        <is>
          <t>Investments purchased</t>
        </is>
      </c>
      <c r="S29" s="73" t="n">
        <v>-23923</v>
      </c>
      <c r="T29" s="73" t="n">
        <v>-24577</v>
      </c>
      <c r="U29" s="73" t="n">
        <v>-66410</v>
      </c>
      <c r="V29" s="73" t="n">
        <v>-69159</v>
      </c>
      <c r="W29" s="73" t="n">
        <v>-79410</v>
      </c>
      <c r="X29" s="73" t="n">
        <v>-37482</v>
      </c>
      <c r="Y29" s="73" t="n">
        <v>-46738</v>
      </c>
      <c r="Z29" s="73" t="n">
        <v>-59951</v>
      </c>
      <c r="AA29" s="73" t="n">
        <v>-75800</v>
      </c>
      <c r="AB29" s="73" t="n">
        <v>-78092</v>
      </c>
      <c r="AC29" s="73" t="n">
        <v>-82742</v>
      </c>
      <c r="AD29" s="73" t="n">
        <v>-82617</v>
      </c>
    </row>
    <row r="30">
      <c r="B30" t="inlineStr">
        <is>
          <t>Other fixed assets</t>
        </is>
      </c>
      <c r="C30" t="n">
        <v>2270</v>
      </c>
      <c r="D30" t="n">
        <v>1892</v>
      </c>
      <c r="E30" t="n">
        <v>16423</v>
      </c>
      <c r="F30" t="n">
        <v>12163</v>
      </c>
      <c r="G30" t="n">
        <v>11261</v>
      </c>
      <c r="H30" t="n">
        <v>8792</v>
      </c>
      <c r="I30" t="n">
        <v>14205</v>
      </c>
      <c r="J30" t="n">
        <v>20324</v>
      </c>
      <c r="K30" t="n">
        <v>19478</v>
      </c>
      <c r="L30" t="n">
        <v>24623</v>
      </c>
      <c r="M30" t="n">
        <v>23541</v>
      </c>
      <c r="N30" s="73" t="n">
        <v>21880</v>
      </c>
      <c r="O30" s="73" t="n"/>
      <c r="R30" t="inlineStr">
        <is>
          <t>Investments sold</t>
        </is>
      </c>
      <c r="S30" s="73" t="n">
        <v>25253</v>
      </c>
      <c r="T30" s="73" t="n">
        <v>24980</v>
      </c>
      <c r="U30" s="73" t="n">
        <v>52048</v>
      </c>
      <c r="V30" s="73" t="n">
        <v>74003</v>
      </c>
      <c r="W30" s="73" t="n">
        <v>78098</v>
      </c>
      <c r="X30" s="73" t="n">
        <v>38861</v>
      </c>
      <c r="Y30" s="73" t="n">
        <v>40381</v>
      </c>
      <c r="Z30" s="73" t="n">
        <v>57356</v>
      </c>
      <c r="AA30" s="73" t="n">
        <v>76722</v>
      </c>
      <c r="AB30" s="73" t="n">
        <v>72930</v>
      </c>
      <c r="AC30" s="73" t="n">
        <v>84877</v>
      </c>
      <c r="AD30" s="73" t="n">
        <v>89699</v>
      </c>
    </row>
    <row r="31">
      <c r="B31" t="inlineStr">
        <is>
          <t>Gross Block</t>
        </is>
      </c>
      <c r="C31" s="73" t="n">
        <v>51897</v>
      </c>
      <c r="D31" s="73" t="n">
        <v>58860</v>
      </c>
      <c r="E31" s="73" t="n">
        <v>51181</v>
      </c>
      <c r="F31" s="73" t="n">
        <v>53006</v>
      </c>
      <c r="G31" s="73" t="n">
        <v>55707</v>
      </c>
      <c r="H31" s="73" t="n">
        <v>58265</v>
      </c>
      <c r="I31" s="73" t="n">
        <v>66879</v>
      </c>
      <c r="J31" s="73" t="n">
        <v>70189</v>
      </c>
      <c r="K31" s="73" t="n">
        <v>75605</v>
      </c>
      <c r="L31" s="73" t="n">
        <v>83482</v>
      </c>
      <c r="M31" s="73" t="n">
        <v>92479</v>
      </c>
      <c r="N31" s="73" t="n">
        <v>98112</v>
      </c>
      <c r="O31" s="73" t="n"/>
      <c r="R31" t="inlineStr">
        <is>
          <t>Interest received</t>
        </is>
      </c>
      <c r="S31" t="n">
        <v>2551</v>
      </c>
      <c r="T31" t="n">
        <v>2383</v>
      </c>
      <c r="U31" s="73" t="n">
        <v>0</v>
      </c>
      <c r="V31" s="73" t="n">
        <v>0</v>
      </c>
      <c r="W31" s="73" t="n">
        <v>0</v>
      </c>
      <c r="X31" s="73" t="n">
        <v>0</v>
      </c>
      <c r="Y31" s="73" t="n">
        <v>0</v>
      </c>
      <c r="Z31" s="73" t="n">
        <v>0</v>
      </c>
      <c r="AA31" s="73" t="n">
        <v>0</v>
      </c>
      <c r="AB31" s="73" t="n">
        <v>0</v>
      </c>
      <c r="AC31" s="73" t="n">
        <v>0</v>
      </c>
      <c r="AD31" s="73" t="n">
        <v>0</v>
      </c>
    </row>
    <row r="32">
      <c r="B32" s="73" t="inlineStr">
        <is>
          <t>Accumulated Depreciation</t>
        </is>
      </c>
      <c r="C32" s="73" t="n">
        <v>8057</v>
      </c>
      <c r="D32" s="73" t="n">
        <v>1069</v>
      </c>
      <c r="E32" s="73" t="n">
        <v>2201</v>
      </c>
      <c r="F32" s="73" t="n">
        <v>3396</v>
      </c>
      <c r="G32" s="73" t="n">
        <v>4716</v>
      </c>
      <c r="H32" s="73" t="n">
        <v>6252</v>
      </c>
      <c r="I32" s="73" t="n">
        <v>7790</v>
      </c>
      <c r="J32" s="73" t="n">
        <v>9204</v>
      </c>
      <c r="K32" s="73" t="n">
        <v>10757</v>
      </c>
      <c r="L32" s="73" t="n">
        <v>12368</v>
      </c>
      <c r="M32" s="73" t="n">
        <v>11683</v>
      </c>
      <c r="N32" s="73" t="n">
        <v>13230</v>
      </c>
      <c r="O32" s="73" t="n"/>
      <c r="R32" t="inlineStr">
        <is>
          <t>Dividends received</t>
        </is>
      </c>
      <c r="S32" t="n">
        <v>0</v>
      </c>
      <c r="T32" t="n">
        <v>0</v>
      </c>
      <c r="U32" s="73" t="n">
        <v>2753</v>
      </c>
      <c r="V32" t="n">
        <v>1768</v>
      </c>
      <c r="W32" t="n">
        <v>1557</v>
      </c>
      <c r="X32" t="n">
        <v>1929</v>
      </c>
      <c r="Y32" s="73" t="n">
        <v>1418</v>
      </c>
      <c r="Z32" s="73" t="n">
        <v>1898</v>
      </c>
      <c r="AA32" s="73" t="n">
        <v>1525</v>
      </c>
      <c r="AB32" s="73" t="n">
        <v>1768</v>
      </c>
      <c r="AC32" s="73" t="n">
        <v>2040</v>
      </c>
      <c r="AD32" s="73" t="n">
        <v>2713</v>
      </c>
    </row>
    <row r="33">
      <c r="B33" t="inlineStr">
        <is>
          <t>Net Block</t>
        </is>
      </c>
      <c r="C33" s="73" t="n">
        <v>9713</v>
      </c>
      <c r="D33" s="73" t="n">
        <v>11330</v>
      </c>
      <c r="E33" s="73" t="n">
        <v>12322</v>
      </c>
      <c r="F33" s="73" t="n">
        <v>13142</v>
      </c>
      <c r="G33" s="73" t="n">
        <v>14827</v>
      </c>
      <c r="H33" s="73" t="n">
        <v>18487</v>
      </c>
      <c r="I33" s="73" t="n">
        <v>19294</v>
      </c>
      <c r="J33" s="73" t="n">
        <v>22698</v>
      </c>
      <c r="K33" s="73" t="n">
        <v>25424</v>
      </c>
      <c r="L33" s="73" t="n">
        <v>30193</v>
      </c>
      <c r="M33" s="73" t="n">
        <v>31158</v>
      </c>
      <c r="N33" s="73" t="n">
        <v>35234</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v>30367</v>
      </c>
      <c r="D34" t="n">
        <v>32697</v>
      </c>
      <c r="E34" t="n">
        <v>22625</v>
      </c>
      <c r="F34" s="73" t="n">
        <v>19818</v>
      </c>
      <c r="G34" s="73" t="n">
        <v>19568</v>
      </c>
      <c r="H34" s="73" t="n">
        <v>18649</v>
      </c>
      <c r="I34" s="73" t="n">
        <v>24714</v>
      </c>
      <c r="J34" s="73" t="n">
        <v>17472</v>
      </c>
      <c r="K34" s="73" t="n">
        <v>12173</v>
      </c>
      <c r="L34" s="73" t="n">
        <v>14786</v>
      </c>
      <c r="M34" s="73" t="n">
        <v>24455</v>
      </c>
      <c r="N34" s="73" t="n">
        <v>22201</v>
      </c>
      <c r="R34" t="inlineStr">
        <is>
          <t>Investment in group cos</t>
        </is>
      </c>
      <c r="S34" s="73" t="n">
        <v>741</v>
      </c>
      <c r="T34" s="73" t="n">
        <v>-59</v>
      </c>
      <c r="U34" s="73" t="n">
        <v>-131</v>
      </c>
      <c r="V34" s="73" t="n">
        <v>49</v>
      </c>
      <c r="W34" s="73" t="n">
        <v>1592</v>
      </c>
      <c r="X34" s="73" t="n">
        <v>-224</v>
      </c>
      <c r="Y34" s="73" t="n">
        <v>-327</v>
      </c>
      <c r="Z34" s="73" t="n">
        <v>-3627</v>
      </c>
      <c r="AA34" s="73" t="n">
        <v>-939</v>
      </c>
      <c r="AB34" s="73" t="n">
        <v>502</v>
      </c>
      <c r="AC34" s="73" t="n">
        <v>-3802</v>
      </c>
      <c r="AD34" s="73" t="n">
        <v>-3522</v>
      </c>
    </row>
    <row r="35">
      <c r="B35" t="inlineStr">
        <is>
          <t>CWIP</t>
        </is>
      </c>
      <c r="C35" s="73" t="n">
        <v>2700</v>
      </c>
      <c r="D35" s="73" t="n">
        <v>2560</v>
      </c>
      <c r="E35" s="73" t="n">
        <v>3730</v>
      </c>
      <c r="F35" s="73" t="n">
        <v>5508</v>
      </c>
      <c r="G35" s="73" t="n">
        <v>4136</v>
      </c>
      <c r="H35" s="73" t="n">
        <v>3256</v>
      </c>
      <c r="I35" s="73" t="n">
        <v>4011</v>
      </c>
      <c r="J35" s="73" t="n">
        <v>3226</v>
      </c>
      <c r="K35" s="73" t="n">
        <v>3003</v>
      </c>
      <c r="L35" s="73" t="n">
        <v>2861</v>
      </c>
      <c r="M35" s="73" t="n">
        <v>1091</v>
      </c>
      <c r="N35" s="73" t="n">
        <v>1602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11418</v>
      </c>
      <c r="D36" s="73" t="n">
        <v>14219</v>
      </c>
      <c r="E36" s="73" t="n">
        <v>15390</v>
      </c>
      <c r="F36" s="73" t="n">
        <v>19216</v>
      </c>
      <c r="G36" s="73" t="n">
        <v>19788</v>
      </c>
      <c r="H36" s="73" t="n">
        <v>19770</v>
      </c>
      <c r="I36" s="73" t="n">
        <v>21411</v>
      </c>
      <c r="J36" s="73" t="n">
        <v>27528</v>
      </c>
      <c r="K36" s="73" t="n">
        <v>34766</v>
      </c>
      <c r="L36" s="73" t="n">
        <v>28173</v>
      </c>
      <c r="M36" s="73" t="n">
        <v>30149</v>
      </c>
      <c r="N36" s="73" t="n">
        <v>33869</v>
      </c>
      <c r="O36" s="73" t="n"/>
      <c r="R36" t="inlineStr">
        <is>
          <t>Other investing items</t>
        </is>
      </c>
      <c r="S36" s="73" t="n">
        <v>-4935</v>
      </c>
      <c r="T36" s="73" t="n">
        <v>-6813</v>
      </c>
      <c r="U36" s="73" t="n">
        <v>-6939</v>
      </c>
      <c r="V36" s="73" t="n">
        <v>-20505</v>
      </c>
      <c r="W36" s="73" t="n">
        <v>-14512</v>
      </c>
      <c r="X36" s="73" t="n">
        <v>-17591</v>
      </c>
      <c r="Y36" s="73" t="n">
        <v>-9786</v>
      </c>
      <c r="Z36" s="73" t="n">
        <v>-24642</v>
      </c>
      <c r="AA36" t="n">
        <v>-26695</v>
      </c>
      <c r="AB36" s="73" t="n">
        <v>-17504</v>
      </c>
      <c r="AC36" t="n">
        <v>-24161</v>
      </c>
      <c r="AD36" s="73" t="n">
        <v>-39786</v>
      </c>
    </row>
    <row r="37">
      <c r="C37" s="73" t="n"/>
      <c r="D37" s="73" t="n"/>
      <c r="E37" s="73" t="n"/>
      <c r="F37" s="73" t="n"/>
      <c r="G37" s="73" t="n"/>
      <c r="H37" s="73" t="n"/>
      <c r="I37" s="73" t="n"/>
      <c r="J37" s="73" t="n"/>
      <c r="K37" s="73" t="n"/>
      <c r="L37" s="73" t="n"/>
      <c r="M37" s="73" t="n"/>
      <c r="N37" s="73" t="n"/>
      <c r="O37" s="73" t="n"/>
      <c r="R37" t="inlineStr">
        <is>
          <t>Cash from Financing Activity -</t>
        </is>
      </c>
      <c r="S37" s="73" t="n">
        <v>0</v>
      </c>
      <c r="T37" s="73" t="n">
        <v>0</v>
      </c>
      <c r="U37" s="73" t="n">
        <v>0</v>
      </c>
      <c r="V37" s="73" t="n">
        <v>5</v>
      </c>
      <c r="W37" s="73" t="n">
        <v>6</v>
      </c>
      <c r="X37" s="73" t="n">
        <v>6</v>
      </c>
      <c r="Y37" s="73" t="n">
        <v>15</v>
      </c>
      <c r="Z37" s="73" t="n">
        <v>21</v>
      </c>
      <c r="AA37" s="73" t="n">
        <v>35</v>
      </c>
      <c r="AB37" s="73" t="n">
        <v>5</v>
      </c>
      <c r="AC37" s="73" t="n">
        <v>6</v>
      </c>
      <c r="AD37" s="73" t="n">
        <v>2</v>
      </c>
    </row>
    <row r="38">
      <c r="B38" t="inlineStr">
        <is>
          <t>Other Assets -</t>
        </is>
      </c>
      <c r="C38" s="73" t="n">
        <v>66289</v>
      </c>
      <c r="D38" s="73" t="n">
        <v>75098</v>
      </c>
      <c r="E38" s="73" t="n">
        <v>83148</v>
      </c>
      <c r="F38" s="73" t="n">
        <v>79349</v>
      </c>
      <c r="G38" s="73" t="n">
        <v>84066</v>
      </c>
      <c r="H38" s="73" t="n">
        <v>91800</v>
      </c>
      <c r="I38" s="73" t="n">
        <v>107511</v>
      </c>
      <c r="J38" s="73" t="n">
        <v>116729</v>
      </c>
      <c r="K38" s="73" t="n">
        <v>124596</v>
      </c>
      <c r="L38" s="73" t="n">
        <v>136020</v>
      </c>
      <c r="M38" s="73" t="n">
        <v>147795</v>
      </c>
      <c r="N38" s="73" t="n">
        <v>154288</v>
      </c>
      <c r="O38" s="73" t="n"/>
      <c r="R38" t="inlineStr">
        <is>
          <t>Proceeds from shares</t>
        </is>
      </c>
      <c r="S38" t="n">
        <v>979</v>
      </c>
      <c r="T38" t="n">
        <v>532</v>
      </c>
      <c r="U38" s="73" t="n">
        <v>1067</v>
      </c>
      <c r="V38" t="n">
        <v>913</v>
      </c>
      <c r="W38" t="n">
        <v>969</v>
      </c>
      <c r="X38" t="n">
        <v>625</v>
      </c>
      <c r="Y38" t="n">
        <v>291</v>
      </c>
      <c r="Z38" t="n">
        <v>292</v>
      </c>
      <c r="AA38" s="73" t="n">
        <v>2477</v>
      </c>
      <c r="AB38" s="73" t="n">
        <v>1443</v>
      </c>
      <c r="AC38" t="n">
        <v>797</v>
      </c>
      <c r="AD38" t="n">
        <v>405</v>
      </c>
    </row>
    <row r="39">
      <c r="B39" t="inlineStr">
        <is>
          <t>Inventories</t>
        </is>
      </c>
      <c r="C39" s="73" t="n">
        <v>8587</v>
      </c>
      <c r="D39" s="73" t="n">
        <v>9062</v>
      </c>
      <c r="E39" s="73" t="n">
        <v>8116</v>
      </c>
      <c r="F39" s="73" t="n">
        <v>7495</v>
      </c>
      <c r="G39" s="73" t="n">
        <v>7860</v>
      </c>
      <c r="H39" s="73" t="n">
        <v>8879</v>
      </c>
      <c r="I39" s="73" t="n">
        <v>10397</v>
      </c>
      <c r="J39" s="73" t="n">
        <v>10864</v>
      </c>
      <c r="K39" s="73" t="n">
        <v>11771</v>
      </c>
      <c r="L39" s="73" t="n">
        <v>14153</v>
      </c>
      <c r="M39" s="73" t="n">
        <v>15638</v>
      </c>
      <c r="N39" s="73" t="n">
        <v>18623</v>
      </c>
      <c r="O39" s="73" t="n"/>
      <c r="R39" t="inlineStr">
        <is>
          <t>Proceeds from borrowings</t>
        </is>
      </c>
      <c r="S39" t="n">
        <v>0</v>
      </c>
      <c r="T39" t="n">
        <v>0</v>
      </c>
      <c r="U39" t="n">
        <v>0</v>
      </c>
      <c r="V39" t="n">
        <v>0</v>
      </c>
      <c r="W39" t="n">
        <v>0</v>
      </c>
      <c r="X39" t="n">
        <v>0</v>
      </c>
      <c r="Y39" t="n">
        <v>0</v>
      </c>
      <c r="Z39" t="n">
        <v>0</v>
      </c>
      <c r="AA39" t="n">
        <v>0</v>
      </c>
      <c r="AB39" t="n">
        <v>0</v>
      </c>
      <c r="AC39" t="n">
        <v>-985</v>
      </c>
      <c r="AD39" s="73" t="n">
        <v>0</v>
      </c>
    </row>
    <row r="40">
      <c r="B40" t="inlineStr">
        <is>
          <t>Trade receivables +</t>
        </is>
      </c>
      <c r="C40" s="73" t="n">
        <v>1982</v>
      </c>
      <c r="D40" s="73" t="n">
        <v>1917</v>
      </c>
      <c r="E40" s="73" t="n">
        <v>2474</v>
      </c>
      <c r="F40" s="73" t="n">
        <v>2682</v>
      </c>
      <c r="G40" s="73" t="n">
        <v>4035</v>
      </c>
      <c r="H40" s="73" t="n">
        <v>2562</v>
      </c>
      <c r="I40" s="73" t="n">
        <v>2502</v>
      </c>
      <c r="J40" s="73" t="n">
        <v>2462</v>
      </c>
      <c r="K40" s="73" t="n">
        <v>2956</v>
      </c>
      <c r="L40" s="73" t="n">
        <v>4026</v>
      </c>
      <c r="M40" s="73" t="n">
        <v>4720</v>
      </c>
      <c r="N40" s="73" t="n">
        <v>3923</v>
      </c>
      <c r="O40" s="73" t="n"/>
      <c r="R40" t="inlineStr">
        <is>
          <t>Repayment of borrowings</t>
        </is>
      </c>
      <c r="S40" t="n">
        <v>-20</v>
      </c>
      <c r="T40" t="n">
        <v>-13</v>
      </c>
      <c r="U40" t="n">
        <v>-13</v>
      </c>
      <c r="V40" s="73" t="n">
        <v>-8</v>
      </c>
      <c r="W40" t="n">
        <v>-18</v>
      </c>
      <c r="X40" t="n">
        <v>-3</v>
      </c>
      <c r="Y40" s="73" t="n">
        <v>-2</v>
      </c>
      <c r="Z40" t="n">
        <v>-1</v>
      </c>
      <c r="AA40" s="73" t="n">
        <v>-1</v>
      </c>
      <c r="AB40" s="73" t="n">
        <v>-2</v>
      </c>
      <c r="AC40" s="73" t="n">
        <v>-54</v>
      </c>
      <c r="AD40" s="73" t="n">
        <v>-105</v>
      </c>
    </row>
    <row r="41">
      <c r="B41" t="inlineStr">
        <is>
          <t>Cash Equivalents</t>
        </is>
      </c>
      <c r="C41" s="73" t="n">
        <v>7896</v>
      </c>
      <c r="D41" s="73" t="n">
        <v>6063</v>
      </c>
      <c r="E41" s="73" t="n">
        <v>2967</v>
      </c>
      <c r="F41" s="73" t="n">
        <v>2900</v>
      </c>
      <c r="G41" s="73" t="n">
        <v>4152</v>
      </c>
      <c r="H41" s="73" t="n">
        <v>7277</v>
      </c>
      <c r="I41" s="73" t="n">
        <v>4659</v>
      </c>
      <c r="J41" s="73" t="n">
        <v>4654</v>
      </c>
      <c r="K41" s="73" t="n">
        <v>4880</v>
      </c>
      <c r="L41" s="73" t="n">
        <v>7218</v>
      </c>
      <c r="M41" s="73" t="n">
        <v>4012</v>
      </c>
      <c r="N41" s="73" t="n">
        <v>3009</v>
      </c>
      <c r="O41" s="73" t="n"/>
      <c r="R41" t="inlineStr">
        <is>
          <t>Interest paid fin</t>
        </is>
      </c>
      <c r="S41" s="73" t="n">
        <v>-4935</v>
      </c>
      <c r="T41" s="73" t="n">
        <v>-6813</v>
      </c>
      <c r="U41" s="73" t="n">
        <v>-6939</v>
      </c>
      <c r="V41" s="73" t="n">
        <v>-7464</v>
      </c>
      <c r="W41" s="73" t="n">
        <v>-13705</v>
      </c>
      <c r="X41" s="73" t="n">
        <v>-9548</v>
      </c>
      <c r="Y41" s="73" t="n">
        <v>-9137</v>
      </c>
      <c r="Z41" s="73" t="n">
        <v>-12731</v>
      </c>
      <c r="AA41" s="73" t="n">
        <v>-13653</v>
      </c>
      <c r="AB41" s="73" t="n">
        <v>-14731</v>
      </c>
      <c r="AC41" s="73" t="n">
        <v>-20289</v>
      </c>
      <c r="AD41" s="73" t="n">
        <v>-18656</v>
      </c>
    </row>
    <row r="42">
      <c r="B42" t="inlineStr">
        <is>
          <t>Loans n Advances</t>
        </is>
      </c>
      <c r="C42" s="73" t="n">
        <v>150</v>
      </c>
      <c r="D42" s="73" t="n">
        <v>14</v>
      </c>
      <c r="E42" s="73" t="n">
        <v>7</v>
      </c>
      <c r="F42" s="73" t="n">
        <v>74</v>
      </c>
      <c r="G42" s="73" t="n">
        <v>67</v>
      </c>
      <c r="H42" s="73" t="n">
        <v>6</v>
      </c>
      <c r="I42" s="73" t="n">
        <v>7</v>
      </c>
      <c r="J42" s="73" t="n">
        <v>11</v>
      </c>
      <c r="K42" s="73" t="n">
        <v>13</v>
      </c>
      <c r="L42" s="73" t="n">
        <v>31</v>
      </c>
      <c r="M42" s="73" t="n">
        <v>10</v>
      </c>
      <c r="N42" s="73" t="n">
        <v>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2391</v>
      </c>
      <c r="D43" s="73" t="n">
        <v>5180</v>
      </c>
      <c r="E43" s="73" t="n">
        <v>5129</v>
      </c>
      <c r="F43" s="73" t="n">
        <v>7004</v>
      </c>
      <c r="G43" s="73" t="n">
        <v>7071</v>
      </c>
      <c r="H43" s="73" t="n">
        <v>4952</v>
      </c>
      <c r="I43" s="73" t="n">
        <v>4015</v>
      </c>
      <c r="J43" s="73" t="n">
        <v>6906</v>
      </c>
      <c r="K43" s="73" t="n">
        <v>7941</v>
      </c>
      <c r="L43" s="73" t="n">
        <v>4531</v>
      </c>
      <c r="M43" s="73" t="n">
        <v>5858</v>
      </c>
      <c r="N43" s="73" t="n">
        <v>5901</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45952</v>
      </c>
      <c r="D44" s="73" t="n">
        <v>51651</v>
      </c>
      <c r="E44" s="73" t="n">
        <v>55898</v>
      </c>
      <c r="F44" s="73" t="n">
        <v>64241</v>
      </c>
      <c r="G44" s="73" t="n">
        <v>71739</v>
      </c>
      <c r="H44" s="73" t="n">
        <v>77311</v>
      </c>
      <c r="I44" s="73" t="n">
        <v>73761</v>
      </c>
      <c r="J44" s="73" t="n">
        <v>77196</v>
      </c>
      <c r="K44" s="73" t="n">
        <v>85831</v>
      </c>
      <c r="L44" s="73" t="n">
        <v>91754</v>
      </c>
      <c r="M44" s="73" t="n">
        <v>88003</v>
      </c>
      <c r="N44" s="73" t="n">
        <v>93637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4417</v>
      </c>
      <c r="T45" t="n">
        <v>2330</v>
      </c>
      <c r="U45" t="n">
        <v>-10072</v>
      </c>
      <c r="V45" t="n">
        <v>-2754</v>
      </c>
      <c r="W45" t="n">
        <v>-303</v>
      </c>
      <c r="X45" t="n">
        <v>-919</v>
      </c>
      <c r="Y45" t="n">
        <v>6065</v>
      </c>
      <c r="Z45" t="n">
        <v>-7242</v>
      </c>
      <c r="AA45" t="n">
        <v>-5299</v>
      </c>
      <c r="AB45" t="n">
        <v>2613</v>
      </c>
      <c r="AC45" t="n">
        <v>9669</v>
      </c>
      <c r="AD45" t="n">
        <v>-2254</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t="inlineStr">
        <is>
          <t>Infosys Ltd</t>
        </is>
      </c>
      <c r="M56" t="n">
        <v>1051</v>
      </c>
      <c r="N56" t="n">
        <v>404.8</v>
      </c>
      <c r="AR56" t="n">
        <v>761607.42</v>
      </c>
      <c r="AS56">
        <f>AZ56-BA56</f>
        <v/>
      </c>
      <c r="AT56">
        <f>AR56+AS56</f>
        <v/>
      </c>
      <c r="AU56" t="n">
        <v>289100</v>
      </c>
      <c r="AV56">
        <f>AT56/AX56</f>
        <v/>
      </c>
      <c r="AW56" t="n">
        <v>53680</v>
      </c>
      <c r="AX56" t="n">
        <v>63.03</v>
      </c>
      <c r="AZ56" t="n">
        <v>9176</v>
      </c>
      <c r="BA56" t="n">
        <v>22201</v>
      </c>
    </row>
    <row r="57">
      <c r="K57" t="n">
        <v>1</v>
      </c>
      <c r="L57" t="inlineStr">
        <is>
          <t>TCS</t>
        </is>
      </c>
      <c r="M57" t="n">
        <v>2105</v>
      </c>
      <c r="N57" t="n">
        <v>361.81</v>
      </c>
      <c r="AR57" t="n">
        <v>426682.56</v>
      </c>
      <c r="AS57">
        <f>AZ57-BA57</f>
        <v/>
      </c>
      <c r="AT57">
        <f>AR57+AS57</f>
        <v/>
      </c>
      <c r="AU57" t="n">
        <v>192844</v>
      </c>
      <c r="AV57">
        <f>AT57/AX57</f>
        <v/>
      </c>
      <c r="AW57" t="n">
        <v>31100</v>
      </c>
      <c r="AX57" t="n">
        <v>39.95</v>
      </c>
      <c r="AZ57" t="n">
        <v>9176</v>
      </c>
      <c r="BA57" t="n">
        <v>22201</v>
      </c>
    </row>
    <row r="58">
      <c r="K58" t="n">
        <v>2</v>
      </c>
      <c r="L58" t="inlineStr">
        <is>
          <t>Infosys</t>
        </is>
      </c>
      <c r="M58" t="n">
        <v>1051.4</v>
      </c>
      <c r="N58" t="n">
        <v>405.82</v>
      </c>
      <c r="AR58" t="n">
        <v>339018.18</v>
      </c>
      <c r="AS58">
        <f>AZ58-BA58</f>
        <v/>
      </c>
      <c r="AT58">
        <f>AR58+AS58</f>
        <v/>
      </c>
      <c r="AU58" t="n">
        <v>138316</v>
      </c>
      <c r="AV58">
        <f>AT58/AX58</f>
        <v/>
      </c>
      <c r="AW58" t="n">
        <v>18504</v>
      </c>
      <c r="AX58" t="n">
        <v>30.4</v>
      </c>
      <c r="AZ58" t="n">
        <v>444.16</v>
      </c>
      <c r="BA58" t="n">
        <v>1340.87</v>
      </c>
    </row>
    <row r="59">
      <c r="K59" t="n">
        <v>3</v>
      </c>
      <c r="L59" t="inlineStr">
        <is>
          <t>HCL Technologies</t>
        </is>
      </c>
      <c r="M59" t="n">
        <v>1249.3</v>
      </c>
      <c r="N59" t="n">
        <v>271.37</v>
      </c>
      <c r="AR59" t="n">
        <v>165244.04</v>
      </c>
      <c r="AS59">
        <f>AZ59-BA59</f>
        <v/>
      </c>
      <c r="AT59">
        <f>AR59+AS59</f>
        <v/>
      </c>
      <c r="AU59" t="n">
        <v>97914.39999999999</v>
      </c>
      <c r="AV59">
        <f>AT59/AX59</f>
        <v/>
      </c>
      <c r="AW59" t="n">
        <v>13425.2</v>
      </c>
      <c r="AX59" t="n">
        <v>17.84</v>
      </c>
      <c r="AZ59" t="n">
        <v>2508.18</v>
      </c>
      <c r="BA59" t="n">
        <v>1998.49</v>
      </c>
    </row>
    <row r="60">
      <c r="K60" t="n">
        <v>4</v>
      </c>
      <c r="L60" t="inlineStr">
        <is>
          <t>Wipro</t>
        </is>
      </c>
      <c r="M60" t="n">
        <v>166.83</v>
      </c>
      <c r="N60" t="n">
        <v>990.49</v>
      </c>
      <c r="AR60" t="n">
        <v>150656.36</v>
      </c>
      <c r="AS60">
        <f>AZ60-BA60</f>
        <v/>
      </c>
      <c r="AT60">
        <f>AR60+AS60</f>
        <v/>
      </c>
      <c r="AU60" t="n">
        <v>62847.6</v>
      </c>
      <c r="AV60">
        <f>AT60/AX60</f>
        <v/>
      </c>
      <c r="AW60" t="n">
        <v>5945.2</v>
      </c>
      <c r="AX60" t="n">
        <v>23.12</v>
      </c>
      <c r="AZ60" t="n">
        <v>1380.28</v>
      </c>
      <c r="BA60" t="n">
        <v>352.44</v>
      </c>
    </row>
    <row r="61">
      <c r="K61" t="n">
        <v>5</v>
      </c>
      <c r="L61" t="inlineStr">
        <is>
          <t>Tech Mahindra</t>
        </is>
      </c>
      <c r="M61" t="n">
        <v>1537.1</v>
      </c>
      <c r="N61" t="n">
        <v>98.01000000000001</v>
      </c>
      <c r="AR61" t="n">
        <v>126808.58</v>
      </c>
      <c r="AS61">
        <f>AZ61-BA61</f>
        <v/>
      </c>
      <c r="AT61">
        <f>AR61+AS61</f>
        <v/>
      </c>
      <c r="AU61" t="n">
        <v>46432</v>
      </c>
      <c r="AV61">
        <f>AT61/AX61</f>
        <v/>
      </c>
      <c r="AW61" t="n">
        <v>5874.4</v>
      </c>
      <c r="AX61" t="n">
        <v>29.6</v>
      </c>
      <c r="AZ61" t="n">
        <v>557</v>
      </c>
      <c r="BA61" t="n">
        <v>493</v>
      </c>
    </row>
    <row r="62">
      <c r="K62" t="n">
        <v>6</v>
      </c>
      <c r="L62" t="inlineStr">
        <is>
          <t>LTM</t>
        </is>
      </c>
      <c r="M62" t="n">
        <v>4275.1</v>
      </c>
      <c r="N62" t="n">
        <v>29.66</v>
      </c>
      <c r="AR62" t="n">
        <v>103594.09</v>
      </c>
      <c r="AS62">
        <f>AZ62-BA62</f>
        <v/>
      </c>
      <c r="AT62">
        <f>AR62+AS62</f>
        <v/>
      </c>
      <c r="AU62" t="n">
        <v>12500.8</v>
      </c>
      <c r="AV62">
        <f>AT62/AX62</f>
        <v/>
      </c>
      <c r="AW62" t="n">
        <v>5662</v>
      </c>
      <c r="AX62" t="n">
        <v>45.28</v>
      </c>
      <c r="AZ62" t="n">
        <v>413</v>
      </c>
      <c r="BA62" t="n">
        <v>1977</v>
      </c>
    </row>
    <row r="63">
      <c r="K63" t="n">
        <v>7</v>
      </c>
      <c r="L63" t="inlineStr">
        <is>
          <t>Oracle Fin.Serv.</t>
        </is>
      </c>
      <c r="M63" t="n">
        <v>11896</v>
      </c>
      <c r="N63" t="n">
        <v>8.710000000000001</v>
      </c>
      <c r="AR63" t="n">
        <v>85437.39999999999</v>
      </c>
      <c r="AS63">
        <f>AZ63-BA63</f>
        <v/>
      </c>
      <c r="AT63">
        <f>AR63+AS63</f>
        <v/>
      </c>
      <c r="AU63" t="n">
        <v>17212.92</v>
      </c>
      <c r="AV63">
        <f>AT63/AX63</f>
        <v/>
      </c>
      <c r="AW63" t="n">
        <v>1932.16</v>
      </c>
      <c r="AX63" t="n">
        <v>34.36</v>
      </c>
      <c r="AZ63" t="n">
        <v>2819.51</v>
      </c>
      <c r="BA63" t="n">
        <v>3420.49</v>
      </c>
    </row>
    <row r="64">
      <c r="K64" t="n">
        <v>8</v>
      </c>
      <c r="L64" t="inlineStr">
        <is>
          <t>Persistent Systems</t>
        </is>
      </c>
      <c r="M64" t="n">
        <v>5416</v>
      </c>
      <c r="N64" t="n">
        <v>15.77</v>
      </c>
      <c r="AR64" t="n">
        <v>81552.27</v>
      </c>
      <c r="AS64">
        <f>AZ64-BA64</f>
        <v/>
      </c>
      <c r="AT64">
        <f>AR64+AS64</f>
        <v/>
      </c>
      <c r="AU64" t="n">
        <v>22110.8</v>
      </c>
      <c r="AV64">
        <f>AT64/AX64</f>
        <v/>
      </c>
      <c r="AW64" t="n">
        <v>2126.8</v>
      </c>
      <c r="AX64" t="n">
        <v>23.5</v>
      </c>
      <c r="AZ64" t="n">
        <v>4420.52</v>
      </c>
      <c r="BA64" t="n">
        <v>1005.41</v>
      </c>
    </row>
    <row r="65">
      <c r="K65" t="n">
        <v>9</v>
      </c>
      <c r="L65" t="inlineStr">
        <is>
          <t>Coforge</t>
        </is>
      </c>
      <c r="M65" t="n">
        <v>1841</v>
      </c>
      <c r="N65" t="n">
        <v>44.3</v>
      </c>
      <c r="AR65" t="n">
        <v>43925.99</v>
      </c>
      <c r="AS65">
        <f>AZ65-BA65</f>
        <v/>
      </c>
      <c r="AT65">
        <f>AR65+AS65</f>
        <v/>
      </c>
      <c r="AU65" t="n">
        <v>17536.2</v>
      </c>
      <c r="AV65">
        <f>AT65/AX65</f>
        <v/>
      </c>
      <c r="AW65" t="n">
        <v>1958.04</v>
      </c>
      <c r="AX65" t="n">
        <v>22.09</v>
      </c>
      <c r="AZ65" t="n">
        <v>1287.32</v>
      </c>
      <c r="BA65" t="n">
        <v>562.0700000000001</v>
      </c>
    </row>
    <row r="66">
      <c r="K66" t="n">
        <v>10</v>
      </c>
      <c r="L66" t="inlineStr">
        <is>
          <t>Mphasis</t>
        </is>
      </c>
      <c r="M66" t="n">
        <v>2300.4</v>
      </c>
      <c r="N66" t="n">
        <v>19.09</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ITC LTD</t>
        </is>
      </c>
      <c r="C448" s="97" t="n">
        <v>540376</v>
      </c>
      <c r="D448" s="96" t="inlineStr">
        <is>
          <t>ITC</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ITC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2026-09-19T12:43:50Z</dcterms:modified>
  <cp:lastModifiedBy>Loveish</cp:lastModifiedBy>
  <cp:lastPrinted>2012-12-06T18:14:13Z</cp:lastPrinted>
</cp:coreProperties>
</file>