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1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link",IF(C5&gt;0.15,"UNDERVALUED / BUY",IF(C5&lt;-0.15,"OVERVALUED / SELL","FAIRLY VALUED / HOLD")))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IF(NOT(ISNUMBER(C5)),"n/a",IF(ABS(C5)&gt;0.5,"REVIEW: DCF &gt;50% from price","OK"))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ITC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255</v>
      </c>
    </row>
    <row r="9">
      <c r="A9" s="193" t="inlineStr">
        <is>
          <t>Market Capitalization</t>
        </is>
      </c>
      <c r="B9" t="n">
        <v>319515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42768</v>
      </c>
      <c r="C17" t="n">
        <v>43449</v>
      </c>
      <c r="D17" t="n">
        <v>48340</v>
      </c>
      <c r="E17" t="n">
        <v>49388</v>
      </c>
      <c r="F17" t="n">
        <v>49257</v>
      </c>
      <c r="G17" t="n">
        <v>60645</v>
      </c>
      <c r="H17" t="n">
        <v>70919</v>
      </c>
      <c r="I17" t="n">
        <v>67932</v>
      </c>
      <c r="J17" t="n">
        <v>75323</v>
      </c>
      <c r="K17" t="n">
        <v>78868</v>
      </c>
    </row>
    <row r="18" customFormat="1" s="188">
      <c r="A18" s="193" t="inlineStr">
        <is>
          <t>Raw Material Cost</t>
        </is>
      </c>
      <c r="B18" t="n">
        <v>15457</v>
      </c>
      <c r="C18" t="n">
        <v>14828</v>
      </c>
      <c r="D18" t="n">
        <v>17624</v>
      </c>
      <c r="E18" t="n">
        <v>18049</v>
      </c>
      <c r="F18" t="n">
        <v>20777</v>
      </c>
      <c r="G18" t="n">
        <v>27071</v>
      </c>
      <c r="H18" t="n">
        <v>29364</v>
      </c>
      <c r="I18" t="n">
        <v>27349</v>
      </c>
      <c r="J18" t="n">
        <v>32704</v>
      </c>
      <c r="K18" t="n">
        <v>35098</v>
      </c>
    </row>
    <row r="19" customFormat="1" s="188">
      <c r="A19" s="193" t="inlineStr">
        <is>
          <t>Change in Inventory</t>
        </is>
      </c>
      <c r="B19" t="n">
        <v>-593</v>
      </c>
      <c r="C19" t="n">
        <v>-1028</v>
      </c>
      <c r="D19" t="n">
        <v>203</v>
      </c>
      <c r="E19" t="n">
        <v>703</v>
      </c>
      <c r="F19" t="n">
        <v>645</v>
      </c>
      <c r="G19" t="n">
        <v>686</v>
      </c>
      <c r="H19" t="n">
        <v>359</v>
      </c>
      <c r="I19" t="n">
        <v>368</v>
      </c>
      <c r="J19" t="n">
        <v>726</v>
      </c>
      <c r="K19" t="n">
        <v>2550</v>
      </c>
    </row>
    <row r="20" customFormat="1" s="188">
      <c r="A20" s="193" t="inlineStr">
        <is>
          <t>Power and Fuel</t>
        </is>
      </c>
      <c r="B20" t="n">
        <v>226.67</v>
      </c>
      <c r="C20" t="n">
        <v>235.06</v>
      </c>
      <c r="D20" t="n">
        <v>262</v>
      </c>
      <c r="E20" t="n">
        <v>268.67</v>
      </c>
      <c r="F20" t="n">
        <v>228.55</v>
      </c>
      <c r="G20" t="n">
        <v>277.75</v>
      </c>
      <c r="H20" t="n">
        <v>356.01</v>
      </c>
      <c r="I20" t="n">
        <v>313.85</v>
      </c>
      <c r="J20" t="n">
        <v>332.17</v>
      </c>
      <c r="K20" t="n">
        <v>353.33</v>
      </c>
    </row>
    <row r="21" customFormat="1" s="188">
      <c r="A21" s="193" t="inlineStr">
        <is>
          <t>Other Mfr. Exp</t>
        </is>
      </c>
      <c r="B21" t="n">
        <v>2040.03</v>
      </c>
      <c r="C21" t="n">
        <v>2115.53</v>
      </c>
      <c r="D21" t="n">
        <v>2358.03</v>
      </c>
      <c r="E21" t="n">
        <v>2418.04</v>
      </c>
      <c r="F21" t="n">
        <v>2056.97</v>
      </c>
      <c r="G21" t="n">
        <v>2499.79</v>
      </c>
      <c r="H21" t="n">
        <v>3204.12</v>
      </c>
      <c r="I21" t="n">
        <v>2824.61</v>
      </c>
      <c r="J21" t="n">
        <v>2989.57</v>
      </c>
      <c r="K21" t="n">
        <v>3179.96</v>
      </c>
    </row>
    <row r="22" customFormat="1" s="188">
      <c r="A22" s="193" t="inlineStr">
        <is>
          <t>Employee Cost</t>
        </is>
      </c>
      <c r="B22" t="n">
        <v>3631</v>
      </c>
      <c r="C22" t="n">
        <v>3762.68</v>
      </c>
      <c r="D22" t="n">
        <v>4176.58</v>
      </c>
      <c r="E22" t="n">
        <v>4296.76</v>
      </c>
      <c r="F22" t="n">
        <v>4462.68</v>
      </c>
      <c r="G22" t="n">
        <v>4887.99</v>
      </c>
      <c r="H22" t="n">
        <v>5737.35</v>
      </c>
      <c r="I22" t="n">
        <v>5550.04</v>
      </c>
      <c r="J22" t="n">
        <v>6168.95</v>
      </c>
      <c r="K22" t="n">
        <v>6782.65</v>
      </c>
    </row>
    <row r="23" customFormat="1" s="188">
      <c r="A23" s="193" t="inlineStr">
        <is>
          <t>Selling and admin</t>
        </is>
      </c>
      <c r="B23" t="n">
        <v>4280.22</v>
      </c>
      <c r="C23" t="n">
        <v>3969.5</v>
      </c>
      <c r="D23" t="n">
        <v>4470.48</v>
      </c>
      <c r="E23" t="n">
        <v>3165.69</v>
      </c>
      <c r="F23" t="n">
        <v>2960.82</v>
      </c>
      <c r="G23" t="n">
        <v>3404.97</v>
      </c>
      <c r="H23" t="n">
        <v>5531.68</v>
      </c>
      <c r="I23" t="n">
        <v>5662.81</v>
      </c>
      <c r="J23" t="n">
        <v>6417.52</v>
      </c>
      <c r="K23" t="n">
        <v>1858.23</v>
      </c>
    </row>
    <row r="24" customFormat="1" s="188">
      <c r="A24" s="193" t="inlineStr">
        <is>
          <t>Other Expenses</t>
        </is>
      </c>
      <c r="B24" t="n">
        <v>2256.08</v>
      </c>
      <c r="C24" t="n">
        <v>3045.23</v>
      </c>
      <c r="D24" t="n">
        <v>707.91</v>
      </c>
      <c r="E24" t="n">
        <v>1142.84</v>
      </c>
      <c r="F24" t="n">
        <v>1061.98</v>
      </c>
      <c r="G24" t="n">
        <v>1193.5</v>
      </c>
      <c r="H24" t="n">
        <v>662.84</v>
      </c>
      <c r="I24" t="n">
        <v>675.6900000000001</v>
      </c>
      <c r="J24" t="n">
        <v>153.79</v>
      </c>
      <c r="K24" t="n">
        <v>1739.83</v>
      </c>
    </row>
    <row r="25" customFormat="1" s="188">
      <c r="A25" s="188" t="inlineStr">
        <is>
          <t>Other Income</t>
        </is>
      </c>
      <c r="B25" t="n">
        <v>1759</v>
      </c>
      <c r="C25" t="n">
        <v>2240</v>
      </c>
      <c r="D25" t="n">
        <v>2080</v>
      </c>
      <c r="E25" t="n">
        <v>2417</v>
      </c>
      <c r="F25" t="n">
        <v>2577</v>
      </c>
      <c r="G25" t="n">
        <v>1910</v>
      </c>
      <c r="H25" t="n">
        <v>2098</v>
      </c>
      <c r="I25" t="n">
        <v>3330</v>
      </c>
      <c r="J25" t="n">
        <v>17803</v>
      </c>
      <c r="K25" t="n">
        <v>2523</v>
      </c>
    </row>
    <row r="26" customFormat="1" s="188">
      <c r="A26" s="188" t="inlineStr">
        <is>
          <t>Depreciation</t>
        </is>
      </c>
      <c r="B26" t="n">
        <v>1153</v>
      </c>
      <c r="C26" t="n">
        <v>1236</v>
      </c>
      <c r="D26" t="n">
        <v>1397</v>
      </c>
      <c r="E26" t="n">
        <v>1645</v>
      </c>
      <c r="F26" t="n">
        <v>1646</v>
      </c>
      <c r="G26" t="n">
        <v>1732</v>
      </c>
      <c r="H26" t="n">
        <v>1809</v>
      </c>
      <c r="I26" t="n">
        <v>1518</v>
      </c>
      <c r="J26" t="n">
        <v>1646</v>
      </c>
      <c r="K26" t="n">
        <v>1711</v>
      </c>
    </row>
    <row r="27" customFormat="1" s="188">
      <c r="A27" s="188" t="inlineStr">
        <is>
          <t>Interest</t>
        </is>
      </c>
      <c r="B27" t="n">
        <v>49</v>
      </c>
      <c r="C27" t="n">
        <v>115</v>
      </c>
      <c r="D27" t="n">
        <v>71</v>
      </c>
      <c r="E27" t="n">
        <v>81</v>
      </c>
      <c r="F27" t="n">
        <v>58</v>
      </c>
      <c r="G27" t="n">
        <v>60</v>
      </c>
      <c r="H27" t="n">
        <v>78</v>
      </c>
      <c r="I27" t="n">
        <v>39</v>
      </c>
      <c r="J27" t="n">
        <v>45</v>
      </c>
      <c r="K27" t="n">
        <v>85</v>
      </c>
    </row>
    <row r="28" customFormat="1" s="188">
      <c r="A28" s="188" t="inlineStr">
        <is>
          <t>Profit before tax</t>
        </is>
      </c>
      <c r="B28" t="n">
        <v>16026</v>
      </c>
      <c r="C28" t="n">
        <v>17409</v>
      </c>
      <c r="D28" t="n">
        <v>19150</v>
      </c>
      <c r="E28" t="n">
        <v>20035</v>
      </c>
      <c r="F28" t="n">
        <v>17938</v>
      </c>
      <c r="G28" t="n">
        <v>20740</v>
      </c>
      <c r="H28" t="n">
        <v>25915</v>
      </c>
      <c r="I28" t="n">
        <v>26961</v>
      </c>
      <c r="J28" t="n">
        <v>41943</v>
      </c>
      <c r="K28" t="n">
        <v>28033</v>
      </c>
    </row>
    <row r="29" customFormat="1" s="188">
      <c r="A29" s="188" t="inlineStr">
        <is>
          <t>Tax</t>
        </is>
      </c>
      <c r="B29" t="n">
        <v>5549</v>
      </c>
      <c r="C29" t="n">
        <v>5916</v>
      </c>
      <c r="D29" t="n">
        <v>6314</v>
      </c>
      <c r="E29" t="n">
        <v>4442</v>
      </c>
      <c r="F29" t="n">
        <v>4555</v>
      </c>
      <c r="G29" t="n">
        <v>5237</v>
      </c>
      <c r="H29" t="n">
        <v>6438</v>
      </c>
      <c r="I29" t="n">
        <v>6210</v>
      </c>
      <c r="J29" t="n">
        <v>6891</v>
      </c>
      <c r="K29" t="n">
        <v>7015</v>
      </c>
    </row>
    <row r="30" customFormat="1" s="188">
      <c r="A30" s="188" t="inlineStr">
        <is>
          <t>Net profit</t>
        </is>
      </c>
      <c r="B30" t="n">
        <v>10477</v>
      </c>
      <c r="C30" t="n">
        <v>11493</v>
      </c>
      <c r="D30" t="n">
        <v>12836</v>
      </c>
      <c r="E30" t="n">
        <v>15593</v>
      </c>
      <c r="F30" t="n">
        <v>13383</v>
      </c>
      <c r="G30" t="n">
        <v>15503</v>
      </c>
      <c r="H30" t="n">
        <v>19477</v>
      </c>
      <c r="I30" t="n">
        <v>20751</v>
      </c>
      <c r="J30" t="n">
        <v>35052</v>
      </c>
      <c r="K30" t="n">
        <v>21018</v>
      </c>
    </row>
    <row r="31" customFormat="1" s="188">
      <c r="A31" s="188" t="inlineStr">
        <is>
          <t>Dividend Amount</t>
        </is>
      </c>
      <c r="B31" t="n">
        <v>5867.12</v>
      </c>
      <c r="C31" t="n">
        <v>6436.08</v>
      </c>
      <c r="D31" t="n">
        <v>7188.16</v>
      </c>
      <c r="E31" t="n">
        <v>12786.26</v>
      </c>
      <c r="F31" t="n">
        <v>13516.83</v>
      </c>
      <c r="G31" t="n">
        <v>14417.79</v>
      </c>
      <c r="H31" t="n">
        <v>19477</v>
      </c>
      <c r="I31" t="n">
        <v>17430.84</v>
      </c>
      <c r="J31" t="n">
        <v>18227.04</v>
      </c>
      <c r="K31" t="n">
        <v>18495.84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17038</v>
      </c>
      <c r="C42" t="n">
        <v>17778</v>
      </c>
      <c r="D42" t="n">
        <v>19990</v>
      </c>
      <c r="E42" t="n">
        <v>18790</v>
      </c>
      <c r="F42" t="n">
        <v>18765</v>
      </c>
      <c r="G42" t="n">
        <v>21495</v>
      </c>
      <c r="H42" t="n">
        <v>19502</v>
      </c>
      <c r="I42" t="n">
        <v>20047</v>
      </c>
      <c r="J42" t="n">
        <v>17825</v>
      </c>
      <c r="K42" t="n">
        <v>19114</v>
      </c>
    </row>
    <row r="43" customFormat="1" s="188">
      <c r="A43" s="188" t="inlineStr">
        <is>
          <t>Expenses</t>
        </is>
      </c>
      <c r="B43" t="n">
        <v>10736</v>
      </c>
      <c r="C43" t="n">
        <v>11233</v>
      </c>
      <c r="D43" t="n">
        <v>13438</v>
      </c>
      <c r="E43" t="n">
        <v>12428</v>
      </c>
      <c r="F43" t="n">
        <v>12246</v>
      </c>
      <c r="G43" t="n">
        <v>14678</v>
      </c>
      <c r="H43" t="n">
        <v>12807</v>
      </c>
      <c r="I43" t="n">
        <v>13165</v>
      </c>
      <c r="J43" t="n">
        <v>10900</v>
      </c>
      <c r="K43" t="n">
        <v>13934</v>
      </c>
    </row>
    <row r="44" customFormat="1" s="188">
      <c r="A44" s="188" t="inlineStr">
        <is>
          <t>Other Income</t>
        </is>
      </c>
      <c r="B44" t="n">
        <v>868</v>
      </c>
      <c r="C44" t="n">
        <v>771</v>
      </c>
      <c r="D44" t="n">
        <v>690</v>
      </c>
      <c r="E44" t="n">
        <v>803</v>
      </c>
      <c r="F44" t="n">
        <v>15391</v>
      </c>
      <c r="G44" t="n">
        <v>751</v>
      </c>
      <c r="H44" t="n">
        <v>739</v>
      </c>
      <c r="I44" t="n">
        <v>322</v>
      </c>
      <c r="J44" t="n">
        <v>700</v>
      </c>
      <c r="K44" t="n">
        <v>1148</v>
      </c>
    </row>
    <row r="45" customFormat="1" s="188">
      <c r="A45" s="188" t="inlineStr">
        <is>
          <t>Depreciation</t>
        </is>
      </c>
      <c r="B45" t="n">
        <v>385</v>
      </c>
      <c r="C45" t="n">
        <v>403</v>
      </c>
      <c r="D45" t="n">
        <v>416</v>
      </c>
      <c r="E45" t="n">
        <v>416</v>
      </c>
      <c r="F45" t="n">
        <v>411</v>
      </c>
      <c r="G45" t="n">
        <v>423</v>
      </c>
      <c r="H45" t="n">
        <v>435</v>
      </c>
      <c r="I45" t="n">
        <v>431</v>
      </c>
      <c r="J45" t="n">
        <v>422</v>
      </c>
      <c r="K45" t="n">
        <v>428</v>
      </c>
    </row>
    <row r="46" customFormat="1" s="188">
      <c r="A46" s="188" t="inlineStr">
        <is>
          <t>Interest</t>
        </is>
      </c>
      <c r="B46" t="n">
        <v>11</v>
      </c>
      <c r="C46" t="n">
        <v>10</v>
      </c>
      <c r="D46" t="n">
        <v>15</v>
      </c>
      <c r="E46" t="n">
        <v>10</v>
      </c>
      <c r="F46" t="n">
        <v>11</v>
      </c>
      <c r="G46" t="n">
        <v>16</v>
      </c>
      <c r="H46" t="n">
        <v>20</v>
      </c>
      <c r="I46" t="n">
        <v>19</v>
      </c>
      <c r="J46" t="n">
        <v>29</v>
      </c>
      <c r="K46" t="n">
        <v>40</v>
      </c>
    </row>
    <row r="47" customFormat="1" s="188">
      <c r="A47" s="188" t="inlineStr">
        <is>
          <t>Profit before tax</t>
        </is>
      </c>
      <c r="B47" t="n">
        <v>6774</v>
      </c>
      <c r="C47" t="n">
        <v>6903</v>
      </c>
      <c r="D47" t="n">
        <v>6811</v>
      </c>
      <c r="E47" t="n">
        <v>6740</v>
      </c>
      <c r="F47" t="n">
        <v>21489</v>
      </c>
      <c r="G47" t="n">
        <v>7128</v>
      </c>
      <c r="H47" t="n">
        <v>6979</v>
      </c>
      <c r="I47" t="n">
        <v>6754</v>
      </c>
      <c r="J47" t="n">
        <v>7173</v>
      </c>
      <c r="K47" t="n">
        <v>5861</v>
      </c>
    </row>
    <row r="48" customFormat="1" s="188">
      <c r="A48" s="188" t="inlineStr">
        <is>
          <t>Tax</t>
        </is>
      </c>
      <c r="B48" t="n">
        <v>1583</v>
      </c>
      <c r="C48" t="n">
        <v>1726</v>
      </c>
      <c r="D48" t="n">
        <v>1757</v>
      </c>
      <c r="E48" t="n">
        <v>1727</v>
      </c>
      <c r="F48" t="n">
        <v>1681</v>
      </c>
      <c r="G48" t="n">
        <v>1785</v>
      </c>
      <c r="H48" t="n">
        <v>1792</v>
      </c>
      <c r="I48" t="n">
        <v>1736</v>
      </c>
      <c r="J48" t="n">
        <v>1703</v>
      </c>
      <c r="K48" t="n">
        <v>1352</v>
      </c>
    </row>
    <row r="49" customFormat="1" s="188">
      <c r="A49" s="188" t="inlineStr">
        <is>
          <t>Net profit</t>
        </is>
      </c>
      <c r="B49" t="n">
        <v>5191</v>
      </c>
      <c r="C49" t="n">
        <v>5177</v>
      </c>
      <c r="D49" t="n">
        <v>5054</v>
      </c>
      <c r="E49" t="n">
        <v>5013</v>
      </c>
      <c r="F49" t="n">
        <v>19808</v>
      </c>
      <c r="G49" t="n">
        <v>5343</v>
      </c>
      <c r="H49" t="n">
        <v>5187</v>
      </c>
      <c r="I49" t="n">
        <v>5018</v>
      </c>
      <c r="J49" t="n">
        <v>5470</v>
      </c>
      <c r="K49" t="n">
        <v>4509</v>
      </c>
    </row>
    <row r="50">
      <c r="A50" s="188" t="inlineStr">
        <is>
          <t>Operating Profit</t>
        </is>
      </c>
      <c r="B50" t="n">
        <v>6302</v>
      </c>
      <c r="C50" t="n">
        <v>6545</v>
      </c>
      <c r="D50" t="n">
        <v>6552</v>
      </c>
      <c r="E50" t="n">
        <v>6362</v>
      </c>
      <c r="F50" t="n">
        <v>6519</v>
      </c>
      <c r="G50" t="n">
        <v>6816</v>
      </c>
      <c r="H50" t="n">
        <v>6695</v>
      </c>
      <c r="I50" t="n">
        <v>6883</v>
      </c>
      <c r="J50" t="n">
        <v>6924</v>
      </c>
      <c r="K50" t="n">
        <v>5181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1215</v>
      </c>
      <c r="C57" t="n">
        <v>1220</v>
      </c>
      <c r="D57" t="n">
        <v>1226</v>
      </c>
      <c r="E57" t="n">
        <v>1229</v>
      </c>
      <c r="F57" t="n">
        <v>1231</v>
      </c>
      <c r="G57" t="n">
        <v>1232</v>
      </c>
      <c r="H57" t="n">
        <v>1243</v>
      </c>
      <c r="I57" t="n">
        <v>1248</v>
      </c>
      <c r="J57" t="n">
        <v>1251</v>
      </c>
      <c r="K57" t="n">
        <v>1253</v>
      </c>
    </row>
    <row r="58">
      <c r="A58" s="188" t="inlineStr">
        <is>
          <t>Reserves</t>
        </is>
      </c>
      <c r="B58" t="n">
        <v>45198</v>
      </c>
      <c r="C58" t="n">
        <v>51290</v>
      </c>
      <c r="D58" t="n">
        <v>57915</v>
      </c>
      <c r="E58" t="n">
        <v>64044</v>
      </c>
      <c r="F58" t="n">
        <v>59116</v>
      </c>
      <c r="G58" t="n">
        <v>61223</v>
      </c>
      <c r="H58" t="n">
        <v>67912</v>
      </c>
      <c r="I58" t="n">
        <v>73259</v>
      </c>
      <c r="J58" t="n">
        <v>68779</v>
      </c>
      <c r="K58" t="n">
        <v>71254</v>
      </c>
    </row>
    <row r="59">
      <c r="A59" s="188" t="inlineStr">
        <is>
          <t>Borrowings</t>
        </is>
      </c>
      <c r="B59" t="n">
        <v>46</v>
      </c>
      <c r="C59" t="n">
        <v>36</v>
      </c>
      <c r="D59" t="n">
        <v>13</v>
      </c>
      <c r="E59" t="n">
        <v>277</v>
      </c>
      <c r="F59" t="n">
        <v>271</v>
      </c>
      <c r="G59" t="n">
        <v>249</v>
      </c>
      <c r="H59" t="n">
        <v>306</v>
      </c>
      <c r="I59" t="n">
        <v>303</v>
      </c>
      <c r="J59" t="n">
        <v>285</v>
      </c>
      <c r="K59" t="n">
        <v>2399</v>
      </c>
    </row>
    <row r="60">
      <c r="A60" s="188" t="inlineStr">
        <is>
          <t>Other Liabilities</t>
        </is>
      </c>
      <c r="B60" t="n">
        <v>9440</v>
      </c>
      <c r="C60" t="n">
        <v>11695</v>
      </c>
      <c r="D60" t="n">
        <v>12585</v>
      </c>
      <c r="E60" t="n">
        <v>11760</v>
      </c>
      <c r="F60" t="n">
        <v>13143</v>
      </c>
      <c r="G60" t="n">
        <v>14491</v>
      </c>
      <c r="H60" t="n">
        <v>16370</v>
      </c>
      <c r="I60" t="n">
        <v>16944</v>
      </c>
      <c r="J60" t="n">
        <v>17688</v>
      </c>
      <c r="K60" t="n">
        <v>18731</v>
      </c>
    </row>
    <row r="61" customFormat="1" s="187">
      <c r="A61" s="187" t="inlineStr">
        <is>
          <t>Total</t>
        </is>
      </c>
      <c r="B61" t="n">
        <v>55898</v>
      </c>
      <c r="C61" t="n">
        <v>64241</v>
      </c>
      <c r="D61" t="n">
        <v>71739</v>
      </c>
      <c r="E61" t="n">
        <v>77311</v>
      </c>
      <c r="F61" t="n">
        <v>73761</v>
      </c>
      <c r="G61" t="n">
        <v>77196</v>
      </c>
      <c r="H61" t="n">
        <v>85831</v>
      </c>
      <c r="I61" t="n">
        <v>91754</v>
      </c>
      <c r="J61" t="n">
        <v>88003</v>
      </c>
      <c r="K61" t="n">
        <v>93637</v>
      </c>
    </row>
    <row r="62">
      <c r="A62" s="188" t="inlineStr">
        <is>
          <t>Net Block</t>
        </is>
      </c>
      <c r="B62" t="n">
        <v>15893</v>
      </c>
      <c r="C62" t="n">
        <v>16524</v>
      </c>
      <c r="D62" t="n">
        <v>19374</v>
      </c>
      <c r="E62" t="n">
        <v>21713</v>
      </c>
      <c r="F62" t="n">
        <v>23298</v>
      </c>
      <c r="G62" t="n">
        <v>24232</v>
      </c>
      <c r="H62" t="n">
        <v>25851</v>
      </c>
      <c r="I62" t="n">
        <v>27820</v>
      </c>
      <c r="J62" t="n">
        <v>21955</v>
      </c>
      <c r="K62" t="n">
        <v>22443</v>
      </c>
    </row>
    <row r="63">
      <c r="A63" s="188" t="inlineStr">
        <is>
          <t>Capital Work in Progress</t>
        </is>
      </c>
      <c r="B63" t="n">
        <v>3730</v>
      </c>
      <c r="C63" t="n">
        <v>5508</v>
      </c>
      <c r="D63" t="n">
        <v>4136</v>
      </c>
      <c r="E63" t="n">
        <v>3256</v>
      </c>
      <c r="F63" t="n">
        <v>4011</v>
      </c>
      <c r="G63" t="n">
        <v>3226</v>
      </c>
      <c r="H63" t="n">
        <v>3003</v>
      </c>
      <c r="I63" t="n">
        <v>2861</v>
      </c>
      <c r="J63" t="n">
        <v>1091</v>
      </c>
      <c r="K63" t="n">
        <v>1602</v>
      </c>
    </row>
    <row r="64">
      <c r="A64" s="188" t="inlineStr">
        <is>
          <t>Investments</t>
        </is>
      </c>
      <c r="B64" t="n">
        <v>17581</v>
      </c>
      <c r="C64" t="n">
        <v>22053</v>
      </c>
      <c r="D64" t="n">
        <v>25043</v>
      </c>
      <c r="E64" t="n">
        <v>28663</v>
      </c>
      <c r="F64" t="n">
        <v>24871</v>
      </c>
      <c r="G64" t="n">
        <v>24841</v>
      </c>
      <c r="H64" t="n">
        <v>29415</v>
      </c>
      <c r="I64" t="n">
        <v>31114</v>
      </c>
      <c r="J64" t="n">
        <v>34720</v>
      </c>
      <c r="K64" t="n">
        <v>38128</v>
      </c>
    </row>
    <row r="65">
      <c r="A65" s="188" t="inlineStr">
        <is>
          <t>Other Assets</t>
        </is>
      </c>
      <c r="B65" t="n">
        <v>18694</v>
      </c>
      <c r="C65" t="n">
        <v>20156</v>
      </c>
      <c r="D65" t="n">
        <v>23185</v>
      </c>
      <c r="E65" t="n">
        <v>23678</v>
      </c>
      <c r="F65" t="n">
        <v>21580</v>
      </c>
      <c r="G65" t="n">
        <v>24898</v>
      </c>
      <c r="H65" t="n">
        <v>27561</v>
      </c>
      <c r="I65" t="n">
        <v>29959</v>
      </c>
      <c r="J65" t="n">
        <v>30237</v>
      </c>
      <c r="K65" t="n">
        <v>31464</v>
      </c>
    </row>
    <row r="66" customFormat="1" s="187">
      <c r="A66" s="187" t="inlineStr">
        <is>
          <t>Total</t>
        </is>
      </c>
      <c r="B66" t="n">
        <v>55898</v>
      </c>
      <c r="C66" t="n">
        <v>64241</v>
      </c>
      <c r="D66" t="n">
        <v>71739</v>
      </c>
      <c r="E66" t="n">
        <v>77311</v>
      </c>
      <c r="F66" t="n">
        <v>73761</v>
      </c>
      <c r="G66" t="n">
        <v>77196</v>
      </c>
      <c r="H66" t="n">
        <v>85831</v>
      </c>
      <c r="I66" t="n">
        <v>91754</v>
      </c>
      <c r="J66" t="n">
        <v>88003</v>
      </c>
      <c r="K66" t="n">
        <v>93637</v>
      </c>
    </row>
    <row r="67" customFormat="1" s="188">
      <c r="A67" s="188" t="inlineStr">
        <is>
          <t>Receivables</t>
        </is>
      </c>
      <c r="B67" t="n">
        <v>2474</v>
      </c>
      <c r="C67" t="n">
        <v>2682</v>
      </c>
      <c r="D67" t="n">
        <v>4035</v>
      </c>
      <c r="E67" t="n">
        <v>2562</v>
      </c>
      <c r="F67" t="n">
        <v>2502</v>
      </c>
      <c r="G67" t="n">
        <v>2462</v>
      </c>
      <c r="H67" t="n">
        <v>2956</v>
      </c>
      <c r="I67" t="n">
        <v>4026</v>
      </c>
      <c r="J67" t="n">
        <v>4720</v>
      </c>
      <c r="K67" t="n">
        <v>3923</v>
      </c>
    </row>
    <row r="68">
      <c r="A68" s="188" t="inlineStr">
        <is>
          <t>Inventory</t>
        </is>
      </c>
      <c r="B68" t="n">
        <v>8116</v>
      </c>
      <c r="C68" t="n">
        <v>7495</v>
      </c>
      <c r="D68" t="n">
        <v>7860</v>
      </c>
      <c r="E68" t="n">
        <v>8879</v>
      </c>
      <c r="F68" t="n">
        <v>10397</v>
      </c>
      <c r="G68" t="n">
        <v>10864</v>
      </c>
      <c r="H68" t="n">
        <v>11771</v>
      </c>
      <c r="I68" t="n">
        <v>14153</v>
      </c>
      <c r="J68" t="n">
        <v>15638</v>
      </c>
      <c r="K68" t="n">
        <v>18623</v>
      </c>
    </row>
    <row r="69">
      <c r="A69" s="193" t="inlineStr">
        <is>
          <t>Cash &amp; Bank</t>
        </is>
      </c>
      <c r="B69" t="n">
        <v>2967</v>
      </c>
      <c r="C69" t="n">
        <v>2900</v>
      </c>
      <c r="D69" t="n">
        <v>4152</v>
      </c>
      <c r="E69" t="n">
        <v>7277</v>
      </c>
      <c r="F69" t="n">
        <v>4659</v>
      </c>
      <c r="G69" t="n">
        <v>4654</v>
      </c>
      <c r="H69" t="n">
        <v>4880</v>
      </c>
      <c r="I69" t="n">
        <v>7218</v>
      </c>
      <c r="J69" t="n">
        <v>4012</v>
      </c>
      <c r="K69" t="n">
        <v>38128</v>
      </c>
    </row>
    <row r="70">
      <c r="A70" s="193" t="inlineStr">
        <is>
          <t>No. of Equity Shares</t>
        </is>
      </c>
      <c r="B70" t="n">
        <v>12150000000</v>
      </c>
      <c r="C70" t="n">
        <v>12200000000</v>
      </c>
      <c r="D70" t="n">
        <v>12260000000</v>
      </c>
      <c r="E70" t="n">
        <v>12290000000</v>
      </c>
      <c r="F70" t="n">
        <v>12310000000</v>
      </c>
      <c r="G70" t="n">
        <v>12320000000</v>
      </c>
      <c r="H70" t="n">
        <v>12430000000</v>
      </c>
      <c r="I70" t="n">
        <v>12480000000</v>
      </c>
      <c r="J70" t="n">
        <v>12510000000</v>
      </c>
      <c r="K70" t="n">
        <v>12530000000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10627</v>
      </c>
      <c r="C82" t="n">
        <v>13169</v>
      </c>
      <c r="D82" t="n">
        <v>12583</v>
      </c>
      <c r="E82" t="n">
        <v>14690</v>
      </c>
      <c r="F82" t="n">
        <v>12527</v>
      </c>
      <c r="G82" t="n">
        <v>15776</v>
      </c>
      <c r="H82" t="n">
        <v>18878</v>
      </c>
      <c r="I82" t="n">
        <v>17179</v>
      </c>
      <c r="J82" t="n">
        <v>17627</v>
      </c>
      <c r="K82" t="n">
        <v>18464</v>
      </c>
    </row>
    <row r="83" customFormat="1" s="188">
      <c r="A83" s="188" t="inlineStr">
        <is>
          <t>Cash from Investing Activity</t>
        </is>
      </c>
      <c r="B83" t="n">
        <v>-3251</v>
      </c>
      <c r="C83" t="n">
        <v>-7114</v>
      </c>
      <c r="D83" t="n">
        <v>-5546</v>
      </c>
      <c r="E83" t="n">
        <v>-6174</v>
      </c>
      <c r="F83" t="n">
        <v>5740</v>
      </c>
      <c r="G83" t="n">
        <v>-2238</v>
      </c>
      <c r="H83" t="n">
        <v>-5732</v>
      </c>
      <c r="I83" t="n">
        <v>1563</v>
      </c>
      <c r="J83" t="n">
        <v>-564</v>
      </c>
      <c r="K83" t="n">
        <v>-2321</v>
      </c>
    </row>
    <row r="84" customFormat="1" s="188">
      <c r="A84" s="188" t="inlineStr">
        <is>
          <t>Cash from Financing Activity</t>
        </is>
      </c>
      <c r="B84" t="n">
        <v>-7301</v>
      </c>
      <c r="C84" t="n">
        <v>-6221</v>
      </c>
      <c r="D84" t="n">
        <v>-6869</v>
      </c>
      <c r="E84" t="n">
        <v>-8181</v>
      </c>
      <c r="F84" t="n">
        <v>-18634</v>
      </c>
      <c r="G84" t="n">
        <v>-13580</v>
      </c>
      <c r="H84" t="n">
        <v>-13006</v>
      </c>
      <c r="I84" t="n">
        <v>-18551</v>
      </c>
      <c r="J84" t="n">
        <v>-17037</v>
      </c>
      <c r="K84" t="n">
        <v>-16147</v>
      </c>
    </row>
    <row r="85" customFormat="1" s="187">
      <c r="A85" s="188" t="inlineStr">
        <is>
          <t>Net Cash Flow</t>
        </is>
      </c>
      <c r="B85" t="n">
        <v>75</v>
      </c>
      <c r="C85" t="n">
        <v>-166</v>
      </c>
      <c r="D85" t="n">
        <v>169</v>
      </c>
      <c r="E85" t="n">
        <v>334</v>
      </c>
      <c r="F85" t="n">
        <v>-367</v>
      </c>
      <c r="G85" t="n">
        <v>-43</v>
      </c>
      <c r="H85" t="n">
        <v>139</v>
      </c>
      <c r="I85" t="n">
        <v>191</v>
      </c>
      <c r="J85" t="n">
        <v>26</v>
      </c>
      <c r="K85" t="n">
        <v>-4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245.18</v>
      </c>
      <c r="C90" t="n">
        <v>247.47</v>
      </c>
      <c r="D90" t="n">
        <v>260.78</v>
      </c>
      <c r="E90" t="n">
        <v>185.18</v>
      </c>
      <c r="F90" t="n">
        <v>191.09</v>
      </c>
      <c r="G90" t="n">
        <v>211.38</v>
      </c>
      <c r="H90" t="n">
        <v>360.85</v>
      </c>
      <c r="I90" t="n">
        <v>386.25</v>
      </c>
      <c r="J90" t="n">
        <v>395</v>
      </c>
      <c r="K90" t="n">
        <v>255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1253</v>
      </c>
      <c r="C93" s="198" t="n">
        <v>1253</v>
      </c>
      <c r="D93" s="198" t="n">
        <v>1253</v>
      </c>
      <c r="E93" s="198" t="n">
        <v>1253</v>
      </c>
      <c r="F93" s="198" t="n">
        <v>1253</v>
      </c>
      <c r="G93" s="198" t="n">
        <v>1253</v>
      </c>
      <c r="H93" s="198" t="n">
        <v>1253</v>
      </c>
      <c r="I93" s="198" t="n">
        <v>1253</v>
      </c>
      <c r="J93" s="198" t="n">
        <v>1253</v>
      </c>
      <c r="K93" s="198" t="n">
        <v>1253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ITC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0.8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0.58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0.72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0.65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8"/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2026-10-08</t>
        </is>
      </c>
      <c r="H6" t="n">
        <v>254.95</v>
      </c>
      <c r="J6" t="n">
        <v>22224.4</v>
      </c>
    </row>
    <row r="7">
      <c r="B7" t="n">
        <v>2024</v>
      </c>
      <c r="C7" s="46" t="n">
        <v>0.08749999999999999</v>
      </c>
      <c r="G7" s="34" t="inlineStr">
        <is>
          <t>2026-10-07</t>
        </is>
      </c>
      <c r="H7" t="n">
        <v>265.7</v>
      </c>
      <c r="J7" t="n">
        <v>22603.05</v>
      </c>
    </row>
    <row r="8">
      <c r="B8" t="n">
        <v>2023</v>
      </c>
      <c r="C8" s="46" t="n">
        <v>0.1942</v>
      </c>
      <c r="G8" s="34" t="inlineStr">
        <is>
          <t>2026-10-06</t>
        </is>
      </c>
      <c r="H8" t="n">
        <v>266.7</v>
      </c>
      <c r="J8" t="n">
        <v>22776.1</v>
      </c>
    </row>
    <row r="9">
      <c r="B9" t="n">
        <v>2022</v>
      </c>
      <c r="C9" s="46" t="n">
        <v>0.0432</v>
      </c>
      <c r="G9" s="34" t="inlineStr">
        <is>
          <t>2026-10-05</t>
        </is>
      </c>
      <c r="H9" t="n">
        <v>268.9</v>
      </c>
      <c r="J9" t="n">
        <v>22555.75</v>
      </c>
    </row>
    <row r="10">
      <c r="B10" t="n">
        <v>2021</v>
      </c>
      <c r="C10" s="46" t="n">
        <v>0.2412</v>
      </c>
      <c r="G10" s="34" t="inlineStr">
        <is>
          <t>2026-10-01</t>
        </is>
      </c>
      <c r="H10" t="n">
        <v>255.9</v>
      </c>
      <c r="J10" t="n">
        <v>22421.95</v>
      </c>
    </row>
    <row r="11">
      <c r="B11" t="n">
        <v>2020</v>
      </c>
      <c r="C11" s="46" t="n">
        <v>0.149</v>
      </c>
      <c r="G11" s="34" t="inlineStr">
        <is>
          <t>2026-09-30</t>
        </is>
      </c>
      <c r="H11" t="n">
        <v>262.75</v>
      </c>
      <c r="J11" t="n">
        <v>22620.45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2026-09-29</t>
        </is>
      </c>
      <c r="H12" t="n">
        <v>265.1</v>
      </c>
      <c r="J12" t="n">
        <v>22716.2</v>
      </c>
      <c r="N12" t="n">
        <v>1</v>
      </c>
      <c r="O12" t="inlineStr">
        <is>
          <t>Hind. Unilever</t>
        </is>
      </c>
      <c r="P12" t="n">
        <v>1841.65</v>
      </c>
      <c r="Q12">
        <f>IF(P12&gt;0, R12/P12, 0)</f>
        <v/>
      </c>
      <c r="R12" t="n">
        <v>432712.5</v>
      </c>
      <c r="S12" t="n">
        <v>1478</v>
      </c>
      <c r="T12" t="n">
        <v>5939</v>
      </c>
      <c r="U12">
        <f>R12+S12-T12</f>
        <v/>
      </c>
      <c r="V12" t="n">
        <v>69364</v>
      </c>
      <c r="W12">
        <f>IF(X12&gt;0, U12/X12, "N/A")</f>
        <v/>
      </c>
      <c r="X12" t="n">
        <v>11049.86</v>
      </c>
    </row>
    <row r="13">
      <c r="B13" t="n">
        <v>2018</v>
      </c>
      <c r="C13" s="46" t="n">
        <v>0.0315</v>
      </c>
      <c r="G13" s="34" t="inlineStr">
        <is>
          <t>2026-09-28</t>
        </is>
      </c>
      <c r="H13" t="n">
        <v>265.2</v>
      </c>
      <c r="J13" t="n">
        <v>22780.25</v>
      </c>
      <c r="N13" t="n">
        <v>2</v>
      </c>
      <c r="O13" t="inlineStr">
        <is>
          <t>Nestle India</t>
        </is>
      </c>
      <c r="P13" t="n">
        <v>1315</v>
      </c>
      <c r="Q13">
        <f>IF(P13&gt;0, R13/P13, 0)</f>
        <v/>
      </c>
      <c r="R13" t="n">
        <v>253573.4</v>
      </c>
      <c r="S13" t="n">
        <v>444</v>
      </c>
      <c r="T13" t="n">
        <v>2100</v>
      </c>
      <c r="U13">
        <f>R13+S13-T13</f>
        <v/>
      </c>
      <c r="V13" t="n">
        <v>25512.7</v>
      </c>
      <c r="W13">
        <f>IF(X13&gt;0, U13/X13, "N/A")</f>
        <v/>
      </c>
      <c r="X13" t="n">
        <v>3754.97</v>
      </c>
    </row>
    <row r="14">
      <c r="B14" t="n">
        <v>2017</v>
      </c>
      <c r="C14" s="46" t="n">
        <v>0.2865</v>
      </c>
      <c r="G14" s="34" t="inlineStr">
        <is>
          <t>2026-09-25</t>
        </is>
      </c>
      <c r="H14" t="n">
        <v>269</v>
      </c>
      <c r="J14" t="n">
        <v>23140.5</v>
      </c>
      <c r="N14" t="n">
        <v>3</v>
      </c>
      <c r="O14">
        <f>'Data Sheet'!B1</f>
        <v/>
      </c>
      <c r="P14" t="n">
        <v>255</v>
      </c>
      <c r="Q14">
        <f>IF(P14&gt;0, R14/P14, 0)</f>
        <v/>
      </c>
      <c r="R14" t="n">
        <v>319591</v>
      </c>
      <c r="S14" t="n">
        <v>2399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2026-09-24</t>
        </is>
      </c>
      <c r="H15" t="n">
        <v>268</v>
      </c>
      <c r="J15" t="n">
        <v>23063.1</v>
      </c>
      <c r="N15" t="n">
        <v>4</v>
      </c>
      <c r="O15" t="inlineStr">
        <is>
          <t>Varun Beverages</t>
        </is>
      </c>
      <c r="P15" t="n">
        <v>431.9</v>
      </c>
      <c r="Q15">
        <f>IF(P15&gt;0, R15/P15, 0)</f>
        <v/>
      </c>
      <c r="R15" t="n">
        <v>146089.9</v>
      </c>
      <c r="S15" t="n">
        <v>2508</v>
      </c>
      <c r="T15" t="n">
        <v>1200</v>
      </c>
      <c r="U15">
        <f>R15+S15-T15</f>
        <v/>
      </c>
      <c r="V15" t="n">
        <v>33804.9</v>
      </c>
      <c r="W15">
        <f>IF(X15&gt;0, U15/X15, "N/A")</f>
        <v/>
      </c>
      <c r="X15" t="n">
        <v>3384.85</v>
      </c>
    </row>
    <row r="16">
      <c r="B16" t="n">
        <v>2015</v>
      </c>
      <c r="C16" s="46" t="n">
        <v>-0.0406</v>
      </c>
      <c r="G16" s="34" t="inlineStr">
        <is>
          <t>2026-09-23</t>
        </is>
      </c>
      <c r="H16" t="n">
        <v>270.15</v>
      </c>
      <c r="J16" t="n">
        <v>23446.8</v>
      </c>
      <c r="N16" t="n">
        <v>5</v>
      </c>
      <c r="O16" t="inlineStr">
        <is>
          <t>Britannia Inds.</t>
        </is>
      </c>
      <c r="P16" t="n">
        <v>4772</v>
      </c>
      <c r="Q16">
        <f>IF(P16&gt;0, R16/P16, 0)</f>
        <v/>
      </c>
      <c r="R16" t="n">
        <v>114942.4</v>
      </c>
      <c r="S16" t="n">
        <v>1380</v>
      </c>
      <c r="T16" t="n">
        <v>3610</v>
      </c>
      <c r="U16">
        <f>R16+S16-T16</f>
        <v/>
      </c>
      <c r="V16" t="n">
        <v>19999.9</v>
      </c>
      <c r="W16">
        <f>IF(X16&gt;0, U16/X16, "N/A")</f>
        <v/>
      </c>
      <c r="X16" t="n">
        <v>2602.27</v>
      </c>
    </row>
    <row r="17">
      <c r="B17" t="n">
        <v>2014</v>
      </c>
      <c r="C17" s="46" t="n">
        <v>0.3139</v>
      </c>
      <c r="G17" s="34" t="inlineStr">
        <is>
          <t>2026-09-22</t>
        </is>
      </c>
      <c r="H17" t="n">
        <v>265.8</v>
      </c>
      <c r="J17" t="n">
        <v>23329</v>
      </c>
      <c r="N17" t="n">
        <v>6</v>
      </c>
      <c r="O17" t="inlineStr">
        <is>
          <t>Marico</t>
        </is>
      </c>
      <c r="P17" t="n">
        <v>777.85</v>
      </c>
      <c r="Q17">
        <f>IF(P17&gt;0, R17/P17, 0)</f>
        <v/>
      </c>
      <c r="R17" t="n">
        <v>101136.4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U17/X17, "N/A")</f>
        <v/>
      </c>
      <c r="X17" t="n">
        <v>1890.4</v>
      </c>
    </row>
    <row r="18">
      <c r="B18" t="n">
        <v>2013</v>
      </c>
      <c r="C18" s="46" t="n">
        <v>0.06759999999999999</v>
      </c>
      <c r="G18" s="34" t="inlineStr">
        <is>
          <t>2026-09-21</t>
        </is>
      </c>
      <c r="H18" t="n">
        <v>267</v>
      </c>
      <c r="J18" t="n">
        <v>23414.3</v>
      </c>
      <c r="N18" t="n">
        <v>7</v>
      </c>
      <c r="O18" t="inlineStr">
        <is>
          <t>Godrej Consumer</t>
        </is>
      </c>
      <c r="P18" t="n">
        <v>864.65</v>
      </c>
      <c r="Q18">
        <f>IF(P18&gt;0, R18/P18, 0)</f>
        <v/>
      </c>
      <c r="R18" t="n">
        <v>88480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U18/X18, "N/A")</f>
        <v/>
      </c>
      <c r="X18" t="n">
        <v>2076.51</v>
      </c>
    </row>
    <row r="19">
      <c r="B19" t="n">
        <v>2012</v>
      </c>
      <c r="C19" s="46" t="n">
        <v>0.277</v>
      </c>
      <c r="G19" s="34" t="inlineStr">
        <is>
          <t>2026-09-18</t>
        </is>
      </c>
      <c r="H19" t="n">
        <v>262.3</v>
      </c>
      <c r="J19" t="n">
        <v>23346.4</v>
      </c>
      <c r="N19" t="n">
        <v>8</v>
      </c>
      <c r="O19" t="inlineStr">
        <is>
          <t>Dabur India</t>
        </is>
      </c>
      <c r="P19" t="n">
        <v>379.15</v>
      </c>
      <c r="Q19">
        <f>IF(P19&gt;0, R19/P19, 0)</f>
        <v/>
      </c>
      <c r="R19" t="n">
        <v>67259.60000000001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U19/X19, "N/A")</f>
        <v/>
      </c>
      <c r="X19" t="n">
        <v>1982.89</v>
      </c>
    </row>
    <row r="20">
      <c r="B20" t="n">
        <v>2011</v>
      </c>
      <c r="C20" s="46" t="n">
        <v>-0.2462</v>
      </c>
      <c r="G20" s="34" t="inlineStr">
        <is>
          <t>2026-09-17</t>
        </is>
      </c>
      <c r="H20" t="n">
        <v>266.2</v>
      </c>
      <c r="J20" t="n">
        <v>23270.6</v>
      </c>
      <c r="N20" t="n">
        <v>9</v>
      </c>
      <c r="O20" t="inlineStr">
        <is>
          <t>Hindustan Foods</t>
        </is>
      </c>
      <c r="P20" t="n">
        <v>572.15</v>
      </c>
      <c r="Q20">
        <f>IF(P20&gt;0, R20/P20, 0)</f>
        <v/>
      </c>
      <c r="R20" t="n">
        <v>6940.7</v>
      </c>
      <c r="S20" t="n">
        <v>1088</v>
      </c>
      <c r="T20" t="n">
        <v>5</v>
      </c>
      <c r="U20">
        <f>R20+S20-T20</f>
        <v/>
      </c>
      <c r="V20" t="n">
        <v>4804.3</v>
      </c>
      <c r="W20">
        <f>IF(X20&gt;0, U20/X20, "N/A")</f>
        <v/>
      </c>
      <c r="X20" t="n">
        <v>161.83</v>
      </c>
    </row>
    <row r="21">
      <c r="B21" t="n">
        <v>2010</v>
      </c>
      <c r="C21" s="46" t="n">
        <v>0.1795</v>
      </c>
      <c r="G21" s="34" t="inlineStr">
        <is>
          <t>2026-09-16</t>
        </is>
      </c>
      <c r="H21" t="n">
        <v>264.15</v>
      </c>
      <c r="J21" t="n">
        <v>23217.6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2026-09-15</t>
        </is>
      </c>
      <c r="H22" t="n">
        <v>258</v>
      </c>
      <c r="J22" t="n">
        <v>23118.6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2026-09-11</t>
        </is>
      </c>
      <c r="H23" t="n">
        <v>259.85</v>
      </c>
      <c r="J23" t="n">
        <v>23398.1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2026-09-10</t>
        </is>
      </c>
      <c r="H24" t="n">
        <v>259.3</v>
      </c>
      <c r="J24" t="n">
        <v>23477.8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432712.5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2026-09-09</t>
        </is>
      </c>
      <c r="H25" t="n">
        <v>260.8</v>
      </c>
      <c r="J25" t="n">
        <v>23431.5</v>
      </c>
      <c r="O25" t="inlineStr">
        <is>
          <t>Nestle India</t>
        </is>
      </c>
      <c r="Q25">
        <f>Q24</f>
        <v/>
      </c>
      <c r="R25" t="n">
        <v>444</v>
      </c>
      <c r="S25" t="n">
        <v>253573.4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2026-09-08</t>
        </is>
      </c>
      <c r="H26" t="n">
        <v>263.5</v>
      </c>
      <c r="J26" t="n">
        <v>23635.1</v>
      </c>
      <c r="O26">
        <f>'Data Sheet'!B1</f>
        <v/>
      </c>
      <c r="Q26">
        <f>Q25</f>
        <v/>
      </c>
      <c r="R26" t="n">
        <v>2399</v>
      </c>
      <c r="S26" t="n">
        <v>319591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2026-09-07</t>
        </is>
      </c>
      <c r="H27" t="n">
        <v>263.5</v>
      </c>
      <c r="J27" t="n">
        <v>23779.15</v>
      </c>
      <c r="O27" t="inlineStr">
        <is>
          <t>Varun Beverages</t>
        </is>
      </c>
      <c r="Q27">
        <f>Q26</f>
        <v/>
      </c>
      <c r="R27" t="n">
        <v>2508</v>
      </c>
      <c r="S27" t="n">
        <v>146089.9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2026-09-04</t>
        </is>
      </c>
      <c r="H28" t="n">
        <v>264.1</v>
      </c>
      <c r="J28" t="n">
        <v>23897.7</v>
      </c>
      <c r="O28" t="inlineStr">
        <is>
          <t>Britannia Inds.</t>
        </is>
      </c>
      <c r="Q28">
        <f>Q27</f>
        <v/>
      </c>
      <c r="R28" t="n">
        <v>1380</v>
      </c>
      <c r="S28" t="n">
        <v>114942.4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2026-09-03</t>
        </is>
      </c>
      <c r="H29" t="n">
        <v>263</v>
      </c>
      <c r="J29" t="n">
        <v>23873.45</v>
      </c>
    </row>
    <row r="30">
      <c r="G30" s="34" t="inlineStr">
        <is>
          <t>2026-09-02</t>
        </is>
      </c>
      <c r="H30" t="n">
        <v>266.3</v>
      </c>
      <c r="J30" t="n">
        <v>23914.45</v>
      </c>
    </row>
    <row r="31">
      <c r="G31" s="34" t="inlineStr">
        <is>
          <t>2026-09-01</t>
        </is>
      </c>
      <c r="H31" t="n">
        <v>266.6</v>
      </c>
      <c r="J31" t="n">
        <v>24055.8</v>
      </c>
    </row>
    <row r="32">
      <c r="G32" s="34" t="inlineStr">
        <is>
          <t>2026-08-31</t>
        </is>
      </c>
      <c r="H32" t="n">
        <v>255.5</v>
      </c>
      <c r="J32" t="n">
        <v>24080.4</v>
      </c>
    </row>
    <row r="33">
      <c r="G33" s="34" t="inlineStr">
        <is>
          <t>2026-08-28</t>
        </is>
      </c>
      <c r="H33" t="n">
        <v>266</v>
      </c>
      <c r="J33" t="n">
        <v>24175.65</v>
      </c>
    </row>
    <row r="34">
      <c r="G34" s="34" t="inlineStr">
        <is>
          <t>2026-08-27</t>
        </is>
      </c>
      <c r="H34" t="n">
        <v>269</v>
      </c>
      <c r="J34" t="n">
        <v>24090.85</v>
      </c>
    </row>
    <row r="35">
      <c r="G35" s="34" t="inlineStr">
        <is>
          <t>2026-08-26</t>
        </is>
      </c>
      <c r="H35" t="n">
        <v>270.25</v>
      </c>
      <c r="J35" t="n">
        <v>24207.75</v>
      </c>
    </row>
    <row r="36">
      <c r="G36" s="34" t="inlineStr">
        <is>
          <t>2026-08-25</t>
        </is>
      </c>
      <c r="H36" t="n">
        <v>271.4</v>
      </c>
      <c r="J36" t="n">
        <v>24334.55</v>
      </c>
    </row>
    <row r="37">
      <c r="G37" s="34" t="inlineStr">
        <is>
          <t>2026-08-24</t>
        </is>
      </c>
      <c r="H37" t="n">
        <v>269.7</v>
      </c>
      <c r="J37" t="n">
        <v>24219.05</v>
      </c>
    </row>
    <row r="38">
      <c r="G38" s="34" t="inlineStr">
        <is>
          <t>2026-08-21</t>
        </is>
      </c>
      <c r="H38" t="n">
        <v>269.4</v>
      </c>
      <c r="J38" t="n">
        <v>24252</v>
      </c>
    </row>
    <row r="39">
      <c r="G39" s="34" t="inlineStr">
        <is>
          <t>2026-08-20</t>
        </is>
      </c>
      <c r="H39" t="n">
        <v>271.65</v>
      </c>
      <c r="J39" t="n">
        <v>24231.85</v>
      </c>
    </row>
    <row r="40">
      <c r="G40" s="34" t="inlineStr">
        <is>
          <t>2026-08-19</t>
        </is>
      </c>
      <c r="H40" t="n">
        <v>267.05</v>
      </c>
      <c r="J40" t="n">
        <v>24078.3</v>
      </c>
    </row>
    <row r="41">
      <c r="G41" s="34" t="inlineStr">
        <is>
          <t>2026-08-18</t>
        </is>
      </c>
      <c r="H41" t="n">
        <v>270</v>
      </c>
      <c r="J41" t="n">
        <v>24154.9</v>
      </c>
    </row>
    <row r="42">
      <c r="G42" s="34" t="inlineStr">
        <is>
          <t>2026-08-17</t>
        </is>
      </c>
      <c r="H42" t="n">
        <v>273.05</v>
      </c>
      <c r="J42" t="n">
        <v>24287.65</v>
      </c>
    </row>
    <row r="43">
      <c r="G43" s="34" t="inlineStr">
        <is>
          <t>2026-08-14</t>
        </is>
      </c>
      <c r="H43" t="n">
        <v>278.2</v>
      </c>
      <c r="J43" t="n">
        <v>24366</v>
      </c>
    </row>
    <row r="44">
      <c r="G44" s="34" t="inlineStr">
        <is>
          <t>2026-08-13</t>
        </is>
      </c>
      <c r="H44" t="n">
        <v>278.5</v>
      </c>
      <c r="J44" t="n">
        <v>24395.85</v>
      </c>
    </row>
    <row r="45">
      <c r="G45" s="34" t="inlineStr">
        <is>
          <t>2026-08-12</t>
        </is>
      </c>
      <c r="H45" t="n">
        <v>276.15</v>
      </c>
      <c r="J45" t="n">
        <v>24435.95</v>
      </c>
    </row>
    <row r="46">
      <c r="G46" s="34" t="inlineStr">
        <is>
          <t>2026-08-11</t>
        </is>
      </c>
      <c r="H46" t="n">
        <v>279</v>
      </c>
      <c r="J46" t="n">
        <v>24471.7</v>
      </c>
    </row>
    <row r="47">
      <c r="G47" s="34" t="inlineStr">
        <is>
          <t>2026-08-10</t>
        </is>
      </c>
      <c r="H47" t="n">
        <v>282.65</v>
      </c>
      <c r="J47" t="n">
        <v>24583.8</v>
      </c>
    </row>
    <row r="48">
      <c r="G48" s="34" t="inlineStr">
        <is>
          <t>2026-08-07</t>
        </is>
      </c>
      <c r="H48" t="n">
        <v>286.1</v>
      </c>
      <c r="J48" t="n">
        <v>24570.65</v>
      </c>
    </row>
    <row r="49">
      <c r="G49" s="34" t="inlineStr">
        <is>
          <t>2026-08-06</t>
        </is>
      </c>
      <c r="H49" t="n">
        <v>285.9</v>
      </c>
      <c r="J49" t="n">
        <v>24636</v>
      </c>
    </row>
    <row r="50">
      <c r="G50" s="34" t="inlineStr">
        <is>
          <t>2026-08-05</t>
        </is>
      </c>
      <c r="H50" t="n">
        <v>286.95</v>
      </c>
      <c r="J50" t="n">
        <v>24624.65</v>
      </c>
    </row>
    <row r="51">
      <c r="G51" s="34" t="inlineStr">
        <is>
          <t>2026-08-04</t>
        </is>
      </c>
      <c r="H51" t="n">
        <v>289</v>
      </c>
      <c r="J51" t="n">
        <v>24614.9</v>
      </c>
    </row>
    <row r="52">
      <c r="G52" s="34" t="inlineStr">
        <is>
          <t>2026-08-03</t>
        </is>
      </c>
      <c r="H52" t="n">
        <v>287</v>
      </c>
      <c r="J52" t="n">
        <v>24774.3</v>
      </c>
    </row>
    <row r="53">
      <c r="G53" s="34" t="inlineStr">
        <is>
          <t>2026-07-31</t>
        </is>
      </c>
      <c r="H53" t="n">
        <v>281</v>
      </c>
      <c r="J53" t="n">
        <v>24383.6</v>
      </c>
    </row>
    <row r="54">
      <c r="G54" s="34" t="inlineStr">
        <is>
          <t>2026-07-30</t>
        </is>
      </c>
      <c r="H54" t="n">
        <v>285.05</v>
      </c>
      <c r="J54" t="n">
        <v>24317.15</v>
      </c>
    </row>
    <row r="55">
      <c r="G55" s="34" t="inlineStr">
        <is>
          <t>2026-07-29</t>
        </is>
      </c>
      <c r="H55" t="n">
        <v>286.25</v>
      </c>
      <c r="J55" t="n">
        <v>24250.2</v>
      </c>
    </row>
    <row r="56">
      <c r="G56" s="34" t="inlineStr">
        <is>
          <t>2026-07-28</t>
        </is>
      </c>
      <c r="H56" t="n">
        <v>284.65</v>
      </c>
      <c r="J56" t="n">
        <v>23985.35</v>
      </c>
    </row>
    <row r="57">
      <c r="G57" s="34" t="inlineStr">
        <is>
          <t>2026-07-27</t>
        </is>
      </c>
      <c r="H57" t="n">
        <v>285.85</v>
      </c>
      <c r="J57" t="n">
        <v>23995.95</v>
      </c>
    </row>
    <row r="58">
      <c r="G58" s="34" t="inlineStr">
        <is>
          <t>2026-07-24</t>
        </is>
      </c>
      <c r="H58" t="n">
        <v>283.45</v>
      </c>
      <c r="J58" t="n">
        <v>23767.45</v>
      </c>
    </row>
    <row r="59">
      <c r="G59" s="34" t="inlineStr">
        <is>
          <t>2026-07-23</t>
        </is>
      </c>
      <c r="H59" t="n">
        <v>281.3</v>
      </c>
      <c r="J59" t="n">
        <v>23869.6</v>
      </c>
    </row>
    <row r="60">
      <c r="G60" s="34" t="inlineStr">
        <is>
          <t>2026-07-22</t>
        </is>
      </c>
      <c r="H60" t="n">
        <v>280.8</v>
      </c>
      <c r="J60" t="n">
        <v>23996.25</v>
      </c>
    </row>
    <row r="61">
      <c r="G61" s="34" t="inlineStr">
        <is>
          <t>2026-07-21</t>
        </is>
      </c>
      <c r="H61" t="n">
        <v>281</v>
      </c>
      <c r="J61" t="n">
        <v>24187.7</v>
      </c>
    </row>
    <row r="62">
      <c r="G62" s="34" t="inlineStr">
        <is>
          <t>2026-07-20</t>
        </is>
      </c>
      <c r="H62" t="n">
        <v>282.7</v>
      </c>
      <c r="J62" t="n">
        <v>24238.5</v>
      </c>
    </row>
    <row r="63">
      <c r="G63" s="34" t="inlineStr">
        <is>
          <t>2026-07-17</t>
        </is>
      </c>
      <c r="H63" t="n">
        <v>280.7</v>
      </c>
      <c r="J63" t="n">
        <v>24334.3</v>
      </c>
    </row>
    <row r="64">
      <c r="G64" s="34" t="inlineStr">
        <is>
          <t>2026-07-16</t>
        </is>
      </c>
      <c r="H64" t="n">
        <v>279.35</v>
      </c>
      <c r="J64" t="n">
        <v>24072.75</v>
      </c>
    </row>
    <row r="65">
      <c r="G65" s="34" t="inlineStr">
        <is>
          <t>2026-07-15</t>
        </is>
      </c>
      <c r="H65" t="n">
        <v>276.65</v>
      </c>
      <c r="J65" t="n">
        <v>24078.5</v>
      </c>
    </row>
    <row r="66">
      <c r="G66" s="34" t="inlineStr">
        <is>
          <t>2026-07-14</t>
        </is>
      </c>
      <c r="H66" t="n">
        <v>275.55</v>
      </c>
      <c r="J66" t="n">
        <v>24052.05</v>
      </c>
    </row>
    <row r="67">
      <c r="G67" s="34" t="inlineStr">
        <is>
          <t>2026-07-13</t>
        </is>
      </c>
      <c r="H67" t="n">
        <v>279.65</v>
      </c>
      <c r="J67" t="n">
        <v>24211</v>
      </c>
    </row>
    <row r="68">
      <c r="G68" s="34" t="inlineStr">
        <is>
          <t>2026-07-10</t>
        </is>
      </c>
      <c r="H68" t="n">
        <v>281.75</v>
      </c>
      <c r="J68" t="n">
        <v>24206.9</v>
      </c>
    </row>
    <row r="69">
      <c r="G69" s="34" t="inlineStr">
        <is>
          <t>2026-07-09</t>
        </is>
      </c>
      <c r="H69" t="n">
        <v>282.05</v>
      </c>
      <c r="J69" t="n">
        <v>23962.8</v>
      </c>
    </row>
    <row r="70">
      <c r="G70" s="34" t="inlineStr">
        <is>
          <t>2026-07-08</t>
        </is>
      </c>
      <c r="H70" t="n">
        <v>280.65</v>
      </c>
      <c r="J70" t="n">
        <v>23882.05</v>
      </c>
    </row>
    <row r="71">
      <c r="G71" s="34" t="inlineStr">
        <is>
          <t>2026-07-07</t>
        </is>
      </c>
      <c r="H71" t="n">
        <v>288.75</v>
      </c>
      <c r="J71" t="n">
        <v>24398.7</v>
      </c>
    </row>
    <row r="72">
      <c r="G72" s="34" t="inlineStr">
        <is>
          <t>2026-07-06</t>
        </is>
      </c>
      <c r="H72" t="n">
        <v>288.25</v>
      </c>
      <c r="J72" t="n">
        <v>24430.35</v>
      </c>
    </row>
    <row r="73">
      <c r="G73" s="34" t="inlineStr">
        <is>
          <t>2026-07-03</t>
        </is>
      </c>
      <c r="H73" t="n">
        <v>289.95</v>
      </c>
      <c r="J73" t="n">
        <v>24270.85</v>
      </c>
    </row>
    <row r="74">
      <c r="G74" s="34" t="inlineStr">
        <is>
          <t>2026-07-02</t>
        </is>
      </c>
      <c r="H74" t="n">
        <v>289.9</v>
      </c>
      <c r="J74" t="n">
        <v>24175.7</v>
      </c>
    </row>
    <row r="75">
      <c r="G75" s="34" t="inlineStr">
        <is>
          <t>2026-07-01</t>
        </is>
      </c>
      <c r="H75" t="n">
        <v>290.3</v>
      </c>
      <c r="J75" t="n">
        <v>24005.85</v>
      </c>
    </row>
    <row r="76">
      <c r="G76" s="34" t="inlineStr">
        <is>
          <t>2026-06-30</t>
        </is>
      </c>
      <c r="H76" t="n">
        <v>286.95</v>
      </c>
      <c r="J76" t="n">
        <v>23865.75</v>
      </c>
    </row>
    <row r="77">
      <c r="G77" s="34" t="inlineStr">
        <is>
          <t>2026-06-29</t>
        </is>
      </c>
      <c r="H77" t="n">
        <v>290.7</v>
      </c>
      <c r="J77" t="n">
        <v>23946.25</v>
      </c>
    </row>
    <row r="78">
      <c r="G78" s="34" t="inlineStr">
        <is>
          <t>2026-06-25</t>
        </is>
      </c>
      <c r="H78" t="n">
        <v>290</v>
      </c>
      <c r="J78" t="n">
        <v>24056</v>
      </c>
    </row>
    <row r="79">
      <c r="G79" s="34" t="inlineStr">
        <is>
          <t>2026-06-24</t>
        </is>
      </c>
      <c r="H79" t="n">
        <v>290.35</v>
      </c>
      <c r="J79" t="n">
        <v>24021.65</v>
      </c>
    </row>
    <row r="80">
      <c r="G80" s="34" t="inlineStr">
        <is>
          <t>2026-06-23</t>
        </is>
      </c>
      <c r="H80" t="n">
        <v>290</v>
      </c>
      <c r="J80" t="n">
        <v>23824.1</v>
      </c>
    </row>
    <row r="81">
      <c r="G81" s="34" t="inlineStr">
        <is>
          <t>2026-06-22</t>
        </is>
      </c>
      <c r="H81" t="n">
        <v>291.25</v>
      </c>
      <c r="J81" t="n">
        <v>24102.9</v>
      </c>
    </row>
    <row r="82">
      <c r="G82" s="34" t="inlineStr">
        <is>
          <t>2026-06-19</t>
        </is>
      </c>
      <c r="H82" t="n">
        <v>292.5</v>
      </c>
      <c r="J82" t="n">
        <v>24013.1</v>
      </c>
    </row>
    <row r="83">
      <c r="G83" s="34" t="inlineStr">
        <is>
          <t>2026-06-18</t>
        </is>
      </c>
      <c r="H83" t="n">
        <v>291.15</v>
      </c>
      <c r="J83" t="n">
        <v>24168</v>
      </c>
    </row>
    <row r="84">
      <c r="G84" s="34" t="inlineStr">
        <is>
          <t>2026-06-17</t>
        </is>
      </c>
      <c r="H84" t="n">
        <v>290.75</v>
      </c>
      <c r="J84" t="n">
        <v>24085.7</v>
      </c>
    </row>
    <row r="85">
      <c r="G85" s="34" t="inlineStr">
        <is>
          <t>2026-06-16</t>
        </is>
      </c>
      <c r="H85" t="n">
        <v>291.65</v>
      </c>
      <c r="J85" t="n">
        <v>23989.15</v>
      </c>
    </row>
    <row r="86">
      <c r="G86" s="34" t="inlineStr">
        <is>
          <t>2026-06-15</t>
        </is>
      </c>
      <c r="H86" t="n">
        <v>287.9</v>
      </c>
      <c r="J86" t="n">
        <v>23853.9</v>
      </c>
    </row>
    <row r="87">
      <c r="G87" s="34" t="inlineStr">
        <is>
          <t>2026-06-12</t>
        </is>
      </c>
      <c r="H87" t="n">
        <v>285.1</v>
      </c>
      <c r="J87" t="n">
        <v>23622.9</v>
      </c>
    </row>
    <row r="88">
      <c r="G88" s="34" t="inlineStr">
        <is>
          <t>2026-06-11</t>
        </is>
      </c>
      <c r="H88" t="n">
        <v>282.4</v>
      </c>
      <c r="J88" t="n">
        <v>23161.6</v>
      </c>
    </row>
    <row r="89">
      <c r="G89" s="34" t="inlineStr">
        <is>
          <t>2026-06-10</t>
        </is>
      </c>
      <c r="H89" t="n">
        <v>283.65</v>
      </c>
      <c r="J89" t="n">
        <v>23214.95</v>
      </c>
    </row>
    <row r="90">
      <c r="G90" s="34" t="inlineStr">
        <is>
          <t>2026-06-09</t>
        </is>
      </c>
      <c r="H90" t="n">
        <v>280</v>
      </c>
      <c r="J90" t="n">
        <v>23242.1</v>
      </c>
    </row>
    <row r="91">
      <c r="G91" s="34" t="inlineStr">
        <is>
          <t>2026-06-08</t>
        </is>
      </c>
      <c r="H91" t="n">
        <v>279.45</v>
      </c>
      <c r="J91" t="n">
        <v>23123</v>
      </c>
    </row>
    <row r="92">
      <c r="G92" s="34" t="inlineStr">
        <is>
          <t>2026-06-05</t>
        </is>
      </c>
      <c r="H92" t="n">
        <v>280.7</v>
      </c>
      <c r="J92" t="n">
        <v>23366.7</v>
      </c>
    </row>
    <row r="93">
      <c r="G93" s="34" t="inlineStr">
        <is>
          <t>2026-06-04</t>
        </is>
      </c>
      <c r="H93" t="n">
        <v>280.3</v>
      </c>
      <c r="J93" t="n">
        <v>23416.55</v>
      </c>
    </row>
    <row r="94">
      <c r="G94" s="34" t="inlineStr">
        <is>
          <t>2026-06-03</t>
        </is>
      </c>
      <c r="H94" t="n">
        <v>277</v>
      </c>
      <c r="J94" t="n">
        <v>23405.6</v>
      </c>
    </row>
    <row r="95">
      <c r="G95" s="34" t="inlineStr">
        <is>
          <t>2026-06-02</t>
        </is>
      </c>
      <c r="H95" t="n">
        <v>283.25</v>
      </c>
      <c r="J95" t="n">
        <v>23483.55</v>
      </c>
    </row>
    <row r="96">
      <c r="G96" s="34" t="inlineStr">
        <is>
          <t>2026-06-01</t>
        </is>
      </c>
      <c r="H96" t="n">
        <v>279.65</v>
      </c>
      <c r="J96" t="n">
        <v>23382.6</v>
      </c>
    </row>
    <row r="97">
      <c r="G97" s="34" t="inlineStr">
        <is>
          <t>2026-05-29</t>
        </is>
      </c>
      <c r="H97" t="n">
        <v>286.9</v>
      </c>
      <c r="J97" t="n">
        <v>23547.75</v>
      </c>
    </row>
    <row r="98">
      <c r="G98" s="34" t="inlineStr">
        <is>
          <t>2026-05-27</t>
        </is>
      </c>
      <c r="H98" t="n">
        <v>291.95</v>
      </c>
      <c r="J98" t="n">
        <v>23907.15</v>
      </c>
    </row>
    <row r="99">
      <c r="G99" s="34" t="inlineStr">
        <is>
          <t>2026-05-26</t>
        </is>
      </c>
      <c r="H99" t="n">
        <v>301.65</v>
      </c>
      <c r="J99" t="n">
        <v>23913.7</v>
      </c>
    </row>
    <row r="100">
      <c r="G100" s="34" t="inlineStr">
        <is>
          <t>2026-05-25</t>
        </is>
      </c>
      <c r="H100" t="n">
        <v>303.95</v>
      </c>
      <c r="J100" t="n">
        <v>24031.7</v>
      </c>
    </row>
    <row r="101">
      <c r="G101" s="34" t="inlineStr">
        <is>
          <t>2026-05-22</t>
        </is>
      </c>
      <c r="H101" t="n">
        <v>301.7</v>
      </c>
      <c r="J101" t="n">
        <v>23719.3</v>
      </c>
    </row>
    <row r="102">
      <c r="G102" s="34" t="inlineStr">
        <is>
          <t>2026-05-21</t>
        </is>
      </c>
      <c r="H102" t="n">
        <v>308.05</v>
      </c>
      <c r="J102" t="n">
        <v>23654.7</v>
      </c>
    </row>
    <row r="103">
      <c r="G103" s="34" t="inlineStr">
        <is>
          <t>2026-05-20</t>
        </is>
      </c>
      <c r="H103" t="n">
        <v>307.55</v>
      </c>
      <c r="J103" t="n">
        <v>23659</v>
      </c>
    </row>
    <row r="104">
      <c r="G104" s="34" t="inlineStr">
        <is>
          <t>2026-05-19</t>
        </is>
      </c>
      <c r="H104" t="n">
        <v>310.3</v>
      </c>
      <c r="J104" t="n">
        <v>23618</v>
      </c>
    </row>
    <row r="105">
      <c r="G105" s="34" t="inlineStr">
        <is>
          <t>2026-05-18</t>
        </is>
      </c>
      <c r="H105" t="n">
        <v>310.15</v>
      </c>
      <c r="J105" t="n">
        <v>23649.95</v>
      </c>
    </row>
    <row r="106">
      <c r="G106" s="34" t="inlineStr">
        <is>
          <t>2026-05-15</t>
        </is>
      </c>
      <c r="H106" t="n">
        <v>309.45</v>
      </c>
      <c r="J106" t="n">
        <v>23643.5</v>
      </c>
    </row>
    <row r="107">
      <c r="G107" s="34" t="inlineStr">
        <is>
          <t>2026-05-14</t>
        </is>
      </c>
      <c r="H107" t="n">
        <v>307.2</v>
      </c>
      <c r="J107" t="n">
        <v>23689.6</v>
      </c>
    </row>
    <row r="108">
      <c r="G108" s="34" t="inlineStr">
        <is>
          <t>2026-05-13</t>
        </is>
      </c>
      <c r="H108" t="n">
        <v>304.45</v>
      </c>
      <c r="J108" t="n">
        <v>23412.6</v>
      </c>
    </row>
    <row r="109">
      <c r="G109" s="34" t="inlineStr">
        <is>
          <t>2026-05-12</t>
        </is>
      </c>
      <c r="H109" t="n">
        <v>300.7</v>
      </c>
      <c r="J109" t="n">
        <v>23379.55</v>
      </c>
    </row>
    <row r="110">
      <c r="G110" s="34" t="inlineStr">
        <is>
          <t>2026-05-11</t>
        </is>
      </c>
      <c r="H110" t="n">
        <v>305.85</v>
      </c>
      <c r="J110" t="n">
        <v>23815.85</v>
      </c>
    </row>
    <row r="111">
      <c r="G111" s="34" t="inlineStr">
        <is>
          <t>2026-05-08</t>
        </is>
      </c>
      <c r="H111" t="n">
        <v>307.45</v>
      </c>
      <c r="J111" t="n">
        <v>24176.15</v>
      </c>
    </row>
    <row r="112">
      <c r="G112" s="34" t="inlineStr">
        <is>
          <t>2026-05-07</t>
        </is>
      </c>
      <c r="H112" t="n">
        <v>307.4</v>
      </c>
      <c r="J112" t="n">
        <v>24326.65</v>
      </c>
    </row>
    <row r="113">
      <c r="G113" s="34" t="inlineStr">
        <is>
          <t>2026-05-06</t>
        </is>
      </c>
      <c r="H113" t="n">
        <v>310.7</v>
      </c>
      <c r="J113" t="n">
        <v>24330.95</v>
      </c>
    </row>
    <row r="114">
      <c r="G114" s="34" t="inlineStr">
        <is>
          <t>2026-05-05</t>
        </is>
      </c>
      <c r="H114" t="n">
        <v>311.45</v>
      </c>
      <c r="J114" t="n">
        <v>24032.8</v>
      </c>
    </row>
    <row r="115">
      <c r="G115" s="34" t="inlineStr">
        <is>
          <t>2026-05-04</t>
        </is>
      </c>
      <c r="H115" t="n">
        <v>311.1</v>
      </c>
      <c r="J115" t="n">
        <v>24119.3</v>
      </c>
    </row>
    <row r="116">
      <c r="G116" s="34" t="inlineStr">
        <is>
          <t>2026-04-30</t>
        </is>
      </c>
      <c r="H116" t="n">
        <v>314.9</v>
      </c>
      <c r="J116" t="n">
        <v>23997.55</v>
      </c>
    </row>
    <row r="117">
      <c r="G117" s="34" t="inlineStr">
        <is>
          <t>2026-04-29</t>
        </is>
      </c>
      <c r="H117" t="n">
        <v>316.25</v>
      </c>
      <c r="J117" t="n">
        <v>24177.65</v>
      </c>
    </row>
    <row r="118">
      <c r="G118" s="34" t="inlineStr">
        <is>
          <t>2026-04-28</t>
        </is>
      </c>
      <c r="H118" t="n">
        <v>304.45</v>
      </c>
      <c r="J118" t="n">
        <v>23995.7</v>
      </c>
    </row>
    <row r="119">
      <c r="G119" s="34" t="inlineStr">
        <is>
          <t>2026-04-27</t>
        </is>
      </c>
      <c r="H119" t="n">
        <v>303.85</v>
      </c>
      <c r="J119" t="n">
        <v>24092.7</v>
      </c>
    </row>
    <row r="120">
      <c r="G120" s="34" t="inlineStr">
        <is>
          <t>2026-04-24</t>
        </is>
      </c>
      <c r="H120" t="n">
        <v>301.6</v>
      </c>
      <c r="J120" t="n">
        <v>23897.95</v>
      </c>
    </row>
    <row r="121">
      <c r="G121" s="34" t="inlineStr">
        <is>
          <t>2026-04-23</t>
        </is>
      </c>
      <c r="H121" t="n">
        <v>305.3</v>
      </c>
      <c r="J121" t="n">
        <v>24173.05</v>
      </c>
    </row>
    <row r="122">
      <c r="G122" s="34" t="inlineStr">
        <is>
          <t>2026-04-22</t>
        </is>
      </c>
      <c r="H122" t="n">
        <v>305.5</v>
      </c>
      <c r="J122" t="n">
        <v>24378.1</v>
      </c>
    </row>
    <row r="123">
      <c r="G123" s="34" t="inlineStr">
        <is>
          <t>2026-04-21</t>
        </is>
      </c>
      <c r="H123" t="n">
        <v>309.65</v>
      </c>
      <c r="J123" t="n">
        <v>24576.6</v>
      </c>
    </row>
    <row r="124">
      <c r="G124" s="34" t="inlineStr">
        <is>
          <t>2026-04-20</t>
        </is>
      </c>
      <c r="H124" t="n">
        <v>305</v>
      </c>
      <c r="J124" t="n">
        <v>24364.85</v>
      </c>
    </row>
    <row r="125">
      <c r="G125" s="34" t="inlineStr">
        <is>
          <t>2026-04-17</t>
        </is>
      </c>
      <c r="H125" t="n">
        <v>306.8</v>
      </c>
      <c r="J125" t="n">
        <v>24353.55</v>
      </c>
    </row>
    <row r="126">
      <c r="G126" s="34" t="inlineStr">
        <is>
          <t>2026-04-16</t>
        </is>
      </c>
      <c r="H126" t="n">
        <v>303.4</v>
      </c>
      <c r="J126" t="n">
        <v>24196.75</v>
      </c>
    </row>
    <row r="127">
      <c r="G127" s="34" t="inlineStr">
        <is>
          <t>2026-04-15</t>
        </is>
      </c>
      <c r="H127" t="n">
        <v>302.05</v>
      </c>
      <c r="J127" t="n">
        <v>24231.3</v>
      </c>
    </row>
    <row r="128">
      <c r="G128" s="34" t="inlineStr">
        <is>
          <t>2026-04-13</t>
        </is>
      </c>
      <c r="H128" t="n">
        <v>298.65</v>
      </c>
      <c r="J128" t="n">
        <v>23842.65</v>
      </c>
    </row>
    <row r="129">
      <c r="G129" s="34" t="inlineStr">
        <is>
          <t>2026-04-10</t>
        </is>
      </c>
      <c r="H129" t="n">
        <v>304.25</v>
      </c>
      <c r="J129" t="n">
        <v>24050.6</v>
      </c>
    </row>
    <row r="130">
      <c r="G130" s="34" t="inlineStr">
        <is>
          <t>2026-04-09</t>
        </is>
      </c>
      <c r="H130" t="n">
        <v>303</v>
      </c>
      <c r="J130" t="n">
        <v>23775.1</v>
      </c>
    </row>
    <row r="131">
      <c r="G131" s="34" t="inlineStr">
        <is>
          <t>2026-04-08</t>
        </is>
      </c>
      <c r="H131" t="n">
        <v>302.45</v>
      </c>
      <c r="J131" t="n">
        <v>23997.35</v>
      </c>
    </row>
    <row r="132">
      <c r="G132" s="34" t="inlineStr">
        <is>
          <t>2026-04-07</t>
        </is>
      </c>
      <c r="H132" t="n">
        <v>298.45</v>
      </c>
      <c r="J132" t="n">
        <v>23123.65</v>
      </c>
    </row>
    <row r="133">
      <c r="G133" s="34" t="inlineStr">
        <is>
          <t>2026-04-06</t>
        </is>
      </c>
      <c r="H133" t="n">
        <v>294.85</v>
      </c>
      <c r="J133" t="n">
        <v>22968.25</v>
      </c>
    </row>
    <row r="134">
      <c r="G134" s="34" t="inlineStr">
        <is>
          <t>2026-04-02</t>
        </is>
      </c>
      <c r="H134" t="n">
        <v>292.85</v>
      </c>
      <c r="J134" t="n">
        <v>22713.1</v>
      </c>
    </row>
    <row r="135">
      <c r="G135" s="34" t="inlineStr">
        <is>
          <t>2026-04-01</t>
        </is>
      </c>
      <c r="H135" t="n">
        <v>291.7</v>
      </c>
      <c r="J135" t="n">
        <v>22679.4</v>
      </c>
    </row>
    <row r="136">
      <c r="G136" s="34" t="inlineStr">
        <is>
          <t>2026-03-30</t>
        </is>
      </c>
      <c r="H136" t="n">
        <v>287.7</v>
      </c>
      <c r="J136" t="n">
        <v>22331.4</v>
      </c>
    </row>
    <row r="137">
      <c r="G137" s="34" t="inlineStr">
        <is>
          <t>2026-03-27</t>
        </is>
      </c>
      <c r="H137" t="n">
        <v>294.7</v>
      </c>
      <c r="J137" t="n">
        <v>22819.6</v>
      </c>
    </row>
    <row r="138">
      <c r="G138" s="34" t="inlineStr">
        <is>
          <t>2026-03-25</t>
        </is>
      </c>
      <c r="H138" t="n">
        <v>295.7</v>
      </c>
      <c r="J138" t="n">
        <v>23306.45</v>
      </c>
    </row>
    <row r="139">
      <c r="G139" s="34" t="inlineStr">
        <is>
          <t>2026-03-24</t>
        </is>
      </c>
      <c r="H139" t="n">
        <v>291.25</v>
      </c>
      <c r="J139" t="n">
        <v>22912.4</v>
      </c>
    </row>
    <row r="140">
      <c r="G140" s="34" t="inlineStr">
        <is>
          <t>2026-03-23</t>
        </is>
      </c>
      <c r="H140" t="n">
        <v>290.45</v>
      </c>
      <c r="J140" t="n">
        <v>22512.65</v>
      </c>
    </row>
    <row r="141">
      <c r="G141" s="34" t="inlineStr">
        <is>
          <t>2026-03-20</t>
        </is>
      </c>
      <c r="H141" t="n">
        <v>299.95</v>
      </c>
      <c r="J141" t="n">
        <v>23114.5</v>
      </c>
    </row>
    <row r="142">
      <c r="G142" s="34" t="inlineStr">
        <is>
          <t>2026-03-19</t>
        </is>
      </c>
      <c r="H142" t="n">
        <v>298</v>
      </c>
      <c r="J142" t="n">
        <v>23002.15</v>
      </c>
    </row>
    <row r="143">
      <c r="G143" s="34" t="inlineStr">
        <is>
          <t>2026-03-18</t>
        </is>
      </c>
      <c r="H143" t="n">
        <v>304.05</v>
      </c>
      <c r="J143" t="n">
        <v>23777.8</v>
      </c>
    </row>
    <row r="144">
      <c r="G144" s="34" t="inlineStr">
        <is>
          <t>2026-03-17</t>
        </is>
      </c>
      <c r="H144" t="n">
        <v>304.85</v>
      </c>
      <c r="J144" t="n">
        <v>23581.15</v>
      </c>
    </row>
    <row r="145">
      <c r="G145" s="34" t="inlineStr">
        <is>
          <t>2026-03-16</t>
        </is>
      </c>
      <c r="H145" t="n">
        <v>308.25</v>
      </c>
      <c r="J145" t="n">
        <v>23408.8</v>
      </c>
    </row>
    <row r="146">
      <c r="G146" s="34" t="inlineStr">
        <is>
          <t>2026-03-13</t>
        </is>
      </c>
      <c r="H146" t="n">
        <v>301.45</v>
      </c>
      <c r="J146" t="n">
        <v>23151.1</v>
      </c>
    </row>
    <row r="147">
      <c r="G147" s="34" t="inlineStr">
        <is>
          <t>2026-03-12</t>
        </is>
      </c>
      <c r="H147" t="n">
        <v>304.1</v>
      </c>
      <c r="J147" t="n">
        <v>23639.15</v>
      </c>
    </row>
    <row r="148">
      <c r="G148" s="34" t="inlineStr">
        <is>
          <t>2026-03-11</t>
        </is>
      </c>
      <c r="H148" t="n">
        <v>309</v>
      </c>
      <c r="J148" t="n">
        <v>23866.85</v>
      </c>
    </row>
    <row r="149">
      <c r="G149" s="34" t="inlineStr">
        <is>
          <t>2026-03-10</t>
        </is>
      </c>
      <c r="H149" t="n">
        <v>309.05</v>
      </c>
      <c r="J149" t="n">
        <v>24261.6</v>
      </c>
    </row>
    <row r="150">
      <c r="G150" s="34" t="inlineStr">
        <is>
          <t>2026-03-09</t>
        </is>
      </c>
      <c r="H150" t="n">
        <v>306</v>
      </c>
      <c r="J150" t="n">
        <v>24028.05</v>
      </c>
    </row>
    <row r="151">
      <c r="G151" s="34" t="inlineStr">
        <is>
          <t>2026-03-06</t>
        </is>
      </c>
      <c r="H151" t="n">
        <v>309.7</v>
      </c>
      <c r="J151" t="n">
        <v>24450.45</v>
      </c>
    </row>
    <row r="152">
      <c r="G152" s="34" t="inlineStr">
        <is>
          <t>2026-03-05</t>
        </is>
      </c>
      <c r="H152" t="n">
        <v>311.5</v>
      </c>
      <c r="J152" t="n">
        <v>24765.9</v>
      </c>
    </row>
    <row r="153">
      <c r="G153" s="34" t="inlineStr">
        <is>
          <t>2026-03-04</t>
        </is>
      </c>
      <c r="H153" t="n">
        <v>311.95</v>
      </c>
      <c r="J153" t="n">
        <v>24480.5</v>
      </c>
    </row>
    <row r="154">
      <c r="G154" s="34" t="inlineStr">
        <is>
          <t>2026-03-02</t>
        </is>
      </c>
      <c r="H154" t="n">
        <v>314.9</v>
      </c>
      <c r="J154" t="n">
        <v>24865.7</v>
      </c>
    </row>
    <row r="155">
      <c r="G155" s="34" t="inlineStr">
        <is>
          <t>2026-02-27</t>
        </is>
      </c>
      <c r="H155" t="n">
        <v>313.6</v>
      </c>
      <c r="J155" t="n">
        <v>25178.65</v>
      </c>
    </row>
    <row r="156">
      <c r="G156" s="34" t="inlineStr">
        <is>
          <t>2026-02-26</t>
        </is>
      </c>
      <c r="H156" t="n">
        <v>318.3</v>
      </c>
      <c r="J156" t="n">
        <v>25496.55</v>
      </c>
    </row>
    <row r="157">
      <c r="G157" s="34" t="inlineStr">
        <is>
          <t>2026-02-25</t>
        </is>
      </c>
      <c r="H157" t="n">
        <v>319.75</v>
      </c>
      <c r="J157" t="n">
        <v>25482.5</v>
      </c>
    </row>
    <row r="158">
      <c r="G158" s="34" t="inlineStr">
        <is>
          <t>2026-02-24</t>
        </is>
      </c>
      <c r="H158" t="n">
        <v>323.5</v>
      </c>
      <c r="J158" t="n">
        <v>25424.65</v>
      </c>
    </row>
    <row r="159">
      <c r="G159" s="34" t="inlineStr">
        <is>
          <t>2026-02-23</t>
        </is>
      </c>
      <c r="H159" t="n">
        <v>325.4</v>
      </c>
      <c r="J159" t="n">
        <v>25713</v>
      </c>
    </row>
    <row r="160">
      <c r="G160" s="34" t="inlineStr">
        <is>
          <t>2026-02-20</t>
        </is>
      </c>
      <c r="H160" t="n">
        <v>327</v>
      </c>
      <c r="J160" t="n">
        <v>25571.25</v>
      </c>
    </row>
    <row r="161">
      <c r="G161" s="34" t="inlineStr">
        <is>
          <t>2026-02-19</t>
        </is>
      </c>
      <c r="H161" t="n">
        <v>326</v>
      </c>
      <c r="J161" t="n">
        <v>25454.35</v>
      </c>
    </row>
    <row r="162">
      <c r="G162" s="34" t="inlineStr">
        <is>
          <t>2026-02-18</t>
        </is>
      </c>
      <c r="H162" t="n">
        <v>332.45</v>
      </c>
      <c r="J162" t="n">
        <v>25819.35</v>
      </c>
    </row>
    <row r="163">
      <c r="G163" s="34" t="inlineStr">
        <is>
          <t>2026-02-17</t>
        </is>
      </c>
      <c r="H163" t="n">
        <v>325.45</v>
      </c>
      <c r="J163" t="n">
        <v>25725.4</v>
      </c>
    </row>
    <row r="164">
      <c r="G164" s="34" t="inlineStr">
        <is>
          <t>2026-02-16</t>
        </is>
      </c>
      <c r="H164" t="n">
        <v>317.95</v>
      </c>
      <c r="J164" t="n">
        <v>25682.75</v>
      </c>
    </row>
    <row r="165">
      <c r="G165" s="34" t="inlineStr">
        <is>
          <t>2026-02-13</t>
        </is>
      </c>
      <c r="H165" t="n">
        <v>313.75</v>
      </c>
      <c r="J165" t="n">
        <v>25471.1</v>
      </c>
    </row>
    <row r="166">
      <c r="G166" s="34" t="inlineStr">
        <is>
          <t>2026-02-12</t>
        </is>
      </c>
      <c r="H166" t="n">
        <v>317.45</v>
      </c>
      <c r="J166" t="n">
        <v>25807.2</v>
      </c>
    </row>
    <row r="167">
      <c r="G167" s="34" t="inlineStr">
        <is>
          <t>2026-02-11</t>
        </is>
      </c>
      <c r="H167" t="n">
        <v>318.25</v>
      </c>
      <c r="J167" t="n">
        <v>25953.85</v>
      </c>
    </row>
    <row r="168">
      <c r="G168" s="34" t="inlineStr">
        <is>
          <t>2026-02-10</t>
        </is>
      </c>
      <c r="H168" t="n">
        <v>321.4</v>
      </c>
      <c r="J168" t="n">
        <v>25935.15</v>
      </c>
    </row>
    <row r="169">
      <c r="G169" s="34" t="inlineStr">
        <is>
          <t>2026-02-09</t>
        </is>
      </c>
      <c r="H169" t="n">
        <v>322.8</v>
      </c>
      <c r="J169" t="n">
        <v>25867.3</v>
      </c>
    </row>
    <row r="170">
      <c r="G170" s="34" t="inlineStr">
        <is>
          <t>2026-02-06</t>
        </is>
      </c>
      <c r="H170" t="n">
        <v>325.8</v>
      </c>
      <c r="J170" t="n">
        <v>25693.7</v>
      </c>
    </row>
    <row r="171">
      <c r="G171" s="34" t="inlineStr">
        <is>
          <t>2026-02-05</t>
        </is>
      </c>
      <c r="H171" t="n">
        <v>310.2</v>
      </c>
      <c r="J171" t="n">
        <v>25642.8</v>
      </c>
    </row>
    <row r="172">
      <c r="G172" s="34" t="inlineStr">
        <is>
          <t>2026-02-04</t>
        </is>
      </c>
      <c r="H172" t="n">
        <v>313.85</v>
      </c>
      <c r="J172" t="n">
        <v>25776</v>
      </c>
    </row>
    <row r="173">
      <c r="G173" s="34" t="inlineStr">
        <is>
          <t>2026-02-03</t>
        </is>
      </c>
      <c r="H173" t="n">
        <v>316.65</v>
      </c>
      <c r="J173" t="n">
        <v>25727.55</v>
      </c>
    </row>
    <row r="174">
      <c r="G174" s="34" t="inlineStr">
        <is>
          <t>2026-02-02</t>
        </is>
      </c>
      <c r="H174" t="n">
        <v>314.7</v>
      </c>
      <c r="J174" t="n">
        <v>25088.4</v>
      </c>
    </row>
    <row r="175">
      <c r="G175" s="34" t="inlineStr">
        <is>
          <t>2026-02-01</t>
        </is>
      </c>
      <c r="H175" t="n">
        <v>309.45</v>
      </c>
      <c r="J175" t="n">
        <v>25320.65</v>
      </c>
    </row>
    <row r="176">
      <c r="G176" s="34" t="inlineStr">
        <is>
          <t>2026-01-30</t>
        </is>
      </c>
      <c r="H176" t="n">
        <v>322.15</v>
      </c>
      <c r="J176" t="n">
        <v>25320.65</v>
      </c>
    </row>
    <row r="177">
      <c r="G177" s="34" t="inlineStr">
        <is>
          <t>2026-01-29</t>
        </is>
      </c>
      <c r="H177" t="n">
        <v>318.6</v>
      </c>
      <c r="J177" t="n">
        <v>25418.9</v>
      </c>
    </row>
    <row r="178">
      <c r="G178" s="34" t="inlineStr">
        <is>
          <t>2026-01-28</t>
        </is>
      </c>
      <c r="H178" t="n">
        <v>321.15</v>
      </c>
      <c r="J178" t="n">
        <v>25342.75</v>
      </c>
    </row>
    <row r="179">
      <c r="G179" s="34" t="inlineStr">
        <is>
          <t>2026-01-27</t>
        </is>
      </c>
      <c r="H179" t="n">
        <v>318.65</v>
      </c>
      <c r="J179" t="n">
        <v>25175.4</v>
      </c>
    </row>
    <row r="180">
      <c r="G180" s="34" t="inlineStr">
        <is>
          <t>2026-01-23</t>
        </is>
      </c>
      <c r="H180" t="n">
        <v>323.4</v>
      </c>
      <c r="J180" t="n">
        <v>25048.65</v>
      </c>
    </row>
    <row r="181">
      <c r="G181" s="34" t="inlineStr">
        <is>
          <t>2026-01-22</t>
        </is>
      </c>
      <c r="H181" t="n">
        <v>324.85</v>
      </c>
      <c r="J181" t="n">
        <v>25289.9</v>
      </c>
    </row>
    <row r="182">
      <c r="G182" s="34" t="inlineStr">
        <is>
          <t>2026-01-21</t>
        </is>
      </c>
      <c r="H182" t="n">
        <v>324.75</v>
      </c>
      <c r="J182" t="n">
        <v>25157.5</v>
      </c>
    </row>
    <row r="183">
      <c r="G183" s="34" t="inlineStr">
        <is>
          <t>2026-01-20</t>
        </is>
      </c>
      <c r="H183" t="n">
        <v>326.3</v>
      </c>
      <c r="J183" t="n">
        <v>25232.5</v>
      </c>
    </row>
    <row r="184">
      <c r="G184" s="34" t="inlineStr">
        <is>
          <t>2026-01-19</t>
        </is>
      </c>
      <c r="H184" t="n">
        <v>333.2</v>
      </c>
      <c r="J184" t="n">
        <v>25585.5</v>
      </c>
    </row>
    <row r="185">
      <c r="G185" s="34" t="inlineStr">
        <is>
          <t>2026-01-16</t>
        </is>
      </c>
      <c r="H185" t="n">
        <v>329.2</v>
      </c>
      <c r="J185" t="n">
        <v>25694.35</v>
      </c>
    </row>
    <row r="186">
      <c r="G186" s="34" t="inlineStr">
        <is>
          <t>2026-01-14</t>
        </is>
      </c>
      <c r="H186" t="n">
        <v>334.75</v>
      </c>
      <c r="J186" t="n">
        <v>25665.6</v>
      </c>
    </row>
    <row r="187">
      <c r="G187" s="34" t="inlineStr">
        <is>
          <t>2026-01-13</t>
        </is>
      </c>
      <c r="H187" t="n">
        <v>334.7</v>
      </c>
      <c r="J187" t="n">
        <v>25732.3</v>
      </c>
    </row>
    <row r="188">
      <c r="G188" s="34" t="inlineStr">
        <is>
          <t>2026-01-12</t>
        </is>
      </c>
      <c r="H188" t="n">
        <v>338.4</v>
      </c>
      <c r="J188" t="n">
        <v>25790.25</v>
      </c>
    </row>
    <row r="189">
      <c r="G189" s="34" t="inlineStr">
        <is>
          <t>2026-01-09</t>
        </is>
      </c>
      <c r="H189" t="n">
        <v>337.15</v>
      </c>
      <c r="J189" t="n">
        <v>25683.3</v>
      </c>
    </row>
    <row r="190">
      <c r="G190" s="34" t="inlineStr">
        <is>
          <t>2026-01-08</t>
        </is>
      </c>
      <c r="H190" t="n">
        <v>340.9</v>
      </c>
      <c r="J190" t="n">
        <v>25876.85</v>
      </c>
    </row>
    <row r="191">
      <c r="G191" s="34" t="inlineStr">
        <is>
          <t>2026-01-07</t>
        </is>
      </c>
      <c r="H191" t="n">
        <v>341.25</v>
      </c>
      <c r="J191" t="n">
        <v>26140.75</v>
      </c>
    </row>
    <row r="192">
      <c r="G192" s="34" t="inlineStr">
        <is>
          <t>2026-01-06</t>
        </is>
      </c>
      <c r="H192" t="n">
        <v>342.45</v>
      </c>
      <c r="J192" t="n">
        <v>26178.7</v>
      </c>
    </row>
    <row r="193">
      <c r="G193" s="34" t="inlineStr">
        <is>
          <t>2026-01-05</t>
        </is>
      </c>
      <c r="H193" t="n">
        <v>349.7</v>
      </c>
      <c r="J193" t="n">
        <v>26250.3</v>
      </c>
    </row>
    <row r="194">
      <c r="G194" s="34" t="inlineStr">
        <is>
          <t>2026-01-02</t>
        </is>
      </c>
      <c r="H194" t="n">
        <v>350.05</v>
      </c>
      <c r="J194" t="n">
        <v>26328.55</v>
      </c>
    </row>
    <row r="195">
      <c r="G195" s="34" t="inlineStr">
        <is>
          <t>2026-01-01</t>
        </is>
      </c>
      <c r="H195" t="n">
        <v>363.85</v>
      </c>
      <c r="J195" t="n">
        <v>26146.55</v>
      </c>
    </row>
    <row r="196">
      <c r="G196" s="34" t="inlineStr">
        <is>
          <t>2025-12-31</t>
        </is>
      </c>
      <c r="H196" t="n">
        <v>403</v>
      </c>
      <c r="J196" t="n">
        <v>26129.6</v>
      </c>
    </row>
    <row r="197">
      <c r="G197" s="34" t="inlineStr">
        <is>
          <t>2025-12-30</t>
        </is>
      </c>
      <c r="H197" t="n">
        <v>400.6</v>
      </c>
      <c r="J197" t="n">
        <v>25938.85</v>
      </c>
    </row>
    <row r="198">
      <c r="G198" s="34" t="inlineStr">
        <is>
          <t>2025-12-29</t>
        </is>
      </c>
      <c r="H198" t="n">
        <v>402.6</v>
      </c>
      <c r="J198" t="n">
        <v>25942.1</v>
      </c>
    </row>
    <row r="199">
      <c r="G199" s="34" t="inlineStr">
        <is>
          <t>2025-12-26</t>
        </is>
      </c>
      <c r="H199" t="n">
        <v>404.15</v>
      </c>
      <c r="J199" t="n">
        <v>26042.3</v>
      </c>
    </row>
    <row r="200">
      <c r="G200" s="34" t="inlineStr">
        <is>
          <t>2025-12-24</t>
        </is>
      </c>
      <c r="H200" t="n">
        <v>406.6</v>
      </c>
      <c r="J200" t="n">
        <v>26142.1</v>
      </c>
    </row>
    <row r="201">
      <c r="G201" s="34" t="inlineStr">
        <is>
          <t>2025-12-23</t>
        </is>
      </c>
      <c r="H201" t="n">
        <v>407.35</v>
      </c>
      <c r="J201" t="n">
        <v>26177.15</v>
      </c>
    </row>
    <row r="202">
      <c r="G202" s="34" t="inlineStr">
        <is>
          <t>2025-12-22</t>
        </is>
      </c>
      <c r="H202" t="n">
        <v>402.7</v>
      </c>
      <c r="J202" t="n">
        <v>26172.4</v>
      </c>
    </row>
    <row r="203">
      <c r="G203" s="34" t="inlineStr">
        <is>
          <t>2025-12-19</t>
        </is>
      </c>
      <c r="H203" t="n">
        <v>401.05</v>
      </c>
      <c r="J203" t="n">
        <v>25966.4</v>
      </c>
    </row>
    <row r="204">
      <c r="G204" s="34" t="inlineStr">
        <is>
          <t>2025-12-18</t>
        </is>
      </c>
      <c r="H204" t="n">
        <v>400.4</v>
      </c>
      <c r="J204" t="n">
        <v>25815.55</v>
      </c>
    </row>
    <row r="205">
      <c r="G205" s="34" t="inlineStr">
        <is>
          <t>2025-12-17</t>
        </is>
      </c>
      <c r="H205" t="n">
        <v>399.8</v>
      </c>
      <c r="J205" t="n">
        <v>25818.55</v>
      </c>
    </row>
    <row r="206">
      <c r="G206" s="34" t="inlineStr">
        <is>
          <t>2025-12-16</t>
        </is>
      </c>
      <c r="H206" t="n">
        <v>401.7</v>
      </c>
      <c r="J206" t="n">
        <v>25860.1</v>
      </c>
    </row>
    <row r="207">
      <c r="G207" s="34" t="inlineStr">
        <is>
          <t>2025-12-15</t>
        </is>
      </c>
      <c r="H207" t="n">
        <v>402.3</v>
      </c>
      <c r="J207" t="n">
        <v>26027.3</v>
      </c>
    </row>
    <row r="208">
      <c r="G208" s="34" t="inlineStr">
        <is>
          <t>2025-12-12</t>
        </is>
      </c>
      <c r="H208" t="n">
        <v>400.1</v>
      </c>
      <c r="J208" t="n">
        <v>26046.95</v>
      </c>
    </row>
    <row r="209">
      <c r="G209" s="34" t="inlineStr">
        <is>
          <t>2025-12-11</t>
        </is>
      </c>
      <c r="H209" t="n">
        <v>402.9</v>
      </c>
      <c r="J209" t="n">
        <v>25898.55</v>
      </c>
    </row>
    <row r="210">
      <c r="G210" s="34" t="inlineStr">
        <is>
          <t>2025-12-10</t>
        </is>
      </c>
      <c r="H210" t="n">
        <v>403.15</v>
      </c>
      <c r="J210" t="n">
        <v>25758</v>
      </c>
    </row>
    <row r="211">
      <c r="G211" s="34" t="inlineStr">
        <is>
          <t>2025-12-09</t>
        </is>
      </c>
      <c r="H211" t="n">
        <v>401.05</v>
      </c>
      <c r="J211" t="n">
        <v>25839.65</v>
      </c>
    </row>
    <row r="212">
      <c r="G212" s="34" t="inlineStr">
        <is>
          <t>2025-12-08</t>
        </is>
      </c>
      <c r="H212" t="n">
        <v>402.3</v>
      </c>
      <c r="J212" t="n">
        <v>25960.55</v>
      </c>
    </row>
    <row r="213">
      <c r="G213" s="34" t="inlineStr">
        <is>
          <t>2025-12-05</t>
        </is>
      </c>
      <c r="H213" t="n">
        <v>404.95</v>
      </c>
      <c r="J213" t="n">
        <v>26186.45</v>
      </c>
    </row>
    <row r="214">
      <c r="G214" s="34" t="inlineStr">
        <is>
          <t>2025-12-04</t>
        </is>
      </c>
      <c r="H214" t="n">
        <v>403.05</v>
      </c>
      <c r="J214" t="n">
        <v>26033.75</v>
      </c>
    </row>
    <row r="215">
      <c r="G215" s="34" t="inlineStr">
        <is>
          <t>2025-12-03</t>
        </is>
      </c>
      <c r="H215" t="n">
        <v>400.5</v>
      </c>
      <c r="J215" t="n">
        <v>25986</v>
      </c>
    </row>
    <row r="216">
      <c r="G216" s="34" t="inlineStr">
        <is>
          <t>2025-12-02</t>
        </is>
      </c>
      <c r="H216" t="n">
        <v>400.95</v>
      </c>
      <c r="J216" t="n">
        <v>26032.2</v>
      </c>
    </row>
    <row r="217">
      <c r="G217" s="34" t="inlineStr">
        <is>
          <t>2025-12-01</t>
        </is>
      </c>
      <c r="H217" t="n">
        <v>404.25</v>
      </c>
      <c r="J217" t="n">
        <v>26175.75</v>
      </c>
    </row>
    <row r="218">
      <c r="G218" s="34" t="inlineStr">
        <is>
          <t>2025-11-28</t>
        </is>
      </c>
      <c r="H218" t="n">
        <v>404.25</v>
      </c>
      <c r="J218" t="n">
        <v>26202.95</v>
      </c>
    </row>
    <row r="219">
      <c r="G219" s="34" t="inlineStr">
        <is>
          <t>2025-11-27</t>
        </is>
      </c>
      <c r="H219" t="n">
        <v>404.3</v>
      </c>
      <c r="J219" t="n">
        <v>26215.55</v>
      </c>
    </row>
    <row r="220">
      <c r="G220" s="34" t="inlineStr">
        <is>
          <t>2025-11-26</t>
        </is>
      </c>
      <c r="H220" t="n">
        <v>402.3</v>
      </c>
      <c r="J220" t="n">
        <v>26205.3</v>
      </c>
    </row>
    <row r="221">
      <c r="G221" s="34" t="inlineStr">
        <is>
          <t>2025-11-25</t>
        </is>
      </c>
      <c r="H221" t="n">
        <v>400.8</v>
      </c>
      <c r="J221" t="n">
        <v>25884.8</v>
      </c>
    </row>
    <row r="222">
      <c r="G222" s="34" t="inlineStr">
        <is>
          <t>2025-11-24</t>
        </is>
      </c>
      <c r="H222" t="n">
        <v>403.55</v>
      </c>
      <c r="J222" t="n">
        <v>25959.5</v>
      </c>
    </row>
    <row r="223">
      <c r="G223" s="34" t="inlineStr">
        <is>
          <t>2025-11-21</t>
        </is>
      </c>
      <c r="H223" t="n">
        <v>407.85</v>
      </c>
      <c r="J223" t="n">
        <v>26068.15</v>
      </c>
    </row>
    <row r="224">
      <c r="G224" s="34" t="inlineStr">
        <is>
          <t>2025-11-20</t>
        </is>
      </c>
      <c r="H224" t="n">
        <v>405.45</v>
      </c>
      <c r="J224" t="n">
        <v>26192.15</v>
      </c>
    </row>
    <row r="225">
      <c r="G225" s="34" t="inlineStr">
        <is>
          <t>2025-11-19</t>
        </is>
      </c>
      <c r="H225" t="n">
        <v>403.55</v>
      </c>
      <c r="J225" t="n">
        <v>26052.65</v>
      </c>
    </row>
    <row r="226">
      <c r="G226" s="34" t="inlineStr">
        <is>
          <t>2025-11-18</t>
        </is>
      </c>
      <c r="H226" t="n">
        <v>405.85</v>
      </c>
      <c r="J226" t="n">
        <v>25910.05</v>
      </c>
    </row>
    <row r="227">
      <c r="G227" s="34" t="inlineStr">
        <is>
          <t>2025-11-17</t>
        </is>
      </c>
      <c r="H227" t="n">
        <v>407.1</v>
      </c>
      <c r="J227" t="n">
        <v>26013.45</v>
      </c>
    </row>
    <row r="228">
      <c r="G228" s="34" t="inlineStr">
        <is>
          <t>2025-11-14</t>
        </is>
      </c>
      <c r="H228" t="n">
        <v>408.15</v>
      </c>
      <c r="J228" t="n">
        <v>25910.05</v>
      </c>
    </row>
    <row r="229">
      <c r="G229" s="34" t="inlineStr">
        <is>
          <t>2025-11-13</t>
        </is>
      </c>
      <c r="H229" t="n">
        <v>405.7</v>
      </c>
      <c r="J229" t="n">
        <v>25879.15</v>
      </c>
    </row>
    <row r="230">
      <c r="G230" s="34" t="inlineStr">
        <is>
          <t>2025-11-12</t>
        </is>
      </c>
      <c r="H230" t="n">
        <v>407</v>
      </c>
      <c r="J230" t="n">
        <v>25875.8</v>
      </c>
    </row>
    <row r="231">
      <c r="G231" s="34" t="inlineStr">
        <is>
          <t>2025-11-11</t>
        </is>
      </c>
      <c r="H231" t="n">
        <v>406.85</v>
      </c>
      <c r="J231" t="n">
        <v>25694.95</v>
      </c>
    </row>
    <row r="232">
      <c r="G232" s="34" t="inlineStr">
        <is>
          <t>2025-11-10</t>
        </is>
      </c>
      <c r="H232" t="n">
        <v>405.55</v>
      </c>
      <c r="J232" t="n">
        <v>25574.35</v>
      </c>
    </row>
    <row r="233">
      <c r="G233" s="34" t="inlineStr">
        <is>
          <t>2025-11-07</t>
        </is>
      </c>
      <c r="H233" t="n">
        <v>404.05</v>
      </c>
      <c r="J233" t="n">
        <v>25492.3</v>
      </c>
    </row>
    <row r="234">
      <c r="G234" s="34" t="inlineStr">
        <is>
          <t>2025-11-06</t>
        </is>
      </c>
      <c r="H234" t="n">
        <v>407.5</v>
      </c>
      <c r="J234" t="n">
        <v>25509.7</v>
      </c>
    </row>
    <row r="235">
      <c r="G235" s="34" t="inlineStr">
        <is>
          <t>2025-11-04</t>
        </is>
      </c>
      <c r="H235" t="n">
        <v>408.9</v>
      </c>
      <c r="J235" t="n">
        <v>25597.65</v>
      </c>
    </row>
    <row r="236">
      <c r="G236" s="34" t="inlineStr">
        <is>
          <t>2025-11-03</t>
        </is>
      </c>
      <c r="H236" t="n">
        <v>413.95</v>
      </c>
      <c r="J236" t="n">
        <v>25763.35</v>
      </c>
    </row>
    <row r="237">
      <c r="G237" s="34" t="inlineStr">
        <is>
          <t>2025-10-31</t>
        </is>
      </c>
      <c r="H237" t="n">
        <v>420.35</v>
      </c>
      <c r="J237" t="n">
        <v>25722.1</v>
      </c>
    </row>
    <row r="238">
      <c r="G238" s="34" t="inlineStr">
        <is>
          <t>2025-10-30</t>
        </is>
      </c>
      <c r="H238" t="n">
        <v>418.75</v>
      </c>
      <c r="J238" t="n">
        <v>25877.85</v>
      </c>
    </row>
    <row r="239">
      <c r="G239" s="34" t="inlineStr">
        <is>
          <t>2025-10-29</t>
        </is>
      </c>
      <c r="H239" t="n">
        <v>421.6</v>
      </c>
      <c r="J239" t="n">
        <v>26053.9</v>
      </c>
    </row>
    <row r="240">
      <c r="G240" s="34" t="inlineStr">
        <is>
          <t>2025-10-28</t>
        </is>
      </c>
      <c r="H240" t="n">
        <v>417.9</v>
      </c>
      <c r="J240" t="n">
        <v>25936.2</v>
      </c>
    </row>
    <row r="241">
      <c r="G241" s="34" t="inlineStr">
        <is>
          <t>2025-10-27</t>
        </is>
      </c>
      <c r="H241" t="n">
        <v>420.65</v>
      </c>
      <c r="J241" t="n">
        <v>25966.05</v>
      </c>
    </row>
    <row r="242">
      <c r="G242" s="34" t="inlineStr">
        <is>
          <t>2025-10-24</t>
        </is>
      </c>
      <c r="H242" t="n">
        <v>416.8</v>
      </c>
      <c r="J242" t="n">
        <v>25795.15</v>
      </c>
    </row>
    <row r="243">
      <c r="G243" s="34" t="inlineStr">
        <is>
          <t>2025-10-23</t>
        </is>
      </c>
      <c r="H243" t="n">
        <v>415.95</v>
      </c>
      <c r="J243" t="n">
        <v>25891.4</v>
      </c>
    </row>
    <row r="244">
      <c r="G244" s="34" t="inlineStr">
        <is>
          <t>2025-10-21</t>
        </is>
      </c>
      <c r="H244" t="n">
        <v>412.85</v>
      </c>
      <c r="J244" t="n">
        <v>25868.6</v>
      </c>
    </row>
    <row r="245">
      <c r="G245" s="34" t="inlineStr">
        <is>
          <t>2025-10-20</t>
        </is>
      </c>
      <c r="H245" t="n">
        <v>413.05</v>
      </c>
      <c r="J245" t="n">
        <v>25843.15</v>
      </c>
    </row>
    <row r="246">
      <c r="G246" s="34" t="inlineStr">
        <is>
          <t>2025-10-17</t>
        </is>
      </c>
      <c r="H246" t="n">
        <v>412.15</v>
      </c>
      <c r="J246" t="n">
        <v>25709.85</v>
      </c>
    </row>
    <row r="247">
      <c r="G247" s="34" t="inlineStr">
        <is>
          <t>2025-10-16</t>
        </is>
      </c>
      <c r="H247" t="n">
        <v>405.15</v>
      </c>
      <c r="J247" t="n">
        <v>25585.3</v>
      </c>
    </row>
    <row r="248">
      <c r="G248" s="34" t="inlineStr">
        <is>
          <t>2025-10-15</t>
        </is>
      </c>
      <c r="H248" t="n">
        <v>399.9</v>
      </c>
      <c r="J248" t="n">
        <v>25323.55</v>
      </c>
    </row>
    <row r="249">
      <c r="G249" s="161" t="inlineStr">
        <is>
          <t>2025-10-14</t>
        </is>
      </c>
      <c r="H249" t="n">
        <v>396.8</v>
      </c>
      <c r="J249" t="n">
        <v>25145.5</v>
      </c>
    </row>
    <row r="250">
      <c r="G250" s="161" t="inlineStr">
        <is>
          <t>2025-10-13</t>
        </is>
      </c>
      <c r="H250" t="n">
        <v>399.25</v>
      </c>
      <c r="J250" t="n">
        <v>25227.35</v>
      </c>
    </row>
    <row r="251">
      <c r="G251" s="161" t="inlineStr">
        <is>
          <t>2025-10-10</t>
        </is>
      </c>
      <c r="H251" t="n">
        <v>402.8</v>
      </c>
      <c r="J251" t="n">
        <v>25285.35</v>
      </c>
    </row>
    <row r="252">
      <c r="G252" s="161" t="inlineStr">
        <is>
          <t>2025-10-09</t>
        </is>
      </c>
      <c r="H252" t="n">
        <v>399.9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HINDUNILVR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NESTLEIND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VBL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BRITANNIA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HNDFDS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The Incorporated Television Company (ITC), or ITC Entertainment as it was referred to in the United States, was a British company involved in the production and distribution of television programmes.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GST Council meet starts with focus on ease of doing business, ITC overhaul and decriminalisation on agenda</t>
        </is>
      </c>
    </row>
    <row r="38"/>
    <row r="39">
      <c r="A39" t="inlineStr">
        <is>
          <t>•</t>
        </is>
      </c>
      <c r="B39" s="184" t="inlineStr">
        <is>
          <t>ITC shares slide 3% on block deal buzz; FMCG giant down 29% in 2026</t>
        </is>
      </c>
    </row>
    <row r="40"/>
    <row r="41">
      <c r="A41" t="inlineStr">
        <is>
          <t>•</t>
        </is>
      </c>
      <c r="B41" s="184" t="inlineStr">
        <is>
          <t>GST Council to focus on auto refunds, swifter ITC, fewer notices</t>
        </is>
      </c>
    </row>
    <row r="42"/>
    <row r="43">
      <c r="A43" t="inlineStr">
        <is>
          <t>•</t>
        </is>
      </c>
      <c r="B43" s="184" t="inlineStr">
        <is>
          <t>DFM Foods sale: EQT, Emami, Balaji Wafers join ITC, TPG for Crax maker buy-out</t>
        </is>
      </c>
    </row>
    <row r="44"/>
    <row r="45">
      <c r="A45" t="inlineStr">
        <is>
          <t>•</t>
        </is>
      </c>
      <c r="B45" s="184" t="inlineStr">
        <is>
          <t>ITC among 4 F&amp;O stocks with sharp rise in futures open interest</t>
        </is>
      </c>
    </row>
    <row r="46"/>
    <row r="47">
      <c r="A47" t="inlineStr">
        <is>
          <t>•</t>
        </is>
      </c>
      <c r="B47" s="184" t="inlineStr">
        <is>
          <t>ITC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The Incorporated Television Company (ITC), or ITC Entertainment as it was referred to in the United States, was a British company involved in the production and distribution of television programmes.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GST Council meet starts with focus on ease of doing business, ITC overhaul and decriminalisation on agenda</t>
        </is>
      </c>
    </row>
    <row r="37"/>
    <row r="38" ht="14.4" customHeight="1" s="176">
      <c r="A38" t="inlineStr">
        <is>
          <t>•</t>
        </is>
      </c>
      <c r="B38" s="184" t="inlineStr">
        <is>
          <t>ITC shares slide 3% on block deal buzz; FMCG giant down 29% in 2026</t>
        </is>
      </c>
    </row>
    <row r="39"/>
    <row r="40" ht="20.4" customHeight="1" s="176">
      <c r="A40" t="inlineStr">
        <is>
          <t>•</t>
        </is>
      </c>
      <c r="B40" s="184" t="inlineStr">
        <is>
          <t>GST Council to focus on auto refunds, swifter ITC, fewer notices</t>
        </is>
      </c>
    </row>
    <row r="41"/>
    <row r="42">
      <c r="A42" t="inlineStr">
        <is>
          <t>•</t>
        </is>
      </c>
      <c r="B42" s="184" t="inlineStr">
        <is>
          <t>DFM Foods sale: EQT, Emami, Balaji Wafers join ITC, TPG for Crax maker buy-out</t>
        </is>
      </c>
    </row>
    <row r="43"/>
    <row r="44">
      <c r="A44" t="inlineStr">
        <is>
          <t>•</t>
        </is>
      </c>
      <c r="B44" s="184" t="inlineStr">
        <is>
          <t>ITC among 4 F&amp;O stocks with sharp rise in futures open interest</t>
        </is>
      </c>
    </row>
    <row r="45"/>
    <row r="46">
      <c r="A46" t="inlineStr">
        <is>
          <t>•</t>
        </is>
      </c>
      <c r="B46" s="184" t="inlineStr">
        <is>
          <t>ITC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37</v>
      </c>
      <c r="T7" s="75" t="n">
        <v>37</v>
      </c>
      <c r="U7" s="75" t="n">
        <v>36</v>
      </c>
      <c r="V7" s="75" t="n">
        <v>38</v>
      </c>
      <c r="W7" s="75" t="n">
        <v>38</v>
      </c>
      <c r="X7" s="75" t="n">
        <v>39</v>
      </c>
      <c r="Y7" s="75" t="n">
        <v>35</v>
      </c>
      <c r="Z7" s="75" t="n">
        <v>34</v>
      </c>
      <c r="AA7" s="75" t="n">
        <v>36</v>
      </c>
      <c r="AB7" s="75" t="n">
        <v>37</v>
      </c>
      <c r="AC7" s="75" t="n">
        <v>34</v>
      </c>
      <c r="AD7" s="75" t="n">
        <v>35</v>
      </c>
      <c r="AE7" s="75" t="n">
        <v>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32</v>
      </c>
      <c r="T12" s="75" t="n">
        <v>36</v>
      </c>
      <c r="U12" s="75" t="n">
        <v>35</v>
      </c>
      <c r="V12" s="75" t="n">
        <v>34</v>
      </c>
      <c r="W12" s="75" t="n">
        <v>33</v>
      </c>
      <c r="X12" s="75" t="n">
        <v>22</v>
      </c>
      <c r="Y12" s="75" t="n">
        <v>25</v>
      </c>
      <c r="Z12" s="75" t="n">
        <v>25</v>
      </c>
      <c r="AA12" s="75" t="n">
        <v>25</v>
      </c>
      <c r="AB12" s="75" t="n">
        <v>23</v>
      </c>
      <c r="AC12" s="75" t="n">
        <v>16</v>
      </c>
      <c r="AD12" s="75" t="n">
        <v>25</v>
      </c>
      <c r="AE12" t="n">
        <v>0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  <c r="S14" t="n">
        <v>8.039999999999999</v>
      </c>
      <c r="T14" t="n">
        <v>7.74</v>
      </c>
      <c r="U14" t="n">
        <v>8.470000000000001</v>
      </c>
      <c r="V14" t="n">
        <v>9.24</v>
      </c>
      <c r="W14" t="n">
        <v>10.27</v>
      </c>
      <c r="X14" t="n">
        <v>12.45</v>
      </c>
      <c r="Y14" t="n">
        <v>10.69</v>
      </c>
      <c r="Z14" t="n">
        <v>12.37</v>
      </c>
      <c r="AA14" t="n">
        <v>15.44</v>
      </c>
      <c r="AB14" t="n">
        <v>16.39</v>
      </c>
      <c r="AC14" t="n">
        <v>27.77</v>
      </c>
      <c r="AD14" t="n">
        <v>16.51</v>
      </c>
      <c r="AE14" t="n">
        <v>15.84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  <c r="S15" t="n">
        <v>52</v>
      </c>
      <c r="T15" t="n">
        <v>73</v>
      </c>
      <c r="U15" t="n">
        <v>56</v>
      </c>
      <c r="V15" t="n">
        <v>56</v>
      </c>
      <c r="W15" t="n">
        <v>56</v>
      </c>
      <c r="X15" t="n">
        <v>82</v>
      </c>
      <c r="Y15" t="n">
        <v>101</v>
      </c>
      <c r="Z15" t="n">
        <v>93</v>
      </c>
      <c r="AA15" t="n">
        <v>100</v>
      </c>
      <c r="AB15" t="n">
        <v>84</v>
      </c>
      <c r="AC15" t="n">
        <v>52</v>
      </c>
      <c r="AD15" t="n">
        <v>88</v>
      </c>
      <c r="AE15" t="n">
        <v>0</v>
      </c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45952</v>
      </c>
      <c r="D18" s="71" t="n">
        <v>51651</v>
      </c>
      <c r="E18" s="71" t="n">
        <v>55898</v>
      </c>
      <c r="F18" s="71" t="n">
        <v>64241</v>
      </c>
      <c r="G18" s="71" t="n">
        <v>71739</v>
      </c>
      <c r="H18" s="71" t="n">
        <v>77311</v>
      </c>
      <c r="I18" s="71" t="n">
        <v>73761</v>
      </c>
      <c r="J18" s="71" t="n">
        <v>77196</v>
      </c>
      <c r="K18" s="71" t="n">
        <v>85831</v>
      </c>
      <c r="L18" s="71" t="n">
        <v>91754</v>
      </c>
      <c r="M18" s="71" t="n">
        <v>88003</v>
      </c>
      <c r="N18" s="71" t="n">
        <v>93637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  <c r="AE20" t="n">
        <v>0</v>
      </c>
    </row>
    <row r="21">
      <c r="B21" s="73" t="inlineStr">
        <is>
          <t>Fixed Assets -</t>
        </is>
      </c>
      <c r="C21" s="73" t="n">
        <v>15303</v>
      </c>
      <c r="D21" s="73" t="n">
        <v>15107</v>
      </c>
      <c r="E21" s="73" t="n">
        <v>15893</v>
      </c>
      <c r="F21" s="73" t="n">
        <v>16524</v>
      </c>
      <c r="G21" s="73" t="n">
        <v>19374</v>
      </c>
      <c r="H21" s="73" t="n">
        <v>21713</v>
      </c>
      <c r="I21" s="73" t="n">
        <v>23298</v>
      </c>
      <c r="J21" s="73" t="n">
        <v>24232</v>
      </c>
      <c r="K21" s="73" t="n">
        <v>25851</v>
      </c>
      <c r="L21" s="73" t="n">
        <v>27820</v>
      </c>
      <c r="M21" s="73" t="n">
        <v>21955</v>
      </c>
      <c r="N21" s="73" t="n">
        <v>22443</v>
      </c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  <c r="AE21" t="n">
        <v>0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  <c r="AE22" t="n">
        <v>0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  <c r="AE23" t="n">
        <v>0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  <c r="AE24" t="n">
        <v>0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  <c r="AE25" t="n">
        <v>0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  <c r="AE26" t="n">
        <v>0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  <c r="AE27" t="n">
        <v>0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  <c r="AE28" t="n">
        <v>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  <c r="AE29" t="n">
        <v>0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  <c r="AE30" t="n">
        <v>0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  <c r="AE31" t="n">
        <v>0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  <c r="AE32" t="n">
        <v>0</v>
      </c>
    </row>
    <row r="33">
      <c r="B33" t="inlineStr">
        <is>
          <t>Net Block</t>
        </is>
      </c>
      <c r="C33" s="73" t="n">
        <v>15303</v>
      </c>
      <c r="D33" s="73" t="n">
        <v>15107</v>
      </c>
      <c r="E33" s="73" t="n">
        <v>15893</v>
      </c>
      <c r="F33" s="73" t="n">
        <v>16524</v>
      </c>
      <c r="G33" s="73" t="n">
        <v>19374</v>
      </c>
      <c r="H33" s="73" t="n">
        <v>21713</v>
      </c>
      <c r="I33" s="73" t="n">
        <v>23298</v>
      </c>
      <c r="J33" s="73" t="n">
        <v>24232</v>
      </c>
      <c r="K33" s="73" t="n">
        <v>25851</v>
      </c>
      <c r="L33" s="73" t="n">
        <v>27820</v>
      </c>
      <c r="M33" s="73" t="n">
        <v>21955</v>
      </c>
      <c r="N33" s="73" t="n">
        <v>22443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  <c r="AE34" t="n">
        <v>0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  <c r="AE37" t="n">
        <v>0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  <c r="AE38" t="n">
        <v>0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  <c r="AE39" t="n">
        <v>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  <c r="AE40" t="n">
        <v>0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  <c r="AE41" t="n">
        <v>0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  <c r="AE42" t="n">
        <v>0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  <c r="AE43" t="n">
        <v>0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  <c r="AE44" t="n">
        <v>0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Hind. Unilever</t>
        </is>
      </c>
      <c r="M57" t="n">
        <v>1841.65</v>
      </c>
      <c r="N57" t="n">
        <v>234.9591</v>
      </c>
      <c r="AR57" t="n">
        <v>432712.5</v>
      </c>
      <c r="AS57">
        <f>AZ57-BA57</f>
        <v/>
      </c>
      <c r="AT57">
        <f>AR57+AS57</f>
        <v/>
      </c>
      <c r="AU57" t="n">
        <v>69364</v>
      </c>
      <c r="AV57" t="n">
        <v>16080</v>
      </c>
      <c r="AW57" t="n">
        <v>11049.86</v>
      </c>
      <c r="AX57" t="n">
        <v>15</v>
      </c>
      <c r="AZ57" t="n">
        <v>1478</v>
      </c>
      <c r="BA57" t="n">
        <v>5939</v>
      </c>
    </row>
    <row r="58">
      <c r="K58" t="n">
        <v>2</v>
      </c>
      <c r="L58" t="inlineStr">
        <is>
          <t>Nestle India</t>
        </is>
      </c>
      <c r="M58" t="n">
        <v>1315</v>
      </c>
      <c r="N58" t="n">
        <v>192.8315</v>
      </c>
      <c r="AR58" t="n">
        <v>253573.4</v>
      </c>
      <c r="AS58">
        <f>AZ58-BA58</f>
        <v/>
      </c>
      <c r="AT58">
        <f>AR58+AS58</f>
        <v/>
      </c>
      <c r="AU58" t="n">
        <v>25512.7</v>
      </c>
      <c r="AV58" t="n">
        <v>5850.7</v>
      </c>
      <c r="AW58" t="n">
        <v>3754.97</v>
      </c>
      <c r="AX58" t="n">
        <v>15</v>
      </c>
      <c r="AZ58" t="n">
        <v>444</v>
      </c>
      <c r="BA58" t="n">
        <v>2100</v>
      </c>
    </row>
    <row r="59">
      <c r="K59" t="n">
        <v>3</v>
      </c>
      <c r="L59" t="inlineStr">
        <is>
          <t>Varun Beverages</t>
        </is>
      </c>
      <c r="M59" t="n">
        <v>431.9</v>
      </c>
      <c r="N59" t="n">
        <v>338.2494</v>
      </c>
      <c r="AR59" t="n">
        <v>146089.9</v>
      </c>
      <c r="AS59">
        <f>AZ59-BA59</f>
        <v/>
      </c>
      <c r="AT59">
        <f>AR59+AS59</f>
        <v/>
      </c>
      <c r="AU59" t="n">
        <v>33804.9</v>
      </c>
      <c r="AV59" t="n">
        <v>9152.200000000001</v>
      </c>
      <c r="AW59" t="n">
        <v>3384.85</v>
      </c>
      <c r="AX59" t="n">
        <v>15</v>
      </c>
      <c r="AZ59" t="n">
        <v>2508</v>
      </c>
      <c r="BA59" t="n">
        <v>1200</v>
      </c>
    </row>
    <row r="60">
      <c r="K60" t="n">
        <v>4</v>
      </c>
      <c r="L60" t="inlineStr">
        <is>
          <t>Britannia Inds.</t>
        </is>
      </c>
      <c r="M60" t="n">
        <v>4772</v>
      </c>
      <c r="N60" t="n">
        <v>24.0868</v>
      </c>
      <c r="AR60" t="n">
        <v>114942.4</v>
      </c>
      <c r="AS60">
        <f>AZ60-BA60</f>
        <v/>
      </c>
      <c r="AT60">
        <f>AR60+AS60</f>
        <v/>
      </c>
      <c r="AU60" t="n">
        <v>19999.9</v>
      </c>
      <c r="AV60" t="n">
        <v>3560.3</v>
      </c>
      <c r="AW60" t="n">
        <v>2602.27</v>
      </c>
      <c r="AX60" t="n">
        <v>15</v>
      </c>
      <c r="AZ60" t="n">
        <v>1380</v>
      </c>
      <c r="BA60" t="n">
        <v>3610</v>
      </c>
    </row>
    <row r="61">
      <c r="K61" t="n">
        <v>5</v>
      </c>
      <c r="L61" t="inlineStr">
        <is>
          <t>Marico</t>
        </is>
      </c>
      <c r="M61" t="n">
        <v>777.85</v>
      </c>
      <c r="N61" t="n">
        <v>130.0204</v>
      </c>
      <c r="AR61" t="n">
        <v>101136.4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1890.4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864.65</v>
      </c>
      <c r="N62" t="n">
        <v>102.3304</v>
      </c>
      <c r="AR62" t="n">
        <v>88480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2076.51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379.15</v>
      </c>
      <c r="N63" t="n">
        <v>177.3958</v>
      </c>
      <c r="AR63" t="n">
        <v>67259.60000000001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1982.89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Hindustan Foods</t>
        </is>
      </c>
      <c r="M64" t="n">
        <v>572.15</v>
      </c>
      <c r="N64" t="n">
        <v>12.1309</v>
      </c>
      <c r="AR64" t="n">
        <v>6940.7</v>
      </c>
      <c r="AS64">
        <f>AZ64-BA64</f>
        <v/>
      </c>
      <c r="AT64">
        <f>AR64+AS64</f>
        <v/>
      </c>
      <c r="AU64" t="n">
        <v>4804.3</v>
      </c>
      <c r="AV64" t="n">
        <v>256.6</v>
      </c>
      <c r="AW64" t="n">
        <v>161.83</v>
      </c>
      <c r="AX64" t="n">
        <v>15</v>
      </c>
      <c r="AZ64" t="n">
        <v>1088</v>
      </c>
      <c r="BA64" t="n">
        <v>5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2026-10-08T09:15:50Z</dcterms:modified>
  <cp:lastModifiedBy>Loveish</cp:lastModifiedBy>
  <cp:lastPrinted>2012-12-06T18:14:13Z</cp:lastPrinted>
</cp:coreProperties>
</file>